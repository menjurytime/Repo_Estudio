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iss\Desktop\••• Ucompensar •••\2- Clase 2\B- Base de Datos proyecto Final\"/>
    </mc:Choice>
  </mc:AlternateContent>
  <xr:revisionPtr revIDLastSave="0" documentId="13_ncr:1_{972A916A-4E6D-4BE6-A233-C0DDAA945F4C}" xr6:coauthVersionLast="47" xr6:coauthVersionMax="47" xr10:uidLastSave="{00000000-0000-0000-0000-000000000000}"/>
  <bookViews>
    <workbookView xWindow="-108" yWindow="-108" windowWidth="23256" windowHeight="12576" xr2:uid="{28F4DBAF-8E78-4441-A8DA-22924C191155}"/>
  </bookViews>
  <sheets>
    <sheet name="Hoja1" sheetId="1" r:id="rId1"/>
    <sheet name="Hoja1 (2)" sheetId="7" r:id="rId2"/>
    <sheet name="Hoja2" sheetId="2" r:id="rId3"/>
    <sheet name="RECIBOS ACUEDUCTO" sheetId="4" r:id="rId4"/>
    <sheet name="VENTAS INTERNACIONALES" sheetId="5" r:id="rId5"/>
    <sheet name="PROVEEDORES INTERNACIONALES" sheetId="6" r:id="rId6"/>
  </sheets>
  <definedNames>
    <definedName name="_xlnm._FilterDatabase" localSheetId="0" hidden="1">Hoja1!$A$1:$K$1743</definedName>
    <definedName name="_xlnm._FilterDatabase" localSheetId="5" hidden="1">'PROVEEDORES INTERNACIONALES'!$A$1:$I$1000</definedName>
    <definedName name="random_names_fossbytes__1" localSheetId="5">'PROVEEDORES INTERNACIONALES'!$B$2:$B$1000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L789" i="5"/>
  <c r="L771" i="5"/>
  <c r="L723" i="5"/>
  <c r="L721" i="5"/>
  <c r="L637" i="5"/>
  <c r="L605" i="5"/>
  <c r="L463" i="5"/>
  <c r="L349" i="5"/>
  <c r="L291" i="5"/>
  <c r="L231" i="5"/>
  <c r="L17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andom_names_fossbytes (1)" type="6" refreshedVersion="5" background="1" saveData="1">
    <textPr codePage="65001" sourceFile="C:\Users\Jose\Downloads\random_names_fossbytes (1).csv" decimal="," thousands=".">
      <textFields>
        <textField/>
      </textFields>
    </textPr>
  </connection>
</connections>
</file>

<file path=xl/sharedStrings.xml><?xml version="1.0" encoding="utf-8"?>
<sst xmlns="http://schemas.openxmlformats.org/spreadsheetml/2006/main" count="56968" uniqueCount="7548">
  <si>
    <t>ID</t>
  </si>
  <si>
    <t>Titulo</t>
  </si>
  <si>
    <t>Fecha de Apertura</t>
  </si>
  <si>
    <t>Año</t>
  </si>
  <si>
    <t>Estado</t>
  </si>
  <si>
    <t>Solicitante - Solicitante</t>
  </si>
  <si>
    <t>PROCESO</t>
  </si>
  <si>
    <t>Asignado a: - Técnico</t>
  </si>
  <si>
    <t>Categoría</t>
  </si>
  <si>
    <t>ANS (Acuerdo de nivel de servicio) - ANS (Acuerdo de nivel de servicio) Tiempo de solución</t>
  </si>
  <si>
    <t>Cerrado</t>
  </si>
  <si>
    <t>COMPRAS E INFRAESTRUCTURA</t>
  </si>
  <si>
    <t>REQUERIMIENTO 3 - Compras</t>
  </si>
  <si>
    <t>ADECUACIÓN NUEVA BOSA 2</t>
  </si>
  <si>
    <t>Solicitud materiales Ludoteca</t>
  </si>
  <si>
    <t>DIRECCIÓN ACADÉMICA</t>
  </si>
  <si>
    <t>REQUERIMIENTO 2 - Compras</t>
  </si>
  <si>
    <t>Solicitud cotización elementos personales</t>
  </si>
  <si>
    <t>BIENESTAR UNIVERSITARIO</t>
  </si>
  <si>
    <t>Cotizacion mantenimiento Aerografos</t>
  </si>
  <si>
    <t>STEWARD PINTO</t>
  </si>
  <si>
    <t>GESTIÓN DE LAS TECNOLOGÍAS</t>
  </si>
  <si>
    <t>COMPRA PLANTA RETORIA</t>
  </si>
  <si>
    <t>PROCESOS ADMINISTRATIVOS</t>
  </si>
  <si>
    <t>Solicitud mantenimiento sonido</t>
  </si>
  <si>
    <t>Solicitud cotización de tiquetes</t>
  </si>
  <si>
    <t>Solicitud cotización bonos</t>
  </si>
  <si>
    <t>clorador agua potable</t>
  </si>
  <si>
    <t>VIAJE BOGOTA - VILLAVICENCIO - BOGOTA</t>
  </si>
  <si>
    <t>JULIA DANIELA MARTINEZ ORTIZ</t>
  </si>
  <si>
    <t>Cotización elementos de Laboratorio Ingeniería Industrial</t>
  </si>
  <si>
    <t>Cotización celulares Continuada</t>
  </si>
  <si>
    <t>Arbitraje sede meta</t>
  </si>
  <si>
    <t>COTIZACIÓN MATERIAL DIDÁCTICO, CAPACITACIÓN DOCENTE Y PRUEBAS CLASIFICATORIAS DE INGLES</t>
  </si>
  <si>
    <t>Cotización cambio rueda fecha sellos financiera</t>
  </si>
  <si>
    <t>DIRECCIÓN FINANCIERA</t>
  </si>
  <si>
    <t>Desayuno Estudiantes del exterior hacia Colombia Evento Empoderamiento juvenil</t>
  </si>
  <si>
    <t>Cotización refrigerios y premiación para torneo de fútbol</t>
  </si>
  <si>
    <t>Celebración Día del Contador</t>
  </si>
  <si>
    <t>Tableros rectoría</t>
  </si>
  <si>
    <t>Solicitud de cotización-torneo interuniversitarios-copa universitaria</t>
  </si>
  <si>
    <t>CELEBRACIÓN DÍA DEL CONTADOR PÚBLICO SEDE VALLE</t>
  </si>
  <si>
    <t>SEDE VALLE</t>
  </si>
  <si>
    <t>Materiales para docentes</t>
  </si>
  <si>
    <t>POSIBLE PROYECTOS ESPECIALES</t>
  </si>
  <si>
    <t>Clases de ajedrez</t>
  </si>
  <si>
    <t>Merchandising</t>
  </si>
  <si>
    <t>Solicitud cotización porta diplomas de grado</t>
  </si>
  <si>
    <t>FABIAN FERNANDO MACHADO PETRO</t>
  </si>
  <si>
    <t>ADMISIONES Y REGISTRO</t>
  </si>
  <si>
    <t>##answer_309##</t>
  </si>
  <si>
    <t>MATERIALES MARZO</t>
  </si>
  <si>
    <t>Solicitud elementos oficina Director de Educación Virtual</t>
  </si>
  <si>
    <t>REQUERIMIENTO 4 - Compras</t>
  </si>
  <si>
    <t>Solicitud de cotización Uniformes</t>
  </si>
  <si>
    <t>ACPM PLANTA ELECTRICA</t>
  </si>
  <si>
    <t>COTIZACIÓN SALÓN</t>
  </si>
  <si>
    <t>ENTRENAMIENTO EMPRESARIAL</t>
  </si>
  <si>
    <t>Solicitud de refrigerios</t>
  </si>
  <si>
    <t>REQUERIMIENTO 1 - Compras</t>
  </si>
  <si>
    <t>SOLICITUD REFERENCIA PRODUCTOS DE PAPELERÍA</t>
  </si>
  <si>
    <t>ANGELICA MARIA CONTRERAS LEGUIZAMON</t>
  </si>
  <si>
    <t>TALENTO HUMANO</t>
  </si>
  <si>
    <t>REQUERIMIENTO 5</t>
  </si>
  <si>
    <t>Solicitud carpetas para radicación de programas SED</t>
  </si>
  <si>
    <t>ESCUELA DE FORMACIÓN</t>
  </si>
  <si>
    <t>Cotizacion carné</t>
  </si>
  <si>
    <t>MERCADEO Y COMUNICACIONES</t>
  </si>
  <si>
    <t>Cotización Cajas Registradoras</t>
  </si>
  <si>
    <t>Cotización de útiles y productos de oficina</t>
  </si>
  <si>
    <t>TOMAS ENRIQUE MARTÍNEZ TOMAS ENRIQUE</t>
  </si>
  <si>
    <t>útiles y papelerica</t>
  </si>
  <si>
    <t>Ilustración para libros</t>
  </si>
  <si>
    <t>COTIZACION ACCESORIOS ASPIRADORAS</t>
  </si>
  <si>
    <t>ARREGLO ASPIRADORA</t>
  </si>
  <si>
    <t>ALQUILER SALON COMPENSAR</t>
  </si>
  <si>
    <t>COTIZACIÓN VIAJE</t>
  </si>
  <si>
    <t>Actulizacion Digiturno</t>
  </si>
  <si>
    <t>Nataly Perez Laiseca</t>
  </si>
  <si>
    <t>Cotización de vinilos impresos</t>
  </si>
  <si>
    <t>CRISTIAN DAVID MUNAR CRISTIAN DAVID</t>
  </si>
  <si>
    <t>compra de 25 unidades de gel antibacterial alcohol 70% 1000 ml</t>
  </si>
  <si>
    <t>SERGIO DANIEL BERMUDEZ RODRIGUEZ</t>
  </si>
  <si>
    <t>Empleadores de estudiantes y egresados del programa del proceso de autoevaluacion</t>
  </si>
  <si>
    <t>Solicitud Clave Impresora</t>
  </si>
  <si>
    <t>Compra memorias RAM</t>
  </si>
  <si>
    <t>Envió cajas sede valle</t>
  </si>
  <si>
    <t>CELEBRACIÓN DÍA DEL CONTADOR</t>
  </si>
  <si>
    <t>REFRIGERIOS DÍA DEL HOMBRE</t>
  </si>
  <si>
    <t>Cotización servicio de enfermería</t>
  </si>
  <si>
    <t>Cotización Refrigerios Curso FUPAD - Valor Máximo $2.500</t>
  </si>
  <si>
    <t>Solicitud de cotización</t>
  </si>
  <si>
    <t>COTIZACION GEL ANTIBACTERIAL EN CUÑETE Y FRASCOS DE 50ML</t>
  </si>
  <si>
    <t>Solicitud de cotización grados meta</t>
  </si>
  <si>
    <t>COTIZACIÓN SIMULACRO PARA ESTUDIANTES DE PRUEBAS SABER TYT</t>
  </si>
  <si>
    <t>COTIZACIÓN EVENTO EMPRESARIOS FACIEM - PRACTICAS</t>
  </si>
  <si>
    <t>Solicitud de cotización grados Bogotá</t>
  </si>
  <si>
    <t>Solicitud de cotización grados Valle</t>
  </si>
  <si>
    <t>PUERTAS</t>
  </si>
  <si>
    <t>PANTALLAS DIVISORIAS</t>
  </si>
  <si>
    <t>SILLAS</t>
  </si>
  <si>
    <t>PUNTOS DATOS Y AIRE META</t>
  </si>
  <si>
    <t>Cotización equipos de vídeo conferencia</t>
  </si>
  <si>
    <t>Cotización diademas</t>
  </si>
  <si>
    <t>Grados Unipanamericana 2020-1</t>
  </si>
  <si>
    <t>COTIZACIÓN IMPRESIÓN PLANTILLAS</t>
  </si>
  <si>
    <t>SEÑALETICA CAMBIO DE MARCA</t>
  </si>
  <si>
    <t>MATERIALES MARZO 2</t>
  </si>
  <si>
    <t>TABLEROS</t>
  </si>
  <si>
    <t>Solicitud cotización elementos p.a.p</t>
  </si>
  <si>
    <t>SERVICIO MENSAJERIA EQUIPOS ESTUDIANTES</t>
  </si>
  <si>
    <t>COTIZACION BACTERIAS</t>
  </si>
  <si>
    <t>Cotizacion de Software AUDITBRAIN</t>
  </si>
  <si>
    <t>COTIZACIÓN POLIZA OTRO SI FUPAD</t>
  </si>
  <si>
    <t>Portaborrador tableros</t>
  </si>
  <si>
    <t>Solicitud de cotización clases virtuales</t>
  </si>
  <si>
    <t>COTIZACIÓN CARGUE BOLSILLO VÍVERES</t>
  </si>
  <si>
    <t>Solicitud de cotización servicio de enfermería</t>
  </si>
  <si>
    <t>Solicitud cotización obsequios grados</t>
  </si>
  <si>
    <t>Solicitud cotización bolsas para diplomas y obsequios</t>
  </si>
  <si>
    <t>Cotización equipos Laboratorio de cocina Escuela de Formación</t>
  </si>
  <si>
    <t>REQUERIMIENTO 5 - Compras</t>
  </si>
  <si>
    <t>COTIZACION ELEMENTOS TRASLADO EQUIPOS</t>
  </si>
  <si>
    <t>Cotizacion Adobe</t>
  </si>
  <si>
    <t>Solicitud de cotización sobres de manial para envió de diplomas</t>
  </si>
  <si>
    <t>Evento Día del Docente 14 de Mayo</t>
  </si>
  <si>
    <t>COTIZAION GUANTES Y TAPABOCAS</t>
  </si>
  <si>
    <t>Mantenimiento ascensor</t>
  </si>
  <si>
    <t>COTIZACIÓN CURSO DE TEACHING ENGLISH ONLINE AREA IDIOMAS</t>
  </si>
  <si>
    <t>Cotizacion carné egresado</t>
  </si>
  <si>
    <t>Cotización Impresión Plantillas Diplomas</t>
  </si>
  <si>
    <t>BONOS DE ALIMENTOS-PROYECTO ACDI-VOCA</t>
  </si>
  <si>
    <t>WENDI CAROLINA RUIZ CONTRERAS</t>
  </si>
  <si>
    <t>Evento dìa del docente</t>
  </si>
  <si>
    <t>Evento dìa del docente, compra de esferos LAMY</t>
  </si>
  <si>
    <t>Solicitud cotización actividades</t>
  </si>
  <si>
    <t>SOLICITUD DE COTIZACIÓN SERVICIO DE ASEO MES MARZO SEDE VALLE</t>
  </si>
  <si>
    <t>SEÑALETICA 2</t>
  </si>
  <si>
    <t>ADECUACIÓN ZONA LOCKERS</t>
  </si>
  <si>
    <t>COTIZACION CAJAS Y OTROS</t>
  </si>
  <si>
    <t>Conferencista Semana 16 o Semana de la Innovación</t>
  </si>
  <si>
    <t>COTIZACION CAMION</t>
  </si>
  <si>
    <t>Cotizacioon Tabletas</t>
  </si>
  <si>
    <t>Compra de Dona para glúteos</t>
  </si>
  <si>
    <t>Compra de elementos de protección personal</t>
  </si>
  <si>
    <t>COTIZACION TARJETAS NETFLIX PARA EVENTO GAMERS</t>
  </si>
  <si>
    <t>Bonos de dotación</t>
  </si>
  <si>
    <t>SEÑALETICA 3</t>
  </si>
  <si>
    <t>Portaborrador en vidrio para tableros</t>
  </si>
  <si>
    <t>POLIZA DE CONTRATO 2020-0773-SPC-8773-1</t>
  </si>
  <si>
    <t>Cotización proveedor Dotación 2020</t>
  </si>
  <si>
    <t>Cotizacion Equipos</t>
  </si>
  <si>
    <t>Cotización 3 termómetro digital infrarrojo</t>
  </si>
  <si>
    <t>COTIZACIÓN DIADEMAS</t>
  </si>
  <si>
    <t>Solicitud Cotización Saan, VeamBackup, Cisco</t>
  </si>
  <si>
    <t>Cotizacion Renovacion Adobe</t>
  </si>
  <si>
    <t>ENVIO COMPUTDORES PC PARA ESTUDIANTES,DOCENTES</t>
  </si>
  <si>
    <t>Cotizacion SWITCH DE CORE.</t>
  </si>
  <si>
    <t>Cotizacion Licencia</t>
  </si>
  <si>
    <t>Cotizacion</t>
  </si>
  <si>
    <t>COTIZACION DESMONTE CAMARAS Y SISTEMA DE ALARMAS</t>
  </si>
  <si>
    <t>COTIZACIÓN ELEMENTOS PAPELERÍA</t>
  </si>
  <si>
    <t>Solicitud cotizacion diademas SocioHumanidades</t>
  </si>
  <si>
    <t>PLATAFORMA DE RECAUDO EN LINEA</t>
  </si>
  <si>
    <t>HORACIO MILLAN PELAYO</t>
  </si>
  <si>
    <t>TESORERÍA</t>
  </si>
  <si>
    <t>VIDRIOS FACHADAS WAYUU</t>
  </si>
  <si>
    <t>COTIZACION CAJAS X200</t>
  </si>
  <si>
    <t>Solicitud cotización software de colegios</t>
  </si>
  <si>
    <t>cotizacion Datacenter</t>
  </si>
  <si>
    <t>COTIZACION ELEMENTOS DE ASEO</t>
  </si>
  <si>
    <t>Envió diplomas a nivel nacional</t>
  </si>
  <si>
    <t>Solicitud cotización bolsas para diplomas</t>
  </si>
  <si>
    <t>Solicitud cotización carpetas de grado</t>
  </si>
  <si>
    <t>Solicitud cotización tapabocas</t>
  </si>
  <si>
    <t>Solicitud de cotización termómetros láser</t>
  </si>
  <si>
    <t>Solicitud cotizacion pantalla portatil HP 250 G5</t>
  </si>
  <si>
    <t>Solicitud cotización Toner</t>
  </si>
  <si>
    <t>COTIZACIÓN SEMANA INNOVACIÓN PARA GANADORES DEL EVENTO</t>
  </si>
  <si>
    <t>Disponibilidad auditorio compensar</t>
  </si>
  <si>
    <t>Cotización conferencista</t>
  </si>
  <si>
    <t>Cotización comunity mánager</t>
  </si>
  <si>
    <t>Cotización intervención inducción estudiantil 2020-2</t>
  </si>
  <si>
    <t>Solicitud cotización tablet</t>
  </si>
  <si>
    <t>CONFERENCISTA SEMANA 16 O INNOVACIÓN - INGENIERÍA</t>
  </si>
  <si>
    <t>COTIZACION SERVICIO DE MENSAJERIA BIBLIOTECA</t>
  </si>
  <si>
    <t>Solicitud de cotización bono big pass</t>
  </si>
  <si>
    <t>Solicitud cotización agendas</t>
  </si>
  <si>
    <t>Cotización de servicio para toma de temperatura</t>
  </si>
  <si>
    <t>Solicitud cotización vino</t>
  </si>
  <si>
    <t>Solicitud cotización audifonos</t>
  </si>
  <si>
    <t>COTIZACION PARA CONSULTORÍA DE LA FACULTAD DE EDUCACION</t>
  </si>
  <si>
    <t>Solicitud cotización Impresoras</t>
  </si>
  <si>
    <t>Cotización mantenimiento preventivo y correctivo</t>
  </si>
  <si>
    <t>MOBILIARIO ZONA LOCKERS</t>
  </si>
  <si>
    <t>Solicitud cotización cubrimiento para diplomas</t>
  </si>
  <si>
    <t>certificados de retención en la fuente, retención de IVA y Retencion de ICA según corresponda, practicados en el año gravable 2019 y el RUT actualizado Año 2020</t>
  </si>
  <si>
    <t>ERROR</t>
  </si>
  <si>
    <t>Elementos de Bioseguridad</t>
  </si>
  <si>
    <t>Cotización de baterías AAA</t>
  </si>
  <si>
    <t>COTIZACION ELEMENTOS DE JARDINERIA</t>
  </si>
  <si>
    <t>COTIZACION BONOS</t>
  </si>
  <si>
    <t>COTIZACION DESMONTE SISTEMA DE ALARMA BOSA II</t>
  </si>
  <si>
    <t>SEÑALETICA definitiva</t>
  </si>
  <si>
    <t>Cotización servicio Modem portables</t>
  </si>
  <si>
    <t>Cotización teclado Portátil Toshiba Z930</t>
  </si>
  <si>
    <t>Cotización urgente Call Center Externo</t>
  </si>
  <si>
    <t>COTIZACION BONOS FAEDU</t>
  </si>
  <si>
    <t>Merchandising nueva marca</t>
  </si>
  <si>
    <t>SOLICITUD DE COTIZACIÓN SERVICIO DE ASEO JUNIO Y JULIO</t>
  </si>
  <si>
    <t>INSCRIPCIÓN A EVENTO LACHEC ONLINE 2020</t>
  </si>
  <si>
    <t>COTIZACIÓN DE DOCUMENTOS INSTITUCIONALES</t>
  </si>
  <si>
    <t>Bonos de mercado. Proyecto con ACDI/VOCA</t>
  </si>
  <si>
    <t>Examenes a Estudiantes de</t>
  </si>
  <si>
    <t>Examenes a Estudiantes de 8 semestre Versant Placement Test</t>
  </si>
  <si>
    <t>Examenes a Estudiantes On The Go Units</t>
  </si>
  <si>
    <t>Cotización bonos crepes and waffles</t>
  </si>
  <si>
    <t>Cotización elementos de oficina, proyecto Teletrabajo</t>
  </si>
  <si>
    <t>Cubrimiento de diplomas</t>
  </si>
  <si>
    <t>CONTIZACION CONSULTOR FACULTAD EDUCACION</t>
  </si>
  <si>
    <t>Solicitud asesoria para el desarrollo de auditoria interna</t>
  </si>
  <si>
    <t>PLANEACIÓN</t>
  </si>
  <si>
    <t>Merchandising Rectoria</t>
  </si>
  <si>
    <t>RV: PROYECTO COLEGIO | cotización de software colegios</t>
  </si>
  <si>
    <t>Solicitud cotizacion pantalla portatil HP 14AC143LA</t>
  </si>
  <si>
    <t>Compra Obsequios Festival Internacional de Costos Bacatá (2020) participa el Programa de Comunicación Social</t>
  </si>
  <si>
    <t>Toma de inventarios para activos fijos 2020</t>
  </si>
  <si>
    <t>CONTABILIDAD</t>
  </si>
  <si>
    <t>Cotización servicio banco de imágenes</t>
  </si>
  <si>
    <t>EDUCACIÓN VIRTUAL</t>
  </si>
  <si>
    <t>Desarrollo de 5 víideos animados para curso de inducción estudiantes</t>
  </si>
  <si>
    <t>DIANA MILENA RIAÑO CUEVAS DIANA MILENA</t>
  </si>
  <si>
    <t>Contratación diseñador para curso de inducción docente</t>
  </si>
  <si>
    <t>Proyecto vídeos para curso inducción docente</t>
  </si>
  <si>
    <t>Solicitud Cotización ARDUINO UNO</t>
  </si>
  <si>
    <t>Capacitación</t>
  </si>
  <si>
    <t>Cotizacion de Switch</t>
  </si>
  <si>
    <t>Desarrollo de vídeo animado para el programa de</t>
  </si>
  <si>
    <t>Solicitud cotización talleres</t>
  </si>
  <si>
    <t>Cotización charla-taller docentes</t>
  </si>
  <si>
    <t>COTIZACIÓN DE WEBINARS O TALLER SOCIOEMOCIONAL PARA ESTUDIANTES Y DOCENTES</t>
  </si>
  <si>
    <t>COTIZACIÓN SEMINARIO DE INGLÉS</t>
  </si>
  <si>
    <t>COTIZACIÓN CURSO DE TÉCNICAS DE VENTAS</t>
  </si>
  <si>
    <t>MATERIALES LABORATORIO</t>
  </si>
  <si>
    <t>COTIZACIÓN DE WEBINARS O TALLER YMCA PARA ESTUDIANTES</t>
  </si>
  <si>
    <t>Cotización de bonos promocionales</t>
  </si>
  <si>
    <t>Cotización evaluadores capítulos de libro resultado de investigación</t>
  </si>
  <si>
    <t>Pines Netflix</t>
  </si>
  <si>
    <t>Cotización tormeo futboll 8</t>
  </si>
  <si>
    <t>Esferos Lamy</t>
  </si>
  <si>
    <t>Actividades deportivas 2020-2</t>
  </si>
  <si>
    <t>TI | Solicitud cotización rediseño pagina web y generación de portal transaccional</t>
  </si>
  <si>
    <t>Solicitud de cotización tarjetas de netflix.</t>
  </si>
  <si>
    <t>COTIZACION SERVICIO DE MENSAJERIA TARJETAS NETFLIX INTERNACIONALIZACIÓN</t>
  </si>
  <si>
    <t>Cotizacion compra equipos de computo</t>
  </si>
  <si>
    <t>Cotización obsequio sufragio para familiares de estudiante</t>
  </si>
  <si>
    <t>Cotizacion equipo de computo</t>
  </si>
  <si>
    <t>Solicitud cotización bonos zpatoca</t>
  </si>
  <si>
    <t>ADECUACIÓN SALA AMIGA</t>
  </si>
  <si>
    <t>Toner Correspondencia</t>
  </si>
  <si>
    <t>COTIZACIÓN DISEÑADORA PIEZAS GRÁFICAS INTERNATIONAL SUMMIT</t>
  </si>
  <si>
    <t>Servicio Transporte elementos de Bioseguridad</t>
  </si>
  <si>
    <t>Solicitud cotización lector de memorias compact flash</t>
  </si>
  <si>
    <t>Pool de Diseñadores Dirección de Educación Virtual</t>
  </si>
  <si>
    <t>FUMIGACIÓN SEDES TEUSAQUILLO</t>
  </si>
  <si>
    <t>FUMIGACION Y LAVADO DE TANQUES POSIBLE</t>
  </si>
  <si>
    <t>HERRAMIENTA PARA VALIDACIÓN DE PROVEEDORES</t>
  </si>
  <si>
    <t>Solicitud de cotización envió y alistamiento de agendas</t>
  </si>
  <si>
    <t>COTIZACION ELEMENTOS PARA SST</t>
  </si>
  <si>
    <t>Cotizacion Elementos de jardinería</t>
  </si>
  <si>
    <t>Solicitud cotización bonos de obsequio</t>
  </si>
  <si>
    <t>ELEMENTOS PINTURA</t>
  </si>
  <si>
    <t>Solicitud cotización experto para taller primeros auxilios psicológicos.</t>
  </si>
  <si>
    <t>Cotizacion elementos de papeleria</t>
  </si>
  <si>
    <t>MANTENIMIENTO ASCENSOR</t>
  </si>
  <si>
    <t>Mantenimientos equipos</t>
  </si>
  <si>
    <t>CERTIFICACIÓN ASCENSOR</t>
  </si>
  <si>
    <t>MATERIALES PINTURA</t>
  </si>
  <si>
    <t>Cotización Pilas</t>
  </si>
  <si>
    <t>COTIZACIÓN CURSO EXCEL</t>
  </si>
  <si>
    <t>COTIZACIÓN CURSO ADOVE CAPTIVATE</t>
  </si>
  <si>
    <t>COTIZACIÓN ENVÍOS NACIONALES</t>
  </si>
  <si>
    <t>PINTURA DE TRAFICO</t>
  </si>
  <si>
    <t>RENOVACION VMWARE</t>
  </si>
  <si>
    <t>COTIZACIÓN CURSO CAPACITACIÓN A DOCENTES DE IDIOMAS</t>
  </si>
  <si>
    <t>Solicitud cotización para compra de materiales Escuela de Formación</t>
  </si>
  <si>
    <t>Elementos de Aseo</t>
  </si>
  <si>
    <t>Renovacion Whatsapp</t>
  </si>
  <si>
    <t>DESARROLLO DE HTML CURSOS ESPECIALIZACIÓN</t>
  </si>
  <si>
    <t>Elementos Semana de la Salud</t>
  </si>
  <si>
    <t>SEGURIDAD Y SALUD EN EL TRABAJO</t>
  </si>
  <si>
    <t>Cobija térmica nacional con bordado.</t>
  </si>
  <si>
    <t>Elementos a cotizar semana de la salud</t>
  </si>
  <si>
    <t>Elementos de Oficina</t>
  </si>
  <si>
    <t>Solicitud cotización póliza estudiantil</t>
  </si>
  <si>
    <t>RE: Cotización de Software AUDITBRAIN</t>
  </si>
  <si>
    <t>CURSO CAPACITACIÓN A DOCENTES EVALUACION DE RESULTADOS DE APRENDIZAJE</t>
  </si>
  <si>
    <t>CONFERENCIA PARA ESTUDIANTES DE PRACTICAS</t>
  </si>
  <si>
    <t>Pausas activas</t>
  </si>
  <si>
    <t>CURSO MANIPULACIÓN DE ALIMENTOS</t>
  </si>
  <si>
    <t>Cotizacion cajas</t>
  </si>
  <si>
    <t>COTIZACIÓN CAPACITACION A DOCENTES Y ESTUDIANTES DE CONTADURÍA</t>
  </si>
  <si>
    <t>Solicitud de cotización copa mestrual</t>
  </si>
  <si>
    <t>Solicitud portafolio para obsequios grados</t>
  </si>
  <si>
    <t>Solicitud de cotización higiene postural</t>
  </si>
  <si>
    <t>Cotización diplomas y actas pregrado posgrado</t>
  </si>
  <si>
    <t>DETALLE PLAN PADRINO</t>
  </si>
  <si>
    <t>Solicitud cotización Fibra optica</t>
  </si>
  <si>
    <t>SOLICITUD DE COTIZACIÓN BATERIAS PARA LA SEDE VALLE</t>
  </si>
  <si>
    <t>SOLICITUD DE COTIZACIÓN SEDE VALLE</t>
  </si>
  <si>
    <t>SOLICITUD DE COTIZACIÓN ASEO SEDE VALLE</t>
  </si>
  <si>
    <t>Solicitud cotización torneo virtual</t>
  </si>
  <si>
    <t>CONCERTINA</t>
  </si>
  <si>
    <t>Kit de semana de la salud</t>
  </si>
  <si>
    <t>Cotizacion pantalla para portatil</t>
  </si>
  <si>
    <t>Bateria Psicosocial</t>
  </si>
  <si>
    <t>Cotizacion disco duro</t>
  </si>
  <si>
    <t>SOLICITUD DE COTIZACIÓN KIT DE EMPRENDIMIENTO</t>
  </si>
  <si>
    <t>Solicitud de cotización audifonos</t>
  </si>
  <si>
    <t>COTIZACIÓN DOCUMENTOS INSTITUCIONALES</t>
  </si>
  <si>
    <t>Premios para Ganadores de Bingo</t>
  </si>
  <si>
    <t>Semana Recreativa para niños</t>
  </si>
  <si>
    <t>Juguetes para niños (Navidad)</t>
  </si>
  <si>
    <t>Cojín de aromaterapia</t>
  </si>
  <si>
    <t>TI | Cotización de Equipo para escritorios virtuales</t>
  </si>
  <si>
    <t>Propuesta renovación Laboratorio Financiero.</t>
  </si>
  <si>
    <t>Cotizacion de ingeniera forestal</t>
  </si>
  <si>
    <t>THERA TUBINBG</t>
  </si>
  <si>
    <t>Brief de investigación</t>
  </si>
  <si>
    <t>Premios Actividad de Halloween</t>
  </si>
  <si>
    <t>Cotización brochure</t>
  </si>
  <si>
    <t>cotizacion mantenimiento de pintura sedes externas</t>
  </si>
  <si>
    <t>mantenimiento mensual de planta electrica</t>
  </si>
  <si>
    <t>mantenimiento de aires acondicionados</t>
  </si>
  <si>
    <t>COTIZACIÓN SIMULACRO PRUEBAS SABER SEMESTRE II</t>
  </si>
  <si>
    <t>Sistema planta telefonica</t>
  </si>
  <si>
    <t>Cambio de Dominio nueva marca</t>
  </si>
  <si>
    <t>COMPRA DE MATERIALES</t>
  </si>
  <si>
    <t>Cotización Kit</t>
  </si>
  <si>
    <t>RECTORÍA</t>
  </si>
  <si>
    <t>COTIZACIÓN EXAMENES A DOCENTES DE IDIOMAS</t>
  </si>
  <si>
    <t>Pines para Reconocimiento Quinquenio</t>
  </si>
  <si>
    <t>Solicitud plataforma Moodle</t>
  </si>
  <si>
    <t>Celebración Eucaristía</t>
  </si>
  <si>
    <t>Compra impresora de Codigo de Barras</t>
  </si>
  <si>
    <t>Cotización empresas para creación de contenidos</t>
  </si>
  <si>
    <t>Solicitud transporte Villavicencio/Bogotá/Villavicencio</t>
  </si>
  <si>
    <t>COTIZACIÓN MATERIALES PARA SEMILLERO SEDE META</t>
  </si>
  <si>
    <t>Cotización NAS</t>
  </si>
  <si>
    <t>COTIZACIÓN EVALUADORES LIBRO DE INVESTIGACIÓN</t>
  </si>
  <si>
    <t>ENCUENTRO DE GRADUADOS 2020 Y 2do ENCUENTRO DE RECONOCIMIENTO A EGRESADOS, EMPRESARIOS Y ESTUDIANTES SEDE VALLE</t>
  </si>
  <si>
    <t>Servicio de Mensajería a Meta</t>
  </si>
  <si>
    <t>COTIZACIÓN PAGO REGISTRO DE SIGNO DISTINTIVO - INVESTIGACIÓN</t>
  </si>
  <si>
    <t>atencion de emergencia planta electrica</t>
  </si>
  <si>
    <t>compra de contactor quemado en la sede quinbaya,</t>
  </si>
  <si>
    <t>adecuacion oficina sede kuna</t>
  </si>
  <si>
    <t>compra de tarjeta SMIC PRINCIPAL ascensor</t>
  </si>
  <si>
    <t>HP 80A NEGRO CF/280A</t>
  </si>
  <si>
    <t>SEDE META</t>
  </si>
  <si>
    <t>Solicitud cotizacion</t>
  </si>
  <si>
    <t>COTIZACIÓN PAGO INSCRIPCION PONENCIA</t>
  </si>
  <si>
    <t>cotizacion del servicio de lavado de tanques de agua de reserva</t>
  </si>
  <si>
    <t>suministro de agua potable</t>
  </si>
  <si>
    <t>COTIZACIÓN SEMANA 16 WINTER/SUMMER SCHOOL</t>
  </si>
  <si>
    <t>Cotización Mantenimiento de Sistema CCTV Alarmas y detectores de humo</t>
  </si>
  <si>
    <t>Premios por Categorías</t>
  </si>
  <si>
    <t>Obsequios Quinquenios</t>
  </si>
  <si>
    <t>COTIZACIÓN CON EMPRESAS DE CURSOS DE VIDEO LEARNING</t>
  </si>
  <si>
    <t>Solicitud Pines Quinquenios</t>
  </si>
  <si>
    <t>Torneo virtual LOL</t>
  </si>
  <si>
    <t>COTIZACION BONOS PARA ESTUDIANTES SOCIOHUMANIDADES</t>
  </si>
  <si>
    <t>Solicitud de cotización brochure</t>
  </si>
  <si>
    <t>Solicitud cotización protección de diplomas</t>
  </si>
  <si>
    <t>Cojín Aromaterapia</t>
  </si>
  <si>
    <t>cotización logística grados 2020-2</t>
  </si>
  <si>
    <t>Solicitud de cotización logística grados 2020-2</t>
  </si>
  <si>
    <t>SOLICITUD COTIZACIÓN MERSHANDISING CAMBIO DE MARCA</t>
  </si>
  <si>
    <t>Esferos Lamy con nueva marca</t>
  </si>
  <si>
    <t>PAPELERIA PROYECTO ICBF</t>
  </si>
  <si>
    <t>cotizacion de vidrios sedes unipanamericana</t>
  </si>
  <si>
    <t>Cotización Tapizado y Arreglo Puf Institucionales</t>
  </si>
  <si>
    <t>Solicitud de cotización músicos para grados 2020-2</t>
  </si>
  <si>
    <t>COTIZACIÓN RENOVACIÓN AFILIACIÓN ANUAL ASOCOPI</t>
  </si>
  <si>
    <t>Cotizacion Entrega Computadores y RapsBerry Estudiantes Meta</t>
  </si>
  <si>
    <t>Cotización Obsequios para graduados</t>
  </si>
  <si>
    <t>Solicitud de cotización estolas</t>
  </si>
  <si>
    <t>ELEMENTOS PARA LABORATORIO DE LIDERAZGO ADMINISTRACIÓN DE EMPRESAS</t>
  </si>
  <si>
    <t>Señalización</t>
  </si>
  <si>
    <t>Cotizacion elementos para trasteo</t>
  </si>
  <si>
    <t>Recarga de extintores</t>
  </si>
  <si>
    <t>Botiquines</t>
  </si>
  <si>
    <t>Miguel Angel Neira machado</t>
  </si>
  <si>
    <t>COTIZACIÓN DE FUMIGACIONES Y CONTROL DE ROEDORES MES DE NOVIEMBRE 2020</t>
  </si>
  <si>
    <t>Compra de tapabocas</t>
  </si>
  <si>
    <t>Cotización de Camiones con Ayudante desmonte Uwa</t>
  </si>
  <si>
    <t>COTIZACIÓN PAGO INSCRIPCIÓN CONFERENCIA YMCA</t>
  </si>
  <si>
    <t>Cotización depuración y actualización cálculo actuarial</t>
  </si>
  <si>
    <t>Solicitud cotización Sobres Manila</t>
  </si>
  <si>
    <t>COTIZACIÓN COMPRA DE EXAMENES A DOCENTES</t>
  </si>
  <si>
    <t>COTIZACIÓN RENOVACION AFILIACIÓN ACIET - INTERNACIONALIZACIÓN</t>
  </si>
  <si>
    <t>Cotizacion convertidores HDMI - VGA</t>
  </si>
  <si>
    <t>COTIZACIÓN MANTENIMIENTOS PREVENTIVOS MES DE OCTUBRE 2020</t>
  </si>
  <si>
    <t>cotizacion GRAMMARLY</t>
  </si>
  <si>
    <t>Solicitud cotización talleres compensar</t>
  </si>
  <si>
    <t>Solicitud cotización obsequios</t>
  </si>
  <si>
    <t>Solicitud de cotización premios show de talentos</t>
  </si>
  <si>
    <t>SOLICITUD DE COTIZACIÓN DE CERTIFICADOS PARA 2DO ENCUENTRO DE EGRESADOS SEDE VALLE</t>
  </si>
  <si>
    <t>COTIZACIÓN DIA DEL ADMINISTRADOR DE EMPRESAS</t>
  </si>
  <si>
    <t>Cotizacion Elementos de Aseo y Cafetería</t>
  </si>
  <si>
    <t>COTIZACIÓN ALFOMBRA PARA OFICINAS Y MOBILIARIO PARA OFICINAS</t>
  </si>
  <si>
    <t>MANTENIMIENTO MENSUAL ASCENSORES SEDE A (MUISCA)</t>
  </si>
  <si>
    <t>Solicitud maestro de ceremonia encuentro de graduados</t>
  </si>
  <si>
    <t>Cotización Toner</t>
  </si>
  <si>
    <t>COTIZACIÓN ARTICULOS DÍA DEL ADMINISTARDOR 4 nov</t>
  </si>
  <si>
    <t>JENNY JOHANNA MARTINEZ CRUZ</t>
  </si>
  <si>
    <t>Cotización cinta ancha</t>
  </si>
  <si>
    <t>Cotización Rasbperry Pi 3</t>
  </si>
  <si>
    <t>Elementos Jardineria</t>
  </si>
  <si>
    <t>Cotización desmonte sistema de seguridad sede Uwa</t>
  </si>
  <si>
    <t>Productos PREMIOS Día del Administrador</t>
  </si>
  <si>
    <t>COTIZACIÓN SUMINISTRO DE AGUA PARA SEDE MUISCA</t>
  </si>
  <si>
    <t>Taller de pintura</t>
  </si>
  <si>
    <t>COTIZACIÓN RECONOCIMIENTO TORNEO LOL</t>
  </si>
  <si>
    <t>COTIZACIÓN BONOS EXITO FACULTAD EDUCACIÓN</t>
  </si>
  <si>
    <t>COTIZACIÓN MOBILIARIO PARA OFICINAS</t>
  </si>
  <si>
    <t>COTIZACIÓN PARA PUBLICACION DE LIBRO DE INVESTIGACIÓN</t>
  </si>
  <si>
    <t>COTIZACIÓN PRUEBAS DICS</t>
  </si>
  <si>
    <t>COTIZACIÓN PROYECTO FERIA VIRTUAL SECOND LIFE</t>
  </si>
  <si>
    <t>COTIZACIÓN INSCRIPCION EVENTO SINGULARITY UNIVERSITY - EMPRENDIMIENTO</t>
  </si>
  <si>
    <t>COTIZACIÓN INSCRIPCIÓN EVENTO TEC DE MONTERREY</t>
  </si>
  <si>
    <t>Cotización de primeros auxilios</t>
  </si>
  <si>
    <t>Obsequios</t>
  </si>
  <si>
    <t>Solicitud cotización SIM CARD.</t>
  </si>
  <si>
    <t>COTIZACIÓN PARA PUBLICACION DE UN CAPITULO DE LIBRO DE INVESTIGACIÓN</t>
  </si>
  <si>
    <t>COTIZACIÓN BONOS EXITO VIRTUALES EDUCACIÓN INFANTIL</t>
  </si>
  <si>
    <t>Solicitud de cotización charla virtual</t>
  </si>
  <si>
    <t>Solicitud de cotización producción de video para grados</t>
  </si>
  <si>
    <t>AUTORIA DE CONTENIDOS CURSO COMPETENCIAS PARA LA TUTORIA VIRTUAL.</t>
  </si>
  <si>
    <t>Bono reconocimeinto asesoria tecnica</t>
  </si>
  <si>
    <t>Elementos de protección personal</t>
  </si>
  <si>
    <t>COTIZACIÓN MATERIAL DIDACTICO PROGRAMA LIC INGLES Y BIBLINGUISMO</t>
  </si>
  <si>
    <t>COTIZACIÓN DE MANTENIMIENTO LABORATORIO DE AEROGRAFIA</t>
  </si>
  <si>
    <t>COTIZACIÓN MANTENIMIENTO LABORATORIO DE FOTOGRAFÍA ANALOGA</t>
  </si>
  <si>
    <t>COTIZACIÓN MANTENIMIENTO RENOVACION SONIDO AUDITORIO</t>
  </si>
  <si>
    <t>COTIZACIÓN MANTENIMIENTO LABORATORIO FOTOGRAFIA DIGITAL</t>
  </si>
  <si>
    <t>Solicitud de cotización Mercadeo</t>
  </si>
  <si>
    <t>COTIZACIÓN ROTULOS PARA BIBLIOTECA</t>
  </si>
  <si>
    <t>SOLICITUD DE MATERIALES</t>
  </si>
  <si>
    <t>COTIZACIÓN MATERIAL DIDACTICO PARA LA LUDOTECA DE LA UNIVERSIDAD</t>
  </si>
  <si>
    <t>Ampliación póliza contrato Agencia de Empleo compensar</t>
  </si>
  <si>
    <t>Elementos de covid</t>
  </si>
  <si>
    <t>Rifas fin de año (Todos los colaboradores)</t>
  </si>
  <si>
    <t>Tapabocas para el kit de bioseguridad</t>
  </si>
  <si>
    <t>COTIZACIÓN RECONOCIMIENTO SEMANA INNOVACIÓN - CURRICULO</t>
  </si>
  <si>
    <t>COTIZACIÓN ADECUACION OFICINA SEDE A (MUISCA) EN EL AULA 1305</t>
  </si>
  <si>
    <t>COTIZACIÓN SELLOS PARA BIBLIOTECA</t>
  </si>
  <si>
    <t>Solicitud de cotización refrigerios meta</t>
  </si>
  <si>
    <t>Cotización hospedaje villavicencio</t>
  </si>
  <si>
    <t>COTIZACIÓN MANTENIMIENTO EQUIPOS HIDRÁULICOS</t>
  </si>
  <si>
    <t>COTIZACIÓN MANTENIMIENTO MOTOBOMBA</t>
  </si>
  <si>
    <t>COTIZACIÓN MANTENIMIENTO RED CONTRA INCENDIO</t>
  </si>
  <si>
    <t>COTIZACIÓN MANTENIMIENTOS DE CHAPAS O CERRADURAS</t>
  </si>
  <si>
    <t>Solicitud cotización POLIZA</t>
  </si>
  <si>
    <t>Solicitud de cotización uniformes torneo LOL</t>
  </si>
  <si>
    <t>Solicitud cotización premios proyecto FTI</t>
  </si>
  <si>
    <t>Consultoría para el desarrollo de matriz de medios para la creación e contenidos de cursos virtuales</t>
  </si>
  <si>
    <t>COTIZACIÓN EVALUACION DE UN LIBRO DE INVESTIGACIÓN</t>
  </si>
  <si>
    <t>COTIZACION DE EDICION E IMPRESIÓN DEL LIBRO LAS MIL Y UNAS INFANCIAS</t>
  </si>
  <si>
    <t>COTIZACIÓN IMPRESIÓN DEL LIBRO SISTEMAS LOGISTICOS</t>
  </si>
  <si>
    <t>COTIZACIÓN CELEBRACIÓN DÍA DEL PUBLICISTA</t>
  </si>
  <si>
    <t>Cotización retos de Transformaciones PostCovid-19</t>
  </si>
  <si>
    <t>COTIZACION DIVISIÓN EN VIDRIO OFICINA LIDER DE COMPRAS E INFRAESTRUCTURA</t>
  </si>
  <si>
    <t>COTIZACION MATERIALES PARA DIVISION AULA 1301</t>
  </si>
  <si>
    <t>COTIZACIÓN BONO EXITO VIRTUAL LIC EN INGLES</t>
  </si>
  <si>
    <t>COTIZACION PARA REPISAS FLOTANTES BIBLIOTECA RECTOR</t>
  </si>
  <si>
    <t>COTIZACION TABLEROS EN VIDRIO</t>
  </si>
  <si>
    <t>solicitud de cotización refrigerios</t>
  </si>
  <si>
    <t>Solicitud de cotización eucaristía virtual</t>
  </si>
  <si>
    <t>COTIZACIÓN PREMIO COMPARTIR AL MAESTRO</t>
  </si>
  <si>
    <t>COTIZACIÓN PAGO AFILIACIÓN PLATAFORMA SECOND LIFE - LINDEN LAB</t>
  </si>
  <si>
    <t>Solicitud de cotización servicio de envíos</t>
  </si>
  <si>
    <t>Bonos de Dotación</t>
  </si>
  <si>
    <t>COTIZACIÓN MATERAS PARA EL PROGRAMA DE SALUD</t>
  </si>
  <si>
    <t>COTIZACIÓN BONOS EXITO VIRTUAL EDUCACION INFANTIL</t>
  </si>
  <si>
    <t>Solicitud de cotización premios estudiantes.</t>
  </si>
  <si>
    <t>COTIZACIÓN OBSEQUIOS A ALIADOS ACOMPAÑAMIENTO ACREDITACIÓN</t>
  </si>
  <si>
    <t>COTIZACIÓN MOBILIARIO PARA LUDOTECA SEDE TEUSAQUILLO</t>
  </si>
  <si>
    <t>EVENTO PRESENCIAL CIERRE ACADEMICO PROGRAMA EDUCACIÓN INFANTIL</t>
  </si>
  <si>
    <t>Examenes medicos ejecutivos</t>
  </si>
  <si>
    <t>COTIZACIÓN BONOS LIBRERIA NACIONAL MERCADEO</t>
  </si>
  <si>
    <t>COTIZACIÓN LUDOTECA MOVIL SEDE META</t>
  </si>
  <si>
    <t>Señal ética</t>
  </si>
  <si>
    <t>COTIZACIÓN OBSEQUIOS A EMPRESARIOS - PRÁCTICAS</t>
  </si>
  <si>
    <t>Material señalética y elementos de mercadeo para sede Meta</t>
  </si>
  <si>
    <t>COTIZACIÓN BONOS EXITO CONFERENCISTAS</t>
  </si>
  <si>
    <t>COTIZACIÓN BONOS EXITO PONENTE WINTER SCHOOL</t>
  </si>
  <si>
    <t>COTIZACIÓN TARJETAS NETFLIX DIA ADMINISTRADOR</t>
  </si>
  <si>
    <t>Cotizacion Anchetas Navideñas</t>
  </si>
  <si>
    <t>COTIZACIÓN BONOS PROGRAMA COMUNICACIÓN SOCIAL</t>
  </si>
  <si>
    <t>Cotización Tarjetas NetFlix para obsequios pendiente para estudiantes del Día del Administrador</t>
  </si>
  <si>
    <t>EVALUACIÓN DEL LIBRO ADMINISTRACIÓN DE EMPRESAS - INVESTIGACIÓN</t>
  </si>
  <si>
    <t>Cotización memorias RAM</t>
  </si>
  <si>
    <t>Señaletica</t>
  </si>
  <si>
    <t>COTIZACIÓN BONOS SEMANA INNOVACION SOCIOHUMANIDADES</t>
  </si>
  <si>
    <t>Cotización servicio de transporte</t>
  </si>
  <si>
    <t>Solicitud de cotización maestro de ceremonia.</t>
  </si>
  <si>
    <t>Compra elementos tecnologia</t>
  </si>
  <si>
    <t>Compra diademas</t>
  </si>
  <si>
    <t>Alquiler de andamio tubular</t>
  </si>
  <si>
    <t>Solicitud cotización papel de seguridad EFETP</t>
  </si>
  <si>
    <t>PROGRAMA ETA FULBRIGHT 2020 - 2021</t>
  </si>
  <si>
    <t>Solicitud cotización transporte donaciones</t>
  </si>
  <si>
    <t>Cambio de IPS</t>
  </si>
  <si>
    <t>Cotización Kit de Regreso a la U</t>
  </si>
  <si>
    <t>AFILIACIÓN ANUAL ASOCIACIÓN COLOMBIANA DE FACULTADES DE CONTADURÍA.</t>
  </si>
  <si>
    <t>COTIZACIÓN PAGO INSCRIPCIÓN ESTUDIANTES PONENTES REDCOLSI</t>
  </si>
  <si>
    <t>COTIZACIÓN MOBILIARIO CENTRO DE EXPERIENCIA</t>
  </si>
  <si>
    <t>COTIZACIÓN MEDIDOR LÁSER BOSCH DLE 40</t>
  </si>
  <si>
    <t>COTIZACIÓN ARREGLO ZONA DE LOCKERS</t>
  </si>
  <si>
    <t>Adecuación y mantenimiento culata zona lockers-sede A</t>
  </si>
  <si>
    <t>Solicitud servicio de mensajería</t>
  </si>
  <si>
    <t>Solicitud de cotización escenario virtual para inducción 2021-1</t>
  </si>
  <si>
    <t>Solicitud de cotización maestro de ceremonia inducción 2021-1|</t>
  </si>
  <si>
    <t>Solicitud de cotización alquiler escenario virtual.</t>
  </si>
  <si>
    <t>Cotización Sopladora Para Jardinería</t>
  </si>
  <si>
    <t>Solicitud de cotización conferencia para docentes</t>
  </si>
  <si>
    <t>Cotización de agendas para inducción estudiantes 2021-1</t>
  </si>
  <si>
    <t>Confirmación y renovación contrato emermedica</t>
  </si>
  <si>
    <t>COTIZACIÓN OBSEQUIOS CONFERENCISTAS</t>
  </si>
  <si>
    <t>COTIZACIÓN PAGO AFILIACIÓN ASCOLFA ADMINISTRACIÓN DE EMPRESAS</t>
  </si>
  <si>
    <t>Cotización edición y producción de video</t>
  </si>
  <si>
    <t>Renovación El Emple</t>
  </si>
  <si>
    <t>Capacitación Contratación Laboral 2021</t>
  </si>
  <si>
    <t>Solicitud de cotización actividades deporte y cultura</t>
  </si>
  <si>
    <t>COTIZACIÓN PAGO AFILIACIÓN ASCUN</t>
  </si>
  <si>
    <t>Solicitud de cotización para renovar la póliza estudiantil</t>
  </si>
  <si>
    <t>Solicitud de líneas telefónicas</t>
  </si>
  <si>
    <t>COTIZACIÓN TAPETE EXTERIOR OFICINA 1305 SEDE A</t>
  </si>
  <si>
    <t>COTIZACIÓN COMPRA DE MOBILIARIO CENTRO DE EXPERIENCIA</t>
  </si>
  <si>
    <t>verificación de proveedor ICONTEC</t>
  </si>
  <si>
    <t>COTIZACIÓN DE MANTENIMIENTO DE CUBIERTA SEDE H E INTERVENCIÓN DE HUMEDADES</t>
  </si>
  <si>
    <t>COTIZACIÓN MANTENIMIENTO DE CIELO RASO Y FILTRACIONES SEDE D</t>
  </si>
  <si>
    <t>COTIZACIÓN PAGO AFILIACIÓN AFACOM</t>
  </si>
  <si>
    <t>Tarjetas de presentación</t>
  </si>
  <si>
    <t>COTIZACIÓN DIVISIONES ÁREA DE TALENTO HUMANO</t>
  </si>
  <si>
    <t>Solicitud de cotización encuentros médicos especialistas</t>
  </si>
  <si>
    <t>Cotización partes equipos portátiles</t>
  </si>
  <si>
    <t>COTIZACIÓN PAGO AFILIACIÓN ACOFI</t>
  </si>
  <si>
    <t>ACTUALIZACIÓN POOL DE PROVEEDORES GESTIÓN DE CONTENIDOS DIRECCIÓN DE EDUCACIÓN VIRTUAL</t>
  </si>
  <si>
    <t>Busos 3ra etapa</t>
  </si>
  <si>
    <t>Adquisición Póliza contrato entre ucompensar y Agencia de Empleo compensar</t>
  </si>
  <si>
    <t>Solicitud Cotización ACPM</t>
  </si>
  <si>
    <t>Refrigerios y cafés evento Dirección de Educación Virtual</t>
  </si>
  <si>
    <t>Solicitud de cotización busos.</t>
  </si>
  <si>
    <t>Solicitud de cotización obsequio</t>
  </si>
  <si>
    <t>COTIZACIÓN COMPRA DE LICENCIAS PLATAFORMA DE INGLES A ESTUDIANTES,</t>
  </si>
  <si>
    <t>programa de riesgo psicosocia - Bateria</t>
  </si>
  <si>
    <t>Solicitud Tapetes Rectoría</t>
  </si>
  <si>
    <t>Solicitud de cotización conferencia</t>
  </si>
  <si>
    <t>Conferencia Inducción Docente</t>
  </si>
  <si>
    <t>COTIZACIÓN PAGO AFILIACIÓN ASCOFADE</t>
  </si>
  <si>
    <t>Solicitud Cotización Materiales</t>
  </si>
  <si>
    <t>Cotización agua en botellon</t>
  </si>
  <si>
    <t>Cotización Viajes Carro tanques con Agua Para Sede A</t>
  </si>
  <si>
    <t>Cotización servicio área protegida</t>
  </si>
  <si>
    <t>Cotizacion equipos virtual</t>
  </si>
  <si>
    <t>Coordinador Académico para área de Innovación Educativa</t>
  </si>
  <si>
    <t>Asesor Pedagógico Creaciómn de proveedor área Innovación Educativa</t>
  </si>
  <si>
    <t>Administrador Solución E-Learning creador de proveedor área Innovación Educativa</t>
  </si>
  <si>
    <t>Proveedor Optimus, propuesta y creación de proveedor</t>
  </si>
  <si>
    <t>Solicitud de cotización desfibrilador DEA</t>
  </si>
  <si>
    <t>Creación de proveedor y cotización de elementos de papelería</t>
  </si>
  <si>
    <t>COTIZACIÓN PREMIO COMPARTIR AL MAESTRO OBSEQUIO A DOCENTE</t>
  </si>
  <si>
    <t>Material Ferreteria</t>
  </si>
  <si>
    <t>plataforma / curso virtual para aprender inglés de A1 a B2.</t>
  </si>
  <si>
    <t>Cotizacion de ventanas fijas</t>
  </si>
  <si>
    <t>Cotizacion divisor de espacio en vidrio inc5mm</t>
  </si>
  <si>
    <t>COTIZACION DIVISOR DE ESPACIO EN ACRILICO 4MM</t>
  </si>
  <si>
    <t>Mantenimiento Acsensor</t>
  </si>
  <si>
    <t>Divisiones en vidrio</t>
  </si>
  <si>
    <t>PROYECTO: IMPLEMENTACION OBRA CIVIL CENTRO DE COMPUTO COMPENSAR</t>
  </si>
  <si>
    <t>Cotizacion mobiliario</t>
  </si>
  <si>
    <t>Compra Memorias RAM - Diademas</t>
  </si>
  <si>
    <t>Cotizacion Tapetes</t>
  </si>
  <si>
    <t>COTIZACIÓN SIMULACRO PRUEBAS SABER PARA ESTUDIANTES</t>
  </si>
  <si>
    <t>COTIZACIÓN EXÁMENES DE INGLES PARA ADMINISTRATIVOS</t>
  </si>
  <si>
    <t>Mobiliario Oficina</t>
  </si>
  <si>
    <t>Sello</t>
  </si>
  <si>
    <t>infraestructura</t>
  </si>
  <si>
    <t>Cotización y creación de proveedor</t>
  </si>
  <si>
    <t>MARTHA LEONOR RAMIREZ CACERES</t>
  </si>
  <si>
    <t>CRAI</t>
  </si>
  <si>
    <t>Renovacion Koha automatización de bibliotecas</t>
  </si>
  <si>
    <t>COTIZACIÓN AGENTE CULTURAL DE YMCA PARA IDIOMAS</t>
  </si>
  <si>
    <t>Asesoría Jurídica</t>
  </si>
  <si>
    <t>Cotización atrio en auditorio en madera</t>
  </si>
  <si>
    <t>Compra Equipos Alternancia</t>
  </si>
  <si>
    <t>CREACIÓN DE PROVEEDOR PARA DIPLOMADO DE FACOM</t>
  </si>
  <si>
    <t>COTIZACIÓN KIT REGRESO A LA U</t>
  </si>
  <si>
    <t>Mantenimiento equipo hidroneumatico</t>
  </si>
  <si>
    <t>SERVICIO DE ACARRERO</t>
  </si>
  <si>
    <t>Solicitud de cotización taller primeros auxilios psicologicos</t>
  </si>
  <si>
    <t>Renovación OVS - Licencia Microsoft Office</t>
  </si>
  <si>
    <t>Merchandising Rectoria buzos</t>
  </si>
  <si>
    <t>COTIZACIÓN DOTACIÓN FÍSICA</t>
  </si>
  <si>
    <t>CONVENIO PROVEEDOR REFRIGERIOS SEDES</t>
  </si>
  <si>
    <t>Cotizacion de ferreteria</t>
  </si>
  <si>
    <t>Actualización cotización deportes compensar</t>
  </si>
  <si>
    <t>Solicitud de cotización actividades.</t>
  </si>
  <si>
    <t>mantenimiento barandas y escaleras</t>
  </si>
  <si>
    <t>Adquisición líneas de celular</t>
  </si>
  <si>
    <t>señaletica de oficina del rector</t>
  </si>
  <si>
    <t>Solicitud seven</t>
  </si>
  <si>
    <t>Cotizacion elementos trasteo</t>
  </si>
  <si>
    <t>COTIZACIÓN ASISTENTE ENGLISH TEACHING ETA PROGRAMA FULLBRIGHT</t>
  </si>
  <si>
    <t>COTIZACIÓN SERVICIO DE TRADUCTOR OFICIAL DE INGLES</t>
  </si>
  <si>
    <t>COTIZACIÓN AFILIACIÓN Y CREACIÓN ACBSP (ACREDITACIÓN INTERNACIONAL)</t>
  </si>
  <si>
    <t>Cotización servicio de mensajería</t>
  </si>
  <si>
    <t>COTIZACION MANTENIMIENTO BOMBA</t>
  </si>
  <si>
    <t>Cotizacion equipos para transmisiones</t>
  </si>
  <si>
    <t>Solicitud de cotización insumos P.A.P</t>
  </si>
  <si>
    <t>Solicitud de cotización consultas virtuales.</t>
  </si>
  <si>
    <t>Solicitud_renovación de firma digital Líder ARYC</t>
  </si>
  <si>
    <t>COTIZACIÓN IMPRESIÓN, MARCO E INSTALACIÓN REGLAMENTO INTERNO</t>
  </si>
  <si>
    <t>Servicio antiplagio</t>
  </si>
  <si>
    <t>ESFERA MANTENIMIENTO SEDE BARI</t>
  </si>
  <si>
    <t>ESFERA SEDE CALIMA PISO EN PVC</t>
  </si>
  <si>
    <t>ESFERA SEDE A MANTENIMIENTO</t>
  </si>
  <si>
    <t>ESFERA CAMBIO DE CERRADURAS</t>
  </si>
  <si>
    <t>ESFERA SEDE SINU CAMBIO TEJAS Y ASEO</t>
  </si>
  <si>
    <t>ESFERA CAMBIO PIEDRA MUISCA</t>
  </si>
  <si>
    <t>ESFERA LIMPIEZA DE VIDRIOS SEDES</t>
  </si>
  <si>
    <t>ESFERA LAVADO E IMPERMEABILIZACION</t>
  </si>
  <si>
    <t>Cotización de cartuchos vapores orgánicos</t>
  </si>
  <si>
    <t>BASE DE DATOS Y SUSCRIPCION EL EMPLEO</t>
  </si>
  <si>
    <t>Compra de 20 agendas para estudiantes de primer semestre del Programa de Comunicación Social</t>
  </si>
  <si>
    <t>COTIZACION VENTILADORES</t>
  </si>
  <si>
    <t>COTIZACION PANTALLA PORTATIL</t>
  </si>
  <si>
    <t>pedido ferretería</t>
  </si>
  <si>
    <t>Desmonte de avisos</t>
  </si>
  <si>
    <t>Esfera Obra remodelación sede b calima</t>
  </si>
  <si>
    <t>cotización remodelación sede K</t>
  </si>
  <si>
    <t>Cotización Elementos de Aseo</t>
  </si>
  <si>
    <t>Obra remodelación sede b calima</t>
  </si>
  <si>
    <t>Fumigacion</t>
  </si>
  <si>
    <t>COTIZACIÓN AFILIACIÓN ASFACOP</t>
  </si>
  <si>
    <t>COTIZACIÓN OBSEQUIOS A ESTUDIANTES FACOM</t>
  </si>
  <si>
    <t>Solicitud de cotización conferencia mujer destacada.</t>
  </si>
  <si>
    <t>Material de ferretería sede H</t>
  </si>
  <si>
    <t>Material de ferretería sede A</t>
  </si>
  <si>
    <t>aviso sede M</t>
  </si>
  <si>
    <t>PACTUM TRASTEO</t>
  </si>
  <si>
    <t>Pactum obra sede k</t>
  </si>
  <si>
    <t>Impresión tarjetas de bienvenida</t>
  </si>
  <si>
    <t>Cotización Día de la Mujer</t>
  </si>
  <si>
    <t>Cotizacion equipos virtual 2</t>
  </si>
  <si>
    <t>Mobiliario sede i</t>
  </si>
  <si>
    <t>Solicitud de cotización impresión de carné</t>
  </si>
  <si>
    <t>Cotización Día de la Mujer opción 2</t>
  </si>
  <si>
    <t>inoffice mobiliario sede h</t>
  </si>
  <si>
    <t>Bases para portatil</t>
  </si>
  <si>
    <t>Solicitud de cotización obsequios grados 2021-1</t>
  </si>
  <si>
    <t>Solicitud de cotización atomizador para alcohol</t>
  </si>
  <si>
    <t>Cuadro de agente del mes</t>
  </si>
  <si>
    <t>Material de ferretería Sede A</t>
  </si>
  <si>
    <t>Instalación películas fachada principal Sede h</t>
  </si>
  <si>
    <t>SOLICITUD EXPERTO TEMÁTICO REDACCIÓN Y STORYTELLING</t>
  </si>
  <si>
    <t>SOLICITUD EXPERTO TEMÁTICO GESTIÓN DE PROYECTOS: SOLUCIONES EN EXCEL</t>
  </si>
  <si>
    <t>Cotizacion Elemento Para Puerta</t>
  </si>
  <si>
    <t>COTIZACIÓN CURSO DE INGLES PARA DOCENTES</t>
  </si>
  <si>
    <t>COTIZACIÓN MATERIALES PARA PROYECTO DE INVESTIGACIÓN CON ESTUDIANTES</t>
  </si>
  <si>
    <t>Conexión acueducto sede a</t>
  </si>
  <si>
    <t>Muebles sede I para talento humano</t>
  </si>
  <si>
    <t>Refrigerios y almuerzos para medios</t>
  </si>
  <si>
    <t>Solicitud de compra kit de bioseguridad.</t>
  </si>
  <si>
    <t>Solicitud de cotización alistamiento agendas</t>
  </si>
  <si>
    <t>Ferretería Sedes L y A</t>
  </si>
  <si>
    <t>Compra Cables HDMI - VGA - Sonido</t>
  </si>
  <si>
    <t>Cotizacion servicio para traslados y aseo sedes</t>
  </si>
  <si>
    <t>chroma portatil</t>
  </si>
  <si>
    <t>Claves Mini HDMI - Memorias SD</t>
  </si>
  <si>
    <t>Reparación ascensor urg</t>
  </si>
  <si>
    <t>Retiro de escombros sede tairona</t>
  </si>
  <si>
    <t>Tableros Decanos</t>
  </si>
  <si>
    <t>Solicitud de cotización mujer destacada</t>
  </si>
  <si>
    <t>Solicitud de cotización obsequios para grados</t>
  </si>
  <si>
    <t>Cotizacion Servicio Desodorización</t>
  </si>
  <si>
    <t>COTIZACIÓN DISEÑADORA SEMANA DE INNOVACION</t>
  </si>
  <si>
    <t>solicitud material Ferretería</t>
  </si>
  <si>
    <t>COTIZACIÓN EXÁMENES DE INGLES PARA ESTUDIANTES EDU. INFANTIL</t>
  </si>
  <si>
    <t>Remodelación sede B Nueva cotizacion</t>
  </si>
  <si>
    <t>EQUIPOS VIRTUAL COTIZACION 2</t>
  </si>
  <si>
    <t>Misa marzo 2021</t>
  </si>
  <si>
    <t>Reforzamiento estructural Sede K</t>
  </si>
  <si>
    <t>Pasadía Recreativo</t>
  </si>
  <si>
    <t>LICENCIAMIENTO COMPLETO ADOBE</t>
  </si>
  <si>
    <t>Solicitud de cotización charla.</t>
  </si>
  <si>
    <t>Solicitud de cotización talleres</t>
  </si>
  <si>
    <t>COTIZACIÓN BRUNCH DELEGACIÓN INTERNACIONAL</t>
  </si>
  <si>
    <t>Solicitud de cotización escenario grados 2021-1</t>
  </si>
  <si>
    <t>Solicitud de cotización bolsas de seguridad</t>
  </si>
  <si>
    <t>Cobija térmica nacional.</t>
  </si>
  <si>
    <t>Tapabocas reutilizables</t>
  </si>
  <si>
    <t>Cotización juez parada de ping pong</t>
  </si>
  <si>
    <t>COTIZACIÓN MEMBRESIA UN AÑO CENTRO COLOMBO AMERICANO</t>
  </si>
  <si>
    <t>Papelería Faltante</t>
  </si>
  <si>
    <t>COTIZACIÓN REFRIGERIO BIENVENIDA ESTUDIANTES FACULTAD DE EDUCACIÓN</t>
  </si>
  <si>
    <t>Compra de refrigerios y almuerzos</t>
  </si>
  <si>
    <t>Cotización producción diplomas y actas de seguridad pregrado posgrado</t>
  </si>
  <si>
    <t>Ambientación pic-nic</t>
  </si>
  <si>
    <t>Solicitud de cotización insumos para glucometría.</t>
  </si>
  <si>
    <t>COTIZACIÓN TALLER SOCIOEMOCIONAL A DOCENTES DE FAEDU</t>
  </si>
  <si>
    <t>SEDE A - VIMECO - PERFORACION VENTANAS</t>
  </si>
  <si>
    <t>bombillos del café de paso sede A</t>
  </si>
  <si>
    <t>SEDE C - VIMECO - PERSIANA</t>
  </si>
  <si>
    <t>Sede H – ventana con persiana-vimeco</t>
  </si>
  <si>
    <t>MANTENIMIENTO CAMARA LOGITECH CC3000</t>
  </si>
  <si>
    <t>Solicitud Cotización Software Articulate 360</t>
  </si>
  <si>
    <t>COTIZACIÓN BONO EXITO VIRTUAL FACULTAD EDUCACIÓN</t>
  </si>
  <si>
    <t>Solicitud de cotización MUG-Tazas</t>
  </si>
  <si>
    <t>Rumboterapia</t>
  </si>
  <si>
    <t>Cotización tablas para microondas</t>
  </si>
  <si>
    <t>Cotización verificación de documentación docente</t>
  </si>
  <si>
    <t>Artículos de papelería adicional</t>
  </si>
  <si>
    <t>VARILLAS SEDE A</t>
  </si>
  <si>
    <t>COTIZACIÓN CARPETAS Y HOJAS MEMBRETEADAS</t>
  </si>
  <si>
    <t>COTIZACION TAPICERIA PUFF</t>
  </si>
  <si>
    <t>Licenciamiento articulate</t>
  </si>
  <si>
    <t>SEDE H - VIMECO - PUERTA ACCESO VIDRIO TEMPLADO</t>
  </si>
  <si>
    <t>SEDE A - DECOFLOOR - INSTALACION Y SUMINISTRO ALFOMBRA CON GUARDAESCOBAS</t>
  </si>
  <si>
    <t>SEDE G - VIMECO - SUMINISTRO E INSTLACION DE PUERTA DOBLE PARA MOSTRADOR LIBROS</t>
  </si>
  <si>
    <t>Creación de proveedor Asocajas</t>
  </si>
  <si>
    <t>SEDE C - VIMECO - PUERTA CORREDIZA EN VIDRIO</t>
  </si>
  <si>
    <t>Bonos dotación calzado</t>
  </si>
  <si>
    <t>REFRIGERIOS</t>
  </si>
  <si>
    <t>Solicitud de cotización- articulos publicitarios sede valle</t>
  </si>
  <si>
    <t>Papelería primer trimestre ARC</t>
  </si>
  <si>
    <t>Cotizacion Recoleccion Desechos</t>
  </si>
  <si>
    <t>COTIZACIÓN EVALUADORES LIBRO COMUNIDADES FACOM</t>
  </si>
  <si>
    <t>SEDE J - MANTENIMIENTO CANAL</t>
  </si>
  <si>
    <t>Cambio de aviso de fachada externa</t>
  </si>
  <si>
    <t>En espera</t>
  </si>
  <si>
    <t>Kit VIP Rectoria INKANTA</t>
  </si>
  <si>
    <t>Camara y audifono para presentaciones del Sr Rector</t>
  </si>
  <si>
    <t>Pendones solo lona sin soporte</t>
  </si>
  <si>
    <t>Mantenimiento de Cámara y Flash Canon</t>
  </si>
  <si>
    <t>COTIZACIÓN COMPRA DE LICENCIAS PLATAFORMA DE INGLES A ESTUDIANTES</t>
  </si>
  <si>
    <t>COTIZACIÓN INSCRIPCION EVENTO SIMULATION + SYMPOSUM YMCA</t>
  </si>
  <si>
    <t>Refrigerios día del hombre</t>
  </si>
  <si>
    <t>Solicitud cotización clases</t>
  </si>
  <si>
    <t>Tarjeta de la cobijas</t>
  </si>
  <si>
    <t>COTIZACIÓN INSCRIPCION EVENTO CONGRESO INTERNACIONAL DE ESTRATEGIA ADM EMPRESAS</t>
  </si>
  <si>
    <t>COTIZACION-MATERIAL FERRTERIA -SEDE B</t>
  </si>
  <si>
    <t>COTIZACION CONJUTO INPERMEABLE</t>
  </si>
  <si>
    <t>Solicitud de cotización cafetería</t>
  </si>
  <si>
    <t>Solicitud de cotización torneo de bolos</t>
  </si>
  <si>
    <t>Solicitud de cotización buzos</t>
  </si>
  <si>
    <t>COTIZACIÓN CURSO CAPACITACIÓN A DOCENTES LIC EDUCACIÓN Y PEDAGOGIA INFANTIL</t>
  </si>
  <si>
    <t>Tintas epson 544</t>
  </si>
  <si>
    <t>COTIZACION MANIJAS SEDE B</t>
  </si>
  <si>
    <t>COTIZACION OVEROLES</t>
  </si>
  <si>
    <t>Cotización inscripción ACRIP</t>
  </si>
  <si>
    <t>SEDE L - ESFERA - OBRAS EXTERIORES DE SIFON</t>
  </si>
  <si>
    <t>Fee de Administración, soporte, personalización y custodia de diplomas de seguridad</t>
  </si>
  <si>
    <t>COTIZACION TESTER</t>
  </si>
  <si>
    <t>Cambio de Marca en torniquete</t>
  </si>
  <si>
    <t>Cotizacion Plantas</t>
  </si>
  <si>
    <t>Solicitud de cotización talleres.</t>
  </si>
  <si>
    <t>SEDE A - STEEL GLASS - REJILLAS</t>
  </si>
  <si>
    <t>Solicitud de cotización tiquetes y hospedaje</t>
  </si>
  <si>
    <t>Solicitud cotización ceremonia de grados presencial</t>
  </si>
  <si>
    <t>COTIZACIÓN INSCRIPCION EVENTO INTERNACIONAL DIGITAL SYMPOSIUM - ALTE</t>
  </si>
  <si>
    <t>Solicitud Cotización Compra Impresora Código de Barras</t>
  </si>
  <si>
    <t>Refrigerios Meta</t>
  </si>
  <si>
    <t>Bonos dotación primera entrega 2021</t>
  </si>
  <si>
    <t>COTIZACION MICROONDAS</t>
  </si>
  <si>
    <t>Cotizacion servicio fumigacion y lavado de tanques</t>
  </si>
  <si>
    <t>Cotización Refrigerio Taller HOPE Administración de Empresas</t>
  </si>
  <si>
    <t>Solicitud de cotización clase de joropo</t>
  </si>
  <si>
    <t>Solicitud de cotización juzgamiento torneo tenis de mesa.</t>
  </si>
  <si>
    <t>Tiquetes y viáticos líder TH sede Meta</t>
  </si>
  <si>
    <t>SEDE I - INOFFICE - MANTENIMIENTO DE SILLAS</t>
  </si>
  <si>
    <t>Asesoría Covid-19</t>
  </si>
  <si>
    <t>COTIZACIÓN REFRIGERIOS TALLER HOPE ADM DE EMPRESAS</t>
  </si>
  <si>
    <t>Cotización de gressa</t>
  </si>
  <si>
    <t>Prueba PCR covid-19</t>
  </si>
  <si>
    <t>COTIZACION ASESOR REFORZAMIENTO ESTRUCTURAL</t>
  </si>
  <si>
    <t>COTIZACION PUNTO DE ANCLAJE</t>
  </si>
  <si>
    <t>COTIZACIÓN MATERIALES PARA PROYECTO DE INVESTIGACIÓN CON ESTUDIANTES DE TELECO</t>
  </si>
  <si>
    <t>Cotización transporte de activos Cali Bogotá</t>
  </si>
  <si>
    <t>COTIZACION DE FERRETERIA</t>
  </si>
  <si>
    <t>Cotización Prueba Microbiológica del Agua</t>
  </si>
  <si>
    <t>Cotizacion cuchilla limpiavidrios</t>
  </si>
  <si>
    <t>Cotizacion recalzada Porta pad</t>
  </si>
  <si>
    <t>Cotización compra elementos para maquina rotatoria</t>
  </si>
  <si>
    <t>COTIZACION ANCLAJES</t>
  </si>
  <si>
    <t>Cotización con ferreterías vigentes</t>
  </si>
  <si>
    <t>COTIZACIÓN BONOS EXITO VIRTUAL FACULTAD EDUCACIÓN</t>
  </si>
  <si>
    <t>Cotizacion maquina limpiadora de vidrios</t>
  </si>
  <si>
    <t>Cotizacion carpeta para archivo</t>
  </si>
  <si>
    <t>RE: [GLPI #0014961] Cierre del caso Solicitud de cotización- articulos publicitarios sede valle</t>
  </si>
  <si>
    <t>SEDE G - BARANDA - VIMECO</t>
  </si>
  <si>
    <t>Atril inoffice</t>
  </si>
  <si>
    <t>Mantenimiento sillas-Sede I-inoffice</t>
  </si>
  <si>
    <t>Mueble Aerografia-inoffice</t>
  </si>
  <si>
    <t>Compra de portátiles</t>
  </si>
  <si>
    <t>Peliculas vimeco</t>
  </si>
  <si>
    <t>Re tapizado sillas-rector-inoffice</t>
  </si>
  <si>
    <t>Mueble impresora-inoffice</t>
  </si>
  <si>
    <t>Repisas -inoffice</t>
  </si>
  <si>
    <t>Compra de work Station</t>
  </si>
  <si>
    <t>JUEZ TORNEO DE PING-PONG</t>
  </si>
  <si>
    <t>Comparsa</t>
  </si>
  <si>
    <t>Obsequios día de la madre / día del padre</t>
  </si>
  <si>
    <t>Kit trufas</t>
  </si>
  <si>
    <t>Auditorio cena día del docente</t>
  </si>
  <si>
    <t>Auditorio cena día del docente sedes Meta</t>
  </si>
  <si>
    <t>Auditorio cena día del docente sedes Valle</t>
  </si>
  <si>
    <t>Souvenir día del docente</t>
  </si>
  <si>
    <t>Cotización reconocimientos</t>
  </si>
  <si>
    <t>Bonos agrocampo</t>
  </si>
  <si>
    <t>Carpetas de grado pregrado posgrado</t>
  </si>
  <si>
    <t>Producción de videos para grados</t>
  </si>
  <si>
    <t>Protección diplomas de grado</t>
  </si>
  <si>
    <t>Instalación-Tapete-Decofloor</t>
  </si>
  <si>
    <t>CONTROL DE ACCESO</t>
  </si>
  <si>
    <t>COTIZACIÓN PROPUESTA EN PLATAFORMA SECOND LIFE ''CONGRESO DE CONTADURIA''</t>
  </si>
  <si>
    <t>Impresión de los mapas de evacuación</t>
  </si>
  <si>
    <t>cotización sello seco para diplomas</t>
  </si>
  <si>
    <t>COTIZACIÓN BONO EXITO VIRTUAL LIC EN EDUCACIÓN INFANTIL</t>
  </si>
  <si>
    <t>Proyecto Consultoría en Seguridad y Privacidad de la Información</t>
  </si>
  <si>
    <t>Solicitud Cotización Extensiones</t>
  </si>
  <si>
    <t>Cotizacion Desmonte Sistema de Alarma</t>
  </si>
  <si>
    <t>COTIZACIÓN GASTOS DE VIAJE REUNION ANUAL AFILIACIÓN ACBSP</t>
  </si>
  <si>
    <t>Compa de bases para pantalla</t>
  </si>
  <si>
    <t>Kit de bioseguridad covid-19</t>
  </si>
  <si>
    <t>COTIZACIÓN BONOS LIBRERIA NACIONAL DEPARTAMENTO TRANSVERSALES</t>
  </si>
  <si>
    <t>Asesoría pedagógica - creación de cinco cursos autogestionados</t>
  </si>
  <si>
    <t>COTIZACIÓN TIQUETES, AOJAMIENTO Y ALIMENTACIÓN</t>
  </si>
  <si>
    <t>Mantenimiento sillas-Sede J</t>
  </si>
  <si>
    <t>VENTANA CUARTO ELECTRICO</t>
  </si>
  <si>
    <t>Compra Cámaras</t>
  </si>
  <si>
    <t>Desfibrilador</t>
  </si>
  <si>
    <t>Caja de luz En Grabación portatil</t>
  </si>
  <si>
    <t>Cotización Dispensadores de Jabones</t>
  </si>
  <si>
    <t>Cotizacion Elementos de aseo</t>
  </si>
  <si>
    <t>Solicitud de cotización de sticker</t>
  </si>
  <si>
    <t>COTIZACION VENTANAS</t>
  </si>
  <si>
    <t>mantenimiento equipo red contra incendios trimestral.</t>
  </si>
  <si>
    <t>COTIZACIÓN MATERIALES PIC SOCIOHUMANIDADES Y CIENCIAS BASICAS</t>
  </si>
  <si>
    <t>COTIZACIÓN BONOS LIBRERIA NACIONAL INTERNACIONALIZACIÓN</t>
  </si>
  <si>
    <t>Cotización de ferretería</t>
  </si>
  <si>
    <t>Vidrios sede B</t>
  </si>
  <si>
    <t>Ventanas sede H</t>
  </si>
  <si>
    <t>ventana cafe de paso</t>
  </si>
  <si>
    <t>ventana bienestar sede E</t>
  </si>
  <si>
    <t>Vidrios sede L</t>
  </si>
  <si>
    <t>Estudio de seguridad</t>
  </si>
  <si>
    <t>MOBILIARIO SEDE J 1PISO</t>
  </si>
  <si>
    <t>Integración planta telefónica con TEAMS</t>
  </si>
  <si>
    <t>COTIZACION INSCRIPCION RETO EMPRESARIAL UNIVERSIDAD ICESI</t>
  </si>
  <si>
    <t>COTIZACIÓN INSCRIPCION EVENTO WORKSHOP DE FLEXSIM</t>
  </si>
  <si>
    <t>Inspección de equipos de alturas</t>
  </si>
  <si>
    <t>Solicitud de mantenimiento y compra</t>
  </si>
  <si>
    <t>cotizacion ferreteria imperio</t>
  </si>
  <si>
    <t>Solicitud de cotización tiquetes</t>
  </si>
  <si>
    <t>Compra Elementos Tecnológicos</t>
  </si>
  <si>
    <t>señaletica de Meta</t>
  </si>
  <si>
    <t>Repuestos Red contraincendios</t>
  </si>
  <si>
    <t>Solicitud de cotización alquiler de atril y compra de arreglos florales.</t>
  </si>
  <si>
    <t>COTIZACIÓN INSCRIPCION EVENTO CIENTIFICO ALIANZA DE INVESTIGADORES</t>
  </si>
  <si>
    <t>COTIZACIÓN BONOS LIBRERIA NACIONAL DIA DEL MERCADÓLOGO</t>
  </si>
  <si>
    <t>COTIZACIÓN TALLERES DE COMUNICACIÓN - LIDERAZGO Y EMPODERAMIENTO ESTUDIANTES BILINGÜISMO</t>
  </si>
  <si>
    <t>Tablet HUAWEI 8'' Matepad T8 - Tablet LENOVO 8'' Pulgadas M8 2gen LTE</t>
  </si>
  <si>
    <t>Jhonatan Fabian Suarez Ardila</t>
  </si>
  <si>
    <t>Cotizacion Estructural</t>
  </si>
  <si>
    <t>Solicitud de cotización refrigerios</t>
  </si>
  <si>
    <t>MEMORIAS RAM SERVIDORES CISCO</t>
  </si>
  <si>
    <t>COTIZACIÓN BONOS CREPES AND WAFFLES COMUNICACIÓN SOCIAL</t>
  </si>
  <si>
    <t>Solicito de cotización convenio</t>
  </si>
  <si>
    <t>Cotizacion Ferreteria Rollo</t>
  </si>
  <si>
    <t>Mantenimiento Radios</t>
  </si>
  <si>
    <t>Solicitud de cotización torneo de ajedrez</t>
  </si>
  <si>
    <t>Cotización envío de correspondencia</t>
  </si>
  <si>
    <t>COTIZACIÓN EXÁMENES DE INGLES PARA DOCENTES DE IDIOMAS</t>
  </si>
  <si>
    <t>Solicitud de cotización sticker</t>
  </si>
  <si>
    <t>Solicitud de cotización consultorio de empleabilidad</t>
  </si>
  <si>
    <t>Solicitud cotización taller de ingles</t>
  </si>
  <si>
    <t>Cotizacion Elementos Para Actividad</t>
  </si>
  <si>
    <t>Solicitud de cotización pedestal de flores</t>
  </si>
  <si>
    <t>Cotizacion Botellitas de Agua</t>
  </si>
  <si>
    <t>CONTRATACIÓN ASESOR PEDAGÓGICO</t>
  </si>
  <si>
    <t>Cotizacion Bombas</t>
  </si>
  <si>
    <t>Cotizacion Alquiler Carpa Velaton</t>
  </si>
  <si>
    <t>COTIZACIÓN OBSEQUIOS A CONFERENCISTAS</t>
  </si>
  <si>
    <t>Solicitud de cotización edición videos grados 2021-1</t>
  </si>
  <si>
    <t>REPUESTO AIRE ACONDICIONADO</t>
  </si>
  <si>
    <t>Solicitud cotización flores evento-daniel alejandro</t>
  </si>
  <si>
    <t>COTIZACIÓN INSCRIPCIÓN EVENTO Y AFILIACIÓN ANUAL REDCOLSI</t>
  </si>
  <si>
    <t>COTIZACIÓN INSCRIPCION EVENTO PRESENCIAL MIAMI ACBPS ACREDITACION INTERNACIONAL</t>
  </si>
  <si>
    <t>Material-Sede A-Data Center</t>
  </si>
  <si>
    <t>Cotizacion Ambientador Lysol</t>
  </si>
  <si>
    <t>MATERIAL SEDE J FERRELECTRICOS</t>
  </si>
  <si>
    <t>VIDRIOS FIJOS SEDE G 3P</t>
  </si>
  <si>
    <t>Cotización Manteles y Bandera</t>
  </si>
  <si>
    <t>Capacitación Aspectos Laborales</t>
  </si>
  <si>
    <t>COTIZACIÓN BONO EXITO VIRTUAL ADMINISTRACIÓN LOGISTICA</t>
  </si>
  <si>
    <t>Experto temático para Curso autogestionable como apoyo a la estrategia de Regionalización.</t>
  </si>
  <si>
    <t>Reenchape de muebe bajo</t>
  </si>
  <si>
    <t>Capacitación e integración directivos</t>
  </si>
  <si>
    <t>Publicidad Movil</t>
  </si>
  <si>
    <t>COTIZACIÓN INSUMOS LABORATORIO CIENCIAS BASICAS BOGOTÁ Y META</t>
  </si>
  <si>
    <t>Solicitud de cotización termometros.</t>
  </si>
  <si>
    <t>Solicitud de cotización clase de baile</t>
  </si>
  <si>
    <t>Solicitud de cotización docente de teatro.</t>
  </si>
  <si>
    <t>VULNERABILIDAD Y REHABILITACIÓN ESTRUCTURAL</t>
  </si>
  <si>
    <t>COTIZACION ANCLAJES LINEA DE VIDA</t>
  </si>
  <si>
    <t>PELICULAS VIMECO</t>
  </si>
  <si>
    <t>CAPACITACION CURSOS DE INGLES</t>
  </si>
  <si>
    <t>CAPACITACION CURSOS DE INGLES BUSINESS PARTER</t>
  </si>
  <si>
    <t>Solicitud de cotización porta retrato para grados</t>
  </si>
  <si>
    <t>Solicitud de cotización recorrido virtual</t>
  </si>
  <si>
    <t>SUSCRIPCION DE VIMEO</t>
  </si>
  <si>
    <t>PISO CERAMICO-ALIANZA</t>
  </si>
  <si>
    <t>COMPRA DIADEMA LOGITECH USB H390</t>
  </si>
  <si>
    <t>RETIRO ESCOMBROS</t>
  </si>
  <si>
    <t>Cotización planos</t>
  </si>
  <si>
    <t>Mantenimiento del DEA</t>
  </si>
  <si>
    <t>Diagramación y correción de estilo</t>
  </si>
  <si>
    <t>Cotización tecnológica de campaña</t>
  </si>
  <si>
    <t>Cotización servicio de diseño y asesoria</t>
  </si>
  <si>
    <t>DIADEMAS</t>
  </si>
  <si>
    <t>Ferretería Rodaja Alianza</t>
  </si>
  <si>
    <t>Rectoría: Comité de Asesoría Empresarial</t>
  </si>
  <si>
    <t>Solicitud de cotización maestro de ceremonia grado postumo.</t>
  </si>
  <si>
    <t>outsourcing de obra civil y staff</t>
  </si>
  <si>
    <t>Solicitud utiles y papeleria</t>
  </si>
  <si>
    <t>CONEXION TPO</t>
  </si>
  <si>
    <t>PELICULAS INGRESO</t>
  </si>
  <si>
    <t>Cotización Proyecto ACDI/VOCA</t>
  </si>
  <si>
    <t>Galletas o chocolates para nueva pagina web</t>
  </si>
  <si>
    <t>Cotización Bolsas</t>
  </si>
  <si>
    <t>Solicitud Cotización Ventilación</t>
  </si>
  <si>
    <t>Adjunto archivo para cotización de papelería</t>
  </si>
  <si>
    <t>Elementos de botiquin</t>
  </si>
  <si>
    <t>Cotización Rótulos</t>
  </si>
  <si>
    <t>Solicitud de cotización producción de estolas</t>
  </si>
  <si>
    <t>COTIZACION DE FERRETERIA PARA SEDE J 2</t>
  </si>
  <si>
    <t>Cotizacion Termohigrómetro</t>
  </si>
  <si>
    <t>COTIZACIÓN SUSCRIPCIÓN ANUAL CROSSREF DE METABIBLIOTECA - AREA INVESTIGACIÓN</t>
  </si>
  <si>
    <t>COTIZACIÓN AFLIACIÓN MEMBRESIA INCP</t>
  </si>
  <si>
    <t>Solicitud de cotización fotografía instantánea</t>
  </si>
  <si>
    <t>Solicitud de cotización servicios médicos</t>
  </si>
  <si>
    <t>Cotización Pets at work UCompensar</t>
  </si>
  <si>
    <t>Solicitud de cotización mantenimiento de equipos P.A.P</t>
  </si>
  <si>
    <t>Cotizacion Paquete Servicios Suba</t>
  </si>
  <si>
    <t>Solicitud fotos instantáneas para meta y valle</t>
  </si>
  <si>
    <t>Exámenes medicos ejecutivos</t>
  </si>
  <si>
    <t>COTIZACIÓN ARTÍCULOS DE MERCHANDISING</t>
  </si>
  <si>
    <t>Cotización Bolsillos en Acrilico</t>
  </si>
  <si>
    <t>Viaje TI Villavicencio</t>
  </si>
  <si>
    <t>Cuadro Rector</t>
  </si>
  <si>
    <t>Cotización Empresa Decoración Navideña</t>
  </si>
  <si>
    <t>COTIZACIÓN EXÁMENES DE INGLES PARA DOCENTES DE IDIOMAS}</t>
  </si>
  <si>
    <t>Cotización Fumigación Archivo y Libros</t>
  </si>
  <si>
    <t>COTIZACIÓN BONO EXITO FISICO OBSEQUIO ESTUDIANTES ADM EMPRESAS</t>
  </si>
  <si>
    <t>Retiro de escombros</t>
  </si>
  <si>
    <t>Actividades adicionales Esfera</t>
  </si>
  <si>
    <t>Ventanas 2piso Sede J</t>
  </si>
  <si>
    <t>Cotizar Proveedor Ferretero</t>
  </si>
  <si>
    <t>Solicitud Servicios de asesoría jurídica</t>
  </si>
  <si>
    <t>parche pediatricos</t>
  </si>
  <si>
    <t>Cotización Camión Acarreo</t>
  </si>
  <si>
    <t>COTIZACIÓN BONOS LIBRERIA NACIONAL Y BONOS ÉXITO FACIEM</t>
  </si>
  <si>
    <t>COTIZACIÓN SERVICIO CELULAR PARA DOCENTES</t>
  </si>
  <si>
    <t>COTIZACINÓ PROYECTO MODELO PEDAGOGICO</t>
  </si>
  <si>
    <t>Solicitud de cotización servicio de toma de fotos.</t>
  </si>
  <si>
    <t>Cambio Batería Ascensor</t>
  </si>
  <si>
    <t>Cotización Inmobiliarias</t>
  </si>
  <si>
    <t>Cotización Planes de Voz</t>
  </si>
  <si>
    <t>Cotización Coach Comunicación Asertiva</t>
  </si>
  <si>
    <t>Solicitud de cotización agendas inducción 2021-2</t>
  </si>
  <si>
    <t>Solicitud cotización refrigerios.</t>
  </si>
  <si>
    <t>Legalización asesoría jurídicas</t>
  </si>
  <si>
    <t>Apertura Cerradura Caja Fuerte</t>
  </si>
  <si>
    <t>Stand Expoestudiante</t>
  </si>
  <si>
    <t>PROVEEDORES INTERESADOS EN COMPRA DE MIUEBLES</t>
  </si>
  <si>
    <t>Cotizacion Elementos de Aseo</t>
  </si>
  <si>
    <t>Solicitud Camion</t>
  </si>
  <si>
    <t>Solicitud de cotización calibración manómetros</t>
  </si>
  <si>
    <t>COTIZACIÓN MATERIALES SEMILLERO DE INVESTIGACIÓN META</t>
  </si>
  <si>
    <t>Solicitud de cotización torneo virtual</t>
  </si>
  <si>
    <t>Solicitud de cotización tablet</t>
  </si>
  <si>
    <t>REFRIGERIOS VISITA SECRETARIA DE EDUCACIÓN</t>
  </si>
  <si>
    <t>Talleres Excel</t>
  </si>
  <si>
    <t>COTIZACIÓN TIQUETES MONTES DE MARIA</t>
  </si>
  <si>
    <t>Solicitud de cotización refrigerios.</t>
  </si>
  <si>
    <t>Solicitud de cotización maestra de ceremonia</t>
  </si>
  <si>
    <t>Cotizacion Elementos Bioseguridad</t>
  </si>
  <si>
    <t>Curso de re entrenamiento de alturas</t>
  </si>
  <si>
    <t>Cotizacion Guantes Nitrilo</t>
  </si>
  <si>
    <t>Cotizacion Elementos Biosegurida Meta</t>
  </si>
  <si>
    <t>Retiro y disposición de Escombros - Incluye cargue de escombros (residuos de obra) - 3m3 de escombros los cuales están localizados en el Bloque K, Carrera 17 con Calle 32A, Localidad de Teusaquillo</t>
  </si>
  <si>
    <t>Compra de materiales (Imprevistos)- Tapete bloque K segundo piso, Pirlan dorado 3.5 cms para bloque A, Brochas de 3'', Galones Boxer 5 Lts y Metros de tapete s/muestra</t>
  </si>
  <si>
    <t>TAPETE 1304</t>
  </si>
  <si>
    <t>CONSULTORÍA RENOVACIÓN TECNOLÓGICA</t>
  </si>
  <si>
    <t>Software para control interno</t>
  </si>
  <si>
    <t>material mmto fse 1</t>
  </si>
  <si>
    <t>Cotización Pet at Work</t>
  </si>
  <si>
    <t>Bienvenida docente 2021-2</t>
  </si>
  <si>
    <t>Cotizacion Elementos Jardineria</t>
  </si>
  <si>
    <t>EVENTO COMPENSAR</t>
  </si>
  <si>
    <t>COTIZACIÓN EXÁMENES DE INGLES PARA ESTUDIANTES DE I Y VIII SEMESTRE</t>
  </si>
  <si>
    <t>COTIZACIÓN EXÁMENES DE INGLES PARA ESTUDIANTES DE IV, V Y VI SEMESTRE</t>
  </si>
  <si>
    <t>Legalización asesorías jurídicas</t>
  </si>
  <si>
    <t>Cotizacion Metros Costura</t>
  </si>
  <si>
    <t>Solicitud de cotización conversatorio</t>
  </si>
  <si>
    <t>Cotización Material POP DD &amp;amp; RE</t>
  </si>
  <si>
    <t>Cotizacion Aceite Mineral</t>
  </si>
  <si>
    <t>Cotización arreglos florales / Ancheta de frutas</t>
  </si>
  <si>
    <t>Solicitud de cotización elementos de bioseguridad</t>
  </si>
  <si>
    <t>Solicitud cotización conferencista</t>
  </si>
  <si>
    <t>division sede j</t>
  </si>
  <si>
    <t>Puertas y Peliculas Sede J</t>
  </si>
  <si>
    <t>Cotizacion Hornos Microondas</t>
  </si>
  <si>
    <t>Cotizacion Bolsa Papelera</t>
  </si>
  <si>
    <t>Tiquetes y hospedaje Gestor SST sede Meta</t>
  </si>
  <si>
    <t>MATERIAL IMPREVISTO</t>
  </si>
  <si>
    <t>REGISTROS CALIFICADOS</t>
  </si>
  <si>
    <t>Asesoría nutricional</t>
  </si>
  <si>
    <t>COTIZACIÓN BATERIAS INSUMO LABORATORIO FISICA</t>
  </si>
  <si>
    <t>Solicitud compra de tableros en vidrio</t>
  </si>
  <si>
    <t>Natali Lorena Acuña Suavita</t>
  </si>
  <si>
    <t>Cotización souvenir</t>
  </si>
  <si>
    <t>Solicitud compra de 2 escritorios y 1 pantalla en acrilico</t>
  </si>
  <si>
    <t>Elaboración documento maestro para programa Sociología Virtual</t>
  </si>
  <si>
    <t>Elaboración documento maestro para programa Especialización en Gestión de Experiencia de Servicio al Cliente virtual</t>
  </si>
  <si>
    <t>Cotizacion Portatil</t>
  </si>
  <si>
    <t>Obsequios afiliados FMI</t>
  </si>
  <si>
    <t>CAJAS APILABLES</t>
  </si>
  <si>
    <t>Suministro e instalación de vidrios aula 1240 sede K</t>
  </si>
  <si>
    <t>Cotizacion Elementos Papeleria</t>
  </si>
  <si>
    <t>Suministro e instalación de vidrios aula 2503 sede L</t>
  </si>
  <si>
    <t>Suministro e instalación de vidrio fachada sede H</t>
  </si>
  <si>
    <t>Cotización para suministro e instalación de ''transferencia''</t>
  </si>
  <si>
    <t>Solicitud cotización conferencia.</t>
  </si>
  <si>
    <t>Suministro de manijas para aulas y oficinas administrativas</t>
  </si>
  <si>
    <t>Suministro de cortavidrios</t>
  </si>
  <si>
    <t>Cotización Empresas Servicios de Aseo</t>
  </si>
  <si>
    <t>Auditoría y capacitación</t>
  </si>
  <si>
    <t>LIBROS CURSOS DE INGLES BUSINESS PARTER</t>
  </si>
  <si>
    <t>Marcación agendas y embalaje</t>
  </si>
  <si>
    <t>Cotizacion Asesoria y Alquiler Decoracion Navidad</t>
  </si>
  <si>
    <t>Desarrollo de curso Desing Thinking</t>
  </si>
  <si>
    <t>Bonos dotación segunda entrega 2021</t>
  </si>
  <si>
    <t>Solicitud de cotización Sim card</t>
  </si>
  <si>
    <t>Suministro de materiales de ferretería</t>
  </si>
  <si>
    <t>Suministro e instalación de 2 ventanas tipo persiana</t>
  </si>
  <si>
    <t>Suministro ferreteria</t>
  </si>
  <si>
    <t>Suministro de señaletica</t>
  </si>
  <si>
    <t>Solicitud cotización señalética</t>
  </si>
  <si>
    <t>Solicitud de cotización mantenimiento bicicletas</t>
  </si>
  <si>
    <t>Alquiler de andamio certificado</t>
  </si>
  <si>
    <t>Suministro de dos (2) BREAKER 50A marca SCHNEIDER unipolar</t>
  </si>
  <si>
    <t>Suministro e instalación de tablero en acrílico</t>
  </si>
  <si>
    <t>CONSULTORÍA QA</t>
  </si>
  <si>
    <t>Suministro e instalación de baterias para UPS</t>
  </si>
  <si>
    <t>Cotización Empresa Asesoría y Alquiler navidad</t>
  </si>
  <si>
    <t>Cotización Manteles y Bandera Institucional</t>
  </si>
  <si>
    <t>Cotización para suministro e instalación de pelicula frost</t>
  </si>
  <si>
    <t>Solicitud de cotización elementos P.A.P</t>
  </si>
  <si>
    <t>Suministro de acrílico</t>
  </si>
  <si>
    <t>Cotización Banadera Institucional</t>
  </si>
  <si>
    <t>Servicio de Cerrajería para cambio de guardas Sede M</t>
  </si>
  <si>
    <t>Suministro e instalación de ganchos para bicicletero sede F</t>
  </si>
  <si>
    <t>Cotización Servicio Transporte</t>
  </si>
  <si>
    <t>Tarjetas FMI obsequio</t>
  </si>
  <si>
    <t>Bolsas tela FMI</t>
  </si>
  <si>
    <t>Fachada 2da MIS</t>
  </si>
  <si>
    <t>Stand Expoestudiante 2</t>
  </si>
  <si>
    <t>Suministro de elementos de ferreteria y pintura</t>
  </si>
  <si>
    <t>Solicitud de cotización Batidos saludable</t>
  </si>
  <si>
    <t>Solicitud de cotización vitrina</t>
  </si>
  <si>
    <t>Cotizacion Tramites Acueducto Sede A</t>
  </si>
  <si>
    <t>Solicitud de hotel y tiquetes Ing Jeisson Olivos Gestor de Infraestructura</t>
  </si>
  <si>
    <t>Suministro de sillas tipo gerente</t>
  </si>
  <si>
    <t>Cotización de primeros auxilios psicológicos</t>
  </si>
  <si>
    <t>Suministro de 10 bombillos y 6 reflectores LED</t>
  </si>
  <si>
    <t>Suministro de 5 tomacorrientes 110V para cruzada LEVINTON con protección</t>
  </si>
  <si>
    <t>Amor y Amistad</t>
  </si>
  <si>
    <t>Suministro de superficie de escritorio y paneles LED</t>
  </si>
  <si>
    <t>Solicitud de cotización elementos bioseguridad</t>
  </si>
  <si>
    <t>Cotizacion Transporte Elementos Meta</t>
  </si>
  <si>
    <t>Solicitud de cotización mantenimiento nevera.</t>
  </si>
  <si>
    <t>Cotizacion Papel Higuienico Directivos</t>
  </si>
  <si>
    <t>COTIZACIÓN CAPACITACIÓN A DOCENTES DE LA FACULTAD DE EDUCACIÓN</t>
  </si>
  <si>
    <t>Locutor para Micrositio</t>
  </si>
  <si>
    <t>Visita técnica fuga de agua en red contra incendio sede A</t>
  </si>
  <si>
    <t>Solicitud de cotización refrigerios sede meta</t>
  </si>
  <si>
    <t>Suministro e instalación de pesa micro tensora</t>
  </si>
  <si>
    <t>Cotización Arreglo Radios</t>
  </si>
  <si>
    <t>Cotizacion Servicio de Fumigacion</t>
  </si>
  <si>
    <t>Cotizar Filtro Orinal Seco</t>
  </si>
  <si>
    <t>Mantenimiento de escaleras sede D</t>
  </si>
  <si>
    <t>Cotización gorras para eventos de Bienestar Institucional</t>
  </si>
  <si>
    <t>Solicitud Cotización Sim- Card Proyecto ICBF</t>
  </si>
  <si>
    <t>Experto para la virtualización de contenidos - Fundamentos de Sociología Virtual</t>
  </si>
  <si>
    <t>Experto para la virtualización de contenidos - Asignatura Fundamentos de Gerencia del Servicio al Cliente</t>
  </si>
  <si>
    <t>COTIZACIÓN BRUNCH AGENTE CULTURAL ETAS</t>
  </si>
  <si>
    <t>Conferencia De la Comunicación Digital a los Negocios Digitales</t>
  </si>
  <si>
    <t>Compra Equipos</t>
  </si>
  <si>
    <t>Suministro e instalación de bicicletero</t>
  </si>
  <si>
    <t>Suministro de cinta antideslizante</t>
  </si>
  <si>
    <t>Cambio de micro prensa tensora ASCENSOR</t>
  </si>
  <si>
    <t>Suministro de rejilla sede L</t>
  </si>
  <si>
    <t>Empaquetaduras para red contra incendio</t>
  </si>
  <si>
    <t>SUMINISTRO E INSTALACIÓN DE PELICULA FROST SEDE K</t>
  </si>
  <si>
    <t>Suministro de gabinetes metálicos NEGROS</t>
  </si>
  <si>
    <t>COTIZACIÓN BONOS EXITO FISICO FACULTAD DE INGENIERIA</t>
  </si>
  <si>
    <t>COTIZACIÓN TIQUETES Y AOJAMIENTO VIAJE MADRID ESPAÑA</t>
  </si>
  <si>
    <t>COTIZACIÓN TIQUETES y ALOJAMIENTO FAEDU</t>
  </si>
  <si>
    <t>SOLICITUD REFRIGERIOS A ESTUDIANTES INGENIERIA INDUSTRIAL</t>
  </si>
  <si>
    <t>Solicitud de cotización libros</t>
  </si>
  <si>
    <t>COMPRA PARA LA SEDES BOGOTA - META INPLEMENTOS PARA LABORATORIOS</t>
  </si>
  <si>
    <t>Solicitud de cotización refrigerios-vacunación.</t>
  </si>
  <si>
    <t>Solicitud cotización clases de baile</t>
  </si>
  <si>
    <t>Suministro de materiales para Bienestar Universitario</t>
  </si>
  <si>
    <t>Cotización de Plan de 2 Sim Card Proyecto ICBF</t>
  </si>
  <si>
    <t>COTIZACIÓN VISITA EMPRESARIAL TRANSVERSALES META</t>
  </si>
  <si>
    <t>Elaboración documento maestro para programa Gerencia de Talento Humano</t>
  </si>
  <si>
    <t>COTIZACION TIQUETES Y ALOJAMIENTO CARTAGENA FACULTAD DE INGENIERIA</t>
  </si>
  <si>
    <t>Suministro de lamparas redondos 24W</t>
  </si>
  <si>
    <t>COTIZACIÓN ALQUILER ESPACIOS AREA IDIOMAS</t>
  </si>
  <si>
    <t>CONTRATO DE ALIMENTOS</t>
  </si>
  <si>
    <t>Solicitud de cotización torneo de bolos bogota.</t>
  </si>
  <si>
    <t>Torneo tenis de mesa</t>
  </si>
  <si>
    <t>Suministro e instalación de película frost PAP sede A</t>
  </si>
  <si>
    <t>Suministro e instalación puerta acceso media altura sede E</t>
  </si>
  <si>
    <t>Cajas de Archivo</t>
  </si>
  <si>
    <t>Prueba MIcrobiologica</t>
  </si>
  <si>
    <t>Solicitud de cotización musicos</t>
  </si>
  <si>
    <t>Suministro e instalación de 2 espejos para sede J</t>
  </si>
  <si>
    <t>Jueces Torneo Ping Pong</t>
  </si>
  <si>
    <t>Mobiliario teletrabajo</t>
  </si>
  <si>
    <t>Solicitud de cotización taller de primeros auxilios.</t>
  </si>
  <si>
    <t>Contratación asesores pedagógicos freelance</t>
  </si>
  <si>
    <t>COTIZACIÓN MARQUETERIA ACREDITACIÓN INTERNACIONAL</t>
  </si>
  <si>
    <t>COTIZACIÓN TIQUETES Y ALOJAMIENTO LOGISTICA</t>
  </si>
  <si>
    <t>COTIZACIÓN ALOJAMIENTO BOGOTA PRACTICANTES INTERNACIONALES</t>
  </si>
  <si>
    <t>Suministro de insumos de trabajo para mantenimiento</t>
  </si>
  <si>
    <t>Cotización de Pendón</t>
  </si>
  <si>
    <t>Solicitud de cotización auditorios</t>
  </si>
  <si>
    <t>Solicitud de cotización espejos</t>
  </si>
  <si>
    <t>COTIZACIÓN PÓLIZAS COMPENSAR</t>
  </si>
  <si>
    <t>Suministro e instalación de división en vidrio para BIENESTAR UNIVERSITARIO</t>
  </si>
  <si>
    <t>Solicitud de cotización elementos</t>
  </si>
  <si>
    <t>Cotizacion Curso manipulacion Alimentos</t>
  </si>
  <si>
    <t>COTIZACIÓN SIMULACROS PRUEBAS SABER TYT A ESTUDIANTES</t>
  </si>
  <si>
    <t>Suministro e instalación de ventana para BIENESTAR UNIVERSITARIO</t>
  </si>
  <si>
    <t>Dotación física - trajes protocolo</t>
  </si>
  <si>
    <t>Productor multimedia</t>
  </si>
  <si>
    <t>Solicitud de cotización músicos grados bogotá</t>
  </si>
  <si>
    <t>Solicitud cotización plantillas certificados educación continuada</t>
  </si>
  <si>
    <t>Solicito cotizar producción de diplomas y actas PREGRADO y POSGRADO</t>
  </si>
  <si>
    <t>CAE - Rectoría</t>
  </si>
  <si>
    <t>Solicitud de cotización tapabocas desechables color negro</t>
  </si>
  <si>
    <t>Solicito de cotización almuerzos y refrigerios grados meta</t>
  </si>
  <si>
    <t>Solicitud de cotización arreglo floral sede meta grados</t>
  </si>
  <si>
    <t>solicitud de cotización auditorio</t>
  </si>
  <si>
    <t>Sistema de repositorio de OVAS (Objetos Virtuales de Aprendizaje)</t>
  </si>
  <si>
    <t>Solicitud de cotización obsequios grados 2021-2</t>
  </si>
  <si>
    <t>Solicitud de cotización arreglo floral sede valle grados</t>
  </si>
  <si>
    <t>Solicitud de arreglo floral para grados bogota</t>
  </si>
  <si>
    <t>Solicitud de cotización asistencia logística grados valle</t>
  </si>
  <si>
    <t>Tiquetes del Rector</t>
  </si>
  <si>
    <t>Cotizacion Mantenimiento Maquinas</t>
  </si>
  <si>
    <t>JUEZGAMIENTO</t>
  </si>
  <si>
    <t>Conversatorio 9 sept 2021</t>
  </si>
  <si>
    <t>Proceso de rehabilitación integral- Gareth barrera</t>
  </si>
  <si>
    <t>Cotizacion Suministro de Agua en Carrotanque</t>
  </si>
  <si>
    <t>Cotizacion Agua en Botellon</t>
  </si>
  <si>
    <t>Cotizacion Jardineria</t>
  </si>
  <si>
    <t>kit Destornilladores imantados</t>
  </si>
  <si>
    <t>COTIZACIÓN TIQUETES Y ALOJAMIENTO FACULTAD EDUCACIÓN</t>
  </si>
  <si>
    <t>Solicitud de cotización estolas y alquiler de togas-birretes</t>
  </si>
  <si>
    <t>Solicitud de cotización trasmisión grados sede meta</t>
  </si>
  <si>
    <t>Cotizacion Lavanderia</t>
  </si>
  <si>
    <t>Solicitud de Camion 8 de septiembre</t>
  </si>
  <si>
    <t>Refrigerios y agua para evento del Sr Rector</t>
  </si>
  <si>
    <t>Cotizacion de servicios de Staff por Oficial de obra</t>
  </si>
  <si>
    <t>COTIZACION – CORRECTIVO ELECTRICO - PLANTA ELECTRICA SEDE A</t>
  </si>
  <si>
    <t>Cotizar Limpieza trampa de grasa y tuberia</t>
  </si>
  <si>
    <t>COTIZACIÓN TARJETAS DE PRESENTACIÓN FACULTAD DE INGENIERÍA</t>
  </si>
  <si>
    <t>Solicitud de cotización maestro de ceremonia grados bogota</t>
  </si>
  <si>
    <t>Solicitud de cotización impresión habladores</t>
  </si>
  <si>
    <t>Experto para la virtualización de contenidos - Cursos Dirección Académica y Dirección Virtual</t>
  </si>
  <si>
    <t>Pines quinquenios</t>
  </si>
  <si>
    <t>Coro misa</t>
  </si>
  <si>
    <t>Solicitud de cotización bono</t>
  </si>
  <si>
    <t>Cotización Camión</t>
  </si>
  <si>
    <t>Rifas fin de año</t>
  </si>
  <si>
    <t>Anchetas amor y amistad sedes</t>
  </si>
  <si>
    <t>Solicitud cotización tiquetes y hospedaje</t>
  </si>
  <si>
    <t>Solicitud de cotización músicos sede meta</t>
  </si>
  <si>
    <t>Cotización servicio de ruta</t>
  </si>
  <si>
    <t>cable E210037</t>
  </si>
  <si>
    <t>MEDICIÓN CLIMA Y CULTURA ORGANIZACIONAL</t>
  </si>
  <si>
    <t>COTIZACIÓN BOLSAS TELA U COMPENSAR</t>
  </si>
  <si>
    <t>Cotizacion Pad Color Cafe</t>
  </si>
  <si>
    <t>COTIZACIÓN ELEMENTO PARA PROYECTO DE INVESTIGACION</t>
  </si>
  <si>
    <t>Cotización Ruta Circular</t>
  </si>
  <si>
    <t>Cotizacion Camion</t>
  </si>
  <si>
    <t>COTIZACIÓN BONOS SOCIOHUMANIDADES</t>
  </si>
  <si>
    <t>VENTANA TIPO PERSIANA DE VENTILACION - SEDE H PISO 1</t>
  </si>
  <si>
    <t>COTIZACION EVENTO VISITA EMPRESARIAL TRANSVERSALES META</t>
  </si>
  <si>
    <t>SOLICITUD DE COTIZACION TONER</t>
  </si>
  <si>
    <t>Cotización de Regleta Multicontactos</t>
  </si>
  <si>
    <t>Solicitud de cotización charla</t>
  </si>
  <si>
    <t>Solicitud de cotización copas menstruales</t>
  </si>
  <si>
    <t>Solicitud de cotización taller</t>
  </si>
  <si>
    <t>Solicitud de cotización torneo de futboll sede meta</t>
  </si>
  <si>
    <t>Mediciones higiénicas iluminarias</t>
  </si>
  <si>
    <t>Lavandería chaleco</t>
  </si>
  <si>
    <t>Modistería chaleco</t>
  </si>
  <si>
    <t>COTIZACIÓN IMPRESIÓN PLANTILLA CERTIFICADOS MONTES DE MARIA</t>
  </si>
  <si>
    <t>COTIZACIÓN PÓLIZAS CAJA DE COMPENSACIÓN FAMILIAR COMPENSAR</t>
  </si>
  <si>
    <t>Pintura para Tableros Borrables</t>
  </si>
  <si>
    <t>Contratación expertos temáticos para el diseño de programa Ingeniería de TIC - Virtual</t>
  </si>
  <si>
    <t>Desayuno para el 27 de septiembre</t>
  </si>
  <si>
    <t>Detalles amor y amistad</t>
  </si>
  <si>
    <t>Cotización compra de libros</t>
  </si>
  <si>
    <t>Solicitud Cotizacion Arreglo Puerta Sede L</t>
  </si>
  <si>
    <t>Pedido Ferreteria Quincenal</t>
  </si>
  <si>
    <t>Artículos de papelería</t>
  </si>
  <si>
    <t>Estandarte por sede</t>
  </si>
  <si>
    <t>PELICULA FROST Y POLARIZADA</t>
  </si>
  <si>
    <t>Alquiler de Andamio</t>
  </si>
  <si>
    <t>Solicitud de cotización torneo de ping pong</t>
  </si>
  <si>
    <t>Solicitud de cotización pasadías lagosol</t>
  </si>
  <si>
    <t>Solicitud de cotización taller maquillaje</t>
  </si>
  <si>
    <t>Cotizacion Papel Higuienico Jumbo Blanco</t>
  </si>
  <si>
    <t>Cotización Servicio Traslado Portatiles Meta</t>
  </si>
  <si>
    <t>Cotizacion Mueble para Sede I</t>
  </si>
  <si>
    <t>Cotizacion Arreglo Maquinaria de Aseo</t>
  </si>
  <si>
    <t>Tarjetas de Beneficios y Aliados Corporativos</t>
  </si>
  <si>
    <t>Solicitud Certificados de Tradicion y Libertad</t>
  </si>
  <si>
    <t>URGENTE - AIRE ACONDICIONADO - EMISORA SEDE A</t>
  </si>
  <si>
    <t>Tiquetes Lanzamiento convenio Comfamiliar Huila</t>
  </si>
  <si>
    <t>Cotizar Espejo Sede J - Tablero en vidrio</t>
  </si>
  <si>
    <t>Solicitud Materiales Shut de Basura</t>
  </si>
  <si>
    <t>Bonos virtuales de Crepes &amp;amp; Waffles</t>
  </si>
  <si>
    <t>RECARGAS TARJETAS TU LLAVE</t>
  </si>
  <si>
    <t>BONOS DE JUSTO Y BUENO</t>
  </si>
  <si>
    <t>CELEBRACION AMOR Y AMISTAD</t>
  </si>
  <si>
    <t>PUESTOS DE TRABAJO SEDE F - URGENTE</t>
  </si>
  <si>
    <t>COTIZACIÓN TIQUETES, AOJAMIENTO CONTADURÍA PUBLICA</t>
  </si>
  <si>
    <t>Cotizacion Cambio cableado Domo PTZ Plazoleta</t>
  </si>
  <si>
    <t>Cotizacion Lavnderia</t>
  </si>
  <si>
    <t>Solicitud Materiales Puntos de conexión salón 1200</t>
  </si>
  <si>
    <t>Cotizacion Servicios Fumigacion y Otros</t>
  </si>
  <si>
    <t>Cotizacioón Proveedor Maquinas de Cafe</t>
  </si>
  <si>
    <t>Cotizacion Lavado de Vidrios</t>
  </si>
  <si>
    <t>Cotización Agua En botellon y Dispensadores de Agua</t>
  </si>
  <si>
    <t>Solicitud de cotización servico de transporte</t>
  </si>
  <si>
    <t>Andadera de Aprendizaje</t>
  </si>
  <si>
    <t>legalización de compra Base de datos</t>
  </si>
  <si>
    <t>COTIZACIÓN TIQUETES MONTES DE MARIA 2021-2</t>
  </si>
  <si>
    <t>Solicitud de cotización -Foro inclusión</t>
  </si>
  <si>
    <t>COTIZACION DE ENVIO DE APROXIMADAMENTE 32 ACTIVOS DESDE LA SEDE VALLE A LA SEDE DE BOGOTA</t>
  </si>
  <si>
    <t>Solicitud de cotización servicio de enfermería.</t>
  </si>
  <si>
    <t>Cotizacion Papel Higuienico Jumbo Ecologico</t>
  </si>
  <si>
    <t>Solicitud insumos para Parqueadero Sede K y Emisora</t>
  </si>
  <si>
    <t>Material Adicional Shut Basura</t>
  </si>
  <si>
    <t>Recorrido Virtual</t>
  </si>
  <si>
    <t>Empresas de Mantenimiento Preventivo de Hornos Microondas</t>
  </si>
  <si>
    <t>Póliza Minuta Funza</t>
  </si>
  <si>
    <t>Elementos de kit</t>
  </si>
  <si>
    <t>Cotización recarga de extintores sede Bogotá</t>
  </si>
  <si>
    <t>COTIZACION DE RECOGIDA</t>
  </si>
  <si>
    <t>Celebración quinquenios Bogotá</t>
  </si>
  <si>
    <t>Celebración quinquenios Meta</t>
  </si>
  <si>
    <t>Evento fin de año niños</t>
  </si>
  <si>
    <t>Compra de diseño de chalecos</t>
  </si>
  <si>
    <t>Insumos Parqueadero Sede K</t>
  </si>
  <si>
    <t>Cálculo actuarial</t>
  </si>
  <si>
    <t>COTIZACIÓN RENOVACIÓN AFILIACIÓN ACIET 2021</t>
  </si>
  <si>
    <t>Solicitud de cotización Corona de flores</t>
  </si>
  <si>
    <t>Instalacion Aire Acondicionado Emisora</t>
  </si>
  <si>
    <t>cotización carpetas diplomas</t>
  </si>
  <si>
    <t>Puerta Parqueadero SEDE K</t>
  </si>
  <si>
    <t>IPT PARA TELETRABAJADORES</t>
  </si>
  <si>
    <t>Compra de cableado</t>
  </si>
  <si>
    <t>Brazos retractiles para microfono</t>
  </si>
  <si>
    <t>Señalética emergencias</t>
  </si>
  <si>
    <t>Celebración niños Meta</t>
  </si>
  <si>
    <t>Ancheta brigadista</t>
  </si>
  <si>
    <t>Celebración niños Valle</t>
  </si>
  <si>
    <t>Evento novena navideña</t>
  </si>
  <si>
    <t>Anchetas navideñas Meta</t>
  </si>
  <si>
    <t>Anchetas navideñas Valle</t>
  </si>
  <si>
    <t>Recoleccion de Escombros SEDE M y K</t>
  </si>
  <si>
    <t>COTIZACIÓN ELEMENTOS EMISORA UCOMPENSAR</t>
  </si>
  <si>
    <t>Cotizacion Parqueadero Sede K</t>
  </si>
  <si>
    <t>curso sistema integrado de gestión</t>
  </si>
  <si>
    <t>Cotizacion Candados</t>
  </si>
  <si>
    <t>MATERIAL POP</t>
  </si>
  <si>
    <t>Cotizacion Elemetos Jaridneria</t>
  </si>
  <si>
    <t>BOLSAS CAMBRELL</t>
  </si>
  <si>
    <t>Casco de seguridad obra</t>
  </si>
  <si>
    <t>Cotizacion Papel Higuienico</t>
  </si>
  <si>
    <t>Cotizacion Anchetas Navidad</t>
  </si>
  <si>
    <t>Inducción de estudiantes 2022-1</t>
  </si>
  <si>
    <t>Arreglo Radio Motorola</t>
  </si>
  <si>
    <t>BONOS DE JUSTO Y BUENO VIRTUALES</t>
  </si>
  <si>
    <t>curso de fundamentos de interpretación LSC</t>
  </si>
  <si>
    <t>Cotizacion Poliza IRF</t>
  </si>
  <si>
    <t>Poliza Responsabilidad Civil y Extracontractual DIrectivos</t>
  </si>
  <si>
    <t>Solicitud de compra de elementos deportivos</t>
  </si>
  <si>
    <t>Solicitud cotización Hoteles, pasajes Aéreos y otros</t>
  </si>
  <si>
    <t>EVENTO HALLOWEEN</t>
  </si>
  <si>
    <t>Cotizacio Elementos de Asero</t>
  </si>
  <si>
    <t>COTIZACIÓN MERCHANDISING FACULTAD DE INGENIERIA</t>
  </si>
  <si>
    <t>COTIZACIÓN EVENTO REDFI FACULTAD DE INGENIERIA</t>
  </si>
  <si>
    <t>Bonos dotación</t>
  </si>
  <si>
    <t>Dotación física último trimestre</t>
  </si>
  <si>
    <t>Agendas y calendarios</t>
  </si>
  <si>
    <t>Solicitud reserva grados 2022-1</t>
  </si>
  <si>
    <t>COTIZACIÓN BONO EXITO VIRTUAL SOCIOHUMANIDADES</t>
  </si>
  <si>
    <t>COTIZACIÓN CARGUE TARJETA COMPENSAR BILINGUISMO DOCENTES</t>
  </si>
  <si>
    <t>Compra juguetes</t>
  </si>
  <si>
    <t>Cotizacion Pacas de Agua</t>
  </si>
  <si>
    <t>Cotización Elementos Varios</t>
  </si>
  <si>
    <t>COTIZACIÓN TABLET COMUNICACION SOCIAL</t>
  </si>
  <si>
    <t>Solicitud Reserva Espacios Compensar</t>
  </si>
  <si>
    <t>Tiquete Viaje Miguel Lopez</t>
  </si>
  <si>
    <t>Cotización Torneo de Fútbol 8</t>
  </si>
  <si>
    <t>Convenio café de paso</t>
  </si>
  <si>
    <t>Cursos de Alturas y Exámenes médicos ocupacionales</t>
  </si>
  <si>
    <t>Solicitud de corizacion</t>
  </si>
  <si>
    <t>Transporte Meta</t>
  </si>
  <si>
    <t>COTIZACION GASTOS DE VIAJE FACULTAD INGENIERIA META</t>
  </si>
  <si>
    <t>COTIZACIÓN JUGUETE ROBOT EDUCATIVO</t>
  </si>
  <si>
    <t>Solicitud de cotización clases de baile</t>
  </si>
  <si>
    <t>SOLICITUD SIM -CARD SERVICIO DE DATOS PROYECTO FUNZA</t>
  </si>
  <si>
    <t>Cotización obsequio grados extemporáneos</t>
  </si>
  <si>
    <t>Solicitud de cotización estolas-extemporáneos</t>
  </si>
  <si>
    <t>Pedido Ferretería Octubre y S.O.S por lluvias y visitas</t>
  </si>
  <si>
    <t>Solicitud de cotización conferencia inducción 2022-1</t>
  </si>
  <si>
    <t>Cotización Material Pedagógico</t>
  </si>
  <si>
    <t>Cotización Mantenimiento Hornos Microondas</t>
  </si>
  <si>
    <t>Bonos pasadia lagosol.</t>
  </si>
  <si>
    <t>Cotización talleres Hope</t>
  </si>
  <si>
    <t>EXPERIENCIA EMPRESARIAL</t>
  </si>
  <si>
    <t>Gorros navideños</t>
  </si>
  <si>
    <t>Ambientación evento fin de año niños</t>
  </si>
  <si>
    <t>Cotizacin Elemnetos de Aseo</t>
  </si>
  <si>
    <t>Cotizacion Brazo Hidraulico</t>
  </si>
  <si>
    <t>Solicitud de cotización Estación de café</t>
  </si>
  <si>
    <t>SOLICITUD COTIZACIÓN TIQUETES</t>
  </si>
  <si>
    <t>Viaje Inducción 2022-1 Sede meta</t>
  </si>
  <si>
    <t>Suministro e Instalación de vidrios - SEDE K</t>
  </si>
  <si>
    <t>Cotización de Papelería Sede Meta</t>
  </si>
  <si>
    <t>legalización de pago capacitación Gestor bibliográfico Mendeley</t>
  </si>
  <si>
    <t>legalización de pago capacitación Normas APA</t>
  </si>
  <si>
    <t>REQUERIMIENTO 2- Compras</t>
  </si>
  <si>
    <t>Legalización Desmonta Sistema de Alarma suba</t>
  </si>
  <si>
    <t>Cotización Ventana SEDE A</t>
  </si>
  <si>
    <t>Bienvenida Docente 2022</t>
  </si>
  <si>
    <t>Cotización Fumigacion Sedes</t>
  </si>
  <si>
    <t>Cotizacion Desayunos</t>
  </si>
  <si>
    <t>Cotización Mueble Rectoría</t>
  </si>
  <si>
    <t>legalización de pago transporte de material bibliográfico</t>
  </si>
  <si>
    <t>Kit de ingreso</t>
  </si>
  <si>
    <t>Kit de ingreso Bogotá</t>
  </si>
  <si>
    <t>Cotización Sala de Creatividad</t>
  </si>
  <si>
    <t>Cotización sopladora inalámbrica (aspiradora)</t>
  </si>
  <si>
    <t>Solicitud Cotizacion Recoleccion Escombros</t>
  </si>
  <si>
    <t>Cotización de división y puerta en vidrio para oficina de Rectoría</t>
  </si>
  <si>
    <t>Cotización de ventana para sede K (Nueva opción)</t>
  </si>
  <si>
    <t>Solicitud de cotizaciones de mejorar superficies existentes</t>
  </si>
  <si>
    <t>Cotización de sillas para auditorio</t>
  </si>
  <si>
    <t>Cotización Señalética Aulas - Sala de computo - Pendón - Centro de Acopio</t>
  </si>
  <si>
    <t>Cotización Agenda Institucional</t>
  </si>
  <si>
    <t>Cotización Esmalte Rojo Colonial</t>
  </si>
  <si>
    <t>Cotización Materiales SEDE K - 2DO PISO DAMAS</t>
  </si>
  <si>
    <t>Cotizacion Sala de Juntas</t>
  </si>
  <si>
    <t>Cotizacion Pantallas en Vidrio.</t>
  </si>
  <si>
    <t>Proveedores Mantenimiento Hornos Microondas - compresores - herramienta menor ( taladros, pulidoras, escobillas, entre otros)</t>
  </si>
  <si>
    <t>COTIZACION VIAJE SEDE META LIC EN INGLES Y BILINGUISMO</t>
  </si>
  <si>
    <t>Cotizaciones Mantenimientos 2022</t>
  </si>
  <si>
    <t>Cotización Banderas</t>
  </si>
  <si>
    <t>Cotización Percheros para baños</t>
  </si>
  <si>
    <t>Cotizacion Maquinas vending</t>
  </si>
  <si>
    <t>Solicito cotizar producción de diplomas y actas PREGRADO y POSGRADO 2022</t>
  </si>
  <si>
    <t>Cotizacion Pintura de Aceite - SEDE META</t>
  </si>
  <si>
    <t>Solicitud Cotizaciones - SEDE A</t>
  </si>
  <si>
    <t>Cotizacion Entrada SEDE E</t>
  </si>
  <si>
    <t>Cotizacion Puerta en Vidrio - Sede F 1er Piso</t>
  </si>
  <si>
    <t>Póliza contrato entre ucompensar y Agencia de Empleo compensar</t>
  </si>
  <si>
    <t>Cotización refrigerio y almuerzos</t>
  </si>
  <si>
    <t>Consultoría de SST</t>
  </si>
  <si>
    <t>BICILETERO SEDE F</t>
  </si>
  <si>
    <t>Cotización proveedor Flyer -Educación Continuada</t>
  </si>
  <si>
    <t xml:space="preserve">EDNA LILIANA RODRIGUEZ PEÑA </t>
  </si>
  <si>
    <t>Cotización ELementos de Jardinería</t>
  </si>
  <si>
    <t>Cotización Acarreros</t>
  </si>
  <si>
    <t>SOLICITUD COTIZACIÓN FERRETERIA</t>
  </si>
  <si>
    <t>COTIZACIÓN TIQUETES, ALOJAMIENTO Y ALIMENTACION PROYECTO MIE DIRECCION ACADEMICA</t>
  </si>
  <si>
    <t>COTIZACIÓN LOCKERS</t>
  </si>
  <si>
    <t>COTIZACIÓN REPISAS</t>
  </si>
  <si>
    <t>COTIZACIÓN MATERIALES INFRAESTRUCTURA</t>
  </si>
  <si>
    <t>Cotización Catálogo Educación Continuada</t>
  </si>
  <si>
    <t>Cotización Maquinas Dispensadoras de Bebidas Calientes</t>
  </si>
  <si>
    <t>Solicitud de cotización tapete para fútbol tenis</t>
  </si>
  <si>
    <t>Cotización agua botellon y despensadores de agua</t>
  </si>
  <si>
    <t>Resueltas</t>
  </si>
  <si>
    <t>Artículos de oficina</t>
  </si>
  <si>
    <t>COTIZACIÓN TIQUETES CARTAGENA - MONTES DE MARIA - SALIDA DE CAMPO #1</t>
  </si>
  <si>
    <t>COTIZACIÓN TIQUETES Y ALOJAMIENTO REUNION AFACOM - SANTA MARTA</t>
  </si>
  <si>
    <t>COTIZACIÓN TIQUETES Y ALOJAMIENTO REUNION ACOFI - BARRANQUILLA</t>
  </si>
  <si>
    <t>Cotizacion Carrotanque Sencillo</t>
  </si>
  <si>
    <t>Cotizacion Servicio de Mensajeria</t>
  </si>
  <si>
    <t>Solicitud de cotización Estolas</t>
  </si>
  <si>
    <t>Cotización Servicio Acarreo Bogotá-Meta</t>
  </si>
  <si>
    <t>Cotizacion Acarreos Teusaquillo</t>
  </si>
  <si>
    <t>Cotización Servicio Desodorización Sanitarios</t>
  </si>
  <si>
    <t>Cotización Agua Botellita y Botellón</t>
  </si>
  <si>
    <t>Renovación Base de Datos E-libro</t>
  </si>
  <si>
    <t>COTIZACIÓN EVENTO ASCOLFA FACULTAD DE CIENCIAS EMPRESARIALES</t>
  </si>
  <si>
    <t>RENOVACIÓN DE LAS PÓLIZAS DEL CONTRATO DEI - 2021-3666-SPC-15104-1-M1_ MODIFICACIÓN ENTRE FUNDACION UNIVERSITARIA COMPENSAR &amp;amp; COMPENSAR</t>
  </si>
  <si>
    <t>Cotización souvenir proyecto servicio</t>
  </si>
  <si>
    <t>Servicio de envió de Agendas estudiantes virtual</t>
  </si>
  <si>
    <t>Grados UCompensar</t>
  </si>
  <si>
    <t>DIA DE LA MUJER</t>
  </si>
  <si>
    <t>MANTENIMIENTO DESFIBRILADOR</t>
  </si>
  <si>
    <t>PEDIDO DE MATERIAL FEBRERO</t>
  </si>
  <si>
    <t>En curso (asignada)</t>
  </si>
  <si>
    <t>Solicitud de cotización elementos enfermería</t>
  </si>
  <si>
    <t>Cotizacion Bacterias Beneficas</t>
  </si>
  <si>
    <t>Cotización Sistema Economizador de Agua Para Sanitario</t>
  </si>
  <si>
    <t>SOLICITUD ESTACIÓN CAFE - ADMINISTRACIÓN EMPRESAS</t>
  </si>
  <si>
    <t>COTIZACIÓN BONO EXITO CONFERENCISTA - SOCIOHUMANIDADES</t>
  </si>
  <si>
    <t>COTIZACIÓN LUXOMETRO</t>
  </si>
  <si>
    <t>MANTENIMIENTO Y RESTAURACIÓN ESCALESRAS</t>
  </si>
  <si>
    <t>Urgente: Compra de Kit de mercadeo para eventos Sede Meta</t>
  </si>
  <si>
    <t>META</t>
  </si>
  <si>
    <t>COTIZACION VIAJE CONVOCATORIA DELFIN - MEXICO - INTERNACIONALIZACION</t>
  </si>
  <si>
    <t>Tableros Proyecto Servicio</t>
  </si>
  <si>
    <t>Compra audifonos y camara web</t>
  </si>
  <si>
    <t>Cotización de Bombillas Sede Meta</t>
  </si>
  <si>
    <t>Solicitud de tiquetes grados 2022-1</t>
  </si>
  <si>
    <t>COTIZACION GASTOS DE VIAJE SEDE META FAING</t>
  </si>
  <si>
    <t>Solicitud audífonos y memoria</t>
  </si>
  <si>
    <t>Cotizacion Poliza de Vida Administrativos</t>
  </si>
  <si>
    <t>COTIZACION MATERIAL BIBLIOGRAFICO</t>
  </si>
  <si>
    <t>COTIZACIÓN VISITA EMPRESARIAL SEDE META SOCIOHUMANIDADES</t>
  </si>
  <si>
    <t>COTIZACION BONOS LIBRERIA NACIONAL SOCIOHUMANIDADES</t>
  </si>
  <si>
    <t>Cotización canecas papelera</t>
  </si>
  <si>
    <t>Mantenimiento horno microondas</t>
  </si>
  <si>
    <t>SOLICITUD ESTACIÓN CAFE Y PASABOCAS - ADMINISTRACIÓN EMPRESAS</t>
  </si>
  <si>
    <t>Cotización de fumigación y lavado tanques</t>
  </si>
  <si>
    <t>Taller de Co-Creación gestión comercial ingresos Modelo Integral</t>
  </si>
  <si>
    <t>Bonos dotación abril 2022</t>
  </si>
  <si>
    <t>Cotizacion lavado de tanques y fumigacion</t>
  </si>
  <si>
    <t>Arreglos florales</t>
  </si>
  <si>
    <t>Solicitud de cotizaciones</t>
  </si>
  <si>
    <t>Plataforma prueba psicotécnica DICS</t>
  </si>
  <si>
    <t>Suscripción libros digitales editorial Dextra en Plataforma Ebook 7-24</t>
  </si>
  <si>
    <t>Renovación base de datos Ecoe</t>
  </si>
  <si>
    <t>Renovación de base de datos Magisterio</t>
  </si>
  <si>
    <t>Renovación base de datos Alphacloud</t>
  </si>
  <si>
    <t>COTIZACIÓN CARPAS</t>
  </si>
  <si>
    <t>COTIZACIÓN MARQUETERIA CERTIFICADOS ACREDITACION INTERNACIONAL ACBSP</t>
  </si>
  <si>
    <t>Cotizacion Dispensadores de Jabón</t>
  </si>
  <si>
    <t>Sucripción base de datos EMIS</t>
  </si>
  <si>
    <t>Renovación base de datos ELibro.</t>
  </si>
  <si>
    <t>Evento Ucompensar Sede Meta.</t>
  </si>
  <si>
    <t>COTIZACION BONOS CRESPES AND WAFFLES A ESTUDIANTES - COM. SOCIAL</t>
  </si>
  <si>
    <t>Cotizacion Pedido de Aseo</t>
  </si>
  <si>
    <t>COTIZACIÓN TRANSPORTE Y ALOJAMIENTO VILLAVICENCIO - EVENTO PRESENTACION MADO MARTINEZ</t>
  </si>
  <si>
    <t>Cinta foto luminiscente</t>
  </si>
  <si>
    <t>COTIZACIÓN SILLAS ALTAS</t>
  </si>
  <si>
    <t>CORRECTIVO PLANTA ELECTRICA</t>
  </si>
  <si>
    <t>Solicitud papeleria</t>
  </si>
  <si>
    <t>COTIZACIÓN ANDAMIO</t>
  </si>
  <si>
    <t>COTIZACIÓN CARPA PARA EVENTOS UCOMPENSAR</t>
  </si>
  <si>
    <t>Solicitud de cotización dispensadores de agua</t>
  </si>
  <si>
    <t>COTIZACIÓN EVENTO DIA DEL NEGOCIADOR</t>
  </si>
  <si>
    <t>Cotización de blackout</t>
  </si>
  <si>
    <t>COTIZACION VIAJE SEDE META</t>
  </si>
  <si>
    <t>Cotización de Obsequios Día de la Mujer</t>
  </si>
  <si>
    <t>COTIZACIÓN ALQUILER ANDAMIO</t>
  </si>
  <si>
    <t>COTIZACIÓN EVENTO CANDIDATOS SENADO Y CAMARA</t>
  </si>
  <si>
    <t>COTIZACIÓN EVENTO DIA DEL CONTADOR</t>
  </si>
  <si>
    <t>Renovación Base de Datos Magisterio</t>
  </si>
  <si>
    <t>Renovación Base de Datos ECOE</t>
  </si>
  <si>
    <t>Tiquetes - hospedaje sede Meta</t>
  </si>
  <si>
    <t>Renovación Base de Datos Alphacloud</t>
  </si>
  <si>
    <t>COTIZACIÓN 4 LATERALES PARA MESA DE 84 CM</t>
  </si>
  <si>
    <t>Cotización Instrumentos Musicales para CBI COMPENSAR</t>
  </si>
  <si>
    <t>Cotización raquetas y pelotas tenis de mesa</t>
  </si>
  <si>
    <t>Compra de insumos audiovisuales complementarios</t>
  </si>
  <si>
    <t>Gestión con proveedores</t>
  </si>
  <si>
    <t>COTIZACIÓN EVENTO ADUANAS - FINANZAS Y NEGOCIOS</t>
  </si>
  <si>
    <t>Cotización Hospedaje y Tiquetes Cali - GRADOS 2021-2</t>
  </si>
  <si>
    <t>Compra Motos Obsequios GRADOS 2021-1</t>
  </si>
  <si>
    <t>Celebración día de la madre día del padre</t>
  </si>
  <si>
    <t>COTIZACION INSUMOS LABORATORIO TELECO META</t>
  </si>
  <si>
    <t>COTIZACION ELEMENTOS ING SOFTWARE</t>
  </si>
  <si>
    <t>Cotizacion agua botellon Brissa</t>
  </si>
  <si>
    <t>Cotización Bascula</t>
  </si>
  <si>
    <t>COTIZACIÓN TIQUETES Y ALOJAMIENTO MEDELLIN - PROYECTO INVESTIGACIÓN</t>
  </si>
  <si>
    <t>SOLICITUD TRANSPORTE VISITA EMPRESARIAL</t>
  </si>
  <si>
    <t>Cotización tapabocas Grados 2022-1</t>
  </si>
  <si>
    <t>Herramienta prueba canasta de papeles</t>
  </si>
  <si>
    <t>SOLICITUD CARPAS SEMANA DE INNOVACION</t>
  </si>
  <si>
    <t>SOLICITUD TRANSPORTE Y REFRIGERIOS VISITA EMPRESARIAL</t>
  </si>
  <si>
    <t>SOLICITUD DE COTIZACION REFRIGERIOS FACULTAD DE INGENIERIA</t>
  </si>
  <si>
    <t>SOLICITUD TRANSPORTE VISITA EMPRESARIAL FACULTAD DE INGENIERIA</t>
  </si>
  <si>
    <t>Placas día del docente</t>
  </si>
  <si>
    <t>COTIZACIÓN TIQUETES Y ALOJAMIENTO CARTAGENA - INVESTIGACION</t>
  </si>
  <si>
    <t>COTIZACIÒN PAPELERIA DIR ACADEMICA</t>
  </si>
  <si>
    <t>SOLICITUD DE TRANSPORTE FACULTAD CIENCIAS EMPRESARIALES</t>
  </si>
  <si>
    <t>COTIZACION EVENTO FACULTAD DE INGENIERIA - ACOFI-REDFI-CNA</t>
  </si>
  <si>
    <t>EVENTO REACTIVACION ESCUELA DE FORMACION</t>
  </si>
  <si>
    <t>Cotización de Hospedaje</t>
  </si>
  <si>
    <t>COTIZACION EVENTO ADMINISTRACION DE EMPRESAS</t>
  </si>
  <si>
    <t>COTIZACION DE GRECAS</t>
  </si>
  <si>
    <t>COTIZACIÓN TIQUETES Y ALOJAMIENTO - INVITADOS SEM. INNOVACIÓN INVESTIGACIÓN</t>
  </si>
  <si>
    <t>COTIZACIÓN TIQUETES Y ALOJAMIENTO - INVITADOS SEM. INNOVACIÓN INVESTIGACIÓN 2</t>
  </si>
  <si>
    <t>COTIZACION DE DOTACION PARA PERSONAL ICBF</t>
  </si>
  <si>
    <t>COMPRA DE 5 SIM CARD</t>
  </si>
  <si>
    <t>Adquisición de insumos para la DEV</t>
  </si>
  <si>
    <t>ESTACIONES DE CAFE PROYECTO ICBF</t>
  </si>
  <si>
    <t>COTIZACION PAPELERIA SEMANA DE INNOVACIÓN - URGENTE!</t>
  </si>
  <si>
    <t>COTIZACIÓN ALOJAMIENTO - INVITADO SEM. INNOVACIÓN - INVESTIGACIÓN</t>
  </si>
  <si>
    <t>COTIZACIÓN SALONES PROYECTO ICBF 2022</t>
  </si>
  <si>
    <t>COTIZACION GASTOS DE VIAJE REUNION ACBSP ESTADOS UNIDOS</t>
  </si>
  <si>
    <t>SOLICITUD DE PAPELERIA</t>
  </si>
  <si>
    <t>Adquisición de Sim Cards -Proyecto ICBF</t>
  </si>
  <si>
    <t>ESTACIONES DE CAFÉ / O MAQUINA DISPENSADORA DE CAFÉ - PROYECTO ICBF 2022</t>
  </si>
  <si>
    <t>Renovación de base de datos Interbooks</t>
  </si>
  <si>
    <t>Cotización almuerzos DEV para el 20 de mayo</t>
  </si>
  <si>
    <t>COTIZACIÓN CAMISETAS DIA ING TELECOMUNICACIONES META MAYO 17</t>
  </si>
  <si>
    <t>Compra de Contadores de personas</t>
  </si>
  <si>
    <t>COTIZACIÓN OBSEQUIOS DIA DEL MERCADÓLOGO - PROYECTOS PIC</t>
  </si>
  <si>
    <t>COTIZACIÓN MERCHANDISING - IDIOMAS</t>
  </si>
  <si>
    <t>Solicitud de proveedores de alimentos e insumos para cursos de cocina.</t>
  </si>
  <si>
    <t>Solicitud camión turbo</t>
  </si>
  <si>
    <t>COTIZACIÓN EVENTO EMPRESARIOS - ADMINISTRACIÓN DE EMPRESAS</t>
  </si>
  <si>
    <t>Compra mobiliario oficina infraestructura</t>
  </si>
  <si>
    <t>Solicitud de cotizacion computadores infraestructura</t>
  </si>
  <si>
    <t>JUAN CARLOS GOMEZ GOMEZ</t>
  </si>
  <si>
    <t>XIMENA DEL ROCIO ESPINOZA</t>
  </si>
  <si>
    <t>INGRID YULIETH ORTIZ PEREZ</t>
  </si>
  <si>
    <t>MONICA YANETH ROJAS ROJAS</t>
  </si>
  <si>
    <t>DAVID FELIPE JIMENEZ JIMENEZ</t>
  </si>
  <si>
    <t>NATALIA ROCIO LOZANO SANCHEZ</t>
  </si>
  <si>
    <t>VANESSA DIAGO GONZALEZ</t>
  </si>
  <si>
    <t>ANGELICA MARIA DE LOS ANGELES PEREZ</t>
  </si>
  <si>
    <t>ERIKA ESTEFANIA GUERRA GUERRA</t>
  </si>
  <si>
    <t>blopezg@drogueria.com.co</t>
  </si>
  <si>
    <t>PROFESIONAL 1</t>
  </si>
  <si>
    <t>PROFESIONAL 2</t>
  </si>
  <si>
    <t>PROFESIONAL 3</t>
  </si>
  <si>
    <t>PROFESIONAL 4</t>
  </si>
  <si>
    <t>PROFESIONAL 5</t>
  </si>
  <si>
    <t>PROFESIONAL 6</t>
  </si>
  <si>
    <t>PROFESIONAL 7</t>
  </si>
  <si>
    <t>PROFESIONAL 8</t>
  </si>
  <si>
    <t>PROFESIONAL 9</t>
  </si>
  <si>
    <t>PROFESIONAL 10</t>
  </si>
  <si>
    <t>PROFESIONAL 11</t>
  </si>
  <si>
    <t>PROFESIONAL 12</t>
  </si>
  <si>
    <t>PROFESIONAL 13</t>
  </si>
  <si>
    <t>PROFESIONAL 15</t>
  </si>
  <si>
    <t>PROFESIONAL 14</t>
  </si>
  <si>
    <t>COTIZACIÓN MANTENIMIENTO Y ADECUACIONES</t>
  </si>
  <si>
    <t>COTIZACIÓN GASTOS GENERALES &gt; Utiles, papelería y fotocopias</t>
  </si>
  <si>
    <t>COTIZACIÓN GASTOS GENERALES</t>
  </si>
  <si>
    <t>COTIZACIÓN GASTOS GENERALES &gt; Elementos de aseo y cafetería</t>
  </si>
  <si>
    <t>SOLICITUD TIQUETES Y HOSPEDAJE (GASTOS DE VIAJE) &gt; Solicitud de tiquetes</t>
  </si>
  <si>
    <t>SOLICITUD TIQUETES Y HOSPEDAJE (GASTOS DE VIAJE)</t>
  </si>
  <si>
    <t>COTIZACIÓN SERVICIOS TECNOLOGIA &gt; Otros</t>
  </si>
  <si>
    <t>COTIZACIÓN ELEMENTOS DEPORTIVOS &gt; Servicios deportivos</t>
  </si>
  <si>
    <t>COTIZACIÓN SERVICIOS EDUCATIVOS &gt; Otro</t>
  </si>
  <si>
    <t>SOLICITUD ALMUERZO Y REFRIGERIOS</t>
  </si>
  <si>
    <t>COTIZACIÓN CELEBRACIONES Y EVENTOS &gt; Eventos especiales</t>
  </si>
  <si>
    <t>COTIZACIÓN GASTOS GENERALES &gt; Suministros de oficina</t>
  </si>
  <si>
    <t>COTIZACIÓN ELEMENTOS DEPORTIVOS &gt; Juzgamiento</t>
  </si>
  <si>
    <t>COTIZACIÓN GASTOS DE MERCADEO &gt; Elementos mercadeo-merchadising</t>
  </si>
  <si>
    <t>SOLICITUD DE TRANSPORTE</t>
  </si>
  <si>
    <t>COTIZACIÓN ACTIVOS FIJOS &gt; Equipos de mantenimiento</t>
  </si>
  <si>
    <t>COTIZACIÓN MANTENIMIENTO Y ADECUACIONES &gt; Mantenimiento locativo</t>
  </si>
  <si>
    <t>SOLICITUD ALMUERZO Y REFRIGERIOS &gt; Refrigerios</t>
  </si>
  <si>
    <t>COTIZACIÓN GASTOS DE MERCADEO &gt; Folletos e impresos</t>
  </si>
  <si>
    <t>COTIZACIÓN GASTOS GENERALES &gt; Impresiones y publicaciones</t>
  </si>
  <si>
    <t>COTIZACIÓN MANTENIMIENTO Y ADECUACIONES &gt; Mantenimiento de equipos</t>
  </si>
  <si>
    <t>COTIZACIÓN CELEBRACIONES Y EVENTOS &gt; Alquiler de espacios</t>
  </si>
  <si>
    <t>COTIZACIÓN SERVICIOS TECNOLOGIA &gt; Mantenimiento de equipos</t>
  </si>
  <si>
    <t>COTIZACIÓN ACTIVOS FIJOS</t>
  </si>
  <si>
    <t>COTIZACIÓN CELEBRACIONES Y EVENTOS &gt; Refrigerios</t>
  </si>
  <si>
    <t>SOLICITUD DE TRANSPORTE &gt; Transporte acarreo</t>
  </si>
  <si>
    <t>COTIZACIÓN CELEBRACIONES Y EVENTOS</t>
  </si>
  <si>
    <t>COTIZACION MATERIAL BIBLIOGRAFICO &gt; Suscripciones y afliciones</t>
  </si>
  <si>
    <t>COTIZACIÓN GASTOS GENERALES &gt; Servicio de mensajeria</t>
  </si>
  <si>
    <t>COTIZACIÓN SERVICIOS TECNOLOGIA &gt; Licencias</t>
  </si>
  <si>
    <t>COTIZACIÓN SEGUROS (PÓLIZAS) &gt; Polizas contratos</t>
  </si>
  <si>
    <t>COTIZACION GASTOS PERSONAL &gt; Otros</t>
  </si>
  <si>
    <t>COTIZACIÓN GASTOS GENERALES &gt; Obsequios a estudiantes y conferencistas</t>
  </si>
  <si>
    <t>COTIZACIÓN CONTRATOS Y/O PROYECTOS &gt; Contratación proyectos</t>
  </si>
  <si>
    <t>SOLICITUD ALMUERZO Y REFRIGERIOS &gt; Desayuno o almuerzo</t>
  </si>
  <si>
    <t>COTIZACIÓN SERVICIOS EDUCATIVOS &gt; Congresos, Diplomados y Seminarios</t>
  </si>
  <si>
    <t>COTIZACIÓN ACTIVOS FIJOS &gt; Equipos tecnológicos</t>
  </si>
  <si>
    <t>COTIZACIÓN GASTOS GENERALES &gt; Elementos de protección personal</t>
  </si>
  <si>
    <t>COTIZACION GASTOS PERSONAL &gt; Bonos de dotación</t>
  </si>
  <si>
    <t>COTIZACIÓN SERVICIOS TECNOLOGIA</t>
  </si>
  <si>
    <t>SOLICITUD DE TRANSPORTE &gt; Transporte de pasajeros</t>
  </si>
  <si>
    <t>COTIZACIÓN CELEBRACIONES Y EVENTOS &gt; Impresiones (Diplomas-invitación-portadiplomas)</t>
  </si>
  <si>
    <t>COTIZACIÓN SERVICIOS EDUCATIVOS &gt; Asesorias y Consultorias Académicas</t>
  </si>
  <si>
    <t>COTIZACIÓN ASESORIA &gt; Financiera</t>
  </si>
  <si>
    <t>COTIZACIÓN GASTOS DE MERCADEO &gt; Mercadeo Eventos Especiales</t>
  </si>
  <si>
    <t>COTIZACIÓN CONTRATOS Y/O PROYECTOS</t>
  </si>
  <si>
    <t>COTIZACIÓN ASESORIA &gt; Otro</t>
  </si>
  <si>
    <t>COTIZACIÓN ASESORIA &gt; Avaluos</t>
  </si>
  <si>
    <t>COTIZACION GASTOS PERSONAL &gt; Capacitación al personal</t>
  </si>
  <si>
    <t>COTIZACIÓN SERVICIOS EDUCATIVOS &gt; Cursos, Conferencias y Talleres</t>
  </si>
  <si>
    <t>COTIZACIÓN GASTOS DE MERCADEO &gt; Investigación y estudios de mercado</t>
  </si>
  <si>
    <t>COTIZACIÓN GASTOS GENERALES &gt; Arreglos florales</t>
  </si>
  <si>
    <t>COTIZACIÓN MANTENIMIENTO Y ADECUACIONES &gt; Servicio de obra civil</t>
  </si>
  <si>
    <t>COTIZACIÓN MANTENIMIENTO Y ADECUACIONES &gt; Insumos de ferretería</t>
  </si>
  <si>
    <t>COTIZACIÓN ACTIVOS FIJOS &gt; Otros equipos</t>
  </si>
  <si>
    <t>COTIZACIÓN GASTOS GENERALES &gt; Afiliaciones y sostenimiento</t>
  </si>
  <si>
    <t>COTIZACIÓN CELEBRACIONES Y EVENTOS &gt; Grupo musical</t>
  </si>
  <si>
    <t>COTIZACIÓN ASESORIA</t>
  </si>
  <si>
    <t>COTIZACIÓN SERVICIOS EDUCATIVOS</t>
  </si>
  <si>
    <t>COTIZACIÓN SEGUROS (PÓLIZAS)</t>
  </si>
  <si>
    <t>COTIZACIÓN GASTOS DE MERCADEO</t>
  </si>
  <si>
    <t>COTIZACIÓN SEGUROS (PÓLIZAS) &gt; Seguros estudiantiles</t>
  </si>
  <si>
    <t>COTIZACION GASTOS PERSONAL</t>
  </si>
  <si>
    <t>COTIZACIÓN SEGUROS (PÓLIZAS) &gt; Polizas de cobertura</t>
  </si>
  <si>
    <t>SOLICITUD TIQUETES Y HOSPEDAJE (GASTOS DE VIAJE) &gt; Solicitud hospedaje</t>
  </si>
  <si>
    <t>COTIZACIÓN ARRENDAMIENTO Y ALQUILER</t>
  </si>
  <si>
    <t>Sede</t>
  </si>
  <si>
    <t>Valor Total</t>
  </si>
  <si>
    <t>TIENDA</t>
  </si>
  <si>
    <t>LATITUD</t>
  </si>
  <si>
    <t>LONGITUD</t>
  </si>
  <si>
    <t>TIENDA 1</t>
  </si>
  <si>
    <t>TIENDA 2</t>
  </si>
  <si>
    <t>TIENDA 3</t>
  </si>
  <si>
    <t>TIENDA 4</t>
  </si>
  <si>
    <t>TIENDA 5</t>
  </si>
  <si>
    <t>TIENDA 6</t>
  </si>
  <si>
    <t>ADRIANA DEL ROCIO RODRIGUEZ</t>
  </si>
  <si>
    <t>Andres Felipe Cortes</t>
  </si>
  <si>
    <t>SEDE</t>
  </si>
  <si>
    <t xml:space="preserve">CUENTA </t>
  </si>
  <si>
    <t>FECHA</t>
  </si>
  <si>
    <t>CONSUMO $</t>
  </si>
  <si>
    <t>0448820-0</t>
  </si>
  <si>
    <t>0448819-1</t>
  </si>
  <si>
    <t>0448817-7</t>
  </si>
  <si>
    <t>0448815-3</t>
  </si>
  <si>
    <t>0465714-8</t>
  </si>
  <si>
    <t>0465715-0</t>
  </si>
  <si>
    <t xml:space="preserve"> </t>
  </si>
  <si>
    <t>123456789-0</t>
  </si>
  <si>
    <t>04606-7</t>
  </si>
  <si>
    <t>743988-0</t>
  </si>
  <si>
    <t>Nombre completo</t>
  </si>
  <si>
    <t>Fecha de nacimiento</t>
  </si>
  <si>
    <t>Dirección</t>
  </si>
  <si>
    <t>Localidad y Código postal</t>
  </si>
  <si>
    <t>Teléfono</t>
  </si>
  <si>
    <t>Correo electrónico</t>
  </si>
  <si>
    <t>Fecha de alta</t>
  </si>
  <si>
    <t>Grupo de clientes</t>
  </si>
  <si>
    <t>C0001</t>
  </si>
  <si>
    <t>Leandra Anna Malo Alba</t>
  </si>
  <si>
    <t>7943 S. Fifth Street</t>
  </si>
  <si>
    <t>Bergenfield, NJ 07621</t>
  </si>
  <si>
    <t>(598) 451-5865</t>
  </si>
  <si>
    <t>uraeus@mac.com</t>
  </si>
  <si>
    <t>A</t>
  </si>
  <si>
    <t>C0002</t>
  </si>
  <si>
    <t>Severo Granados Iglesia</t>
  </si>
  <si>
    <t>77 Lyme Street</t>
  </si>
  <si>
    <t>Hermitage, TN 37076</t>
  </si>
  <si>
    <t>(869) 771-1487</t>
  </si>
  <si>
    <t>bhima@me.com</t>
  </si>
  <si>
    <t>E</t>
  </si>
  <si>
    <t>C0003</t>
  </si>
  <si>
    <t>Lucho Andreu Amat</t>
  </si>
  <si>
    <t>9448 Fairfield St.</t>
  </si>
  <si>
    <t>Aberdeen, SD 57401</t>
  </si>
  <si>
    <t>(246) 245-7306</t>
  </si>
  <si>
    <t>psichel@sbcglobal.net</t>
  </si>
  <si>
    <t>C0004</t>
  </si>
  <si>
    <t>Matías Mauricio Castillo Barrera</t>
  </si>
  <si>
    <t>8143 College St.</t>
  </si>
  <si>
    <t>Trussville, AL 35173</t>
  </si>
  <si>
    <t>(707) 933-2513</t>
  </si>
  <si>
    <t>tbeck@optonline.net</t>
  </si>
  <si>
    <t>C0005</t>
  </si>
  <si>
    <t>Mauricio Guijarro Castelló</t>
  </si>
  <si>
    <t>9893 W. Vale Ave.</t>
  </si>
  <si>
    <t>Billings, MT 59101</t>
  </si>
  <si>
    <t>(612) 325-0216</t>
  </si>
  <si>
    <t>eegsa@yahoo.ca</t>
  </si>
  <si>
    <t>D</t>
  </si>
  <si>
    <t>C0006</t>
  </si>
  <si>
    <t>Isaura Leyre Avilés Pelayo</t>
  </si>
  <si>
    <t>8094 Albany Drive</t>
  </si>
  <si>
    <t>Poughkeepsie, NY 12601</t>
  </si>
  <si>
    <t>(992) 564-5230</t>
  </si>
  <si>
    <t>barlow@verizon.net</t>
  </si>
  <si>
    <t>C0007</t>
  </si>
  <si>
    <t>Soraya Morera-Lago</t>
  </si>
  <si>
    <t>9001 Creek Street</t>
  </si>
  <si>
    <t>Lawrence, MA 01841</t>
  </si>
  <si>
    <t>(651) 544-1246</t>
  </si>
  <si>
    <t>wkrebs@me.com</t>
  </si>
  <si>
    <t>C0008</t>
  </si>
  <si>
    <t>Victoriano Tapia-Cabanillas</t>
  </si>
  <si>
    <t>57 Green Drive</t>
  </si>
  <si>
    <t>Fair Lawn, NJ 07410</t>
  </si>
  <si>
    <t>(851) 782-6044</t>
  </si>
  <si>
    <t>dleconte@outlook.com</t>
  </si>
  <si>
    <t>C</t>
  </si>
  <si>
    <t>C0009</t>
  </si>
  <si>
    <t>Nidia Saez Campoy</t>
  </si>
  <si>
    <t>86 Surrey St.</t>
  </si>
  <si>
    <t>Kennewick, WA 99337</t>
  </si>
  <si>
    <t>(265) 609-6654</t>
  </si>
  <si>
    <t>flakeg@verizon.net</t>
  </si>
  <si>
    <t>B</t>
  </si>
  <si>
    <t>C0010</t>
  </si>
  <si>
    <t>Teófila Villanueva Molina</t>
  </si>
  <si>
    <t>8728 Boston Street</t>
  </si>
  <si>
    <t>Rego Park, NY 11374</t>
  </si>
  <si>
    <t>(305) 491-4988</t>
  </si>
  <si>
    <t>slaff@icloud.com</t>
  </si>
  <si>
    <t>C0011</t>
  </si>
  <si>
    <t>Trini de Alberdi</t>
  </si>
  <si>
    <t>45 Heritage Ave.</t>
  </si>
  <si>
    <t>Fall River, MA 02720</t>
  </si>
  <si>
    <t>(561) 649-7485</t>
  </si>
  <si>
    <t>uncle@hotmail.com</t>
  </si>
  <si>
    <t>C0012</t>
  </si>
  <si>
    <t>Dani Baena</t>
  </si>
  <si>
    <t>9334 Hillside Street</t>
  </si>
  <si>
    <t>Grand Blanc, MI 48439</t>
  </si>
  <si>
    <t>(966) 735-9451</t>
  </si>
  <si>
    <t>vsprintf@hotmail.com</t>
  </si>
  <si>
    <t>C0013</t>
  </si>
  <si>
    <t>Angelina de Arregui</t>
  </si>
  <si>
    <t>611 Academy Street</t>
  </si>
  <si>
    <t>Dalton, GA 30721</t>
  </si>
  <si>
    <t>(711) 282-2848</t>
  </si>
  <si>
    <t>chinthaka@yahoo.ca</t>
  </si>
  <si>
    <t>C0014</t>
  </si>
  <si>
    <t>Samuel de Carranza</t>
  </si>
  <si>
    <t>7201 Mill Street</t>
  </si>
  <si>
    <t>Marcus Hook, PA 19061</t>
  </si>
  <si>
    <t>(337) 397-0627</t>
  </si>
  <si>
    <t>ntegrity@optonline.net</t>
  </si>
  <si>
    <t>C0015</t>
  </si>
  <si>
    <t>Jacinta Montenegro Garcés</t>
  </si>
  <si>
    <t>59 Ridgewood Ave.</t>
  </si>
  <si>
    <t>Reynoldsburg, OH 43068</t>
  </si>
  <si>
    <t>(969) 383-4277</t>
  </si>
  <si>
    <t>yangyan@yahoo.ca</t>
  </si>
  <si>
    <t>C0016</t>
  </si>
  <si>
    <t>Lisandro Delgado Nadal</t>
  </si>
  <si>
    <t>270 West Green Lake St.</t>
  </si>
  <si>
    <t>Louisville, KY 40207</t>
  </si>
  <si>
    <t>(748) 495-1748</t>
  </si>
  <si>
    <t>ilyaz@me.com</t>
  </si>
  <si>
    <t>C0017</t>
  </si>
  <si>
    <t>Samanta Manjón Godoy</t>
  </si>
  <si>
    <t>9481 S. Chestnut St.</t>
  </si>
  <si>
    <t>Morristown, NJ 07960</t>
  </si>
  <si>
    <t>(494) 813-5651</t>
  </si>
  <si>
    <t>njpayne@hotmail.com</t>
  </si>
  <si>
    <t>C0018</t>
  </si>
  <si>
    <t>Albano Teodosio Cañete Rosa</t>
  </si>
  <si>
    <t>7 N. Annadale Street</t>
  </si>
  <si>
    <t>Eugene, OR 97402</t>
  </si>
  <si>
    <t>(779) 217-3175</t>
  </si>
  <si>
    <t>ralamosm@gmail.com</t>
  </si>
  <si>
    <t>C0019</t>
  </si>
  <si>
    <t>Abel Villanueva</t>
  </si>
  <si>
    <t>88 Pheasant Rd.</t>
  </si>
  <si>
    <t>Bridgeton, NJ 08302</t>
  </si>
  <si>
    <t>(904) 204-2255</t>
  </si>
  <si>
    <t>bartak@sbcglobal.net</t>
  </si>
  <si>
    <t>C0020</t>
  </si>
  <si>
    <t>Bienvenida Pulido Cózar</t>
  </si>
  <si>
    <t>8 Galvin Street</t>
  </si>
  <si>
    <t>Seymour, IN 47274</t>
  </si>
  <si>
    <t>(932) 307-3409</t>
  </si>
  <si>
    <t>improv@me.com</t>
  </si>
  <si>
    <t>C0021</t>
  </si>
  <si>
    <t>Patricio Manzano Pomares</t>
  </si>
  <si>
    <t>9 Marconi Road</t>
  </si>
  <si>
    <t>Eastpointe, MI 48021</t>
  </si>
  <si>
    <t>(993) 960-7653</t>
  </si>
  <si>
    <t>arnold@live.com</t>
  </si>
  <si>
    <t>C0022</t>
  </si>
  <si>
    <t>Modesto de Casares</t>
  </si>
  <si>
    <t>8842 Old Van Dyke Ave.</t>
  </si>
  <si>
    <t>Nanuet, NY 10954</t>
  </si>
  <si>
    <t>(611) 927-0572</t>
  </si>
  <si>
    <t>ismail@comcast.net</t>
  </si>
  <si>
    <t>C0023</t>
  </si>
  <si>
    <t>Berto del Morales</t>
  </si>
  <si>
    <t>471 S. Cambridge Drive</t>
  </si>
  <si>
    <t>Fairborn, OH 45324</t>
  </si>
  <si>
    <t>(283) 384-7846</t>
  </si>
  <si>
    <t>wilsonpm@aol.com</t>
  </si>
  <si>
    <t>C0024</t>
  </si>
  <si>
    <t>Nuria Daniela Jáuregui Tejero</t>
  </si>
  <si>
    <t>9 Military Dr.</t>
  </si>
  <si>
    <t>Yuba City, CA 95993</t>
  </si>
  <si>
    <t>(677) 875-1069</t>
  </si>
  <si>
    <t>barjam@icloud.com</t>
  </si>
  <si>
    <t>C0025</t>
  </si>
  <si>
    <t>Anastasia Pedrero Solera</t>
  </si>
  <si>
    <t>8388 Pheasant Street</t>
  </si>
  <si>
    <t>Powder Springs, GA 30127</t>
  </si>
  <si>
    <t>(886) 929-9282</t>
  </si>
  <si>
    <t>michiel@msn.com</t>
  </si>
  <si>
    <t>C0026</t>
  </si>
  <si>
    <t>Purificación Salomé Ferrán Valero</t>
  </si>
  <si>
    <t>221 Dogwood Dr.</t>
  </si>
  <si>
    <t>El Paso, TX 79930</t>
  </si>
  <si>
    <t>(596) 660-5408</t>
  </si>
  <si>
    <t>gamma@hotmail.com</t>
  </si>
  <si>
    <t>C0027</t>
  </si>
  <si>
    <t>Melania Cobos Lozano</t>
  </si>
  <si>
    <t>911 Charles St.</t>
  </si>
  <si>
    <t>East Lansing, MI 48823</t>
  </si>
  <si>
    <t>(768) 242-5793</t>
  </si>
  <si>
    <t>dhrakar@live.com</t>
  </si>
  <si>
    <t>C0028</t>
  </si>
  <si>
    <t>Evangelina Font Lago</t>
  </si>
  <si>
    <t>176 Henry Smith Ave.</t>
  </si>
  <si>
    <t>Westland, MI 48185</t>
  </si>
  <si>
    <t>(483) 388-3044</t>
  </si>
  <si>
    <t>themer@icloud.com</t>
  </si>
  <si>
    <t>C0029</t>
  </si>
  <si>
    <t>Otilia Mercader Jimenez</t>
  </si>
  <si>
    <t>323 1st St.</t>
  </si>
  <si>
    <t>Salt Lake City, UT 84119</t>
  </si>
  <si>
    <t>(525) 814-4351</t>
  </si>
  <si>
    <t>leocharre@me.com</t>
  </si>
  <si>
    <t>C0030</t>
  </si>
  <si>
    <t>Nadia Reyes-Bosch</t>
  </si>
  <si>
    <t>8127 Pawnee Lane</t>
  </si>
  <si>
    <t>Pikesville, MD 21208</t>
  </si>
  <si>
    <t>(872) 458-4785</t>
  </si>
  <si>
    <t>kewley@icloud.com</t>
  </si>
  <si>
    <t>C0031</t>
  </si>
  <si>
    <t>Mireia Córdoba Pi</t>
  </si>
  <si>
    <t>7813 Helen Ave.</t>
  </si>
  <si>
    <t>West Springfield, MA 01089</t>
  </si>
  <si>
    <t>(600) 318-8808</t>
  </si>
  <si>
    <t>murdocj@mac.com</t>
  </si>
  <si>
    <t>C0032</t>
  </si>
  <si>
    <t>Melisa Rueda Rosado</t>
  </si>
  <si>
    <t>353 Canterbury Dr.</t>
  </si>
  <si>
    <t>Mahwah, NJ 07430</t>
  </si>
  <si>
    <t>(437) 406-2974</t>
  </si>
  <si>
    <t>webinc@msn.com</t>
  </si>
  <si>
    <t>C0033</t>
  </si>
  <si>
    <t>Trini Sanabria-Frías</t>
  </si>
  <si>
    <t>61 Addison Dr.</t>
  </si>
  <si>
    <t>Park Forest, IL 60466</t>
  </si>
  <si>
    <t>(615) 712-3381</t>
  </si>
  <si>
    <t>mrsam@yahoo.ca</t>
  </si>
  <si>
    <t>C0034</t>
  </si>
  <si>
    <t>Lucía Manola Briones Jove</t>
  </si>
  <si>
    <t>810 West Mill St.</t>
  </si>
  <si>
    <t>Westfield, MA 01085</t>
  </si>
  <si>
    <t>(651) 742-1141</t>
  </si>
  <si>
    <t>sassen@aol.com</t>
  </si>
  <si>
    <t>C0035</t>
  </si>
  <si>
    <t>Natalio Pereira Barrio</t>
  </si>
  <si>
    <t>51 Mayfair Court</t>
  </si>
  <si>
    <t>Dothan, AL 36301</t>
  </si>
  <si>
    <t>(517) 690-8580</t>
  </si>
  <si>
    <t>emmanuel@att.net</t>
  </si>
  <si>
    <t>C0036</t>
  </si>
  <si>
    <t>Nerea Alcalde Solé</t>
  </si>
  <si>
    <t>840 Oak Meadow Ave.</t>
  </si>
  <si>
    <t>Klamath Falls, OR 97603</t>
  </si>
  <si>
    <t>(616) 766-2111</t>
  </si>
  <si>
    <t>naoya@mac.com</t>
  </si>
  <si>
    <t>C0037</t>
  </si>
  <si>
    <t>Gracia Goicoechea Alba</t>
  </si>
  <si>
    <t>257 Pheasant Drive</t>
  </si>
  <si>
    <t>Hialeah, FL 33010</t>
  </si>
  <si>
    <t>(685) 726-6159</t>
  </si>
  <si>
    <t>slanglois@hotmail.com</t>
  </si>
  <si>
    <t>C0038</t>
  </si>
  <si>
    <t>Toño Hidalgo Blázquez</t>
  </si>
  <si>
    <t>30 N. Park Avenue</t>
  </si>
  <si>
    <t>Howard Beach, NY 11414</t>
  </si>
  <si>
    <t>(737) 772-3449</t>
  </si>
  <si>
    <t>improv@comcast.net</t>
  </si>
  <si>
    <t>C0039</t>
  </si>
  <si>
    <t>Cándida Sedano Jiménez</t>
  </si>
  <si>
    <t>850 School St.</t>
  </si>
  <si>
    <t>Wheaton, IL 60187</t>
  </si>
  <si>
    <t>(876) 612-6879</t>
  </si>
  <si>
    <t>noneme@me.com</t>
  </si>
  <si>
    <t>C0040</t>
  </si>
  <si>
    <t>Eutimio Barreda Cobos</t>
  </si>
  <si>
    <t>59 Atlantic Ave.</t>
  </si>
  <si>
    <t>Gallatin, TN 37066</t>
  </si>
  <si>
    <t>(669) 791-3350</t>
  </si>
  <si>
    <t>majordick@yahoo.com</t>
  </si>
  <si>
    <t>C0041</t>
  </si>
  <si>
    <t>Rosario Yuste Falcón</t>
  </si>
  <si>
    <t>74 Broadway</t>
  </si>
  <si>
    <t>MILTON KEYNES</t>
  </si>
  <si>
    <t>(642) 368-4225</t>
  </si>
  <si>
    <t>rgiersig@verizon.net</t>
  </si>
  <si>
    <t>C0042</t>
  </si>
  <si>
    <t>Encarnacion Español Ocaña</t>
  </si>
  <si>
    <t>MK9 3EN</t>
  </si>
  <si>
    <t>21 Mill Road</t>
  </si>
  <si>
    <t>(953) 901-9132</t>
  </si>
  <si>
    <t>smartfart@aol.com</t>
  </si>
  <si>
    <t>C0043</t>
  </si>
  <si>
    <t>Magdalena Vilaplana Esteve</t>
  </si>
  <si>
    <t>CREWE</t>
  </si>
  <si>
    <t>CW90 4ZA</t>
  </si>
  <si>
    <t>(869) 720-8135</t>
  </si>
  <si>
    <t>jmgomez@verizon.net</t>
  </si>
  <si>
    <t>C0044</t>
  </si>
  <si>
    <t>Adelardo Novoa</t>
  </si>
  <si>
    <t>674 High Street</t>
  </si>
  <si>
    <t>CANTERBURY</t>
  </si>
  <si>
    <t>(319) 633-9396</t>
  </si>
  <si>
    <t>msherr@yahoo.com</t>
  </si>
  <si>
    <t>C0045</t>
  </si>
  <si>
    <t>Adoración Rovira Zabala</t>
  </si>
  <si>
    <t>CT76 6OB</t>
  </si>
  <si>
    <t>10 Richmond Road</t>
  </si>
  <si>
    <t>(731) 945-6687</t>
  </si>
  <si>
    <t>keutzer@sbcglobal.net</t>
  </si>
  <si>
    <t>C0046</t>
  </si>
  <si>
    <t>Ovidio Lamas</t>
  </si>
  <si>
    <t>DUNDEE</t>
  </si>
  <si>
    <t>DD84 2WJ</t>
  </si>
  <si>
    <t>(435) 742-6743</t>
  </si>
  <si>
    <t>policies@sbcglobal.net</t>
  </si>
  <si>
    <t>C0047</t>
  </si>
  <si>
    <t>Reyes Julián Nogués</t>
  </si>
  <si>
    <t>35 The Crescent</t>
  </si>
  <si>
    <t>SOUTH EAST LONDON</t>
  </si>
  <si>
    <t>(684) 330-1830</t>
  </si>
  <si>
    <t>hwestiii@verizon.net</t>
  </si>
  <si>
    <t>C0048</t>
  </si>
  <si>
    <t>Adoración Jurado Clemente</t>
  </si>
  <si>
    <t>SE42 3UM</t>
  </si>
  <si>
    <t>44 School Lane</t>
  </si>
  <si>
    <t>(843) 248-6284</t>
  </si>
  <si>
    <t>hstiles@mac.com</t>
  </si>
  <si>
    <t>C0049</t>
  </si>
  <si>
    <t>Plácido Zabala Feijoo</t>
  </si>
  <si>
    <t>DONCASTER</t>
  </si>
  <si>
    <t>DN36 9AT</t>
  </si>
  <si>
    <t>(390) 565-9213</t>
  </si>
  <si>
    <t>xnormal@gmail.com</t>
  </si>
  <si>
    <t>C0050</t>
  </si>
  <si>
    <t>Abel Alex Cueto López</t>
  </si>
  <si>
    <t>94 The Avenue</t>
  </si>
  <si>
    <t>BRIGHTON</t>
  </si>
  <si>
    <t>(951) 953-8812</t>
  </si>
  <si>
    <t>jgmyers@icloud.com</t>
  </si>
  <si>
    <t>C0051</t>
  </si>
  <si>
    <t>Miguela Sanmiguel Paz</t>
  </si>
  <si>
    <t>BN0 6LJ</t>
  </si>
  <si>
    <t>290 Albert Road</t>
  </si>
  <si>
    <t>(516) 909-2316</t>
  </si>
  <si>
    <t>oechslin@aol.com</t>
  </si>
  <si>
    <t>C0052</t>
  </si>
  <si>
    <t>Narcisa Villaverde Montes</t>
  </si>
  <si>
    <t>STOCKPORT</t>
  </si>
  <si>
    <t>SK35 8CV</t>
  </si>
  <si>
    <t>(833) 629-5357</t>
  </si>
  <si>
    <t>juerd@outlook.com</t>
  </si>
  <si>
    <t>C0053</t>
  </si>
  <si>
    <t>Leonardo Aller Bermúdez</t>
  </si>
  <si>
    <t>96 The Green</t>
  </si>
  <si>
    <t>WATFORD</t>
  </si>
  <si>
    <t>(260) 680-9015</t>
  </si>
  <si>
    <t>skippy@icloud.com</t>
  </si>
  <si>
    <t>C0054</t>
  </si>
  <si>
    <t>Javiera Bartolomé Torrens</t>
  </si>
  <si>
    <t>WD65 4RB</t>
  </si>
  <si>
    <t>9950 Queen Street</t>
  </si>
  <si>
    <t>(724) 882-6713</t>
  </si>
  <si>
    <t>meinkej@hotmail.com</t>
  </si>
  <si>
    <t>C0055</t>
  </si>
  <si>
    <t>María Carmen de Fuster</t>
  </si>
  <si>
    <t>WAKEFIELD</t>
  </si>
  <si>
    <t>WF81 5TB</t>
  </si>
  <si>
    <t>(663) 750-6940</t>
  </si>
  <si>
    <t>staffelb@aol.com</t>
  </si>
  <si>
    <t>C0056</t>
  </si>
  <si>
    <t>Adán Fonseca Marin</t>
  </si>
  <si>
    <t>30 Main Road</t>
  </si>
  <si>
    <t>NORTH WEST LONDON</t>
  </si>
  <si>
    <t>(325) 631-2099</t>
  </si>
  <si>
    <t>heckerman@optonline.net</t>
  </si>
  <si>
    <t>C0057</t>
  </si>
  <si>
    <t>Adalberto de Fabra</t>
  </si>
  <si>
    <t>NW96 2RV</t>
  </si>
  <si>
    <t>9896 New Road</t>
  </si>
  <si>
    <t>(594) 787-2465</t>
  </si>
  <si>
    <t>rjones@verizon.net</t>
  </si>
  <si>
    <t>C0058</t>
  </si>
  <si>
    <t>Rosalinda Jaume Romero</t>
  </si>
  <si>
    <t>SHREWSBURY</t>
  </si>
  <si>
    <t>SY49 2YJ</t>
  </si>
  <si>
    <t>(720) 491-3517</t>
  </si>
  <si>
    <t>parrt@verizon.net</t>
  </si>
  <si>
    <t>C0059</t>
  </si>
  <si>
    <t>Abigaíl Enríquez Carreras</t>
  </si>
  <si>
    <t>26 North Road</t>
  </si>
  <si>
    <t>EAST CENTRAL LONDON</t>
  </si>
  <si>
    <t>(735) 587-8913</t>
  </si>
  <si>
    <t>hampton@icloud.com</t>
  </si>
  <si>
    <t>C0060</t>
  </si>
  <si>
    <t>África Morcillo</t>
  </si>
  <si>
    <t>EC18 9MF</t>
  </si>
  <si>
    <t>146 Church Lane</t>
  </si>
  <si>
    <t>(295) 530-5752</t>
  </si>
  <si>
    <t>claypool@comcast.net</t>
  </si>
  <si>
    <t>C0061</t>
  </si>
  <si>
    <t>Gilberto Cárdenas-Esparza</t>
  </si>
  <si>
    <t>LLANDRINDOD WELLS</t>
  </si>
  <si>
    <t>LD87 1KV</t>
  </si>
  <si>
    <t>(306) 906-7975</t>
  </si>
  <si>
    <t>wsnyder@live.com</t>
  </si>
  <si>
    <t>C0062</t>
  </si>
  <si>
    <t>Marisela Posada Jover</t>
  </si>
  <si>
    <t>70 Green Lane</t>
  </si>
  <si>
    <t>KILMARNOCK</t>
  </si>
  <si>
    <t>(452) 597-0784</t>
  </si>
  <si>
    <t>magusnet@aol.com</t>
  </si>
  <si>
    <t>C0063</t>
  </si>
  <si>
    <t>Begoña Claudia Coello Zabaleta</t>
  </si>
  <si>
    <t>KA97 3AD</t>
  </si>
  <si>
    <t>9645 Queensway</t>
  </si>
  <si>
    <t>(363) 441-6561</t>
  </si>
  <si>
    <t>danneng@optonline.net</t>
  </si>
  <si>
    <t>C0064</t>
  </si>
  <si>
    <t>Marcos Arregui Sainz</t>
  </si>
  <si>
    <t>ROCHESTER</t>
  </si>
  <si>
    <t>ME97 9GF</t>
  </si>
  <si>
    <t>(550) 890-6346</t>
  </si>
  <si>
    <t>smallpaul@aol.com</t>
  </si>
  <si>
    <t>C0065</t>
  </si>
  <si>
    <t>Venceslás Sastre Peñalver</t>
  </si>
  <si>
    <t>5 Kingsway</t>
  </si>
  <si>
    <t>WARRINGTON</t>
  </si>
  <si>
    <t>(906) 421-7305</t>
  </si>
  <si>
    <t>staikos@optonline.net</t>
  </si>
  <si>
    <t>C0066</t>
  </si>
  <si>
    <t>Febe Amaya</t>
  </si>
  <si>
    <t>WA48 9PQ</t>
  </si>
  <si>
    <t>512 Stanley Road</t>
  </si>
  <si>
    <t>(977) 707-4772</t>
  </si>
  <si>
    <t>bryam@outlook.com</t>
  </si>
  <si>
    <t>C0067</t>
  </si>
  <si>
    <t>Quirino Granados Verdugo</t>
  </si>
  <si>
    <t>BIRMINGHAM</t>
  </si>
  <si>
    <t>B2 0LA</t>
  </si>
  <si>
    <t>(871) 218-8630</t>
  </si>
  <si>
    <t>ccohen@optonline.net</t>
  </si>
  <si>
    <t>C0068</t>
  </si>
  <si>
    <t>Imelda de Perea</t>
  </si>
  <si>
    <t>3 Church Street</t>
  </si>
  <si>
    <t>CARLISLE</t>
  </si>
  <si>
    <t>(522) 326-9656</t>
  </si>
  <si>
    <t>geoffr@aol.com</t>
  </si>
  <si>
    <t>C0069</t>
  </si>
  <si>
    <t>Isidora de Crespi</t>
  </si>
  <si>
    <t>CA46 0YA</t>
  </si>
  <si>
    <t>12 George Street</t>
  </si>
  <si>
    <t>(924) 599-2856</t>
  </si>
  <si>
    <t>kludge@comcast.net</t>
  </si>
  <si>
    <t>C0070</t>
  </si>
  <si>
    <t>Balduino Martin Águila</t>
  </si>
  <si>
    <t>REDHILL</t>
  </si>
  <si>
    <t>RH45 1LV</t>
  </si>
  <si>
    <t>(998) 710-2563</t>
  </si>
  <si>
    <t>frikazoyd@att.net</t>
  </si>
  <si>
    <t>C0071</t>
  </si>
  <si>
    <t>Casandra Ramírez Canet</t>
  </si>
  <si>
    <t>2 Manchester Road</t>
  </si>
  <si>
    <t>SWANSEA</t>
  </si>
  <si>
    <t>(319) 810-1693</t>
  </si>
  <si>
    <t>singer@comcast.net</t>
  </si>
  <si>
    <t>C0072</t>
  </si>
  <si>
    <t>Eustaquio Vigil Gil</t>
  </si>
  <si>
    <t>SA65 3HD</t>
  </si>
  <si>
    <t>84 North Street</t>
  </si>
  <si>
    <t>(794) 504-1808</t>
  </si>
  <si>
    <t>rogerspl@aol.com</t>
  </si>
  <si>
    <t>C0073</t>
  </si>
  <si>
    <t>Elvira del Espinosa</t>
  </si>
  <si>
    <t>DUDLEY</t>
  </si>
  <si>
    <t>DY65 3GJ</t>
  </si>
  <si>
    <t>(493) 999-4390</t>
  </si>
  <si>
    <t>danzigism@yahoo.ca</t>
  </si>
  <si>
    <t>C0074</t>
  </si>
  <si>
    <t>Pía Huertas Manzanares</t>
  </si>
  <si>
    <t>9112 St. John’s Road</t>
  </si>
  <si>
    <t>WALSALL</t>
  </si>
  <si>
    <t>(804) 655-0207</t>
  </si>
  <si>
    <t>empathy@att.net</t>
  </si>
  <si>
    <t>C0075</t>
  </si>
  <si>
    <t>Alberto Salas Báez</t>
  </si>
  <si>
    <t>WS53 7IY</t>
  </si>
  <si>
    <t>19 Church Road</t>
  </si>
  <si>
    <t>(554) 800-9842</t>
  </si>
  <si>
    <t>jrifkin@mac.com</t>
  </si>
  <si>
    <t>C0076</t>
  </si>
  <si>
    <t>Sol Rosales Calvo</t>
  </si>
  <si>
    <t>SOUTH WEST LONDON</t>
  </si>
  <si>
    <t>SW65 0GH</t>
  </si>
  <si>
    <t>(548) 446-1387</t>
  </si>
  <si>
    <t>sagal@icloud.com</t>
  </si>
  <si>
    <t>C0077</t>
  </si>
  <si>
    <t>Guiomar Folch Sanjuan</t>
  </si>
  <si>
    <t>76 South Street</t>
  </si>
  <si>
    <t>NORWICH</t>
  </si>
  <si>
    <t>(517) 369-6486</t>
  </si>
  <si>
    <t>durist@sbcglobal.net</t>
  </si>
  <si>
    <t>C0078</t>
  </si>
  <si>
    <t>Nidia Pardo-Nuñez</t>
  </si>
  <si>
    <t>NR38 3VK</t>
  </si>
  <si>
    <t>73 Grove Road</t>
  </si>
  <si>
    <t>(893) 798-8990</t>
  </si>
  <si>
    <t>msloan@msn.com</t>
  </si>
  <si>
    <t>C0079</t>
  </si>
  <si>
    <t>Emperatriz Sabina Pastor Pedrero</t>
  </si>
  <si>
    <t>SHEFFIELD</t>
  </si>
  <si>
    <t>S39 0KU</t>
  </si>
  <si>
    <t>(504) 719-6268</t>
  </si>
  <si>
    <t>ilikered@mac.com</t>
  </si>
  <si>
    <t>C0080</t>
  </si>
  <si>
    <t>Ximena Jurado-Mata</t>
  </si>
  <si>
    <t>92 Park Avenue</t>
  </si>
  <si>
    <t>WOLVERHAMPTON</t>
  </si>
  <si>
    <t>(295) 508-7243</t>
  </si>
  <si>
    <t>tlinden@live.com</t>
  </si>
  <si>
    <t>C0081</t>
  </si>
  <si>
    <t>Eugenio Aranda Falcón</t>
  </si>
  <si>
    <t>WV82 8AJ</t>
  </si>
  <si>
    <t>53 King Street</t>
  </si>
  <si>
    <t>(940) 762-9096</t>
  </si>
  <si>
    <t>citizenl@yahoo.ca</t>
  </si>
  <si>
    <t>C0082</t>
  </si>
  <si>
    <t>Felicia del Palomo</t>
  </si>
  <si>
    <t>COVENTRY</t>
  </si>
  <si>
    <t>CV96 4TX</t>
  </si>
  <si>
    <t>(370) 597-5412</t>
  </si>
  <si>
    <t>pajas@yahoo.com</t>
  </si>
  <si>
    <t>C0083</t>
  </si>
  <si>
    <t>Abel Uribe Cerro</t>
  </si>
  <si>
    <t>58 Highfield Road</t>
  </si>
  <si>
    <t>BLACKBURN</t>
  </si>
  <si>
    <t>(996) 458-0103</t>
  </si>
  <si>
    <t>british@me.com</t>
  </si>
  <si>
    <t>C0084</t>
  </si>
  <si>
    <t>Andrés Felipe Prado-Infante</t>
  </si>
  <si>
    <t>BB91 5XM</t>
  </si>
  <si>
    <t>20 West Street</t>
  </si>
  <si>
    <t>(223) 934-8344</t>
  </si>
  <si>
    <t>chaffar@aol.com</t>
  </si>
  <si>
    <t>C0085</t>
  </si>
  <si>
    <t>Jordi de Perea</t>
  </si>
  <si>
    <t>OUTER HEBRIDES</t>
  </si>
  <si>
    <t>HS33 0PY</t>
  </si>
  <si>
    <t>(611) 728-9360</t>
  </si>
  <si>
    <t>parkes@hotmail.com</t>
  </si>
  <si>
    <t>C0086</t>
  </si>
  <si>
    <t>Ricarda Escrivá Cervera</t>
  </si>
  <si>
    <t>82 Windsor Road</t>
  </si>
  <si>
    <t>PERTH</t>
  </si>
  <si>
    <t>(446) 436-2416</t>
  </si>
  <si>
    <t>sjava@yahoo.ca</t>
  </si>
  <si>
    <t>C0087</t>
  </si>
  <si>
    <t>Socorro Morales Guerrero</t>
  </si>
  <si>
    <t>PH82 4OY</t>
  </si>
  <si>
    <t>75 Grange Road</t>
  </si>
  <si>
    <t>(205) 877-2303</t>
  </si>
  <si>
    <t>jipsen@outlook.com</t>
  </si>
  <si>
    <t>C0088</t>
  </si>
  <si>
    <t>Asunción Ágata Gutierrez Morera</t>
  </si>
  <si>
    <t>WESTERN CENTRAL LONDON</t>
  </si>
  <si>
    <t>WC52 6DL</t>
  </si>
  <si>
    <t>(442) 997-2681</t>
  </si>
  <si>
    <t>lahvak@optonline.net</t>
  </si>
  <si>
    <t>C0089</t>
  </si>
  <si>
    <t>Jesús Frías Ibáñez</t>
  </si>
  <si>
    <t>10 Kings Road</t>
  </si>
  <si>
    <t>WORCESTER</t>
  </si>
  <si>
    <t>(200) 695-5178</t>
  </si>
  <si>
    <t>mlewan@yahoo.com</t>
  </si>
  <si>
    <t>C0090</t>
  </si>
  <si>
    <t>Teodosio Niño</t>
  </si>
  <si>
    <t>WR45 4AU</t>
  </si>
  <si>
    <t>80 The Grove</t>
  </si>
  <si>
    <t>(892) 339-6497</t>
  </si>
  <si>
    <t>zwood@verizon.net</t>
  </si>
  <si>
    <t>C0091</t>
  </si>
  <si>
    <t>Susana Vizcaíno Nuñez</t>
  </si>
  <si>
    <t>MANCHESTER</t>
  </si>
  <si>
    <t>M78 7CQ</t>
  </si>
  <si>
    <t>(719) 593-5606</t>
  </si>
  <si>
    <t>kassiesa@hotmail.com</t>
  </si>
  <si>
    <t>C0092</t>
  </si>
  <si>
    <t>Abilio Cuéllar Rovira</t>
  </si>
  <si>
    <t>472 Mill Lane</t>
  </si>
  <si>
    <t>READING</t>
  </si>
  <si>
    <t>(719) 881-4363</t>
  </si>
  <si>
    <t>rnewman@hotmail.com</t>
  </si>
  <si>
    <t>C0093</t>
  </si>
  <si>
    <t>Adora Alberto Rebollo</t>
  </si>
  <si>
    <t>RG6 1SR</t>
  </si>
  <si>
    <t>55 Queens Road</t>
  </si>
  <si>
    <t>(346) 442-6581</t>
  </si>
  <si>
    <t>jaxweb@gmail.com</t>
  </si>
  <si>
    <t>C0094</t>
  </si>
  <si>
    <t>Primitivo Jaén Garcés</t>
  </si>
  <si>
    <t>TORQUAY</t>
  </si>
  <si>
    <t>TQ16 9DL</t>
  </si>
  <si>
    <t>(690) 340-6090</t>
  </si>
  <si>
    <t>eidac@aol.com</t>
  </si>
  <si>
    <t>C0095</t>
  </si>
  <si>
    <t>Delfina Donoso</t>
  </si>
  <si>
    <t>80 Chester Road</t>
  </si>
  <si>
    <t>HARROW</t>
  </si>
  <si>
    <t>(722) 742-7576</t>
  </si>
  <si>
    <t>lishoy@gmail.com</t>
  </si>
  <si>
    <t>C0096</t>
  </si>
  <si>
    <t>Julio Fuster Vigil</t>
  </si>
  <si>
    <t>HA62 8DU</t>
  </si>
  <si>
    <t>320 Victoria Road</t>
  </si>
  <si>
    <t>(449) 524-6231</t>
  </si>
  <si>
    <t>delpino@aol.com</t>
  </si>
  <si>
    <t>C0097</t>
  </si>
  <si>
    <t>Cintia Carballo-Bayona</t>
  </si>
  <si>
    <t>PAISLEY</t>
  </si>
  <si>
    <t>PA13 7KA</t>
  </si>
  <si>
    <t>(703) 723-3874</t>
  </si>
  <si>
    <t>catalog@att.net</t>
  </si>
  <si>
    <t>C0098</t>
  </si>
  <si>
    <t>Fortunata Pascual Ribas</t>
  </si>
  <si>
    <t>304 Springfield Road</t>
  </si>
  <si>
    <t>BRADFORD</t>
  </si>
  <si>
    <t>(435) 239-5138</t>
  </si>
  <si>
    <t>hoyer@hotmail.com</t>
  </si>
  <si>
    <t>C0099</t>
  </si>
  <si>
    <t>Lilia Figuerola Bauzà</t>
  </si>
  <si>
    <t>BD84 2HP</t>
  </si>
  <si>
    <t>51 Main Street</t>
  </si>
  <si>
    <t>(580) 240-1515</t>
  </si>
  <si>
    <t>esokullu@live.com</t>
  </si>
  <si>
    <t>C0100</t>
  </si>
  <si>
    <t>Pili Morell-Oliver</t>
  </si>
  <si>
    <t>CHESTER</t>
  </si>
  <si>
    <t>CH66 8CW</t>
  </si>
  <si>
    <t>(650) 385-0635</t>
  </si>
  <si>
    <t>heidrich@hotmail.com</t>
  </si>
  <si>
    <t>C0101</t>
  </si>
  <si>
    <t>Estrella Peñas Benito</t>
  </si>
  <si>
    <t>28 London Road</t>
  </si>
  <si>
    <t>HULL</t>
  </si>
  <si>
    <t>(243) 906-5992</t>
  </si>
  <si>
    <t>kohlis@live.com</t>
  </si>
  <si>
    <t>C0102</t>
  </si>
  <si>
    <t>María Ángeles Roura Carnero</t>
  </si>
  <si>
    <t>HU74 4ER</t>
  </si>
  <si>
    <t>44 Park Road</t>
  </si>
  <si>
    <t>(209) 297-3958</t>
  </si>
  <si>
    <t>corrada@att.net</t>
  </si>
  <si>
    <t>C0103</t>
  </si>
  <si>
    <t>Violeta Violeta Lamas Sarabia</t>
  </si>
  <si>
    <t>GUILDFORD</t>
  </si>
  <si>
    <t>GU45 5EZ</t>
  </si>
  <si>
    <t>(966) 338-9815</t>
  </si>
  <si>
    <t>chaffar@sbcglobal.net</t>
  </si>
  <si>
    <t>C0104</t>
  </si>
  <si>
    <t>Ruben Marquez Belda</t>
  </si>
  <si>
    <t>597 New Street</t>
  </si>
  <si>
    <t>DURHAM</t>
  </si>
  <si>
    <t>(638) 925-5729</t>
  </si>
  <si>
    <t>josem@hotmail.com</t>
  </si>
  <si>
    <t>C0105</t>
  </si>
  <si>
    <t>Manola Criado</t>
  </si>
  <si>
    <t>DH29 2KQ</t>
  </si>
  <si>
    <t>69 The Drive</t>
  </si>
  <si>
    <t>(681) 914-0083</t>
  </si>
  <si>
    <t>jsmith@mac.com</t>
  </si>
  <si>
    <t>C0106</t>
  </si>
  <si>
    <t>Rita Asensio Salgado</t>
  </si>
  <si>
    <t>DUMFRIES</t>
  </si>
  <si>
    <t>DG73 0TH</t>
  </si>
  <si>
    <t>(354) 628-2294</t>
  </si>
  <si>
    <t>hmbrand@hotmail.com</t>
  </si>
  <si>
    <t>C0107</t>
  </si>
  <si>
    <t>Daniela Cabello Vallés</t>
  </si>
  <si>
    <t>41 Victoria Street</t>
  </si>
  <si>
    <t>LEICESTER</t>
  </si>
  <si>
    <t>(888) 289-8104</t>
  </si>
  <si>
    <t>corrada@gmail.com</t>
  </si>
  <si>
    <t>C0108</t>
  </si>
  <si>
    <t>Nicolasa Aurelia Lasa Puig</t>
  </si>
  <si>
    <t>LE96 5AZ</t>
  </si>
  <si>
    <t>45 Station Road</t>
  </si>
  <si>
    <t>(393) 626-4948</t>
  </si>
  <si>
    <t>bryam@icloud.com</t>
  </si>
  <si>
    <t>C0109</t>
  </si>
  <si>
    <t>Jonatan Trillo Larrañaga</t>
  </si>
  <si>
    <t>CHELMSFORD</t>
  </si>
  <si>
    <t>CM60 7BF</t>
  </si>
  <si>
    <t>(887) 262-0302</t>
  </si>
  <si>
    <t>gmcgath@hotmail.com</t>
  </si>
  <si>
    <t>C0110</t>
  </si>
  <si>
    <t>Jose Francisco Alvarado Pombo</t>
  </si>
  <si>
    <t>48 Manor Road</t>
  </si>
  <si>
    <t>LIVERPOOL</t>
  </si>
  <si>
    <t>(462) 566-8729</t>
  </si>
  <si>
    <t>fukuchi@yahoo.com</t>
  </si>
  <si>
    <t>C0111</t>
  </si>
  <si>
    <t>Samanta Casandra Borrell Maestre</t>
  </si>
  <si>
    <t>L52 8LM</t>
  </si>
  <si>
    <t>217 Park Lane</t>
  </si>
  <si>
    <t>(661) 929-3370</t>
  </si>
  <si>
    <t>jshearer@mac.com</t>
  </si>
  <si>
    <t>C0112</t>
  </si>
  <si>
    <t>Emilia María Luisa Lluch Vives</t>
  </si>
  <si>
    <t>SUNDERLAND</t>
  </si>
  <si>
    <t>SR69 9RW</t>
  </si>
  <si>
    <t>(859) 862-4703</t>
  </si>
  <si>
    <t>phish@live.com</t>
  </si>
  <si>
    <t>C0113</t>
  </si>
  <si>
    <t>Esteban Guillén Mena</t>
  </si>
  <si>
    <t>33 York Road</t>
  </si>
  <si>
    <t>HUDDERSFIELD</t>
  </si>
  <si>
    <t>(415) 981-0636</t>
  </si>
  <si>
    <t>manuals@aol.com</t>
  </si>
  <si>
    <t>C0114</t>
  </si>
  <si>
    <t>Josué Rocha Juan</t>
  </si>
  <si>
    <t>HD3 3KR</t>
  </si>
  <si>
    <t>44 Alexander Road</t>
  </si>
  <si>
    <t>(563) 420-8118</t>
  </si>
  <si>
    <t>meder@outlook.com</t>
  </si>
  <si>
    <t>C0115</t>
  </si>
  <si>
    <t>Encarnación Alemán-Prats</t>
  </si>
  <si>
    <t>YORK</t>
  </si>
  <si>
    <t>YO59 8CP</t>
  </si>
  <si>
    <t>(462) 763-2017</t>
  </si>
  <si>
    <t>gomor@icloud.com</t>
  </si>
  <si>
    <t>C0116</t>
  </si>
  <si>
    <t>Celia Verdú</t>
  </si>
  <si>
    <t>24 Rock Maple Lane</t>
  </si>
  <si>
    <t>Santa Ana, CA 92707</t>
  </si>
  <si>
    <t>(701) 212-8508</t>
  </si>
  <si>
    <t>hauma@gmail.com</t>
  </si>
  <si>
    <t>C0117</t>
  </si>
  <si>
    <t>Espiridión del Viñas</t>
  </si>
  <si>
    <t>376 South Griffin Street</t>
  </si>
  <si>
    <t>Lancaster, CA 93535</t>
  </si>
  <si>
    <t>(714) 278-0966</t>
  </si>
  <si>
    <t>godeke@yahoo.ca</t>
  </si>
  <si>
    <t>C0118</t>
  </si>
  <si>
    <t>Melania Lobato-Mena</t>
  </si>
  <si>
    <t>7172 Halifax St.</t>
  </si>
  <si>
    <t>Huntington Beach, CA 92647</t>
  </si>
  <si>
    <t>(523) 677-7026</t>
  </si>
  <si>
    <t>jdhedden@mac.com</t>
  </si>
  <si>
    <t>C0119</t>
  </si>
  <si>
    <t>Sosimo Roig Bayo</t>
  </si>
  <si>
    <t>9530 Homewood St.</t>
  </si>
  <si>
    <t>Palmdale, CA 93550</t>
  </si>
  <si>
    <t>(615) 522-3616</t>
  </si>
  <si>
    <t>tbeck@gmail.com</t>
  </si>
  <si>
    <t>C0120</t>
  </si>
  <si>
    <t>Abel Carrasco-Belda</t>
  </si>
  <si>
    <t>3 Sunset Street</t>
  </si>
  <si>
    <t>Watsonville, CA 95076</t>
  </si>
  <si>
    <t>(497) 402-3196</t>
  </si>
  <si>
    <t>bryanw@outlook.com</t>
  </si>
  <si>
    <t>C0121</t>
  </si>
  <si>
    <t>Alicia Celestina Ibáñez Santana</t>
  </si>
  <si>
    <t>611 Linda Rd.</t>
  </si>
  <si>
    <t>El Cajon, CA 92021</t>
  </si>
  <si>
    <t>(624) 360-5381</t>
  </si>
  <si>
    <t>draper@me.com</t>
  </si>
  <si>
    <t>C0122</t>
  </si>
  <si>
    <t>Conrado Torre</t>
  </si>
  <si>
    <t>7088 South Woodland St.</t>
  </si>
  <si>
    <t>South San Francisco, CA 94080</t>
  </si>
  <si>
    <t>(417) 559-0451</t>
  </si>
  <si>
    <t>anicolao@optonline.net</t>
  </si>
  <si>
    <t>C0123</t>
  </si>
  <si>
    <t>Leoncio Pombo Nadal</t>
  </si>
  <si>
    <t>78 Hamilton St.</t>
  </si>
  <si>
    <t>Los Angeles, CA 90022</t>
  </si>
  <si>
    <t>(650) 230-0049</t>
  </si>
  <si>
    <t>mxiao@comcast.net</t>
  </si>
  <si>
    <t>C0124</t>
  </si>
  <si>
    <t>Marcia Tomas</t>
  </si>
  <si>
    <t>7576 S. Prince Ave.</t>
  </si>
  <si>
    <t>Compton, CA 90221</t>
  </si>
  <si>
    <t>(863) 238-8964</t>
  </si>
  <si>
    <t>mleary@yahoo.ca</t>
  </si>
  <si>
    <t>C0125</t>
  </si>
  <si>
    <t>Aurelia del Ocaña</t>
  </si>
  <si>
    <t>8678 Glen Eagles Rd.</t>
  </si>
  <si>
    <t>Los Angeles, CA 90042</t>
  </si>
  <si>
    <t>(340) 944-7011</t>
  </si>
  <si>
    <t>louise@comcast.net</t>
  </si>
  <si>
    <t>C0126</t>
  </si>
  <si>
    <t>Porfirio Cases Fabregat</t>
  </si>
  <si>
    <t>7487 College Rd.</t>
  </si>
  <si>
    <t>Carmichael, CA 95608</t>
  </si>
  <si>
    <t>(388) 447-0349</t>
  </si>
  <si>
    <t>solomon@gmail.com</t>
  </si>
  <si>
    <t>C0127</t>
  </si>
  <si>
    <t>Maristela Mármol</t>
  </si>
  <si>
    <t>8 Westminster Ave.</t>
  </si>
  <si>
    <t>Anaheim, CA 92805</t>
  </si>
  <si>
    <t>(562) 364-8454</t>
  </si>
  <si>
    <t>dgatwood@live.com</t>
  </si>
  <si>
    <t>C0128</t>
  </si>
  <si>
    <t>Leticia Azorin Cortina</t>
  </si>
  <si>
    <t>92 Brickell Drive</t>
  </si>
  <si>
    <t>Fountain Valley, CA 92708</t>
  </si>
  <si>
    <t>(332) 349-8146</t>
  </si>
  <si>
    <t>augusto@outlook.com</t>
  </si>
  <si>
    <t>C0129</t>
  </si>
  <si>
    <t>Régulo de Sacristán</t>
  </si>
  <si>
    <t>503 Delaware Street</t>
  </si>
  <si>
    <t>San Jose, CA 95123</t>
  </si>
  <si>
    <t>(286) 718-4373</t>
  </si>
  <si>
    <t>rafasgj@msn.com</t>
  </si>
  <si>
    <t>C0130</t>
  </si>
  <si>
    <t>Esteban del Múñiz</t>
  </si>
  <si>
    <t>34 Anderson Ave.</t>
  </si>
  <si>
    <t>Los Angeles, CA 90037</t>
  </si>
  <si>
    <t>(397) 693-0198</t>
  </si>
  <si>
    <t>solomon@yahoo.ca</t>
  </si>
  <si>
    <t>C0131</t>
  </si>
  <si>
    <t>Trinidad Exposito Abella</t>
  </si>
  <si>
    <t>8388 Water St.</t>
  </si>
  <si>
    <t>Bakersfield, CA 93309</t>
  </si>
  <si>
    <t>(874) 698-3563</t>
  </si>
  <si>
    <t>kildjean@aol.com</t>
  </si>
  <si>
    <t>C0132</t>
  </si>
  <si>
    <t>Pánfilo Ortiz Pardo</t>
  </si>
  <si>
    <t>373 Brickyard Avenue</t>
  </si>
  <si>
    <t>Tustin, CA 92780</t>
  </si>
  <si>
    <t>(633) 872-7554</t>
  </si>
  <si>
    <t>andersbr@att.net</t>
  </si>
  <si>
    <t>C0133</t>
  </si>
  <si>
    <t>Glauco Llorens Álvarez</t>
  </si>
  <si>
    <t>834 Yukon Lane</t>
  </si>
  <si>
    <t>Cupertino, CA 95014</t>
  </si>
  <si>
    <t>(799) 691-3758</t>
  </si>
  <si>
    <t>moonlapse@sbcglobal.net</t>
  </si>
  <si>
    <t>C0134</t>
  </si>
  <si>
    <t>Susanita Zaragoza Higueras</t>
  </si>
  <si>
    <t>8324 South St.</t>
  </si>
  <si>
    <t>Fremont, CA 94538</t>
  </si>
  <si>
    <t>(625) 240-8609</t>
  </si>
  <si>
    <t>schwaang@mac.com</t>
  </si>
  <si>
    <t>C0135</t>
  </si>
  <si>
    <t>Ileana Asunción Beltran Samper</t>
  </si>
  <si>
    <t>8 White Ave.</t>
  </si>
  <si>
    <t>Bakersfield, CA 93307</t>
  </si>
  <si>
    <t>(677) 815-4415</t>
  </si>
  <si>
    <t>geekoid@yahoo.ca</t>
  </si>
  <si>
    <t>C0136</t>
  </si>
  <si>
    <t>Chus Merino Casas</t>
  </si>
  <si>
    <t>907 Inverness Dr.</t>
  </si>
  <si>
    <t>North Hills, CA 91343</t>
  </si>
  <si>
    <t>(368) 227-4620</t>
  </si>
  <si>
    <t>plover@aol.com</t>
  </si>
  <si>
    <t>C0137</t>
  </si>
  <si>
    <t>Carmina Cervera</t>
  </si>
  <si>
    <t>12 Cypress Avenue</t>
  </si>
  <si>
    <t>San Pablo, CA 94806</t>
  </si>
  <si>
    <t>(930) 420-2085</t>
  </si>
  <si>
    <t>jhardin@hotmail.com</t>
  </si>
  <si>
    <t>C0138</t>
  </si>
  <si>
    <t>Curro Coello Izaguirre</t>
  </si>
  <si>
    <t>7313 Bohemia Street</t>
  </si>
  <si>
    <t>San Diego, CA 92117</t>
  </si>
  <si>
    <t>(883) 797-3367</t>
  </si>
  <si>
    <t>jdray@hotmail.com</t>
  </si>
  <si>
    <t>C0139</t>
  </si>
  <si>
    <t>Mario Roldán</t>
  </si>
  <si>
    <t>8518 Hilldale Lane</t>
  </si>
  <si>
    <t>Pomona, CA 91766</t>
  </si>
  <si>
    <t>(616) 916-4936</t>
  </si>
  <si>
    <t>euice@outlook.com</t>
  </si>
  <si>
    <t>C0140</t>
  </si>
  <si>
    <t>Jesusa Fuentes</t>
  </si>
  <si>
    <t>190 Sierra St.</t>
  </si>
  <si>
    <t>Paramount, CA 90723</t>
  </si>
  <si>
    <t>(406) 344-3322</t>
  </si>
  <si>
    <t>camenisch@yahoo.ca</t>
  </si>
  <si>
    <t>C0141</t>
  </si>
  <si>
    <t>Óscar Dominguez Mayol</t>
  </si>
  <si>
    <t>95 Studebaker Street</t>
  </si>
  <si>
    <t>Ontario, CA 91761</t>
  </si>
  <si>
    <t>(323) 771-5959</t>
  </si>
  <si>
    <t>lamky@hotmail.com</t>
  </si>
  <si>
    <t>C0142</t>
  </si>
  <si>
    <t>Angelino Contreras Pi</t>
  </si>
  <si>
    <t>1 Highland Ave.</t>
  </si>
  <si>
    <t>San Jose, CA 95122</t>
  </si>
  <si>
    <t>(898) 732-6602</t>
  </si>
  <si>
    <t>alastair@att.net</t>
  </si>
  <si>
    <t>C0143</t>
  </si>
  <si>
    <t>Rafa Camino Perelló</t>
  </si>
  <si>
    <t>5 West Henry Smith Street</t>
  </si>
  <si>
    <t>San Francisco, CA 94110</t>
  </si>
  <si>
    <t>(551) 404-1539</t>
  </si>
  <si>
    <t>british@comcast.net</t>
  </si>
  <si>
    <t>C0144</t>
  </si>
  <si>
    <t>Aura Vidal-Roma</t>
  </si>
  <si>
    <t>940 E. Primrose Ave.</t>
  </si>
  <si>
    <t>Laguna Niguel, CA 92677</t>
  </si>
  <si>
    <t>(488) 349-4237</t>
  </si>
  <si>
    <t>rddesign@icloud.com</t>
  </si>
  <si>
    <t>C0145</t>
  </si>
  <si>
    <t>Lara Jordana Ballester Lladó</t>
  </si>
  <si>
    <t>8304 Van Dyke Avenue</t>
  </si>
  <si>
    <t>Santa Ana, CA 92703</t>
  </si>
  <si>
    <t>(296) 444-2189</t>
  </si>
  <si>
    <t>heckerman@me.com</t>
  </si>
  <si>
    <t>C0146</t>
  </si>
  <si>
    <t>Aníbal Castelló Sarabia</t>
  </si>
  <si>
    <t>86 Bradford Rd.</t>
  </si>
  <si>
    <t>San Francisco, CA 94112</t>
  </si>
  <si>
    <t>(988) 961-4637</t>
  </si>
  <si>
    <t>rasca@verizon.net</t>
  </si>
  <si>
    <t>C0147</t>
  </si>
  <si>
    <t>Adriana Higueras Ribes</t>
  </si>
  <si>
    <t>3 Jefferson Dr.</t>
  </si>
  <si>
    <t>Van Nuys, CA 91406</t>
  </si>
  <si>
    <t>(486) 549-5020</t>
  </si>
  <si>
    <t>willg@sbcglobal.net</t>
  </si>
  <si>
    <t>C0148</t>
  </si>
  <si>
    <t>Ernesto Cuadrado Mesa</t>
  </si>
  <si>
    <t>79 Rocky River Ave.</t>
  </si>
  <si>
    <t>Reseda, CA 91335</t>
  </si>
  <si>
    <t>(868) 892-8961</t>
  </si>
  <si>
    <t>bryam@verizon.net</t>
  </si>
  <si>
    <t>C0149</t>
  </si>
  <si>
    <t>Estela Ponce-Losada</t>
  </si>
  <si>
    <t>38 Johnson St.</t>
  </si>
  <si>
    <t>Fremont, CA 94536</t>
  </si>
  <si>
    <t>(473) 875-0023</t>
  </si>
  <si>
    <t>padme@hotmail.com</t>
  </si>
  <si>
    <t>C0150</t>
  </si>
  <si>
    <t>Luis Miguel del Tapia</t>
  </si>
  <si>
    <t>7652 West Wakehurst Drive</t>
  </si>
  <si>
    <t>Garden Grove, CA 92840</t>
  </si>
  <si>
    <t>(700) 958-6128</t>
  </si>
  <si>
    <t>damian@hotmail.com</t>
  </si>
  <si>
    <t>C0151</t>
  </si>
  <si>
    <t>Elpidio Agullo Tejero</t>
  </si>
  <si>
    <t>7075 Lake Forest Rd.</t>
  </si>
  <si>
    <t>Bellflower, CA 90706</t>
  </si>
  <si>
    <t>(696) 679-7702</t>
  </si>
  <si>
    <t>tangsh@me.com</t>
  </si>
  <si>
    <t>C0152</t>
  </si>
  <si>
    <t>María Carmen Ródenas Acosta</t>
  </si>
  <si>
    <t>619 Pleasant St.</t>
  </si>
  <si>
    <t>Lynwood, CA 90262</t>
  </si>
  <si>
    <t>(250) 248-4300</t>
  </si>
  <si>
    <t>yamla@outlook.com</t>
  </si>
  <si>
    <t>C0153</t>
  </si>
  <si>
    <t>Lucas Vendrell Valverde</t>
  </si>
  <si>
    <t>8026 New Saddle St.</t>
  </si>
  <si>
    <t>San Diego, CA 92105</t>
  </si>
  <si>
    <t>(834) 508-9490</t>
  </si>
  <si>
    <t>rbarreira@optonline.net</t>
  </si>
  <si>
    <t>C0154</t>
  </si>
  <si>
    <t>Gerardo Tomé Real</t>
  </si>
  <si>
    <t>275 Rock Maple Avenue</t>
  </si>
  <si>
    <t>Huntington Beach, CA 92646</t>
  </si>
  <si>
    <t>(503) 283-5457</t>
  </si>
  <si>
    <t>jrifkin@verizon.net</t>
  </si>
  <si>
    <t>C0155</t>
  </si>
  <si>
    <t>Elías Sacristán Vázquez</t>
  </si>
  <si>
    <t>404 Railroad St.</t>
  </si>
  <si>
    <t>Oxnard, CA 93030</t>
  </si>
  <si>
    <t>(461) 976-3596</t>
  </si>
  <si>
    <t>dmouse@sbcglobal.net</t>
  </si>
  <si>
    <t>C0156</t>
  </si>
  <si>
    <t>Victoriano Valencia Coloma</t>
  </si>
  <si>
    <t>441 Court Dr.</t>
  </si>
  <si>
    <t>Sunnyvale, CA 94087</t>
  </si>
  <si>
    <t>(398) 272-4739</t>
  </si>
  <si>
    <t>tubajon@comcast.net</t>
  </si>
  <si>
    <t>C0157</t>
  </si>
  <si>
    <t>Vera Ribes-Cases</t>
  </si>
  <si>
    <t>9 South Theatre Ave.</t>
  </si>
  <si>
    <t>Sacramento, CA 95828</t>
  </si>
  <si>
    <t>(279) 586-2100</t>
  </si>
  <si>
    <t>tjensen@att.net</t>
  </si>
  <si>
    <t>C0158</t>
  </si>
  <si>
    <t>Ligia Moya Calleja</t>
  </si>
  <si>
    <t>674 Van Dyke Drive</t>
  </si>
  <si>
    <t>Pittsburg, CA 94565</t>
  </si>
  <si>
    <t>(988) 433-7129</t>
  </si>
  <si>
    <t>tristan@live.com</t>
  </si>
  <si>
    <t>C0159</t>
  </si>
  <si>
    <t>Evangelina Barragán Castell</t>
  </si>
  <si>
    <t>234 W. Riverside St.</t>
  </si>
  <si>
    <t>South Gate, CA 90280</t>
  </si>
  <si>
    <t>(357) 352-8928</t>
  </si>
  <si>
    <t>crandall@sbcglobal.net</t>
  </si>
  <si>
    <t>C0160</t>
  </si>
  <si>
    <t>Florencia Domitila Castell Mendizábal</t>
  </si>
  <si>
    <t>916 E. Cactus Ave.</t>
  </si>
  <si>
    <t>Indio, CA 92201</t>
  </si>
  <si>
    <t>(240) 852-8613</t>
  </si>
  <si>
    <t>bester@outlook.com</t>
  </si>
  <si>
    <t>C0161</t>
  </si>
  <si>
    <t>Javier Arellano-Murcia</t>
  </si>
  <si>
    <t>218 Lake St.</t>
  </si>
  <si>
    <t>Vallejo, CA 94591</t>
  </si>
  <si>
    <t>(403) 855-3645</t>
  </si>
  <si>
    <t>world@yahoo.ca</t>
  </si>
  <si>
    <t>C0162</t>
  </si>
  <si>
    <t>Aurelia Sans Oller</t>
  </si>
  <si>
    <t>861 Oakland St.</t>
  </si>
  <si>
    <t>Chula Vista, CA 91911</t>
  </si>
  <si>
    <t>(593) 356-1838</t>
  </si>
  <si>
    <t>staikos@sbcglobal.net</t>
  </si>
  <si>
    <t>C0163</t>
  </si>
  <si>
    <t>Teodora Jerez Tormo</t>
  </si>
  <si>
    <t>8356 Bank Ave.</t>
  </si>
  <si>
    <t>Chula Vista, CA 91910</t>
  </si>
  <si>
    <t>(433) 213-5953</t>
  </si>
  <si>
    <t>C0164</t>
  </si>
  <si>
    <t>Cornelio Noguera Lluch</t>
  </si>
  <si>
    <t>9754 Brookside Street</t>
  </si>
  <si>
    <t>Sacramento, CA 95823</t>
  </si>
  <si>
    <t>(669) 290-1610</t>
  </si>
  <si>
    <t>paulv@sbcglobal.net</t>
  </si>
  <si>
    <t>C0165</t>
  </si>
  <si>
    <t>Carla Serna Montalbán</t>
  </si>
  <si>
    <t>8718 Chapel Drive</t>
  </si>
  <si>
    <t>Rosemead, CA 91770</t>
  </si>
  <si>
    <t>(472) 605-7532</t>
  </si>
  <si>
    <t>jgmyers@sbcglobal.net</t>
  </si>
  <si>
    <t>C0166</t>
  </si>
  <si>
    <t>Macarena Valeria Feliu Mayol</t>
  </si>
  <si>
    <t>9029 Bellevue Drive</t>
  </si>
  <si>
    <t>San Bernardino, CA 92404</t>
  </si>
  <si>
    <t>(287) 839-5879</t>
  </si>
  <si>
    <t>josephw@hotmail.com</t>
  </si>
  <si>
    <t>C0167</t>
  </si>
  <si>
    <t>Jacinta Paz Domingo Rivas</t>
  </si>
  <si>
    <t>277 Halifax Dr.</t>
  </si>
  <si>
    <t>Colton, CA 92324</t>
  </si>
  <si>
    <t>(622) 903-6022</t>
  </si>
  <si>
    <t>sopwith@att.net</t>
  </si>
  <si>
    <t>C0168</t>
  </si>
  <si>
    <t>Victor Manuel Tejedor Nevado</t>
  </si>
  <si>
    <t>7889 Chapel Street</t>
  </si>
  <si>
    <t>Ontario, CA 91762</t>
  </si>
  <si>
    <t>(797) 421-8320</t>
  </si>
  <si>
    <t>sharon@att.net</t>
  </si>
  <si>
    <t>C0169</t>
  </si>
  <si>
    <t>Blanca Molina Francisco</t>
  </si>
  <si>
    <t>487 East 6th St.</t>
  </si>
  <si>
    <t>Canyon Country, CA 91351</t>
  </si>
  <si>
    <t>(478) 658-1534</t>
  </si>
  <si>
    <t>ntegrity@msn.com</t>
  </si>
  <si>
    <t>C0170</t>
  </si>
  <si>
    <t>Jonatan Fonseca Quevedo</t>
  </si>
  <si>
    <t>51 Coffee St.</t>
  </si>
  <si>
    <t>Oxnard, CA 93033</t>
  </si>
  <si>
    <t>(671) 615-3675</t>
  </si>
  <si>
    <t>dgriffith@aol.com</t>
  </si>
  <si>
    <t>C0171</t>
  </si>
  <si>
    <t>Humberto Vila</t>
  </si>
  <si>
    <t>9586 Sycamore Dr.</t>
  </si>
  <si>
    <t>Livermore, CA 94550</t>
  </si>
  <si>
    <t>(713) 795-1422</t>
  </si>
  <si>
    <t>qrczak@verizon.net</t>
  </si>
  <si>
    <t>C0172</t>
  </si>
  <si>
    <t>Isaura Fuentes Guardiola</t>
  </si>
  <si>
    <t>801 SW. Prairie St.</t>
  </si>
  <si>
    <t>Cerritos, CA 90703</t>
  </si>
  <si>
    <t>(201) 705-6808</t>
  </si>
  <si>
    <t>bruck@live.com</t>
  </si>
  <si>
    <t>C0173</t>
  </si>
  <si>
    <t>Rufina Vargas Andres</t>
  </si>
  <si>
    <t>830 High Point Court</t>
  </si>
  <si>
    <t>Hayward, CA 94544</t>
  </si>
  <si>
    <t>(322) 327-1204</t>
  </si>
  <si>
    <t>C0174</t>
  </si>
  <si>
    <t>Reinaldo Barral Lago</t>
  </si>
  <si>
    <t>791 Silver Spear Street</t>
  </si>
  <si>
    <t>National City, CA 91950</t>
  </si>
  <si>
    <t>(644) 469-5761</t>
  </si>
  <si>
    <t>mjewell@comcast.net</t>
  </si>
  <si>
    <t>C0175</t>
  </si>
  <si>
    <t>Jose Ignacio Vila-Rios</t>
  </si>
  <si>
    <t>8882 Old Smith Ave.</t>
  </si>
  <si>
    <t>Oceanside, CA 92056</t>
  </si>
  <si>
    <t>(674) 440-0703</t>
  </si>
  <si>
    <t>daveed@optonline.net</t>
  </si>
  <si>
    <t>C0176</t>
  </si>
  <si>
    <t>Roberto Cánovas Segura</t>
  </si>
  <si>
    <t>970 Myers Street</t>
  </si>
  <si>
    <t>Oceanside, CA 92054</t>
  </si>
  <si>
    <t>(640) 568-2625</t>
  </si>
  <si>
    <t>quantaman@hotmail.com</t>
  </si>
  <si>
    <t>C0177</t>
  </si>
  <si>
    <t>Rómulo Ortega-Giner</t>
  </si>
  <si>
    <t>948 Railroad Avenue</t>
  </si>
  <si>
    <t>Unit 2</t>
  </si>
  <si>
    <t>(409) 889-4836</t>
  </si>
  <si>
    <t>szymansk@gmail.com</t>
  </si>
  <si>
    <t>C0178</t>
  </si>
  <si>
    <t>Gastón Leon Solana</t>
  </si>
  <si>
    <t>San Diego, CA 92114</t>
  </si>
  <si>
    <t>7069 Andover St.</t>
  </si>
  <si>
    <t>(359) 210-8594</t>
  </si>
  <si>
    <t>jemarch@yahoo.ca</t>
  </si>
  <si>
    <t>C0179</t>
  </si>
  <si>
    <t>Emilia Jove-Ropero</t>
  </si>
  <si>
    <t>Pico Rivera, CA 90660</t>
  </si>
  <si>
    <t>81 Morris Drive</t>
  </si>
  <si>
    <t>(474) 494-9364</t>
  </si>
  <si>
    <t>rhialto@msn.com</t>
  </si>
  <si>
    <t>C0180</t>
  </si>
  <si>
    <t>Calixto Pinedo Torrijos</t>
  </si>
  <si>
    <t>Los Angeles, CA 90001</t>
  </si>
  <si>
    <t>8785 Marconi Road</t>
  </si>
  <si>
    <t>(681) 820-0747</t>
  </si>
  <si>
    <t>flakeg@comcast.net</t>
  </si>
  <si>
    <t>C0181</t>
  </si>
  <si>
    <t>Ciro Ledesma Bru</t>
  </si>
  <si>
    <t>Modesto, CA 95350</t>
  </si>
  <si>
    <t>632 Manor Ave.</t>
  </si>
  <si>
    <t>(921) 657-7404</t>
  </si>
  <si>
    <t>rnewman@optonline.net</t>
  </si>
  <si>
    <t>C0182</t>
  </si>
  <si>
    <t>Dora del Segarra</t>
  </si>
  <si>
    <t>Simi Valley, CA 93065</t>
  </si>
  <si>
    <t>51 College Street</t>
  </si>
  <si>
    <t>(451) 889-2527</t>
  </si>
  <si>
    <t>jshearer@yahoo.ca</t>
  </si>
  <si>
    <t>C0183</t>
  </si>
  <si>
    <t>Juan Bautista de Salazar</t>
  </si>
  <si>
    <t>Los Angeles, CA 90004</t>
  </si>
  <si>
    <t>198 Ramblewood Drive</t>
  </si>
  <si>
    <t>(487) 654-5535</t>
  </si>
  <si>
    <t>tubesteak@msn.com</t>
  </si>
  <si>
    <t>C0184</t>
  </si>
  <si>
    <t>Narciso del Anaya</t>
  </si>
  <si>
    <t>Folsom, CA 95630</t>
  </si>
  <si>
    <t>13 E. Walnut St.</t>
  </si>
  <si>
    <t>(243) 692-9341</t>
  </si>
  <si>
    <t>jsnover@gmail.com</t>
  </si>
  <si>
    <t>C0185</t>
  </si>
  <si>
    <t>Martirio Reina Malo Alonso</t>
  </si>
  <si>
    <t>Tulare, CA 93274</t>
  </si>
  <si>
    <t>7792 Anderson Lane</t>
  </si>
  <si>
    <t>(726) 607-0923</t>
  </si>
  <si>
    <t>chrwin@live.com</t>
  </si>
  <si>
    <t>C0186</t>
  </si>
  <si>
    <t>Maximiliano Maestre Mendizábal</t>
  </si>
  <si>
    <t>San Francisco, CA 94109</t>
  </si>
  <si>
    <t>7728 Mayfield Drive</t>
  </si>
  <si>
    <t>(861) 258-0892</t>
  </si>
  <si>
    <t>jadavis@msn.com</t>
  </si>
  <si>
    <t>C0187</t>
  </si>
  <si>
    <t>Noa Dominguez-Llorente</t>
  </si>
  <si>
    <t>Tracy, CA 95376</t>
  </si>
  <si>
    <t>8704 Thatcher St.</t>
  </si>
  <si>
    <t>(514) 904-4726</t>
  </si>
  <si>
    <t>stevelim@gmail.com</t>
  </si>
  <si>
    <t>C0188</t>
  </si>
  <si>
    <t>Miguel Mur Cruz</t>
  </si>
  <si>
    <t>Los Angeles, CA 90066</t>
  </si>
  <si>
    <t>9160 Mammoth Ave.</t>
  </si>
  <si>
    <t>(829) 721-4200</t>
  </si>
  <si>
    <t>zavadsky@verizon.net</t>
  </si>
  <si>
    <t>C0189</t>
  </si>
  <si>
    <t>Gala Gimenez-Lasa</t>
  </si>
  <si>
    <t>Riverside, CA 92509</t>
  </si>
  <si>
    <t>8652 Arlington Drive</t>
  </si>
  <si>
    <t>(983) 385-7043</t>
  </si>
  <si>
    <t>mobileip@comcast.net</t>
  </si>
  <si>
    <t>C0190</t>
  </si>
  <si>
    <t>Saturnino Palacios Lamas</t>
  </si>
  <si>
    <t>Los Angeles, CA 90026</t>
  </si>
  <si>
    <t>9048 Birchwood Avenue</t>
  </si>
  <si>
    <t>(223) 360-1632</t>
  </si>
  <si>
    <t>lauronen@icloud.com</t>
  </si>
  <si>
    <t>C0191</t>
  </si>
  <si>
    <t>Ariel Castellanos Bauzà</t>
  </si>
  <si>
    <t>Fairfield, CA 94533</t>
  </si>
  <si>
    <t>35 Charles St.</t>
  </si>
  <si>
    <t>(412) 836-0738</t>
  </si>
  <si>
    <t>matty@att.net</t>
  </si>
  <si>
    <t>C0192</t>
  </si>
  <si>
    <t>Trinidad Salas Gimenez</t>
  </si>
  <si>
    <t>Sylmar, CA 91342</t>
  </si>
  <si>
    <t>634 Theatre Street</t>
  </si>
  <si>
    <t>(238) 664-3657</t>
  </si>
  <si>
    <t>simone@mac.com</t>
  </si>
  <si>
    <t>C0193</t>
  </si>
  <si>
    <t>Adalberto del Seco</t>
  </si>
  <si>
    <t>Daly City, CA 94015</t>
  </si>
  <si>
    <t>436 Ketch Harbour Street</t>
  </si>
  <si>
    <t>(759) 680-2696</t>
  </si>
  <si>
    <t>claesjac@verizon.net</t>
  </si>
  <si>
    <t>C0194</t>
  </si>
  <si>
    <t>Eustaquio Palacios Francisco</t>
  </si>
  <si>
    <t>Van Nuys, CA 91405</t>
  </si>
  <si>
    <t>19 Strawberry Street</t>
  </si>
  <si>
    <t>(395) 780-5461</t>
  </si>
  <si>
    <t>goldberg@yahoo.com</t>
  </si>
  <si>
    <t>C0195</t>
  </si>
  <si>
    <t>Susana Castro Ruiz</t>
  </si>
  <si>
    <t>Victorville, CA 92392</t>
  </si>
  <si>
    <t>48 Fairfield Lane</t>
  </si>
  <si>
    <t>(372) 818-3567</t>
  </si>
  <si>
    <t>lahvak@aol.com</t>
  </si>
  <si>
    <t>C0196</t>
  </si>
  <si>
    <t>Emelina Melisa Palau Seco</t>
  </si>
  <si>
    <t>San Pedro, CA 90731</t>
  </si>
  <si>
    <t>9814 Primrose Street</t>
  </si>
  <si>
    <t>(935) 960-4873</t>
  </si>
  <si>
    <t>jipsen@sbcglobal.net</t>
  </si>
  <si>
    <t>C0197</t>
  </si>
  <si>
    <t>Sandalio Baeza Grande</t>
  </si>
  <si>
    <t>San Diego, CA 92115</t>
  </si>
  <si>
    <t>8053 Jennings St.</t>
  </si>
  <si>
    <t>(971) 288-1186</t>
  </si>
  <si>
    <t>elmer@mac.com</t>
  </si>
  <si>
    <t>C0198</t>
  </si>
  <si>
    <t>Gregorio Guerrero Palomino</t>
  </si>
  <si>
    <t>Rancho Cucamonga, CA 91730</t>
  </si>
  <si>
    <t>82 Bear Hill Ave.</t>
  </si>
  <si>
    <t>(994) 447-4889</t>
  </si>
  <si>
    <t>sisyphus@icloud.com</t>
  </si>
  <si>
    <t>C0199</t>
  </si>
  <si>
    <t>Socorro de Higueras</t>
  </si>
  <si>
    <t>Union City, CA 94587</t>
  </si>
  <si>
    <t>9428 3rd Ave.</t>
  </si>
  <si>
    <t>(232) 476-5035</t>
  </si>
  <si>
    <t>stefano@verizon.net</t>
  </si>
  <si>
    <t>C0200</t>
  </si>
  <si>
    <t>Otilia Viana Torres</t>
  </si>
  <si>
    <t>Montebello, CA 90640</t>
  </si>
  <si>
    <t>83 Front Ave.</t>
  </si>
  <si>
    <t>(288) 574-6749</t>
  </si>
  <si>
    <t>muzzy@aol.com</t>
  </si>
  <si>
    <t>C0201</t>
  </si>
  <si>
    <t>Luís Guzman Alsina</t>
  </si>
  <si>
    <t>San Francisco, CA 94122</t>
  </si>
  <si>
    <t>71 Wakehurst Drive</t>
  </si>
  <si>
    <t>(969) 763-9226</t>
  </si>
  <si>
    <t>bmidd@att.net</t>
  </si>
  <si>
    <t>C0202</t>
  </si>
  <si>
    <t>Julie Rosa Lumbreras</t>
  </si>
  <si>
    <t>Costa Mesa, CA 92627</t>
  </si>
  <si>
    <t>715 Redwood Dr.</t>
  </si>
  <si>
    <t>(732) 708-8561</t>
  </si>
  <si>
    <t>dhrakar@outlook.com</t>
  </si>
  <si>
    <t>C0203</t>
  </si>
  <si>
    <t>Samu Paulino Fabra Galvez</t>
  </si>
  <si>
    <t>Long Beach, CA 90813</t>
  </si>
  <si>
    <t>316 Ohio St.</t>
  </si>
  <si>
    <t>(314) 254-1244</t>
  </si>
  <si>
    <t>openldap@mac.com</t>
  </si>
  <si>
    <t>C0204</t>
  </si>
  <si>
    <t>Vicente Egea Sanchez</t>
  </si>
  <si>
    <t>Anaheim, CA 92801</t>
  </si>
  <si>
    <t>9185 Mechanic St.</t>
  </si>
  <si>
    <t>(460) 682-5923</t>
  </si>
  <si>
    <t>dmath@live.com</t>
  </si>
  <si>
    <t>C0205</t>
  </si>
  <si>
    <t>Juan Carlos del Cordero</t>
  </si>
  <si>
    <t>Alameda, CA 94501</t>
  </si>
  <si>
    <t>7371 Wrangler Street</t>
  </si>
  <si>
    <t>(200) 565-5639</t>
  </si>
  <si>
    <t>dobey@msn.com</t>
  </si>
  <si>
    <t>C0206</t>
  </si>
  <si>
    <t>Carla Blanes España</t>
  </si>
  <si>
    <t>Oakland, CA 94601</t>
  </si>
  <si>
    <t>72 St Paul Ave.</t>
  </si>
  <si>
    <t>(357) 769-3070</t>
  </si>
  <si>
    <t>rbarreira@icloud.com</t>
  </si>
  <si>
    <t>C0207</t>
  </si>
  <si>
    <t>Toribio Herranz Jurado</t>
  </si>
  <si>
    <t>Long Beach, CA 90805</t>
  </si>
  <si>
    <t>67 William Drive</t>
  </si>
  <si>
    <t>(587) 626-3175</t>
  </si>
  <si>
    <t>gilmoure@live.com</t>
  </si>
  <si>
    <t>C0208</t>
  </si>
  <si>
    <t>América Rosell Ferrándiz</t>
  </si>
  <si>
    <t>Merced, CA 95340</t>
  </si>
  <si>
    <t>7732 Cobblestone Lane</t>
  </si>
  <si>
    <t>(465) 293-1802</t>
  </si>
  <si>
    <t>grady@verizon.net</t>
  </si>
  <si>
    <t>C0209</t>
  </si>
  <si>
    <t>Inés Calderon Suarez</t>
  </si>
  <si>
    <t>Huntington Park, CA 90255</t>
  </si>
  <si>
    <t>78 Summer Street</t>
  </si>
  <si>
    <t>(709) 815-7677</t>
  </si>
  <si>
    <t>sekiya@gmail.com</t>
  </si>
  <si>
    <t>C0210</t>
  </si>
  <si>
    <t>Trinidad Leiva Ribera</t>
  </si>
  <si>
    <t>San Jose, CA 95111</t>
  </si>
  <si>
    <t>9268 NE. Lookout Drive</t>
  </si>
  <si>
    <t>(605) 810-1781</t>
  </si>
  <si>
    <t>dogdude@yahoo.com</t>
  </si>
  <si>
    <t>C0211</t>
  </si>
  <si>
    <t>Luisa Saldaña Piñeiro</t>
  </si>
  <si>
    <t>Santa Ana, CA 92704</t>
  </si>
  <si>
    <t>9551 Talbot Ave.</t>
  </si>
  <si>
    <t>(256) 681-2246</t>
  </si>
  <si>
    <t>sfoskett@att.net</t>
  </si>
  <si>
    <t>C0212</t>
  </si>
  <si>
    <t>Yago Diez Meléndez</t>
  </si>
  <si>
    <t>Spring Valley, CA 91977</t>
  </si>
  <si>
    <t>82 Edgewood Ave.</t>
  </si>
  <si>
    <t>(304) 471-5232</t>
  </si>
  <si>
    <t>C0213</t>
  </si>
  <si>
    <t>Alberto Rius Rius</t>
  </si>
  <si>
    <t>Salinas, CA 93905</t>
  </si>
  <si>
    <t>63 East Penn St.</t>
  </si>
  <si>
    <t>(411) 283-4519</t>
  </si>
  <si>
    <t>singer@mac.com</t>
  </si>
  <si>
    <t>C0214</t>
  </si>
  <si>
    <t>Beatriz Jimenez Antón</t>
  </si>
  <si>
    <t>La Habra, CA 90631</t>
  </si>
  <si>
    <t>1 Spruce Street</t>
  </si>
  <si>
    <t>(442) 496-8157</t>
  </si>
  <si>
    <t>pereinar@mac.com</t>
  </si>
  <si>
    <t>C0215</t>
  </si>
  <si>
    <t>Adolfo Gaya Canales</t>
  </si>
  <si>
    <t>Fontana, CA 92336</t>
  </si>
  <si>
    <t>78 Devon St.</t>
  </si>
  <si>
    <t>(205) 909-7964</t>
  </si>
  <si>
    <t>jfreedma@comcast.net</t>
  </si>
  <si>
    <t>C0216</t>
  </si>
  <si>
    <t>Teófilo de Nuñez</t>
  </si>
  <si>
    <t>Georgetown, ON L7G 9Y7</t>
  </si>
  <si>
    <t>425 Cherry Hill Court</t>
  </si>
  <si>
    <t>(730) 534-7609</t>
  </si>
  <si>
    <t>hampton@outlook.com</t>
  </si>
  <si>
    <t>C0217</t>
  </si>
  <si>
    <t>Bruno Cabezas Cordero</t>
  </si>
  <si>
    <t>Donnacona, QC G3M 1C3</t>
  </si>
  <si>
    <t>900 Charles Lane</t>
  </si>
  <si>
    <t>(770) 286-4391</t>
  </si>
  <si>
    <t>attwood@yahoo.com</t>
  </si>
  <si>
    <t>C0218</t>
  </si>
  <si>
    <t>Pepe Juanito Adán Anaya</t>
  </si>
  <si>
    <t>Manotick, ON K4M 6S8</t>
  </si>
  <si>
    <t>316 East Oak Meadow Court</t>
  </si>
  <si>
    <t>(732) 906-0070</t>
  </si>
  <si>
    <t>howler@mac.com</t>
  </si>
  <si>
    <t>C0219</t>
  </si>
  <si>
    <t>Isabela Solé Nuñez</t>
  </si>
  <si>
    <t>Essex, ON N0R 2G6</t>
  </si>
  <si>
    <t>407 Lafayette Court</t>
  </si>
  <si>
    <t>(943) 428-2313</t>
  </si>
  <si>
    <t>quantaman@icloud.com</t>
  </si>
  <si>
    <t>C0220</t>
  </si>
  <si>
    <t>Amaya Izquierdo Gonzalo</t>
  </si>
  <si>
    <t>Lockport, MB R1B 5H9</t>
  </si>
  <si>
    <t>17 Euclid Rd.</t>
  </si>
  <si>
    <t>(785) 951-2152</t>
  </si>
  <si>
    <t>tellis@gmail.com</t>
  </si>
  <si>
    <t>C0221</t>
  </si>
  <si>
    <t>Gervasio del Galán</t>
  </si>
  <si>
    <t>Bonnyville, AB T9N 2P9</t>
  </si>
  <si>
    <t>821 Surrey St.</t>
  </si>
  <si>
    <t>(406) 847-9870</t>
  </si>
  <si>
    <t>jguyer@verizon.net</t>
  </si>
  <si>
    <t>C0222</t>
  </si>
  <si>
    <t>Isaac Pujol-Yáñez</t>
  </si>
  <si>
    <t>Petit-Rocher, NB E8J 4K5</t>
  </si>
  <si>
    <t>714 Depot St.</t>
  </si>
  <si>
    <t>(965) 911-5076</t>
  </si>
  <si>
    <t>adhere@icloud.com</t>
  </si>
  <si>
    <t>C0223</t>
  </si>
  <si>
    <t>Valerio Valentín Céspedes</t>
  </si>
  <si>
    <t>Farnham, QC J2N 4J1</t>
  </si>
  <si>
    <t>82 Clark Ave.</t>
  </si>
  <si>
    <t>(599) 327-2008</t>
  </si>
  <si>
    <t>jaarnial@verizon.net</t>
  </si>
  <si>
    <t>C0224</t>
  </si>
  <si>
    <t>Cleto Benito Mendizábal</t>
  </si>
  <si>
    <t>Winnipeg, MB R2C 4A3</t>
  </si>
  <si>
    <t>9949 Dogwood Ave.</t>
  </si>
  <si>
    <t>(656) 470-6146</t>
  </si>
  <si>
    <t>plover@live.com</t>
  </si>
  <si>
    <t>C0225</t>
  </si>
  <si>
    <t>Erasmo Cabeza Martinez</t>
  </si>
  <si>
    <t>Saint-Raymond, QC G3L 7P7</t>
  </si>
  <si>
    <t>9 Kingston Lane</t>
  </si>
  <si>
    <t>(327) 329-5055</t>
  </si>
  <si>
    <t>wortmanj@verizon.net</t>
  </si>
  <si>
    <t>C0226</t>
  </si>
  <si>
    <t>Quirino Rosario Vázquez Carvajal</t>
  </si>
  <si>
    <t>St. George, NB E5C 6A9</t>
  </si>
  <si>
    <t>652 Old Tower Lane</t>
  </si>
  <si>
    <t>(208) 903-9126</t>
  </si>
  <si>
    <t>violinhi@aol.com</t>
  </si>
  <si>
    <t>C0227</t>
  </si>
  <si>
    <t>Marcos Alcántara Codina</t>
  </si>
  <si>
    <t>Port Moody, BC V3H 3N3</t>
  </si>
  <si>
    <t>1 Trusel Lane</t>
  </si>
  <si>
    <t>(440) 419-1193</t>
  </si>
  <si>
    <t>uncle@sbcglobal.net</t>
  </si>
  <si>
    <t>C0228</t>
  </si>
  <si>
    <t>Paloma Abascal Lledó</t>
  </si>
  <si>
    <t>Delhi, ON N4B 2V1</t>
  </si>
  <si>
    <t>81 Canterbury Street</t>
  </si>
  <si>
    <t>(357) 843-1297</t>
  </si>
  <si>
    <t>krueger@icloud.com</t>
  </si>
  <si>
    <t>C0229</t>
  </si>
  <si>
    <t>Ana Sofía Nadal-Campo</t>
  </si>
  <si>
    <t>Oromocto, NB E2V 6A5</t>
  </si>
  <si>
    <t>1 Westminster Street</t>
  </si>
  <si>
    <t>(726) 820-4884</t>
  </si>
  <si>
    <t>daveewart@optonline.net</t>
  </si>
  <si>
    <t>C0230</t>
  </si>
  <si>
    <t>Estela Cases Peral</t>
  </si>
  <si>
    <t>Belledune, NB E8G 4R8</t>
  </si>
  <si>
    <t>83 Beaver Ridge Ave.</t>
  </si>
  <si>
    <t>(741) 507-6188</t>
  </si>
  <si>
    <t>firstpr@aol.com</t>
  </si>
  <si>
    <t>C0231</t>
  </si>
  <si>
    <t>Borja Díez-Zorrilla</t>
  </si>
  <si>
    <t>Bouctouche, NB E4S 8M3</t>
  </si>
  <si>
    <t>170 Devonshire St.</t>
  </si>
  <si>
    <t>(847) 529-3256</t>
  </si>
  <si>
    <t>trieuvan@sbcglobal.net</t>
  </si>
  <si>
    <t>C0232</t>
  </si>
  <si>
    <t>Eva María de Bertrán</t>
  </si>
  <si>
    <t>Caledon, ON L7C 9T6</t>
  </si>
  <si>
    <t>7489 Central Drive</t>
  </si>
  <si>
    <t>(622) 751-8803</t>
  </si>
  <si>
    <t>tbusch@gmail.com</t>
  </si>
  <si>
    <t>C0233</t>
  </si>
  <si>
    <t>Elena del Tomé</t>
  </si>
  <si>
    <t>Buena Vista, SK S2V 1L1</t>
  </si>
  <si>
    <t>72 Wild Rose Circle</t>
  </si>
  <si>
    <t>(681) 720-0173</t>
  </si>
  <si>
    <t>yfreund@me.com</t>
  </si>
  <si>
    <t>C0234</t>
  </si>
  <si>
    <t>Iván de Manzanares</t>
  </si>
  <si>
    <t>Digby Neck, NS B0V 8H6</t>
  </si>
  <si>
    <t>9562 South Forest Drive</t>
  </si>
  <si>
    <t>(947) 794-9523</t>
  </si>
  <si>
    <t>jfmulder@mac.com</t>
  </si>
  <si>
    <t>C0235</t>
  </si>
  <si>
    <t>Adelina Roma Feijoo</t>
  </si>
  <si>
    <t>Outaouais-Sud, QC J0X 9K0</t>
  </si>
  <si>
    <t>94 Tallwood Avenue</t>
  </si>
  <si>
    <t>(697) 343-2772</t>
  </si>
  <si>
    <t>parrt@mac.com</t>
  </si>
  <si>
    <t>C0236</t>
  </si>
  <si>
    <t>Joel Estévez</t>
  </si>
  <si>
    <t>Wetaskiwin, AB T9A 7X8</t>
  </si>
  <si>
    <t>381 Clay Rd.</t>
  </si>
  <si>
    <t>(864) 686-9890</t>
  </si>
  <si>
    <t>wiseb@aol.com</t>
  </si>
  <si>
    <t>C0237</t>
  </si>
  <si>
    <t>Úrsula Anabel Expósito Vazquez</t>
  </si>
  <si>
    <t>Steinbach, MB R5G 1B0</t>
  </si>
  <si>
    <t>22 Fieldstone Dr.</t>
  </si>
  <si>
    <t>(259) 588-3616</t>
  </si>
  <si>
    <t>barnett@outlook.com</t>
  </si>
  <si>
    <t>C0238</t>
  </si>
  <si>
    <t>Manuelita Gilabert Manjón</t>
  </si>
  <si>
    <t>La Sarre, QC J9Z 2V9</t>
  </si>
  <si>
    <t>988 Bohemia Dr.</t>
  </si>
  <si>
    <t>(711) 535-5569</t>
  </si>
  <si>
    <t>barlow@yahoo.com</t>
  </si>
  <si>
    <t>C0239</t>
  </si>
  <si>
    <t>Amparo Galván Polo</t>
  </si>
  <si>
    <t>Apohaqui, NB E5P 9G5</t>
  </si>
  <si>
    <t>7582 Lyme Ave.</t>
  </si>
  <si>
    <t>(390) 414-6347</t>
  </si>
  <si>
    <t>telbij@hotmail.com</t>
  </si>
  <si>
    <t>C0240</t>
  </si>
  <si>
    <t>Amparo del Ayuso</t>
  </si>
  <si>
    <t>Lloydminster, SK S9V 5V1</t>
  </si>
  <si>
    <t>226 Taylor Rd.</t>
  </si>
  <si>
    <t>(622) 524-5931</t>
  </si>
  <si>
    <t>dalamb@msn.com</t>
  </si>
  <si>
    <t>C0241</t>
  </si>
  <si>
    <t>Angélica del Ortuño</t>
  </si>
  <si>
    <t>Highlands, BC V9B 9L3</t>
  </si>
  <si>
    <t>62 E. Foxrun Drive</t>
  </si>
  <si>
    <t>(832) 663-7857</t>
  </si>
  <si>
    <t>psichel@live.com</t>
  </si>
  <si>
    <t>C0242</t>
  </si>
  <si>
    <t>Amalia Itziar Sebastián Revilla</t>
  </si>
  <si>
    <t>Saint-Hippolyte, QC J8A 8X2</t>
  </si>
  <si>
    <t>18 Theatre Rd.</t>
  </si>
  <si>
    <t>(774) 962-9792</t>
  </si>
  <si>
    <t>cameron@mac.com</t>
  </si>
  <si>
    <t>C0243</t>
  </si>
  <si>
    <t>América Morán Peñalver</t>
  </si>
  <si>
    <t>Chestermere, AB T1X 8K6</t>
  </si>
  <si>
    <t>562 Hilldale Lane</t>
  </si>
  <si>
    <t>(456) 478-8124</t>
  </si>
  <si>
    <t>klaudon@icloud.com</t>
  </si>
  <si>
    <t>C0244</t>
  </si>
  <si>
    <t>Elisa de Chaparro</t>
  </si>
  <si>
    <t>Leduc, AB T9E 6E1</t>
  </si>
  <si>
    <t>235 Bowman Street</t>
  </si>
  <si>
    <t>(689) 369-1765</t>
  </si>
  <si>
    <t>gavinls@msn.com</t>
  </si>
  <si>
    <t>C0245</t>
  </si>
  <si>
    <t>Nieves Lladó</t>
  </si>
  <si>
    <t>Vancouver, BC V5K 7G2</t>
  </si>
  <si>
    <t>2 Beechwood Street</t>
  </si>
  <si>
    <t>(462) 469-0733</t>
  </si>
  <si>
    <t>arathi@comcast.net</t>
  </si>
  <si>
    <t>C0246</t>
  </si>
  <si>
    <t>Juan Antonio Benet</t>
  </si>
  <si>
    <t>Esquimalt, BC V9A 7T3</t>
  </si>
  <si>
    <t>877 Coffee Ave.</t>
  </si>
  <si>
    <t>(296) 380-9560</t>
  </si>
  <si>
    <t>parkes@icloud.com</t>
  </si>
  <si>
    <t>C0247</t>
  </si>
  <si>
    <t>Gustavo Barberá Frías</t>
  </si>
  <si>
    <t>Coldbrook, NS B4R 8S2</t>
  </si>
  <si>
    <t>759 Mayfair Court</t>
  </si>
  <si>
    <t>(770) 446-1820</t>
  </si>
  <si>
    <t>cyrus@aol.com</t>
  </si>
  <si>
    <t>C0248</t>
  </si>
  <si>
    <t>Eliana Pacheco Ponce</t>
  </si>
  <si>
    <t>Windsor, ON N8P 8C9</t>
  </si>
  <si>
    <t>8921 West Oak Meadow Road</t>
  </si>
  <si>
    <t>(752) 764-6341</t>
  </si>
  <si>
    <t>isotopian@hotmail.com</t>
  </si>
  <si>
    <t>C0249</t>
  </si>
  <si>
    <t>Dalila Pino Verdú</t>
  </si>
  <si>
    <t>Kanata, ON K2K 4A8</t>
  </si>
  <si>
    <t>24 Edgemont St.</t>
  </si>
  <si>
    <t>(420) 583-7227</t>
  </si>
  <si>
    <t>marnanel@icloud.com</t>
  </si>
  <si>
    <t>C0250</t>
  </si>
  <si>
    <t>Marciano Díaz</t>
  </si>
  <si>
    <t>McAdam, NB E6J 7T4</t>
  </si>
  <si>
    <t>524 Dunbar Drive</t>
  </si>
  <si>
    <t>(844) 867-2783</t>
  </si>
  <si>
    <t>nwiger@verizon.net</t>
  </si>
  <si>
    <t>C0251</t>
  </si>
  <si>
    <t>Timoteo Pinilla Calderón</t>
  </si>
  <si>
    <t>Hanover, ON N4N 0G1</t>
  </si>
  <si>
    <t>4 Maple Street</t>
  </si>
  <si>
    <t>(844) 548-7367</t>
  </si>
  <si>
    <t>elmer@comcast.net</t>
  </si>
  <si>
    <t>C0252</t>
  </si>
  <si>
    <t>Malena Roma Barrena</t>
  </si>
  <si>
    <t>Ottawa, ON K1G 0J7</t>
  </si>
  <si>
    <t>7963 Third St.</t>
  </si>
  <si>
    <t>(653) 247-2528</t>
  </si>
  <si>
    <t>natepuri@gmail.com</t>
  </si>
  <si>
    <t>C0253</t>
  </si>
  <si>
    <t>Silvia León Duque</t>
  </si>
  <si>
    <t>Mississauga, ON L4T 3V7</t>
  </si>
  <si>
    <t>617 Liberty Dr.</t>
  </si>
  <si>
    <t>(323) 918-8630</t>
  </si>
  <si>
    <t>tmaek@gmail.com</t>
  </si>
  <si>
    <t>C0254</t>
  </si>
  <si>
    <t>Ema del Garrido</t>
  </si>
  <si>
    <t>Wallaceburg, ON N8A 3M8</t>
  </si>
  <si>
    <t>72 Circle St.</t>
  </si>
  <si>
    <t>(951) 814-0240</t>
  </si>
  <si>
    <t>manuals@yahoo.ca</t>
  </si>
  <si>
    <t>C0255</t>
  </si>
  <si>
    <t>Eva González Cano</t>
  </si>
  <si>
    <t>Windsor, LB A2B 0T8</t>
  </si>
  <si>
    <t>616 Lyme Ave.</t>
  </si>
  <si>
    <t>(286) 747-9510</t>
  </si>
  <si>
    <t>neonatus@live.com</t>
  </si>
  <si>
    <t>C0256</t>
  </si>
  <si>
    <t>Eutropio Sedano Cabanillas</t>
  </si>
  <si>
    <t>Cowansville, QC J2K 8Y0</t>
  </si>
  <si>
    <t>901 Fairway Street</t>
  </si>
  <si>
    <t>(780) 915-5789</t>
  </si>
  <si>
    <t>crusader@verizon.net</t>
  </si>
  <si>
    <t>C0257</t>
  </si>
  <si>
    <t>Dafne Cerdán Pujol</t>
  </si>
  <si>
    <t>Duvernay-Est, QC H7A 4A9</t>
  </si>
  <si>
    <t>80 Gulf Drive</t>
  </si>
  <si>
    <t>(611) 316-6464</t>
  </si>
  <si>
    <t>dogdude@mac.com</t>
  </si>
  <si>
    <t>C0258</t>
  </si>
  <si>
    <t>Óscar de Mascaró</t>
  </si>
  <si>
    <t>Pitt Meadows, BC V3Y 0T2</t>
  </si>
  <si>
    <t>9599 East Water Ave.</t>
  </si>
  <si>
    <t>(347) 423-7150</t>
  </si>
  <si>
    <t>mastinfo@outlook.com</t>
  </si>
  <si>
    <t>C0259</t>
  </si>
  <si>
    <t>Catalina Peralta Patiño</t>
  </si>
  <si>
    <t>Amqui, QC G5J 8E3</t>
  </si>
  <si>
    <t>8850 Pulaski Dr.</t>
  </si>
  <si>
    <t>(690) 391-9308</t>
  </si>
  <si>
    <t>munge@verizon.net</t>
  </si>
  <si>
    <t>C0260</t>
  </si>
  <si>
    <t>Bárbara Elorza Jordá</t>
  </si>
  <si>
    <t>Enfield, NS B2T 5S6</t>
  </si>
  <si>
    <t>703 Bay Ave.</t>
  </si>
  <si>
    <t>(300) 748-5245</t>
  </si>
  <si>
    <t>milton@att.net</t>
  </si>
  <si>
    <t>C0261</t>
  </si>
  <si>
    <t>Loreto Burgos</t>
  </si>
  <si>
    <t>St. Martins, NB E5R 1J6</t>
  </si>
  <si>
    <t>31 Temple Ave.</t>
  </si>
  <si>
    <t>(399) 450-6042</t>
  </si>
  <si>
    <t>redingtn@hotmail.com</t>
  </si>
  <si>
    <t>C0262</t>
  </si>
  <si>
    <t>Estela Marquez Arce</t>
  </si>
  <si>
    <t>Stouffville, ON L4A 6L1</t>
  </si>
  <si>
    <t>7058 Country Club Ave.</t>
  </si>
  <si>
    <t>(941) 250-4612</t>
  </si>
  <si>
    <t>fviegas@sbcglobal.net</t>
  </si>
  <si>
    <t>C0263</t>
  </si>
  <si>
    <t>Paloma Segarra Menéndez</t>
  </si>
  <si>
    <t>Kings County, NS B0P 9R3</t>
  </si>
  <si>
    <t>91 Pineknoll Ave.</t>
  </si>
  <si>
    <t>(979) 636-7422</t>
  </si>
  <si>
    <t>rgarcia@live.com</t>
  </si>
  <si>
    <t>C0264</t>
  </si>
  <si>
    <t>Claudio Maximino Cobos Córdoba</t>
  </si>
  <si>
    <t>Fort Saskatchewan, AB T8L 4M9</t>
  </si>
  <si>
    <t>871 Gainsway Drive</t>
  </si>
  <si>
    <t>(838) 478-1283</t>
  </si>
  <si>
    <t>ovprit@msn.com</t>
  </si>
  <si>
    <t>C0265</t>
  </si>
  <si>
    <t>Josefina Rey Meléndez</t>
  </si>
  <si>
    <t>Laurentides-Sud, QC J0V 3M7</t>
  </si>
  <si>
    <t>9536 Nut Swamp Dr.</t>
  </si>
  <si>
    <t>(709) 730-9311</t>
  </si>
  <si>
    <t>teverett@att.net</t>
  </si>
  <si>
    <t>C0266</t>
  </si>
  <si>
    <t>Nilda de Garrido</t>
  </si>
  <si>
    <t>Black Lake, QC G6H 5M3</t>
  </si>
  <si>
    <t>53 Old Belmont St.</t>
  </si>
  <si>
    <t>(773) 468-1836</t>
  </si>
  <si>
    <t>ghost@yahoo.ca</t>
  </si>
  <si>
    <t>C0267</t>
  </si>
  <si>
    <t>Gregorio Llabrés-Rebollo</t>
  </si>
  <si>
    <t>Charny, QC G6X 9G6</t>
  </si>
  <si>
    <t>9451 Stonybrook Court</t>
  </si>
  <si>
    <t>(629) 776-7927</t>
  </si>
  <si>
    <t>intlprog@verizon.net</t>
  </si>
  <si>
    <t>C0268</t>
  </si>
  <si>
    <t>Edmundo de Marco</t>
  </si>
  <si>
    <t>Okotoks, AB T1S 0P8</t>
  </si>
  <si>
    <t>5 Rockland Court</t>
  </si>
  <si>
    <t>(374) 637-9848</t>
  </si>
  <si>
    <t>frosal@msn.com</t>
  </si>
  <si>
    <t>C0269</t>
  </si>
  <si>
    <t>Amaya Ruiz Campoy</t>
  </si>
  <si>
    <t>Boiestown, NB E6A 0J5</t>
  </si>
  <si>
    <t>209 North Primrose Street</t>
  </si>
  <si>
    <t>(614) 742-3346</t>
  </si>
  <si>
    <t>sabren@comcast.net</t>
  </si>
  <si>
    <t>C0270</t>
  </si>
  <si>
    <t>Nacio Perera Lerma</t>
  </si>
  <si>
    <t>Port Alberni, BC V9Y 6C7</t>
  </si>
  <si>
    <t>14 Military Street</t>
  </si>
  <si>
    <t>(591) 540-1501</t>
  </si>
  <si>
    <t>hermes@outlook.com</t>
  </si>
  <si>
    <t>C0271</t>
  </si>
  <si>
    <t>Damián Vicens Cabrera</t>
  </si>
  <si>
    <t>Cochrane, AB T4C 6R2</t>
  </si>
  <si>
    <t>9282 Border Street</t>
  </si>
  <si>
    <t>(674) 692-6307</t>
  </si>
  <si>
    <t>shrapnull@live.com</t>
  </si>
  <si>
    <t>C0272</t>
  </si>
  <si>
    <t>Marcela Teófila Arnal Lasa</t>
  </si>
  <si>
    <t>Hampton, NB E5N 2B1</t>
  </si>
  <si>
    <t>258 Bohemia St.</t>
  </si>
  <si>
    <t>(613) 385-7225</t>
  </si>
  <si>
    <t>jimmichie@optonline.net</t>
  </si>
  <si>
    <t>C0273</t>
  </si>
  <si>
    <t>Reina Losada Alfonso</t>
  </si>
  <si>
    <t>Grand Manan Island, NB E5G 6V4</t>
  </si>
  <si>
    <t>740 Jones St.</t>
  </si>
  <si>
    <t>(911) 247-1909</t>
  </si>
  <si>
    <t>bjornk@aol.com</t>
  </si>
  <si>
    <t>C0274</t>
  </si>
  <si>
    <t>Isa Arenas Mariscal</t>
  </si>
  <si>
    <t>Petawawa, ON K8H 6P6</t>
  </si>
  <si>
    <t>592 Linden Ave.</t>
  </si>
  <si>
    <t>(428) 712-4844</t>
  </si>
  <si>
    <t>ghost@sbcglobal.net</t>
  </si>
  <si>
    <t>C0275</t>
  </si>
  <si>
    <t>Morena Roura</t>
  </si>
  <si>
    <t>Cap-Rouge, QC G1Y 7T2</t>
  </si>
  <si>
    <t>67 Sheffield Ave.</t>
  </si>
  <si>
    <t>(911) 550-2155</t>
  </si>
  <si>
    <t>curly@icloud.com</t>
  </si>
  <si>
    <t>C0276</t>
  </si>
  <si>
    <t>Odalys Benítez</t>
  </si>
  <si>
    <t>Prince Rupert, BC V8J 9N3</t>
  </si>
  <si>
    <t>19 Tallwood St.</t>
  </si>
  <si>
    <t>(593) 925-4662</t>
  </si>
  <si>
    <t>jacks@outlook.com</t>
  </si>
  <si>
    <t>C0277</t>
  </si>
  <si>
    <t>Emma del Amor</t>
  </si>
  <si>
    <t>Acton, ON L7J 3T8</t>
  </si>
  <si>
    <t>389 Ridge Street</t>
  </si>
  <si>
    <t>(538) 584-5847</t>
  </si>
  <si>
    <t>mbswan@optonline.net</t>
  </si>
  <si>
    <t>C0278</t>
  </si>
  <si>
    <t>Seve Villanueva Anaya</t>
  </si>
  <si>
    <t>Lac-Megantic, QC G6B 4L9</t>
  </si>
  <si>
    <t>329 Carpenter Court</t>
  </si>
  <si>
    <t>(336) 788-8866</t>
  </si>
  <si>
    <t>jelmer@gmail.com</t>
  </si>
  <si>
    <t>C0279</t>
  </si>
  <si>
    <t>Montserrat Armas Salamanca</t>
  </si>
  <si>
    <t>Innisfail, AB T4G 7N5</t>
  </si>
  <si>
    <t>60 St Margarets Street</t>
  </si>
  <si>
    <t>(878) 213-7548</t>
  </si>
  <si>
    <t>podmaster@yahoo.com</t>
  </si>
  <si>
    <t>C0280</t>
  </si>
  <si>
    <t>Ildefonso Feliu Esteban</t>
  </si>
  <si>
    <t>Le Fjord, QC G0T 3E3</t>
  </si>
  <si>
    <t>968 E. Aspen Lane</t>
  </si>
  <si>
    <t>(544) 332-6097</t>
  </si>
  <si>
    <t>malin@verizon.net</t>
  </si>
  <si>
    <t>C0281</t>
  </si>
  <si>
    <t>Ligia Ocaña Arregui</t>
  </si>
  <si>
    <t>Grande-Anse, NB E8N 7C1</t>
  </si>
  <si>
    <t>12 Winding Way St.</t>
  </si>
  <si>
    <t>(992) 343-2800</t>
  </si>
  <si>
    <t>dsugal@hotmail.com</t>
  </si>
  <si>
    <t>C0282</t>
  </si>
  <si>
    <t>Sarita Neira Toro</t>
  </si>
  <si>
    <t>Kimberley, BC V1A 5S2</t>
  </si>
  <si>
    <t>859 Greenview Dr.</t>
  </si>
  <si>
    <t>(272) 202-0144</t>
  </si>
  <si>
    <t>ninenine@icloud.com</t>
  </si>
  <si>
    <t>C0283</t>
  </si>
  <si>
    <t>Timoteo Pacheco Pozo</t>
  </si>
  <si>
    <t>St. Albert, AB T8N 8R8</t>
  </si>
  <si>
    <t>9286 E. Bayberry Street</t>
  </si>
  <si>
    <t>(738) 345-5103</t>
  </si>
  <si>
    <t>damian@icloud.com</t>
  </si>
  <si>
    <t>C0284</t>
  </si>
  <si>
    <t>Ester Anabel Fabregat Nuñez</t>
  </si>
  <si>
    <t>Bass River, NB E4T 4R0</t>
  </si>
  <si>
    <t>128 Richardson St.</t>
  </si>
  <si>
    <t>(713) 922-0553</t>
  </si>
  <si>
    <t>phish@hotmail.com</t>
  </si>
  <si>
    <t>C0285</t>
  </si>
  <si>
    <t>Rosenda Villanueva Herrera</t>
  </si>
  <si>
    <t>Parksville, BC V9P 5L2</t>
  </si>
  <si>
    <t>118 Pineknoll Drive</t>
  </si>
  <si>
    <t>(682) 502-1976</t>
  </si>
  <si>
    <t>rnelson@gmail.com</t>
  </si>
  <si>
    <t>C0286</t>
  </si>
  <si>
    <t>Ariel Gallego Diego</t>
  </si>
  <si>
    <t>La Plaine, QC J7M 5N3</t>
  </si>
  <si>
    <t>28 Pennsylvania Street</t>
  </si>
  <si>
    <t>(260) 372-4164</t>
  </si>
  <si>
    <t>slaff@aol.com</t>
  </si>
  <si>
    <t>C0287</t>
  </si>
  <si>
    <t>Juliana Alarcón Molins</t>
  </si>
  <si>
    <t>Leamington, ON N8H 0N3</t>
  </si>
  <si>
    <t>334 Mechanic Lane</t>
  </si>
  <si>
    <t>(502) 779-9801</t>
  </si>
  <si>
    <t>ninenine@live.com</t>
  </si>
  <si>
    <t>C0288</t>
  </si>
  <si>
    <t>Catalina Méndez</t>
  </si>
  <si>
    <t>Strathmore, AB T1P 9V5</t>
  </si>
  <si>
    <t>798 Clark Rd.</t>
  </si>
  <si>
    <t>(687) 734-3575</t>
  </si>
  <si>
    <t>johnh@yahoo.ca</t>
  </si>
  <si>
    <t>C0289</t>
  </si>
  <si>
    <t>Susanita Pascual Salamanca</t>
  </si>
  <si>
    <t>Youngs Cove, NB E4C 4K5</t>
  </si>
  <si>
    <t>735 Spruce Ave.</t>
  </si>
  <si>
    <t>(503) 471-0311</t>
  </si>
  <si>
    <t>ryanshaw@comcast.net</t>
  </si>
  <si>
    <t>C0290</t>
  </si>
  <si>
    <t>Dimas Rafael Polo Bravo</t>
  </si>
  <si>
    <t>Chatham, QC J8G 7X7</t>
  </si>
  <si>
    <t>603 Elm Lane</t>
  </si>
  <si>
    <t>(640) 467-1066</t>
  </si>
  <si>
    <t>gerlo@yahoo.ca</t>
  </si>
  <si>
    <t>C0291</t>
  </si>
  <si>
    <t>Anabel Pou Lasa</t>
  </si>
  <si>
    <t>Eskasoni, NS B1W 1S9</t>
  </si>
  <si>
    <t>72 Paris Hill Ave.</t>
  </si>
  <si>
    <t>(350) 900-0774</t>
  </si>
  <si>
    <t>C0292</t>
  </si>
  <si>
    <t>Nadia Natividad Marco Flores</t>
  </si>
  <si>
    <t>Parry Sound, ON P2A 5R6</t>
  </si>
  <si>
    <t>94 Valley View Rd.</t>
  </si>
  <si>
    <t>(593) 907-1562</t>
  </si>
  <si>
    <t>squirrel@comcast.net</t>
  </si>
  <si>
    <t>C0293</t>
  </si>
  <si>
    <t>Máximo Téllez Ferrera</t>
  </si>
  <si>
    <t>Lanaudière-Nord, QC J0K 8T8</t>
  </si>
  <si>
    <t>8 E. Miles Dr.</t>
  </si>
  <si>
    <t>(848) 559-5729</t>
  </si>
  <si>
    <t>sakusha@yahoo.com</t>
  </si>
  <si>
    <t>C0294</t>
  </si>
  <si>
    <t>Gala Clarisa Ballesteros Llopis</t>
  </si>
  <si>
    <t>Saint-Colomban, QC J5K 6C2</t>
  </si>
  <si>
    <t>672 Albany St.</t>
  </si>
  <si>
    <t>(986) 369-4687</t>
  </si>
  <si>
    <t>seano@sbcglobal.net</t>
  </si>
  <si>
    <t>C0295</t>
  </si>
  <si>
    <t>Amancio Aliaga Sierra</t>
  </si>
  <si>
    <t>Huntsville, ON P1H 2C9</t>
  </si>
  <si>
    <t>22 Jackson Rd.</t>
  </si>
  <si>
    <t>(815) 645-0166</t>
  </si>
  <si>
    <t>bmidd@msn.com</t>
  </si>
  <si>
    <t>C0296</t>
  </si>
  <si>
    <t>César Nogués Tomás</t>
  </si>
  <si>
    <t>Lachute, QC J8H 9V1</t>
  </si>
  <si>
    <t>22 Ridge Lane</t>
  </si>
  <si>
    <t>(456) 670-3912</t>
  </si>
  <si>
    <t>oracle@verizon.net</t>
  </si>
  <si>
    <t>C0297</t>
  </si>
  <si>
    <t>Brígida Jove Carretero</t>
  </si>
  <si>
    <t>St. Stephen, NB E3L 2A8</t>
  </si>
  <si>
    <t>8557 West Greenview Dr.</t>
  </si>
  <si>
    <t>(997) 481-7573</t>
  </si>
  <si>
    <t>jrifkin@yahoo.com</t>
  </si>
  <si>
    <t>C0298</t>
  </si>
  <si>
    <t>Vito del Abad</t>
  </si>
  <si>
    <t>Îles-Laval, QC H7Y 1X2</t>
  </si>
  <si>
    <t>8824 Liberty Drive</t>
  </si>
  <si>
    <t>(571) 271-7420</t>
  </si>
  <si>
    <t>sherzodr@att.net</t>
  </si>
  <si>
    <t>C0299</t>
  </si>
  <si>
    <t>Nayara Fanny Juliá Sierra</t>
  </si>
  <si>
    <t>Grand Falls, LB A2A 2C6</t>
  </si>
  <si>
    <t>368 Fifth Dr.</t>
  </si>
  <si>
    <t>(674) 672-8423</t>
  </si>
  <si>
    <t>rsmartin@msn.com</t>
  </si>
  <si>
    <t>C0300</t>
  </si>
  <si>
    <t>Isidoro Salas Marqués</t>
  </si>
  <si>
    <t>Ville Émard, QC H4E 1K4</t>
  </si>
  <si>
    <t>61 San Carlos Rd.</t>
  </si>
  <si>
    <t>(505) 554-8992</t>
  </si>
  <si>
    <t>jsbach@aol.com</t>
  </si>
  <si>
    <t>C0301</t>
  </si>
  <si>
    <t>Vicente Palomino Adadia</t>
  </si>
  <si>
    <t>Napanee, ON K7R 6V1</t>
  </si>
  <si>
    <t>37 Peninsula Street</t>
  </si>
  <si>
    <t>(826) 231-0876</t>
  </si>
  <si>
    <t>wmszeliga@mac.com</t>
  </si>
  <si>
    <t>C0302</t>
  </si>
  <si>
    <t>Sandalio de Figueroa</t>
  </si>
  <si>
    <t>Woodstock, NB E7M 8P6</t>
  </si>
  <si>
    <t>149 Jennings Road</t>
  </si>
  <si>
    <t>(499) 874-0371</t>
  </si>
  <si>
    <t>william@hotmail.com</t>
  </si>
  <si>
    <t>C0303</t>
  </si>
  <si>
    <t>Elodia Pinto</t>
  </si>
  <si>
    <t>Dorchester, NB E4K 6V5</t>
  </si>
  <si>
    <t>59 W. Anderson Lane</t>
  </si>
  <si>
    <t>(317) 232-9358</t>
  </si>
  <si>
    <t>gastown@comcast.net</t>
  </si>
  <si>
    <t>C0304</t>
  </si>
  <si>
    <t>Felipe Carro Ramis</t>
  </si>
  <si>
    <t>Greely, ON K4P 4T2</t>
  </si>
  <si>
    <t>685 High Noon Lane</t>
  </si>
  <si>
    <t>(852) 388-3751</t>
  </si>
  <si>
    <t>improv@live.com</t>
  </si>
  <si>
    <t>C0305</t>
  </si>
  <si>
    <t>Ana Belén Alvarado Bueno</t>
  </si>
  <si>
    <t>Boucherville, QC J4B 9T3</t>
  </si>
  <si>
    <t>42 Johnson Dr.</t>
  </si>
  <si>
    <t>(366) 604-3609</t>
  </si>
  <si>
    <t>gfxguy@outlook.com</t>
  </si>
  <si>
    <t>C0306</t>
  </si>
  <si>
    <t>Marisela Sanmiguel Pedraza</t>
  </si>
  <si>
    <t>Lacombe, AB T4L 0S1</t>
  </si>
  <si>
    <t>7976 North Street</t>
  </si>
  <si>
    <t>(800) 687-3027</t>
  </si>
  <si>
    <t>marcs@outlook.com</t>
  </si>
  <si>
    <t>C0307</t>
  </si>
  <si>
    <t>Jesusa Benavente Ferrández</t>
  </si>
  <si>
    <t>Labrador City, LB A2V 8L0</t>
  </si>
  <si>
    <t>394 Hanover St.</t>
  </si>
  <si>
    <t>(924) 920-0218</t>
  </si>
  <si>
    <t>skippy@yahoo.ca</t>
  </si>
  <si>
    <t>C0308</t>
  </si>
  <si>
    <t>Alonso Díaz Donoso</t>
  </si>
  <si>
    <t>Grimsby, ON L3M 5X9</t>
  </si>
  <si>
    <t>9697 South Mountainview Street</t>
  </si>
  <si>
    <t>(733) 648-0855</t>
  </si>
  <si>
    <t>jyoliver@sbcglobal.net</t>
  </si>
  <si>
    <t>C0309</t>
  </si>
  <si>
    <t>Filomena Pombo Pla</t>
  </si>
  <si>
    <t>Cobourg, ON K9A 5G0</t>
  </si>
  <si>
    <t>60 Carpenter Street</t>
  </si>
  <si>
    <t>(496) 879-5338</t>
  </si>
  <si>
    <t>afifi@hotmail.com</t>
  </si>
  <si>
    <t>C0310</t>
  </si>
  <si>
    <t>Cristóbal Cabello-Pol</t>
  </si>
  <si>
    <t>Chelsea, QC J9B 5K1</t>
  </si>
  <si>
    <t>343 Oxford St.</t>
  </si>
  <si>
    <t>(363) 981-6810</t>
  </si>
  <si>
    <t>muadip@gmail.com</t>
  </si>
  <si>
    <t>C0311</t>
  </si>
  <si>
    <t>Maribel Murillo Alcaraz</t>
  </si>
  <si>
    <t>Qualicum Beach, BC V9K 4J5</t>
  </si>
  <si>
    <t>490 Lantern Street</t>
  </si>
  <si>
    <t>(643) 252-3203</t>
  </si>
  <si>
    <t>hyper@icloud.com</t>
  </si>
  <si>
    <t>C0312</t>
  </si>
  <si>
    <t>Mayte Cuesta Acosta</t>
  </si>
  <si>
    <t>Dunnville, ON N1A 2R5</t>
  </si>
  <si>
    <t>8158 S. Marvon Ave.</t>
  </si>
  <si>
    <t>(491) 779-1547</t>
  </si>
  <si>
    <t>spadkins@att.net</t>
  </si>
  <si>
    <t>C0313</t>
  </si>
  <si>
    <t>Remigio Villalonga Roman</t>
  </si>
  <si>
    <t>Vimont, QC H7M 0J1</t>
  </si>
  <si>
    <t>7651 Carriage Dr.</t>
  </si>
  <si>
    <t>(731) 808-7183</t>
  </si>
  <si>
    <t>oneiros@icloud.com</t>
  </si>
  <si>
    <t>C0314</t>
  </si>
  <si>
    <t>Vanesa Villaverde</t>
  </si>
  <si>
    <t>Port Perry, ON L9L 6K8</t>
  </si>
  <si>
    <t>7313 Eagle Ave.</t>
  </si>
  <si>
    <t>(879) 310-9113</t>
  </si>
  <si>
    <t>miltchev@gmail.com</t>
  </si>
  <si>
    <t>C0315</t>
  </si>
  <si>
    <t>Maristela Corbacho Alegria</t>
  </si>
  <si>
    <t>Saint Petersburg, FL 33710</t>
  </si>
  <si>
    <t>127 Rockwell Lane</t>
  </si>
  <si>
    <t>(944) 942-5965</t>
  </si>
  <si>
    <t>uqmcolyv@att.net</t>
  </si>
  <si>
    <t>C0316</t>
  </si>
  <si>
    <t>Manuelita Cervera Botella</t>
  </si>
  <si>
    <t>Miami, FL 33135</t>
  </si>
  <si>
    <t>107 Cedar Street</t>
  </si>
  <si>
    <t>(257) 383-2777</t>
  </si>
  <si>
    <t>william@comcast.net</t>
  </si>
  <si>
    <t>C0317</t>
  </si>
  <si>
    <t>Borja Canet Gallo</t>
  </si>
  <si>
    <t>New Port Richey, FL 34653</t>
  </si>
  <si>
    <t>20 Ivy St.</t>
  </si>
  <si>
    <t>(286) 539-1526</t>
  </si>
  <si>
    <t>lipeng@comcast.net</t>
  </si>
  <si>
    <t>C0318</t>
  </si>
  <si>
    <t>Clotilde Chita Fábregas Toro</t>
  </si>
  <si>
    <t>Fort Lauderdale, FL 33312</t>
  </si>
  <si>
    <t>63 Stillwater St.</t>
  </si>
  <si>
    <t>(408) 475-2351</t>
  </si>
  <si>
    <t>sbmrjbr@msn.com</t>
  </si>
  <si>
    <t>C0319</t>
  </si>
  <si>
    <t>Olimpia Girona Paredes</t>
  </si>
  <si>
    <t>Tampa, FL 33614</t>
  </si>
  <si>
    <t>209 North Newbridge Drive</t>
  </si>
  <si>
    <t>(654) 850-5430</t>
  </si>
  <si>
    <t>ryanvm@sbcglobal.net</t>
  </si>
  <si>
    <t>C0320</t>
  </si>
  <si>
    <t>Rubén de Arribas</t>
  </si>
  <si>
    <t>Jacksonville, FL 32205</t>
  </si>
  <si>
    <t>85 Ridgeview Drive</t>
  </si>
  <si>
    <t>(704) 732-6961</t>
  </si>
  <si>
    <t>mbswan@msn.com</t>
  </si>
  <si>
    <t>C0321</t>
  </si>
  <si>
    <t>Édgar Manu Suárez Anglada</t>
  </si>
  <si>
    <t>Miami, FL 33161</t>
  </si>
  <si>
    <t>60 Surrey Rd.</t>
  </si>
  <si>
    <t>(400) 235-6788</t>
  </si>
  <si>
    <t>dbanarse@yahoo.ca</t>
  </si>
  <si>
    <t>C0322</t>
  </si>
  <si>
    <t>Luna Morcillo Carretero</t>
  </si>
  <si>
    <t>Bradenton, FL 34205</t>
  </si>
  <si>
    <t>556 Pleasant St.</t>
  </si>
  <si>
    <t>(363) 851-7332</t>
  </si>
  <si>
    <t>frikazoyd@me.com</t>
  </si>
  <si>
    <t>C0323</t>
  </si>
  <si>
    <t>Eladio Salcedo Cabanillas</t>
  </si>
  <si>
    <t>Fort Myers, FL 33912</t>
  </si>
  <si>
    <t>31 Heritage Street</t>
  </si>
  <si>
    <t>(892) 211-3578</t>
  </si>
  <si>
    <t>mosses@gmail.com</t>
  </si>
  <si>
    <t>C0324</t>
  </si>
  <si>
    <t>Gisela Cámara Duarte</t>
  </si>
  <si>
    <t>Tampa, FL 33624</t>
  </si>
  <si>
    <t>8904 Vermont Drive</t>
  </si>
  <si>
    <t>(231) 936-5897</t>
  </si>
  <si>
    <t>parasite@optonline.net</t>
  </si>
  <si>
    <t>C0325</t>
  </si>
  <si>
    <t>Nicanor de Moliner</t>
  </si>
  <si>
    <t>Opa Locka, FL 33055</t>
  </si>
  <si>
    <t>886 Snake Hill St.</t>
  </si>
  <si>
    <t>(609) 914-4233</t>
  </si>
  <si>
    <t>samavati@me.com</t>
  </si>
  <si>
    <t>C0326</t>
  </si>
  <si>
    <t>Rosario Paz Figueroa</t>
  </si>
  <si>
    <t>Winter Haven, FL 33880</t>
  </si>
  <si>
    <t>212 Canal St.</t>
  </si>
  <si>
    <t>(776) 448-2874</t>
  </si>
  <si>
    <t>rfoley@mac.com</t>
  </si>
  <si>
    <t>C0327</t>
  </si>
  <si>
    <t>Gloria Esteve Perez</t>
  </si>
  <si>
    <t>Lake Worth, FL 33460</t>
  </si>
  <si>
    <t>9974 Holly Dr.</t>
  </si>
  <si>
    <t>(487) 768-3548</t>
  </si>
  <si>
    <t>yfreund@verizon.net</t>
  </si>
  <si>
    <t>C0328</t>
  </si>
  <si>
    <t>Alexandra Pedrosa Asensio</t>
  </si>
  <si>
    <t>Lake Wales, FL 33853</t>
  </si>
  <si>
    <t>7342 Woodland Avenue</t>
  </si>
  <si>
    <t>(601) 357-6775</t>
  </si>
  <si>
    <t>fglock@gmail.com</t>
  </si>
  <si>
    <t>C0329</t>
  </si>
  <si>
    <t>Lucho Lucio Gallart Bartolomé</t>
  </si>
  <si>
    <t>Fort Lauderdale, FL 33309</t>
  </si>
  <si>
    <t>20 West Gates St.</t>
  </si>
  <si>
    <t>(296) 236-1828</t>
  </si>
  <si>
    <t>bebing@hotmail.com</t>
  </si>
  <si>
    <t>C0330</t>
  </si>
  <si>
    <t>Lola Vanesa Roda Verdejo</t>
  </si>
  <si>
    <t>Fort Lauderdale, FL 33322</t>
  </si>
  <si>
    <t>22 Wall St.</t>
  </si>
  <si>
    <t>(691) 320-1793</t>
  </si>
  <si>
    <t>cumarana@live.com</t>
  </si>
  <si>
    <t>C0331</t>
  </si>
  <si>
    <t>Alejandra Alvarado-Rocamora</t>
  </si>
  <si>
    <t>Fort Lauderdale, FL 33319</t>
  </si>
  <si>
    <t>7342A Edgefield Street</t>
  </si>
  <si>
    <t>(919) 955-4757</t>
  </si>
  <si>
    <t>smpeters@mac.com</t>
  </si>
  <si>
    <t>C0332</t>
  </si>
  <si>
    <t>Cristina Navas Sanz</t>
  </si>
  <si>
    <t>Boca Raton, FL 33428</t>
  </si>
  <si>
    <t>19 Charles St.</t>
  </si>
  <si>
    <t>(895) 527-9965</t>
  </si>
  <si>
    <t>madler@gmail.com</t>
  </si>
  <si>
    <t>C0333</t>
  </si>
  <si>
    <t>Desiderio Vizcaíno Seguí</t>
  </si>
  <si>
    <t>Hallandale, FL 33009</t>
  </si>
  <si>
    <t>8123 York Ave.</t>
  </si>
  <si>
    <t>(779) 490-1731</t>
  </si>
  <si>
    <t>mgemmons@yahoo.ca</t>
  </si>
  <si>
    <t>C0334</t>
  </si>
  <si>
    <t>Nélida Gallart Ochoa</t>
  </si>
  <si>
    <t>Pensacola, FL 32526</t>
  </si>
  <si>
    <t>9315 Arcadia St.</t>
  </si>
  <si>
    <t>(317) 905-9963</t>
  </si>
  <si>
    <t>lstein@msn.com</t>
  </si>
  <si>
    <t>C0335</t>
  </si>
  <si>
    <t>Áurea Sandoval Robles</t>
  </si>
  <si>
    <t>Hollywood, FL 33029</t>
  </si>
  <si>
    <t>9447 Jackson Court</t>
  </si>
  <si>
    <t>(636) 558-0180</t>
  </si>
  <si>
    <t>skythe@optonline.net</t>
  </si>
  <si>
    <t>C0336</t>
  </si>
  <si>
    <t>Bibiana Azcona</t>
  </si>
  <si>
    <t>Miami, FL 33179</t>
  </si>
  <si>
    <t>8407 Snake Hill Street</t>
  </si>
  <si>
    <t>(985) 919-4960</t>
  </si>
  <si>
    <t>alias@comcast.net</t>
  </si>
  <si>
    <t>C0337</t>
  </si>
  <si>
    <t>Marcos Arnal Sola</t>
  </si>
  <si>
    <t>Miami, FL 33183</t>
  </si>
  <si>
    <t>60 West Prince St.</t>
  </si>
  <si>
    <t>(558) 212-5147</t>
  </si>
  <si>
    <t>dburrows@comcast.net</t>
  </si>
  <si>
    <t>C0338</t>
  </si>
  <si>
    <t>Soledad Ani Garrido Duran</t>
  </si>
  <si>
    <t>Pompano Beach, FL 33063</t>
  </si>
  <si>
    <t>192 Birchpond Ave.</t>
  </si>
  <si>
    <t>(792) 524-2198</t>
  </si>
  <si>
    <t>eegsa@sbcglobal.net</t>
  </si>
  <si>
    <t>C0339</t>
  </si>
  <si>
    <t>Rodolfo Duilio Terrón Serrano</t>
  </si>
  <si>
    <t>Lakeland, FL 33801</t>
  </si>
  <si>
    <t>880 Mayfair St.</t>
  </si>
  <si>
    <t>(267) 864-5928</t>
  </si>
  <si>
    <t>gfxguy@hotmail.com</t>
  </si>
  <si>
    <t>C0340</t>
  </si>
  <si>
    <t>Carolina Ferreras Bolaños</t>
  </si>
  <si>
    <t>Hialeah, FL 33013</t>
  </si>
  <si>
    <t>83 8th St.</t>
  </si>
  <si>
    <t>(496) 239-3951</t>
  </si>
  <si>
    <t>gumpish@optonline.net</t>
  </si>
  <si>
    <t>C0341</t>
  </si>
  <si>
    <t>Eladio Querol</t>
  </si>
  <si>
    <t>West Palm Beach, FL 33411</t>
  </si>
  <si>
    <t>7270 Shadow Brook Dr.</t>
  </si>
  <si>
    <t>(252) 667-8366</t>
  </si>
  <si>
    <t>rhialto@yahoo.com</t>
  </si>
  <si>
    <t>C0342</t>
  </si>
  <si>
    <t>Irene Orozco Millán</t>
  </si>
  <si>
    <t>Jacksonville, FL 32208</t>
  </si>
  <si>
    <t>9505 Sutor Dr.</t>
  </si>
  <si>
    <t>(609) 330-8191</t>
  </si>
  <si>
    <t>phyruxus@mac.com</t>
  </si>
  <si>
    <t>C0343</t>
  </si>
  <si>
    <t>Yago Heredia Francisco</t>
  </si>
  <si>
    <t>Orlando, FL 32812</t>
  </si>
  <si>
    <t>26 Lawrence Drive</t>
  </si>
  <si>
    <t>(439) 401-6738</t>
  </si>
  <si>
    <t>jshearer@yahoo.com</t>
  </si>
  <si>
    <t>C0344</t>
  </si>
  <si>
    <t>Hernán Diego Ferreras</t>
  </si>
  <si>
    <t>West Palm Beach, FL 33415</t>
  </si>
  <si>
    <t>7147 Heather St.</t>
  </si>
  <si>
    <t>(946) 600-8214</t>
  </si>
  <si>
    <t>fwiles@live.com</t>
  </si>
  <si>
    <t>C0345</t>
  </si>
  <si>
    <t>Darío Severino Falcón Rodríguez</t>
  </si>
  <si>
    <t>Orlando, FL 32810</t>
  </si>
  <si>
    <t>287 E. Woodland Ave.</t>
  </si>
  <si>
    <t>(384) 619-1581</t>
  </si>
  <si>
    <t>kayvonf@sbcglobal.net</t>
  </si>
  <si>
    <t>C0346</t>
  </si>
  <si>
    <t>Eli Rovira Busquets</t>
  </si>
  <si>
    <t>Pompano Beach, FL 33064</t>
  </si>
  <si>
    <t>16 Monroe Dr.</t>
  </si>
  <si>
    <t>(675) 655-1424</t>
  </si>
  <si>
    <t>pappp@icloud.com</t>
  </si>
  <si>
    <t>C0347</t>
  </si>
  <si>
    <t>Remedios Barbero Calderón</t>
  </si>
  <si>
    <t>Key West, FL 33040</t>
  </si>
  <si>
    <t>59 Pumpkin Hill Drive</t>
  </si>
  <si>
    <t>(842) 708-2942</t>
  </si>
  <si>
    <t>timlinux@icloud.com</t>
  </si>
  <si>
    <t>C0348</t>
  </si>
  <si>
    <t>Telmo Azcona Huerta</t>
  </si>
  <si>
    <t>Panama City, FL 32404</t>
  </si>
  <si>
    <t>88 Deerfield Street</t>
  </si>
  <si>
    <t>(656) 301-2331</t>
  </si>
  <si>
    <t>feamster@mac.com</t>
  </si>
  <si>
    <t>C0349</t>
  </si>
  <si>
    <t>Jose Luis Salgado Monreal</t>
  </si>
  <si>
    <t>Hollywood, FL 33025</t>
  </si>
  <si>
    <t>88 Marsh Road</t>
  </si>
  <si>
    <t>(728) 554-8409</t>
  </si>
  <si>
    <t>dexter@yahoo.ca</t>
  </si>
  <si>
    <t>C0350</t>
  </si>
  <si>
    <t>Maximiliano Ferrer Solé</t>
  </si>
  <si>
    <t>Winter Springs, FL 32708</t>
  </si>
  <si>
    <t>251 SW. Ramblewood Ave.</t>
  </si>
  <si>
    <t>(557) 382-0708</t>
  </si>
  <si>
    <t>symbolic@optonline.net</t>
  </si>
  <si>
    <t>C0351</t>
  </si>
  <si>
    <t>Seve Pellicer Arévalo</t>
  </si>
  <si>
    <t>Miami, FL 33162</t>
  </si>
  <si>
    <t>15 Bow Ridge Dr.</t>
  </si>
  <si>
    <t>(395) 354-7424</t>
  </si>
  <si>
    <t>intlprog@live.com</t>
  </si>
  <si>
    <t>C0352</t>
  </si>
  <si>
    <t>Poncio Gallart Cano</t>
  </si>
  <si>
    <t>Miami, FL 33175</t>
  </si>
  <si>
    <t>691 Baker Rd.</t>
  </si>
  <si>
    <t>(752) 229-5173</t>
  </si>
  <si>
    <t>msloan@live.com</t>
  </si>
  <si>
    <t>C0353</t>
  </si>
  <si>
    <t>Abril Morante-Portero</t>
  </si>
  <si>
    <t>Port Orange, FL 32127</t>
  </si>
  <si>
    <t>32 Adams Court</t>
  </si>
  <si>
    <t>(653) 317-7538</t>
  </si>
  <si>
    <t>wbarker@aol.com</t>
  </si>
  <si>
    <t>C0354</t>
  </si>
  <si>
    <t>Alondra Arroyo Moraleda</t>
  </si>
  <si>
    <t>Tampa, FL 33617</t>
  </si>
  <si>
    <t>969 Summerhouse Dr.</t>
  </si>
  <si>
    <t>(720) 816-6636</t>
  </si>
  <si>
    <t>niknejad@msn.com</t>
  </si>
  <si>
    <t>C0355</t>
  </si>
  <si>
    <t>Nando Neira Garcia</t>
  </si>
  <si>
    <t>Fort Lauderdale, FL 33321</t>
  </si>
  <si>
    <t>61 College Rd.</t>
  </si>
  <si>
    <t>(392) 567-1811</t>
  </si>
  <si>
    <t>koudas@icloud.com</t>
  </si>
  <si>
    <t>C0356</t>
  </si>
  <si>
    <t>Soraya Puig Estrada</t>
  </si>
  <si>
    <t>Hollywood, FL 33021</t>
  </si>
  <si>
    <t>344 Summerhouse Ave.</t>
  </si>
  <si>
    <t>(233) 981-3075</t>
  </si>
  <si>
    <t>cantu@outlook.com</t>
  </si>
  <si>
    <t>C0357</t>
  </si>
  <si>
    <t>Teresita Ferrera Bernat</t>
  </si>
  <si>
    <t>Dunedin, FL 34698</t>
  </si>
  <si>
    <t>164 Albany Dr.</t>
  </si>
  <si>
    <t>(469) 699-2655</t>
  </si>
  <si>
    <t>nighthawk@hotmail.com</t>
  </si>
  <si>
    <t>C0358</t>
  </si>
  <si>
    <t>Ignacio Mendez Casanovas</t>
  </si>
  <si>
    <t>West Palm Beach, FL 33414</t>
  </si>
  <si>
    <t>9028 E. Overlook Street</t>
  </si>
  <si>
    <t>(311) 568-5798</t>
  </si>
  <si>
    <t>peterhoeg@yahoo.com</t>
  </si>
  <si>
    <t>C0359</t>
  </si>
  <si>
    <t>Isabel Bayo Sanchez</t>
  </si>
  <si>
    <t>Lake Worth, FL 33467</t>
  </si>
  <si>
    <t>300 San Carlos Street</t>
  </si>
  <si>
    <t>(930) 839-6069</t>
  </si>
  <si>
    <t>jonadab@outlook.com</t>
  </si>
  <si>
    <t>C0360</t>
  </si>
  <si>
    <t>Ligia Linares Isern</t>
  </si>
  <si>
    <t>Miami, FL 33196</t>
  </si>
  <si>
    <t>19 Carriage Court</t>
  </si>
  <si>
    <t>(595) 770-6147</t>
  </si>
  <si>
    <t>gamma@sbcglobal.net</t>
  </si>
  <si>
    <t>C0361</t>
  </si>
  <si>
    <t>Simón Gaya Vallejo</t>
  </si>
  <si>
    <t>Orlando, FL 32818</t>
  </si>
  <si>
    <t>3 Henry St.</t>
  </si>
  <si>
    <t>(796) 698-2556</t>
  </si>
  <si>
    <t>wbarker@sbcglobal.net</t>
  </si>
  <si>
    <t>C0362</t>
  </si>
  <si>
    <t>Chus Larrañaga Hernando</t>
  </si>
  <si>
    <t>Orlando, FL 32839</t>
  </si>
  <si>
    <t>7743 Boston Street</t>
  </si>
  <si>
    <t>(518) 447-3410</t>
  </si>
  <si>
    <t>conteb@mac.com</t>
  </si>
  <si>
    <t>C0363</t>
  </si>
  <si>
    <t>Ángeles Arévalo Balaguer</t>
  </si>
  <si>
    <t>Brandon, FL 33511</t>
  </si>
  <si>
    <t>9543 Marlborough Street</t>
  </si>
  <si>
    <t>(963) 286-3940</t>
  </si>
  <si>
    <t>mugwump@verizon.net</t>
  </si>
  <si>
    <t>C0364</t>
  </si>
  <si>
    <t>Benito Juan Francisco Aramburu Fiol</t>
  </si>
  <si>
    <t>Valrico, FL 33594</t>
  </si>
  <si>
    <t>42 Lakeshore Avenue</t>
  </si>
  <si>
    <t>(989) 381-2553</t>
  </si>
  <si>
    <t>andrei@outlook.com</t>
  </si>
  <si>
    <t>C0365</t>
  </si>
  <si>
    <t>Amaya Valderrama Gomis</t>
  </si>
  <si>
    <t>Melbourne, FL 32935</t>
  </si>
  <si>
    <t>77 Rocky River Ave.</t>
  </si>
  <si>
    <t>(760) 748-7416</t>
  </si>
  <si>
    <t>roamer@sbcglobal.net</t>
  </si>
  <si>
    <t>C0366</t>
  </si>
  <si>
    <t>Beatriz Rodriguez Iborra</t>
  </si>
  <si>
    <t>Jacksonville, FL 32209</t>
  </si>
  <si>
    <t>68 Woodland Ave.</t>
  </si>
  <si>
    <t>(382) 950-9603</t>
  </si>
  <si>
    <t>malattia@msn.com</t>
  </si>
  <si>
    <t>C0367</t>
  </si>
  <si>
    <t>Amílcar Ortega Gallo</t>
  </si>
  <si>
    <t>Fort Lauderdale, FL 33334</t>
  </si>
  <si>
    <t>9413 Lexington Dr.</t>
  </si>
  <si>
    <t>(256) 505-6404</t>
  </si>
  <si>
    <t>aschmitz@sbcglobal.net</t>
  </si>
  <si>
    <t>C0368</t>
  </si>
  <si>
    <t>Seve Laguna-Bas</t>
  </si>
  <si>
    <t>Jupiter, FL 33458</t>
  </si>
  <si>
    <t>727 Cardinal Ave.</t>
  </si>
  <si>
    <t>(262) 756-8019</t>
  </si>
  <si>
    <t>ovprit@aol.com</t>
  </si>
  <si>
    <t>C0369</t>
  </si>
  <si>
    <t>Francisco Javier Coloma</t>
  </si>
  <si>
    <t>Deltona, FL 32738</t>
  </si>
  <si>
    <t>49 Colonial Street</t>
  </si>
  <si>
    <t>(437) 405-6290</t>
  </si>
  <si>
    <t>jaarnial@att.net</t>
  </si>
  <si>
    <t>C0370</t>
  </si>
  <si>
    <t>Erasmo Crespo Gallego</t>
  </si>
  <si>
    <t>Boynton Beach, FL 33435</t>
  </si>
  <si>
    <t>73 Pulaski Street</t>
  </si>
  <si>
    <t>(582) 368-1385</t>
  </si>
  <si>
    <t>murty@icloud.com</t>
  </si>
  <si>
    <t>C0371</t>
  </si>
  <si>
    <t>Octavio Perelló-Losada</t>
  </si>
  <si>
    <t>Fort Lauderdale, FL 33351</t>
  </si>
  <si>
    <t>9969 Primrose Drive</t>
  </si>
  <si>
    <t>(659) 871-3879</t>
  </si>
  <si>
    <t>loscar@sbcglobal.net</t>
  </si>
  <si>
    <t>C0372</t>
  </si>
  <si>
    <t>Camila Leticia Arévalo Cuenca</t>
  </si>
  <si>
    <t>Palm Harbor, FL 34683</t>
  </si>
  <si>
    <t>164 West Coffee St.</t>
  </si>
  <si>
    <t>(353) 426-1757</t>
  </si>
  <si>
    <t>telbij@verizon.net</t>
  </si>
  <si>
    <t>C0373</t>
  </si>
  <si>
    <t>Áurea Manuela Piñol Bernal</t>
  </si>
  <si>
    <t>Homestead, FL 33033</t>
  </si>
  <si>
    <t>7236 Albany Court</t>
  </si>
  <si>
    <t>(856) 331-2705</t>
  </si>
  <si>
    <t>fmtbebuck@live.com</t>
  </si>
  <si>
    <t>C0374</t>
  </si>
  <si>
    <t>Carina Arcos Vara</t>
  </si>
  <si>
    <t>Orlando, FL 32837</t>
  </si>
  <si>
    <t>9 East San Carlos Ave.</t>
  </si>
  <si>
    <t>(700) 644-2712</t>
  </si>
  <si>
    <t>evilopie@att.net</t>
  </si>
  <si>
    <t>C0375</t>
  </si>
  <si>
    <t>Yago Baró Garmendia</t>
  </si>
  <si>
    <t>Boca Raton, FL 33433</t>
  </si>
  <si>
    <t>7939 Gates St.</t>
  </si>
  <si>
    <t>(294) 342-2123</t>
  </si>
  <si>
    <t>aibrahim@icloud.com</t>
  </si>
  <si>
    <t>C0376</t>
  </si>
  <si>
    <t>Antonio Folch Grande</t>
  </si>
  <si>
    <t>Tampa, FL 33612</t>
  </si>
  <si>
    <t>111 Rockledge Street</t>
  </si>
  <si>
    <t>(232) 232-3544</t>
  </si>
  <si>
    <t>uqmcolyv@aol.com</t>
  </si>
  <si>
    <t>C0377</t>
  </si>
  <si>
    <t>Jose Ramón de Aguilera</t>
  </si>
  <si>
    <t>Miami, FL 33134</t>
  </si>
  <si>
    <t>32 Vernon St.</t>
  </si>
  <si>
    <t>(368) 282-4245</t>
  </si>
  <si>
    <t>hermes@aol.com</t>
  </si>
  <si>
    <t>C0378</t>
  </si>
  <si>
    <t>Dulce Caridad Rojas Ángel</t>
  </si>
  <si>
    <t>Daytona Beach, FL 32119</t>
  </si>
  <si>
    <t>794 Philmont Ave.</t>
  </si>
  <si>
    <t>(606) 269-6077</t>
  </si>
  <si>
    <t>krueger@msn.com</t>
  </si>
  <si>
    <t>C0379</t>
  </si>
  <si>
    <t>Cruz Benítez</t>
  </si>
  <si>
    <t>Jacksonville, FL 32257</t>
  </si>
  <si>
    <t>7600 Campfire Street</t>
  </si>
  <si>
    <t>(975) 455-9019</t>
  </si>
  <si>
    <t>danneng@att.net</t>
  </si>
  <si>
    <t>C0380</t>
  </si>
  <si>
    <t>Fabio Carnero Boix</t>
  </si>
  <si>
    <t>Miami, FL 33165</t>
  </si>
  <si>
    <t>527 South Indian Summer Court</t>
  </si>
  <si>
    <t>(473) 353-4079</t>
  </si>
  <si>
    <t>pgolle@yahoo.com</t>
  </si>
  <si>
    <t>C0381</t>
  </si>
  <si>
    <t>Nayara Casanovas Alarcón</t>
  </si>
  <si>
    <t>Miami, FL 33177</t>
  </si>
  <si>
    <t>72 S. Lakeview St.</t>
  </si>
  <si>
    <t>(845) 455-2297</t>
  </si>
  <si>
    <t>scitext@comcast.net</t>
  </si>
  <si>
    <t>C0382</t>
  </si>
  <si>
    <t>Miguel Villegas Jover</t>
  </si>
  <si>
    <t>Gainesville, FL 32608</t>
  </si>
  <si>
    <t>47 Leatherwood Ave.</t>
  </si>
  <si>
    <t>(811) 819-5474</t>
  </si>
  <si>
    <t>goresky@gmail.com</t>
  </si>
  <si>
    <t>C0383</t>
  </si>
  <si>
    <t>Ildefonso Guillén Arrieta</t>
  </si>
  <si>
    <t>Port Saint Lucie, FL 34952</t>
  </si>
  <si>
    <t>7 Bridle Street</t>
  </si>
  <si>
    <t>(923) 852-7654</t>
  </si>
  <si>
    <t>shawnce@optonline.net</t>
  </si>
  <si>
    <t>C0384</t>
  </si>
  <si>
    <t>Jose Ignacio Armas Ramírez</t>
  </si>
  <si>
    <t>Tallahassee, FL 32303</t>
  </si>
  <si>
    <t>3 North Augusta Road</t>
  </si>
  <si>
    <t>(559) 237-1566</t>
  </si>
  <si>
    <t>ubergeeb@live.com</t>
  </si>
  <si>
    <t>C0385</t>
  </si>
  <si>
    <t>María Jesús Celestina Casas Carrasco</t>
  </si>
  <si>
    <t>Tallahassee, FL 32304</t>
  </si>
  <si>
    <t>848 Lees Creek Ave.</t>
  </si>
  <si>
    <t>(930) 751-5153</t>
  </si>
  <si>
    <t>redingtn@yahoo.ca</t>
  </si>
  <si>
    <t>C0386</t>
  </si>
  <si>
    <t>Mamen Ledesma Escribano</t>
  </si>
  <si>
    <t>Casselberry, FL 32707</t>
  </si>
  <si>
    <t>943 Brookside St.</t>
  </si>
  <si>
    <t>(423) 496-3540</t>
  </si>
  <si>
    <t>nimaclea@live.com</t>
  </si>
  <si>
    <t>C0387</t>
  </si>
  <si>
    <t>Ambrosio Casanovas Piquer</t>
  </si>
  <si>
    <t>Miami, FL 33176</t>
  </si>
  <si>
    <t>791 Lexington Ave.</t>
  </si>
  <si>
    <t>(566) 531-0451</t>
  </si>
  <si>
    <t>iapetus@aol.com</t>
  </si>
  <si>
    <t>C0388</t>
  </si>
  <si>
    <t>Joan Ferrán Alegria</t>
  </si>
  <si>
    <t>Lake Worth, FL 33463</t>
  </si>
  <si>
    <t>8429 Bellevue Avenue</t>
  </si>
  <si>
    <t>(923) 361-1596</t>
  </si>
  <si>
    <t>skythe@outlook.com</t>
  </si>
  <si>
    <t>C0389</t>
  </si>
  <si>
    <t>Vasco Tamayo Barrio</t>
  </si>
  <si>
    <t>Hollywood, FL 33024</t>
  </si>
  <si>
    <t>46 Marlborough Drive</t>
  </si>
  <si>
    <t>(479) 389-7125</t>
  </si>
  <si>
    <t>anicolao@aol.com</t>
  </si>
  <si>
    <t>C0390</t>
  </si>
  <si>
    <t>Leire Aroa Alfaro Olmo</t>
  </si>
  <si>
    <t>Hialeah, FL 33018</t>
  </si>
  <si>
    <t>9064 William St.</t>
  </si>
  <si>
    <t>(522) 838-0614</t>
  </si>
  <si>
    <t>hahsler@yahoo.ca</t>
  </si>
  <si>
    <t>C0391</t>
  </si>
  <si>
    <t>Felix Guardia Arenas</t>
  </si>
  <si>
    <t>Miami, FL 33173</t>
  </si>
  <si>
    <t>4 Belmont Drive</t>
  </si>
  <si>
    <t>(463) 645-5648</t>
  </si>
  <si>
    <t>tokuhirom@comcast.net</t>
  </si>
  <si>
    <t>C0392</t>
  </si>
  <si>
    <t>Gloria Dalmau-Bolaños</t>
  </si>
  <si>
    <t>Miami, FL 33193</t>
  </si>
  <si>
    <t>788 Glenholme Dr.</t>
  </si>
  <si>
    <t>(968) 499-4402</t>
  </si>
  <si>
    <t>mhoffman@live.com</t>
  </si>
  <si>
    <t>C0393</t>
  </si>
  <si>
    <t>Eliana Solsona Girón</t>
  </si>
  <si>
    <t>Tampa, FL 33615</t>
  </si>
  <si>
    <t>93 Magnolia Ave.</t>
  </si>
  <si>
    <t>(263) 379-6789</t>
  </si>
  <si>
    <t>mahbub@verizon.net</t>
  </si>
  <si>
    <t>C0394</t>
  </si>
  <si>
    <t>Liliana Valdés Bilbao</t>
  </si>
  <si>
    <t>Jacksonville, FL 32225</t>
  </si>
  <si>
    <t>93 N. Schoolhouse Street</t>
  </si>
  <si>
    <t>(316) 405-3234</t>
  </si>
  <si>
    <t>janneh@gmail.com</t>
  </si>
  <si>
    <t>C0395</t>
  </si>
  <si>
    <t>Tomasa Feijoo Alvarado</t>
  </si>
  <si>
    <t>Miami, FL 33186</t>
  </si>
  <si>
    <t>719 Penn Dr.</t>
  </si>
  <si>
    <t>(443) 667-4609</t>
  </si>
  <si>
    <t>jonathan@yahoo.com</t>
  </si>
  <si>
    <t>C0396</t>
  </si>
  <si>
    <t>José Ángel Vélez Vila</t>
  </si>
  <si>
    <t>Pensacola, FL 32503</t>
  </si>
  <si>
    <t>9 Arrowhead Street</t>
  </si>
  <si>
    <t>(851) 269-0491</t>
  </si>
  <si>
    <t>zeitlin@aol.com</t>
  </si>
  <si>
    <t>C0397</t>
  </si>
  <si>
    <t>Pío Roma-Estevez</t>
  </si>
  <si>
    <t>Lakeland, FL 33813</t>
  </si>
  <si>
    <t>176B South Victoria Drive</t>
  </si>
  <si>
    <t>(727) 313-4625</t>
  </si>
  <si>
    <t>telbij@yahoo.com</t>
  </si>
  <si>
    <t>C0398</t>
  </si>
  <si>
    <t>Amelia Tello-Toledo</t>
  </si>
  <si>
    <t>Sarasota, FL 34231</t>
  </si>
  <si>
    <t>333 South Tower Ave.</t>
  </si>
  <si>
    <t>(900) 258-6110</t>
  </si>
  <si>
    <t>cparis@me.com</t>
  </si>
  <si>
    <t>C0399</t>
  </si>
  <si>
    <t>Roberta de Lamas</t>
  </si>
  <si>
    <t>Boynton Beach, FL 33436</t>
  </si>
  <si>
    <t>952 Acacia Ave.</t>
  </si>
  <si>
    <t>(984) 388-6360</t>
  </si>
  <si>
    <t>dburrows@gmail.com</t>
  </si>
  <si>
    <t>C0400</t>
  </si>
  <si>
    <t>Primitivo Melero Daza</t>
  </si>
  <si>
    <t>Pompano Beach, FL 33068</t>
  </si>
  <si>
    <t>9973 Armstrong St.</t>
  </si>
  <si>
    <t>(994) 832-9514</t>
  </si>
  <si>
    <t>budinger@gmail.com</t>
  </si>
  <si>
    <t>C0401</t>
  </si>
  <si>
    <t>Benigno Sanz Gomis</t>
  </si>
  <si>
    <t>Orlando, FL 32808</t>
  </si>
  <si>
    <t>8241 Devon Dr.</t>
  </si>
  <si>
    <t>(470) 309-6205</t>
  </si>
  <si>
    <t>mnemonic@comcast.net</t>
  </si>
  <si>
    <t>C0402</t>
  </si>
  <si>
    <t>Reyna Rivas Porcel</t>
  </si>
  <si>
    <t>Oviedo, FL 32765</t>
  </si>
  <si>
    <t>419 Sheffield St.</t>
  </si>
  <si>
    <t>(510) 332-3248</t>
  </si>
  <si>
    <t>techie@yahoo.ca</t>
  </si>
  <si>
    <t>C0403</t>
  </si>
  <si>
    <t>Olivia Goñi</t>
  </si>
  <si>
    <t>Orlando, FL 32811</t>
  </si>
  <si>
    <t>8142 Amherst Circle</t>
  </si>
  <si>
    <t>(608) 742-9416</t>
  </si>
  <si>
    <t>timlinux@att.net</t>
  </si>
  <si>
    <t>C0404</t>
  </si>
  <si>
    <t>Isaac Morcillo-Calvo</t>
  </si>
  <si>
    <t>Cape Coral, FL 33904</t>
  </si>
  <si>
    <t>345 South Trenton Dr.</t>
  </si>
  <si>
    <t>(382) 786-4916</t>
  </si>
  <si>
    <t>dgriffith@gmail.com</t>
  </si>
  <si>
    <t>C0405</t>
  </si>
  <si>
    <t>Asdrubal Franco Montaña</t>
  </si>
  <si>
    <t>Middleburg, FL 32068</t>
  </si>
  <si>
    <t>80 Harvey Drive</t>
  </si>
  <si>
    <t>(688) 304-8571</t>
  </si>
  <si>
    <t>credmond@me.com</t>
  </si>
  <si>
    <t>C0406</t>
  </si>
  <si>
    <t>Alexandra Ámbar Armengol Campos</t>
  </si>
  <si>
    <t>Jacksonville, FL 32244</t>
  </si>
  <si>
    <t>8827 Wilson Lane</t>
  </si>
  <si>
    <t>(639) 405-1427</t>
  </si>
  <si>
    <t>vsprintf@live.com</t>
  </si>
  <si>
    <t>C0407</t>
  </si>
  <si>
    <t>Calisto Menéndez</t>
  </si>
  <si>
    <t>Ormond Beach, FL 32174</t>
  </si>
  <si>
    <t>7266 Trout Drive</t>
  </si>
  <si>
    <t>(648) 441-1338</t>
  </si>
  <si>
    <t>tubajon@yahoo.ca</t>
  </si>
  <si>
    <t>C0408</t>
  </si>
  <si>
    <t>Graciana Cintia Iñiguez Heras</t>
  </si>
  <si>
    <t>8028 S. Purple Finch Drive</t>
  </si>
  <si>
    <t>(558) 935-7698</t>
  </si>
  <si>
    <t>overbom@aol.com</t>
  </si>
  <si>
    <t>C0409</t>
  </si>
  <si>
    <t>Mayte Duarte Alfonso</t>
  </si>
  <si>
    <t>Miami, FL 33157</t>
  </si>
  <si>
    <t>88 South Brickyard Drive</t>
  </si>
  <si>
    <t>(398) 257-6801</t>
  </si>
  <si>
    <t>iamcal@me.com</t>
  </si>
  <si>
    <t>C0410</t>
  </si>
  <si>
    <t>María Teresa Llamas Mariño</t>
  </si>
  <si>
    <t>Altamonte Springs, FL 32714</t>
  </si>
  <si>
    <t>7434 Second Dr.</t>
  </si>
  <si>
    <t>(226) 474-1021</t>
  </si>
  <si>
    <t>gboss@icloud.com</t>
  </si>
  <si>
    <t>C0411</t>
  </si>
  <si>
    <t>Federico Pizarro Coello</t>
  </si>
  <si>
    <t>Orlando, FL 32825</t>
  </si>
  <si>
    <t>8280 S. Pineknoll St.</t>
  </si>
  <si>
    <t>(696) 224-8334</t>
  </si>
  <si>
    <t>adamk@icloud.com</t>
  </si>
  <si>
    <t>C0412</t>
  </si>
  <si>
    <t>Pacífica Córdoba</t>
  </si>
  <si>
    <t>Fort Lauderdale, FL 33317</t>
  </si>
  <si>
    <t>8335 Hillcrest Drive</t>
  </si>
  <si>
    <t>(861) 766-3153</t>
  </si>
  <si>
    <t>formis@yahoo.com</t>
  </si>
  <si>
    <t>C0413</t>
  </si>
  <si>
    <t>Rosa Jiménez-Galvez</t>
  </si>
  <si>
    <t>Tampa, FL 33610</t>
  </si>
  <si>
    <t>8 Deerfield St.</t>
  </si>
  <si>
    <t>(283) 579-9362</t>
  </si>
  <si>
    <t>ngedmond@msn.com</t>
  </si>
  <si>
    <t>C0414</t>
  </si>
  <si>
    <t>Martirio Bonet</t>
  </si>
  <si>
    <t>Miami, FL 33155</t>
  </si>
  <si>
    <t>8834 Jefferson St.</t>
  </si>
  <si>
    <t>(970) 553-9470</t>
  </si>
  <si>
    <t>amaranth@icloud.com</t>
  </si>
  <si>
    <t>C0415</t>
  </si>
  <si>
    <t>Ruy Roldan Lara</t>
  </si>
  <si>
    <t>Deltona, FL 32725</t>
  </si>
  <si>
    <t>9951 Strawberry Ave.</t>
  </si>
  <si>
    <t>(251) 956-4735</t>
  </si>
  <si>
    <t>chaki@verizon.net</t>
  </si>
  <si>
    <t>C0416</t>
  </si>
  <si>
    <t>Felisa Múgica Gomez</t>
  </si>
  <si>
    <t>Palm Bay, FL 32907</t>
  </si>
  <si>
    <t>778 South Street</t>
  </si>
  <si>
    <t>(461) 415-6750</t>
  </si>
  <si>
    <t>barlow@mac.com</t>
  </si>
  <si>
    <t>C0417</t>
  </si>
  <si>
    <t>Anselma Valentín Malo</t>
  </si>
  <si>
    <t>Tampa, FL 33604</t>
  </si>
  <si>
    <t>52 Van Dyke Road</t>
  </si>
  <si>
    <t>(942) 377-8831</t>
  </si>
  <si>
    <t>barjam@mac.com</t>
  </si>
  <si>
    <t>C0418</t>
  </si>
  <si>
    <t>Lino de Busquets</t>
  </si>
  <si>
    <t>Jacksonville, FL 32224</t>
  </si>
  <si>
    <t>139 Mountainview St.</t>
  </si>
  <si>
    <t>(209) 879-7336</t>
  </si>
  <si>
    <t>parents@outlook.com</t>
  </si>
  <si>
    <t>C0419</t>
  </si>
  <si>
    <t>Sandra Leiva Aguiló</t>
  </si>
  <si>
    <t>Saint Petersburg, FL 33713</t>
  </si>
  <si>
    <t>422 Cedar St.</t>
  </si>
  <si>
    <t>(786) 225-1408</t>
  </si>
  <si>
    <t>dodong@comcast.net</t>
  </si>
  <si>
    <t>C0420</t>
  </si>
  <si>
    <t>Federico Gutiérrez Tamarit</t>
  </si>
  <si>
    <t>Fort Lauderdale, FL 33313</t>
  </si>
  <si>
    <t>472 West Summit Drive</t>
  </si>
  <si>
    <t>(706) 852-2679</t>
  </si>
  <si>
    <t>chrisj@gmail.com</t>
  </si>
  <si>
    <t>C0421</t>
  </si>
  <si>
    <t>Aristides Exposito Sánchez</t>
  </si>
  <si>
    <t>Venice, FL 34293</t>
  </si>
  <si>
    <t>99 S. Pumpkin Hill Ave.</t>
  </si>
  <si>
    <t>(332) 433-7473</t>
  </si>
  <si>
    <t>C0422</t>
  </si>
  <si>
    <t>Claudia Ibañez Peñas</t>
  </si>
  <si>
    <t>Orlando, FL 32835</t>
  </si>
  <si>
    <t>7845 Howard St.</t>
  </si>
  <si>
    <t>(788) 716-6288</t>
  </si>
  <si>
    <t>eminence@optonline.net</t>
  </si>
  <si>
    <t>C0423</t>
  </si>
  <si>
    <t>Roque Bejarano</t>
  </si>
  <si>
    <t>Jacksonville, FL 32246</t>
  </si>
  <si>
    <t>8974 High Point St.</t>
  </si>
  <si>
    <t>(969) 824-6307</t>
  </si>
  <si>
    <t>jonathan@att.net</t>
  </si>
  <si>
    <t>C0424</t>
  </si>
  <si>
    <t>Sergio Font Mínguez</t>
  </si>
  <si>
    <t>Hollywood, FL 33023</t>
  </si>
  <si>
    <t>419 High St.</t>
  </si>
  <si>
    <t>(578) 987-8609</t>
  </si>
  <si>
    <t>teverett@yahoo.ca</t>
  </si>
  <si>
    <t>C0425</t>
  </si>
  <si>
    <t>Luisina Chus Acosta Losa</t>
  </si>
  <si>
    <t>Jacksonville, FL 32211</t>
  </si>
  <si>
    <t>8847 Oakwood St.</t>
  </si>
  <si>
    <t>(864) 796-2642</t>
  </si>
  <si>
    <t>library@me.com</t>
  </si>
  <si>
    <t>C0426</t>
  </si>
  <si>
    <t>Eusebia Torre Dalmau</t>
  </si>
  <si>
    <t>Opa Locka, FL 33056</t>
  </si>
  <si>
    <t>709 Foxrun Ave.</t>
  </si>
  <si>
    <t>(360) 395-0174</t>
  </si>
  <si>
    <t>chronos@msn.com</t>
  </si>
  <si>
    <t>C0427</t>
  </si>
  <si>
    <t>Pedro Sancho-Garrido</t>
  </si>
  <si>
    <t>Miami Beach, FL 33141</t>
  </si>
  <si>
    <t>599 Glen Creek Drive</t>
  </si>
  <si>
    <t>(473) 259-7625</t>
  </si>
  <si>
    <t>dvdotnet@aol.com</t>
  </si>
  <si>
    <t>C0428</t>
  </si>
  <si>
    <t>Blanca Lluch Gonzalo</t>
  </si>
  <si>
    <t>Pompano Beach, FL 33065</t>
  </si>
  <si>
    <t>214 Adams Street</t>
  </si>
  <si>
    <t>(585) 896-7221</t>
  </si>
  <si>
    <t>jguyer@yahoo.com</t>
  </si>
  <si>
    <t>C0429</t>
  </si>
  <si>
    <t>Benito Aranda Olivera</t>
  </si>
  <si>
    <t>Miami, FL 33125</t>
  </si>
  <si>
    <t>1 Grove St.</t>
  </si>
  <si>
    <t>(516) 505-2111</t>
  </si>
  <si>
    <t>symbolic@live.com</t>
  </si>
  <si>
    <t>C0430</t>
  </si>
  <si>
    <t>Juan Lerma Melero</t>
  </si>
  <si>
    <t>Miami, FL 33172</t>
  </si>
  <si>
    <t>104 Manor St.</t>
  </si>
  <si>
    <t>(948) 883-9967</t>
  </si>
  <si>
    <t>cyrus@outlook.com</t>
  </si>
  <si>
    <t>C0431</t>
  </si>
  <si>
    <t>Nayara Fuster Cuesta</t>
  </si>
  <si>
    <t>Tallahassee, FL 32308</t>
  </si>
  <si>
    <t>832 West Dunbar Court</t>
  </si>
  <si>
    <t>(719) 644-3160</t>
  </si>
  <si>
    <t>russotto@att.net</t>
  </si>
  <si>
    <t>C0432</t>
  </si>
  <si>
    <t>Maricela Mendizábal-Tejera</t>
  </si>
  <si>
    <t>Sarasota, FL 34232</t>
  </si>
  <si>
    <t>7704 Vale Ave.</t>
  </si>
  <si>
    <t>(600) 967-9596</t>
  </si>
  <si>
    <t>fmtbebuck@outlook.com</t>
  </si>
  <si>
    <t>C0433</t>
  </si>
  <si>
    <t>Silvio Ledesma Planas</t>
  </si>
  <si>
    <t>Miami, FL 33126</t>
  </si>
  <si>
    <t>9830 Shadow Brook Street</t>
  </si>
  <si>
    <t>(997) 396-1254</t>
  </si>
  <si>
    <t>ovprit@live.com</t>
  </si>
  <si>
    <t>C0434</t>
  </si>
  <si>
    <t>Ovidio García Gabaldón</t>
  </si>
  <si>
    <t>Arcadia, FL 34266</t>
  </si>
  <si>
    <t>16 Bayberry St.</t>
  </si>
  <si>
    <t>(289) 891-8370</t>
  </si>
  <si>
    <t>jimxugle@gmail.com</t>
  </si>
  <si>
    <t>C0435</t>
  </si>
  <si>
    <t>Marina Gisbert Huertas</t>
  </si>
  <si>
    <t>Daytona Beach, FL 32114</t>
  </si>
  <si>
    <t>767 E. Gulf Avenue</t>
  </si>
  <si>
    <t>(454) 330-7142</t>
  </si>
  <si>
    <t>pthomsen@icloud.com</t>
  </si>
  <si>
    <t>C0436</t>
  </si>
  <si>
    <t>Nazaret Pina Solé</t>
  </si>
  <si>
    <t>Miami, FL 33142</t>
  </si>
  <si>
    <t>8711 Clay Dr.</t>
  </si>
  <si>
    <t>(843) 779-5683</t>
  </si>
  <si>
    <t>csilvers@sbcglobal.net</t>
  </si>
  <si>
    <t>C0437</t>
  </si>
  <si>
    <t>Valentina del Diaz</t>
  </si>
  <si>
    <t>Riverview, FL 33569</t>
  </si>
  <si>
    <t>359 South College Lane</t>
  </si>
  <si>
    <t>(424) 719-6724</t>
  </si>
  <si>
    <t>fangorn@optonline.net</t>
  </si>
  <si>
    <t>C0438</t>
  </si>
  <si>
    <t>José Antonio Lluch Gutiérrez</t>
  </si>
  <si>
    <t>Leesburg, FL 34748</t>
  </si>
  <si>
    <t>656 Old York Lane</t>
  </si>
  <si>
    <t>(849) 292-8635</t>
  </si>
  <si>
    <t>cliffordj@msn.com</t>
  </si>
  <si>
    <t>C0439</t>
  </si>
  <si>
    <t>María Belén Ortega Alvarez</t>
  </si>
  <si>
    <t>Hialeah, FL 33015</t>
  </si>
  <si>
    <t>8272 Cobblestone Dr.</t>
  </si>
  <si>
    <t>(477) 421-7045</t>
  </si>
  <si>
    <t>fukuchi@verizon.net</t>
  </si>
  <si>
    <t>C0440</t>
  </si>
  <si>
    <t>Manuelita Barroso-Coloma</t>
  </si>
  <si>
    <t>Hialeah, FL 33014</t>
  </si>
  <si>
    <t>485 S. Park St.</t>
  </si>
  <si>
    <t>(401) 825-3736</t>
  </si>
  <si>
    <t>kourai@optonline.net</t>
  </si>
  <si>
    <t>C0441</t>
  </si>
  <si>
    <t>Carmelo Valentín Mancebo</t>
  </si>
  <si>
    <t>Fort Lauderdale, FL 33311</t>
  </si>
  <si>
    <t>170 Indian Spring Rd.</t>
  </si>
  <si>
    <t>(305) 393-0553</t>
  </si>
  <si>
    <t>psichel@me.com</t>
  </si>
  <si>
    <t>C0442</t>
  </si>
  <si>
    <t>Jose Ramón Nicolás Marco</t>
  </si>
  <si>
    <t>Pensacola, FL 32514</t>
  </si>
  <si>
    <t>507 High Street</t>
  </si>
  <si>
    <t>(640) 477-1369</t>
  </si>
  <si>
    <t>chronos@comcast.net</t>
  </si>
  <si>
    <t>C0443</t>
  </si>
  <si>
    <t>Ruben del Azorin</t>
  </si>
  <si>
    <t>Hialeah, FL 33012</t>
  </si>
  <si>
    <t>9080 Union St.</t>
  </si>
  <si>
    <t>(225) 944-9455</t>
  </si>
  <si>
    <t>ccohen@hotmail.com</t>
  </si>
  <si>
    <t>C0444</t>
  </si>
  <si>
    <t>Jordana Riba</t>
  </si>
  <si>
    <t>Winter Park, FL 32792</t>
  </si>
  <si>
    <t>9585 Cleveland Ave.</t>
  </si>
  <si>
    <t>(818) 544-9992</t>
  </si>
  <si>
    <t>quantaman@att.net</t>
  </si>
  <si>
    <t>C0445</t>
  </si>
  <si>
    <t>Brunilda Giralt</t>
  </si>
  <si>
    <t>Palmetto, FL 34221</t>
  </si>
  <si>
    <t>95 Sierra Avenue</t>
  </si>
  <si>
    <t>(248) 248-7570</t>
  </si>
  <si>
    <t>sthomas@optonline.net</t>
  </si>
  <si>
    <t>C0446</t>
  </si>
  <si>
    <t>Jose Valenciano Osuna</t>
  </si>
  <si>
    <t>Jacksonville, FL 32207</t>
  </si>
  <si>
    <t>7942 Winding Way Lane</t>
  </si>
  <si>
    <t>(688) 689-4456</t>
  </si>
  <si>
    <t>cgcra@yahoo.ca</t>
  </si>
  <si>
    <t>C0447</t>
  </si>
  <si>
    <t>Inés Gil-Miralles</t>
  </si>
  <si>
    <t>Clermont, FL 34711</t>
  </si>
  <si>
    <t>7043 Monroe Ave.</t>
  </si>
  <si>
    <t>(532) 988-8123</t>
  </si>
  <si>
    <t>szymansk@sbcglobal.net</t>
  </si>
  <si>
    <t>C0448</t>
  </si>
  <si>
    <t>Pío del Lastra</t>
  </si>
  <si>
    <t>Kissimmee, FL 34741</t>
  </si>
  <si>
    <t>8646 Homewood Street</t>
  </si>
  <si>
    <t>(447) 481-7902</t>
  </si>
  <si>
    <t>goresky@aol.com</t>
  </si>
  <si>
    <t>C0449</t>
  </si>
  <si>
    <t>Amílcar Valera</t>
  </si>
  <si>
    <t>Sanford, FL 32771</t>
  </si>
  <si>
    <t>452 Ridge Lane</t>
  </si>
  <si>
    <t>(333) 864-8602</t>
  </si>
  <si>
    <t>staffelb@comcast.net</t>
  </si>
  <si>
    <t>C0450</t>
  </si>
  <si>
    <t>Laura del Hernandez</t>
  </si>
  <si>
    <t>Pensacola, FL 32506</t>
  </si>
  <si>
    <t>9055 W. Gonzales Street</t>
  </si>
  <si>
    <t>(350) 978-7967</t>
  </si>
  <si>
    <t>jeffcovey@me.com</t>
  </si>
  <si>
    <t>C0451</t>
  </si>
  <si>
    <t>Encarnación Iborra</t>
  </si>
  <si>
    <t>Pompano Beach, FL 33071</t>
  </si>
  <si>
    <t>7735 S. Marshall Circle</t>
  </si>
  <si>
    <t>(316) 992-3895</t>
  </si>
  <si>
    <t>world@yahoo.com</t>
  </si>
  <si>
    <t>C0452</t>
  </si>
  <si>
    <t>Nicolasa de Verdugo</t>
  </si>
  <si>
    <t>Suite 3</t>
  </si>
  <si>
    <t>Pompano Beach, FL 33060</t>
  </si>
  <si>
    <t>(247) 429-9544</t>
  </si>
  <si>
    <t>wetter@mac.com</t>
  </si>
  <si>
    <t>C0453</t>
  </si>
  <si>
    <t>Evaristo Loreto Ferrer Mariño</t>
  </si>
  <si>
    <t>231 Marsh Lane</t>
  </si>
  <si>
    <t>Apopka, FL 32703</t>
  </si>
  <si>
    <t>(843) 742-7308</t>
  </si>
  <si>
    <t>dwheeler@me.com</t>
  </si>
  <si>
    <t>C0454</t>
  </si>
  <si>
    <t>Esmeralda Visitación Menéndez Alemán</t>
  </si>
  <si>
    <t>2 West Vine St.</t>
  </si>
  <si>
    <t>Miami, FL 33174</t>
  </si>
  <si>
    <t>(770) 393-3543</t>
  </si>
  <si>
    <t>mastinfo@live.com</t>
  </si>
  <si>
    <t>C0455</t>
  </si>
  <si>
    <t>Manuel Melero Palomo</t>
  </si>
  <si>
    <t>62 Homewood Street</t>
  </si>
  <si>
    <t>Port Charlotte, FL 33952</t>
  </si>
  <si>
    <t>(949) 598-2771</t>
  </si>
  <si>
    <t>sblack@verizon.net</t>
  </si>
  <si>
    <t>C0456</t>
  </si>
  <si>
    <t>Paca Verdejo Mayoral</t>
  </si>
  <si>
    <t>95 Delaware Dr.</t>
  </si>
  <si>
    <t>Fort Lauderdale, FL 33324</t>
  </si>
  <si>
    <t>(699) 746-9159</t>
  </si>
  <si>
    <t>ganter@verizon.net</t>
  </si>
  <si>
    <t>C0457</t>
  </si>
  <si>
    <t>Regina del Parejo</t>
  </si>
  <si>
    <t>8133 Sycamore Street</t>
  </si>
  <si>
    <t>Jacksonville, FL 32218</t>
  </si>
  <si>
    <t>(844) 950-9259</t>
  </si>
  <si>
    <t>dpitts@hotmail.com</t>
  </si>
  <si>
    <t>C0458</t>
  </si>
  <si>
    <t>Águeda Giménez Serna</t>
  </si>
  <si>
    <t>8546 Ketch Harbour Ave.</t>
  </si>
  <si>
    <t>Miami Beach, FL 33139</t>
  </si>
  <si>
    <t>(787) 302-4699</t>
  </si>
  <si>
    <t>sinkou@me.com</t>
  </si>
  <si>
    <t>C0459</t>
  </si>
  <si>
    <t>Anastasio Montesinos García</t>
  </si>
  <si>
    <t>8683 South Drive</t>
  </si>
  <si>
    <t>Bradenton, FL 34208</t>
  </si>
  <si>
    <t>(952) 745-8983</t>
  </si>
  <si>
    <t>chronos@me.com</t>
  </si>
  <si>
    <t>C0460</t>
  </si>
  <si>
    <t>Marisela Quintero Quintero</t>
  </si>
  <si>
    <t>17 Silver Spear Drive</t>
  </si>
  <si>
    <t>Miami, FL 33156</t>
  </si>
  <si>
    <t>(873) 828-7242</t>
  </si>
  <si>
    <t>csilvers@gmail.com</t>
  </si>
  <si>
    <t>C0461</t>
  </si>
  <si>
    <t>Isaac Espada Madrigal</t>
  </si>
  <si>
    <t>60 Lower River St.</t>
  </si>
  <si>
    <t>Lutz, FL 33549</t>
  </si>
  <si>
    <t>(943) 865-9127</t>
  </si>
  <si>
    <t>aardo@verizon.net</t>
  </si>
  <si>
    <t>C0462</t>
  </si>
  <si>
    <t>Luciana Gaya Álvaro</t>
  </si>
  <si>
    <t>9661 Aspen St.</t>
  </si>
  <si>
    <t>North Miami Beach, FL 33160</t>
  </si>
  <si>
    <t>(668) 821-9575</t>
  </si>
  <si>
    <t>cantu@gmail.com</t>
  </si>
  <si>
    <t>C0463</t>
  </si>
  <si>
    <t>Samanta Olmedo</t>
  </si>
  <si>
    <t>265 Mill Pond Dr.</t>
  </si>
  <si>
    <t>Miami, FL 33169</t>
  </si>
  <si>
    <t>(456) 829-6689</t>
  </si>
  <si>
    <t>jeffcovey@verizon.net</t>
  </si>
  <si>
    <t>C0464</t>
  </si>
  <si>
    <t>Osvaldo Atilio Jover Herrera</t>
  </si>
  <si>
    <t>7440 Cherry Hill Court</t>
  </si>
  <si>
    <t>Titusville, FL 32780</t>
  </si>
  <si>
    <t>(224) 518-9412</t>
  </si>
  <si>
    <t>lydia@gmail.com</t>
  </si>
  <si>
    <t>C0465</t>
  </si>
  <si>
    <t>Tere Montenegro Expósito</t>
  </si>
  <si>
    <t>8958 Golf St.</t>
  </si>
  <si>
    <t>Boynton Beach, FL 33437</t>
  </si>
  <si>
    <t>(822) 587-3348</t>
  </si>
  <si>
    <t>ubergeeb@msn.com</t>
  </si>
  <si>
    <t>C0466</t>
  </si>
  <si>
    <t>Nicodemo Alegre-Izquierdo</t>
  </si>
  <si>
    <t>654 S. Jones Street</t>
  </si>
  <si>
    <t>Stuart, FL 34997</t>
  </si>
  <si>
    <t>(699) 407-0837</t>
  </si>
  <si>
    <t>jshirley@outlook.com</t>
  </si>
  <si>
    <t>C0467</t>
  </si>
  <si>
    <t>Adelardo Chico-Cuesta</t>
  </si>
  <si>
    <t>735 E. Newbridge St.</t>
  </si>
  <si>
    <t>Lake Worth, FL 33461</t>
  </si>
  <si>
    <t>(272) 549-4608</t>
  </si>
  <si>
    <t>niknejad@me.com</t>
  </si>
  <si>
    <t>C0468</t>
  </si>
  <si>
    <t>Dorotea Diez Aznar</t>
  </si>
  <si>
    <t>607 Cherry Hill Street</t>
  </si>
  <si>
    <t>Bradenton, FL 34207</t>
  </si>
  <si>
    <t>(887) 405-0872</t>
  </si>
  <si>
    <t>punkis@sbcglobal.net</t>
  </si>
  <si>
    <t>C0469</t>
  </si>
  <si>
    <t>Donato Noguera Mármol</t>
  </si>
  <si>
    <t>732 Prince Lane</t>
  </si>
  <si>
    <t>Bradenton, FL 34209</t>
  </si>
  <si>
    <t>(762) 491-8640</t>
  </si>
  <si>
    <t>skaufman@comcast.net</t>
  </si>
  <si>
    <t>C0470</t>
  </si>
  <si>
    <t>María Del Carmen Benítez-Lozano</t>
  </si>
  <si>
    <t>27 Grandrose Ave.</t>
  </si>
  <si>
    <t>Port Richey, FL 34668</t>
  </si>
  <si>
    <t>(368) 723-8977</t>
  </si>
  <si>
    <t>kmiller@yahoo.com</t>
  </si>
  <si>
    <t>C0471</t>
  </si>
  <si>
    <t>Roxana Sanjuan Nieto</t>
  </si>
  <si>
    <t>895 Sleepy Hollow St.</t>
  </si>
  <si>
    <t>Orange Park, FL 32073</t>
  </si>
  <si>
    <t>(698) 412-9077</t>
  </si>
  <si>
    <t>hoangle@verizon.net</t>
  </si>
  <si>
    <t>C0472</t>
  </si>
  <si>
    <t>Primitiva Villalba Valenciano</t>
  </si>
  <si>
    <t>767 North Miller St.</t>
  </si>
  <si>
    <t>Miami, FL 33147</t>
  </si>
  <si>
    <t>(302) 256-8455</t>
  </si>
  <si>
    <t>miturria@aol.com</t>
  </si>
  <si>
    <t>C0473</t>
  </si>
  <si>
    <t>Aura Manzano Pedrero</t>
  </si>
  <si>
    <t>7049 Water Road</t>
  </si>
  <si>
    <t>Hialeah, FL 33016</t>
  </si>
  <si>
    <t>(917) 817-2323</t>
  </si>
  <si>
    <t>bartlett@verizon.net</t>
  </si>
  <si>
    <t>C0474</t>
  </si>
  <si>
    <t>Sabas Macario Murcia Quintanilla</t>
  </si>
  <si>
    <t>17 South Court</t>
  </si>
  <si>
    <t>Saint Petersburg, FL 33702</t>
  </si>
  <si>
    <t>(272) 983-1657</t>
  </si>
  <si>
    <t>afifi@icloud.com</t>
  </si>
  <si>
    <t>C0475</t>
  </si>
  <si>
    <t>Apolinar Falcón-Cadenas</t>
  </si>
  <si>
    <t>9198 West Grant Street</t>
  </si>
  <si>
    <t>Orlando, FL 32822</t>
  </si>
  <si>
    <t>(334) 772-1013</t>
  </si>
  <si>
    <t>keiji@aol.com</t>
  </si>
  <si>
    <t>C0476</t>
  </si>
  <si>
    <t>Horacio Gallego Matas</t>
  </si>
  <si>
    <t>50 Lawrence Rd.</t>
  </si>
  <si>
    <t>Tallahassee, FL 32310</t>
  </si>
  <si>
    <t>(299) 772-6764</t>
  </si>
  <si>
    <t>kramulous@icloud.com</t>
  </si>
  <si>
    <t>C0477</t>
  </si>
  <si>
    <t>Curro Cañellas-Abad</t>
  </si>
  <si>
    <t>858 Race St.</t>
  </si>
  <si>
    <t>Jacksonville, FL 32210</t>
  </si>
  <si>
    <t>(229) 988-7982</t>
  </si>
  <si>
    <t>cantu@mac.com</t>
  </si>
  <si>
    <t>C0478</t>
  </si>
  <si>
    <t>Julio Corominas</t>
  </si>
  <si>
    <t>93 East Longbranch Dr.</t>
  </si>
  <si>
    <t>Hollywood, FL 33020</t>
  </si>
  <si>
    <t>(583) 883-0821</t>
  </si>
  <si>
    <t>wojciech@live.com</t>
  </si>
  <si>
    <t>C0479</t>
  </si>
  <si>
    <t>Dominga Olmedo Lara</t>
  </si>
  <si>
    <t>19 Victoria Street</t>
  </si>
  <si>
    <t>London</t>
  </si>
  <si>
    <t>(464) 724-8248</t>
  </si>
  <si>
    <t>dogdude@gmail.com</t>
  </si>
  <si>
    <t>C0480</t>
  </si>
  <si>
    <t>Norberto Cortés Coca</t>
  </si>
  <si>
    <t>NW48 5MP</t>
  </si>
  <si>
    <t>135 Kingsway</t>
  </si>
  <si>
    <t>(468) 449-7481</t>
  </si>
  <si>
    <t>tmaek@verizon.net</t>
  </si>
  <si>
    <t>C0481</t>
  </si>
  <si>
    <t>Juana Valls Ruiz</t>
  </si>
  <si>
    <t>N87 3AI</t>
  </si>
  <si>
    <t>(628) 943-0691</t>
  </si>
  <si>
    <t>C0482</t>
  </si>
  <si>
    <t>Inés García Nevado</t>
  </si>
  <si>
    <t>41 School Lane</t>
  </si>
  <si>
    <t>(712) 908-2589</t>
  </si>
  <si>
    <t>heine@gmail.com</t>
  </si>
  <si>
    <t>C0483</t>
  </si>
  <si>
    <t>Marianela Pablo Samper</t>
  </si>
  <si>
    <t>NW31 7RM</t>
  </si>
  <si>
    <t>45 Park Road</t>
  </si>
  <si>
    <t>(987) 571-6279</t>
  </si>
  <si>
    <t>ramollin@aol.com</t>
  </si>
  <si>
    <t>C0484</t>
  </si>
  <si>
    <t>Azahar Solsona</t>
  </si>
  <si>
    <t>SE80 5TY</t>
  </si>
  <si>
    <t>(929) 373-3828</t>
  </si>
  <si>
    <t>esbeck@msn.com</t>
  </si>
  <si>
    <t>C0485</t>
  </si>
  <si>
    <t>Patricia Leon Grande</t>
  </si>
  <si>
    <t>54 Kingsway</t>
  </si>
  <si>
    <t>(734) 789-3855</t>
  </si>
  <si>
    <t>tarreau@optonline.net</t>
  </si>
  <si>
    <t>C0486</t>
  </si>
  <si>
    <t>Inmaculada Moles-Verdú</t>
  </si>
  <si>
    <t>N75 6DC</t>
  </si>
  <si>
    <t>9746 Church Lane</t>
  </si>
  <si>
    <t>(733) 556-5309</t>
  </si>
  <si>
    <t>crypt@gmail.com</t>
  </si>
  <si>
    <t>C0487</t>
  </si>
  <si>
    <t>Piedad Casanova</t>
  </si>
  <si>
    <t>WC57 1VD</t>
  </si>
  <si>
    <t>(429) 856-2926</t>
  </si>
  <si>
    <t>flavell@aol.com</t>
  </si>
  <si>
    <t>C0488</t>
  </si>
  <si>
    <t>Dafne Amigó-Arias</t>
  </si>
  <si>
    <t>9241 Grove Road</t>
  </si>
  <si>
    <t>(867) 348-9295</t>
  </si>
  <si>
    <t>dpitts@yahoo.ca</t>
  </si>
  <si>
    <t>C0489</t>
  </si>
  <si>
    <t>Anabel Tur Llorens</t>
  </si>
  <si>
    <t>SE50 2RD</t>
  </si>
  <si>
    <t>16 West Street</t>
  </si>
  <si>
    <t>(698) 662-7980</t>
  </si>
  <si>
    <t>rsteiner@sbcglobal.net</t>
  </si>
  <si>
    <t>C0490</t>
  </si>
  <si>
    <t>Danilo Jose Antonio Escobar Muro</t>
  </si>
  <si>
    <t>N51 9IV</t>
  </si>
  <si>
    <t>(632) 905-5610</t>
  </si>
  <si>
    <t>clkao@mac.com</t>
  </si>
  <si>
    <t>C0491</t>
  </si>
  <si>
    <t>Aura Salcedo Vigil</t>
  </si>
  <si>
    <t>168 The Green</t>
  </si>
  <si>
    <t>(901) 282-1660</t>
  </si>
  <si>
    <t>slaff@yahoo.ca</t>
  </si>
  <si>
    <t>C0492</t>
  </si>
  <si>
    <t>Ramiro Cepeda Casanova</t>
  </si>
  <si>
    <t>N47 9MT</t>
  </si>
  <si>
    <t>54 West Street</t>
  </si>
  <si>
    <t>(229) 509-6838</t>
  </si>
  <si>
    <t>emmanuel@hotmail.com</t>
  </si>
  <si>
    <t>C0493</t>
  </si>
  <si>
    <t>Nadia Tormo</t>
  </si>
  <si>
    <t>N49 7QC</t>
  </si>
  <si>
    <t>(852) 727-9985</t>
  </si>
  <si>
    <t>evans@icloud.com</t>
  </si>
  <si>
    <t>C0494</t>
  </si>
  <si>
    <t>Paola González Piquer</t>
  </si>
  <si>
    <t>165 Springfield Road</t>
  </si>
  <si>
    <t>(878) 768-5731</t>
  </si>
  <si>
    <t>tezbo@verizon.net</t>
  </si>
  <si>
    <t>C0495</t>
  </si>
  <si>
    <t>Remedios Quesada Heredia</t>
  </si>
  <si>
    <t>E03 6OB</t>
  </si>
  <si>
    <t>6 Queen Street</t>
  </si>
  <si>
    <t>(577) 307-6609</t>
  </si>
  <si>
    <t>naoya@yahoo.ca</t>
  </si>
  <si>
    <t>C0496</t>
  </si>
  <si>
    <t>Andrés Cortés Fuertes</t>
  </si>
  <si>
    <t>SW74 3DH</t>
  </si>
  <si>
    <t>(799) 915-9575</t>
  </si>
  <si>
    <t>benanov@me.com</t>
  </si>
  <si>
    <t>C0497</t>
  </si>
  <si>
    <t>María Ángeles Infante-Cabanillas</t>
  </si>
  <si>
    <t>64 South Street</t>
  </si>
  <si>
    <t>(744) 335-2955</t>
  </si>
  <si>
    <t>mwandel@gmail.com</t>
  </si>
  <si>
    <t>C0498</t>
  </si>
  <si>
    <t>Heliodoro Antonio Baena Tejada</t>
  </si>
  <si>
    <t>W94 3IX</t>
  </si>
  <si>
    <t>74 High Street</t>
  </si>
  <si>
    <t>(617) 452-1538</t>
  </si>
  <si>
    <t>breegster@comcast.net</t>
  </si>
  <si>
    <t>C0499</t>
  </si>
  <si>
    <t>Belen Carballo Lladó</t>
  </si>
  <si>
    <t>NW61 4VP</t>
  </si>
  <si>
    <t>(919) 981-1829</t>
  </si>
  <si>
    <t>scato@msn.com</t>
  </si>
  <si>
    <t>C0500</t>
  </si>
  <si>
    <t>Quique Márquez Torralba</t>
  </si>
  <si>
    <t>601 London Road</t>
  </si>
  <si>
    <t>(528) 684-9875</t>
  </si>
  <si>
    <t>mwilson@comcast.net</t>
  </si>
  <si>
    <t>C0501</t>
  </si>
  <si>
    <t>Felicidad Amor Cerdán</t>
  </si>
  <si>
    <t>E98 4TE</t>
  </si>
  <si>
    <t>94 High Street</t>
  </si>
  <si>
    <t>(494) 899-6340</t>
  </si>
  <si>
    <t>cgarcia@live.com</t>
  </si>
  <si>
    <t>C0502</t>
  </si>
  <si>
    <t>Esteban de Serrano</t>
  </si>
  <si>
    <t>NW45 7HR</t>
  </si>
  <si>
    <t>(701) 769-5447</t>
  </si>
  <si>
    <t>nimaclea@optonline.net</t>
  </si>
  <si>
    <t>C0503</t>
  </si>
  <si>
    <t>Eligia Javiera Lladó Pla</t>
  </si>
  <si>
    <t>46 Victoria Street</t>
  </si>
  <si>
    <t>(388) 723-4833</t>
  </si>
  <si>
    <t>gtewari@gmail.com</t>
  </si>
  <si>
    <t>C0504</t>
  </si>
  <si>
    <t>Nidia Ordóñez Cañas</t>
  </si>
  <si>
    <t>W96 8WX</t>
  </si>
  <si>
    <t>78 Queens Road</t>
  </si>
  <si>
    <t>(936) 408-8750</t>
  </si>
  <si>
    <t>wmszeliga@att.net</t>
  </si>
  <si>
    <t>C0505</t>
  </si>
  <si>
    <t>Adelaida de Egea</t>
  </si>
  <si>
    <t>NW54 0QU</t>
  </si>
  <si>
    <t>(291) 231-4877</t>
  </si>
  <si>
    <t>kramulous@aol.com</t>
  </si>
  <si>
    <t>C0506</t>
  </si>
  <si>
    <t>Dalila Torre Amores</t>
  </si>
  <si>
    <t>9 Station Road</t>
  </si>
  <si>
    <t>(574) 819-4630</t>
  </si>
  <si>
    <t>ninenine@comcast.net</t>
  </si>
  <si>
    <t>C0507</t>
  </si>
  <si>
    <t>Roldán Guardia</t>
  </si>
  <si>
    <t>EC65 7IP</t>
  </si>
  <si>
    <t>47 Green Lane</t>
  </si>
  <si>
    <t>(898) 602-2321</t>
  </si>
  <si>
    <t>jgmyers@gmail.com</t>
  </si>
  <si>
    <t>C0508</t>
  </si>
  <si>
    <t>Gabino Barragán Figueroa</t>
  </si>
  <si>
    <t>NW58 2FV</t>
  </si>
  <si>
    <t>(324) 842-3359</t>
  </si>
  <si>
    <t>crobles@msn.com</t>
  </si>
  <si>
    <t>C0509</t>
  </si>
  <si>
    <t>Amanda Chamorro-Vives</t>
  </si>
  <si>
    <t>71 North Street</t>
  </si>
  <si>
    <t>(674) 307-5065</t>
  </si>
  <si>
    <t>jgoerzen@msn.com</t>
  </si>
  <si>
    <t>C0510</t>
  </si>
  <si>
    <t>José Cañas Martinez</t>
  </si>
  <si>
    <t>W85 2FV</t>
  </si>
  <si>
    <t>68 School Lane</t>
  </si>
  <si>
    <t>(860) 430-9246</t>
  </si>
  <si>
    <t>frikazoyd@verizon.net</t>
  </si>
  <si>
    <t>C0511</t>
  </si>
  <si>
    <t>Benita Exposito Mínguez</t>
  </si>
  <si>
    <t>SW78 3UE</t>
  </si>
  <si>
    <t>(349) 220-3362</t>
  </si>
  <si>
    <t>wonderkid@yahoo.com</t>
  </si>
  <si>
    <t>C0512</t>
  </si>
  <si>
    <t>Nerea de Portero</t>
  </si>
  <si>
    <t>51 Manchester Road</t>
  </si>
  <si>
    <t>(552) 912-4336</t>
  </si>
  <si>
    <t>wonderkid@yahoo.ca</t>
  </si>
  <si>
    <t>C0513</t>
  </si>
  <si>
    <t>Benjamín de Palau</t>
  </si>
  <si>
    <t>NW17 8IR</t>
  </si>
  <si>
    <t>11 Church Street</t>
  </si>
  <si>
    <t>(841) 890-5507</t>
  </si>
  <si>
    <t>ajlitt@gmail.com</t>
  </si>
  <si>
    <t>C0514</t>
  </si>
  <si>
    <t>Cristina Arranz-Muro</t>
  </si>
  <si>
    <t>E17 8EH</t>
  </si>
  <si>
    <t>(810) 993-2143</t>
  </si>
  <si>
    <t>seurat@icloud.com</t>
  </si>
  <si>
    <t>C0515</t>
  </si>
  <si>
    <t>Lupe Pellicer Marco</t>
  </si>
  <si>
    <t>468 Springfield Road</t>
  </si>
  <si>
    <t>(454) 648-4285</t>
  </si>
  <si>
    <t>bryanw@yahoo.com</t>
  </si>
  <si>
    <t>C0516</t>
  </si>
  <si>
    <t>Cándida Pinedo Dalmau</t>
  </si>
  <si>
    <t>SW96 2IA</t>
  </si>
  <si>
    <t>47 Windsor Road</t>
  </si>
  <si>
    <t>(263) 975-5248</t>
  </si>
  <si>
    <t>kingma@outlook.com</t>
  </si>
  <si>
    <t>C0517</t>
  </si>
  <si>
    <t>Carmelita Antón Escalona</t>
  </si>
  <si>
    <t>E76 2PS</t>
  </si>
  <si>
    <t>(229) 791-0591</t>
  </si>
  <si>
    <t>adillon@yahoo.com</t>
  </si>
  <si>
    <t>C0518</t>
  </si>
  <si>
    <t>Felicidad Macias Vall</t>
  </si>
  <si>
    <t>21 Grange Road</t>
  </si>
  <si>
    <t>(239) 230-6723</t>
  </si>
  <si>
    <t>sonnen@yahoo.ca</t>
  </si>
  <si>
    <t>C0519</t>
  </si>
  <si>
    <t>Fanny Cortes Palacios</t>
  </si>
  <si>
    <t>SE96 8YE</t>
  </si>
  <si>
    <t>2 Richmond Road</t>
  </si>
  <si>
    <t>(519) 834-6230</t>
  </si>
  <si>
    <t>gilmoure@aol.com</t>
  </si>
  <si>
    <t>C0520</t>
  </si>
  <si>
    <t>Eusebio Barros Guardia</t>
  </si>
  <si>
    <t>SW71 6OY</t>
  </si>
  <si>
    <t>(927) 989-2134</t>
  </si>
  <si>
    <t>thomasj@hotmail.com</t>
  </si>
  <si>
    <t>C0521</t>
  </si>
  <si>
    <t>Leocadio Requena-Barriga</t>
  </si>
  <si>
    <t>95 Highfield Road</t>
  </si>
  <si>
    <t>(750) 231-1278</t>
  </si>
  <si>
    <t>kewley@att.net</t>
  </si>
  <si>
    <t>C0522</t>
  </si>
  <si>
    <t>Abril Feijoo-Goñi</t>
  </si>
  <si>
    <t>N05 7OW</t>
  </si>
  <si>
    <t>145 The Grove</t>
  </si>
  <si>
    <t>(993) 819-1581</t>
  </si>
  <si>
    <t>noneme@sbcglobal.net</t>
  </si>
  <si>
    <t>C0523</t>
  </si>
  <si>
    <t>Luciano Agustí López</t>
  </si>
  <si>
    <t>N56 8HM</t>
  </si>
  <si>
    <t>(992) 764-6787</t>
  </si>
  <si>
    <t>yamla@gmail.com</t>
  </si>
  <si>
    <t>C0524</t>
  </si>
  <si>
    <t>Carlos Flores Nevado</t>
  </si>
  <si>
    <t>953 School Lane</t>
  </si>
  <si>
    <t>(426) 616-7643</t>
  </si>
  <si>
    <t>tkrotchko@icloud.com</t>
  </si>
  <si>
    <t>C0525</t>
  </si>
  <si>
    <t>Pastora Galán Mariño</t>
  </si>
  <si>
    <t>E64 5WK</t>
  </si>
  <si>
    <t>96 Mill Road</t>
  </si>
  <si>
    <t>(782) 483-8539</t>
  </si>
  <si>
    <t>ribet@yahoo.ca</t>
  </si>
  <si>
    <t>C0526</t>
  </si>
  <si>
    <t>Corona Aitana Julián Salvà</t>
  </si>
  <si>
    <t>SE54 9NC</t>
  </si>
  <si>
    <t>(758) 784-6496</t>
  </si>
  <si>
    <t>bahwi@sbcglobal.net</t>
  </si>
  <si>
    <t>C0527</t>
  </si>
  <si>
    <t>Jerónimo Peinado-Morales</t>
  </si>
  <si>
    <t>481 Park Road</t>
  </si>
  <si>
    <t>(353) 949-8642</t>
  </si>
  <si>
    <t>pkilab@mac.com</t>
  </si>
  <si>
    <t>C0528</t>
  </si>
  <si>
    <t>Nicanor García Perez</t>
  </si>
  <si>
    <t>NW10 6DG</t>
  </si>
  <si>
    <t>82 Kingsway</t>
  </si>
  <si>
    <t>(419) 271-2209</t>
  </si>
  <si>
    <t>msroth@verizon.net</t>
  </si>
  <si>
    <t>C0529</t>
  </si>
  <si>
    <t>Lisandro Guillermo Delgado Porcel</t>
  </si>
  <si>
    <t>E73 8ZM</t>
  </si>
  <si>
    <t>(695) 831-3671</t>
  </si>
  <si>
    <t>killmenow@aol.com</t>
  </si>
  <si>
    <t>C0530</t>
  </si>
  <si>
    <t>Natanael Vallés Prieto</t>
  </si>
  <si>
    <t>800 Mill Road</t>
  </si>
  <si>
    <t>(471) 654-4289</t>
  </si>
  <si>
    <t>ribet@icloud.com</t>
  </si>
  <si>
    <t>C0531</t>
  </si>
  <si>
    <t>Xiomara Sáenz Batalla</t>
  </si>
  <si>
    <t>NW83 2EN</t>
  </si>
  <si>
    <t>93 South Street</t>
  </si>
  <si>
    <t>(610) 698-5603</t>
  </si>
  <si>
    <t>wildfire@yahoo.ca</t>
  </si>
  <si>
    <t>C0532</t>
  </si>
  <si>
    <t>Santos Zurita Barrio</t>
  </si>
  <si>
    <t>SW31 4DR</t>
  </si>
  <si>
    <t>(848) 708-6921</t>
  </si>
  <si>
    <t>kingjoshi@icloud.com</t>
  </si>
  <si>
    <t>C0533</t>
  </si>
  <si>
    <t>Isidro Rozas Gámez</t>
  </si>
  <si>
    <t>136 Kingsway</t>
  </si>
  <si>
    <t>(425) 759-6711</t>
  </si>
  <si>
    <t>stinson@hotmail.com</t>
  </si>
  <si>
    <t>C0534</t>
  </si>
  <si>
    <t>Patricia Raquel Carnero Agullo</t>
  </si>
  <si>
    <t>N59 6EV</t>
  </si>
  <si>
    <t>95 Church Lane</t>
  </si>
  <si>
    <t>(536) 509-3496</t>
  </si>
  <si>
    <t>tmaek@mac.com</t>
  </si>
  <si>
    <t>C0535</t>
  </si>
  <si>
    <t>Patricio Alberola Sandoval</t>
  </si>
  <si>
    <t>N85 0RM</t>
  </si>
  <si>
    <t>(682) 371-3633</t>
  </si>
  <si>
    <t>boein@icloud.com</t>
  </si>
  <si>
    <t>C0536</t>
  </si>
  <si>
    <t>Bibiana Barrio</t>
  </si>
  <si>
    <t>26 Grove Road</t>
  </si>
  <si>
    <t>(395) 739-7429</t>
  </si>
  <si>
    <t>pdbaby@icloud.com</t>
  </si>
  <si>
    <t>C0537</t>
  </si>
  <si>
    <t>Lucila del Coronado</t>
  </si>
  <si>
    <t>EC01 3ZX</t>
  </si>
  <si>
    <t>9268 High Street</t>
  </si>
  <si>
    <t>(496) 593-3991</t>
  </si>
  <si>
    <t>gordonjcp@gmail.com</t>
  </si>
  <si>
    <t>C0538</t>
  </si>
  <si>
    <t>Danilo Matas Vicente</t>
  </si>
  <si>
    <t>WC82 9HS</t>
  </si>
  <si>
    <t>(422) 591-9860</t>
  </si>
  <si>
    <t>choset@yahoo.com</t>
  </si>
  <si>
    <t>C0539</t>
  </si>
  <si>
    <t>Duilio Lucas Feliu</t>
  </si>
  <si>
    <t>34 Manor Road</t>
  </si>
  <si>
    <t>(614) 614-8713</t>
  </si>
  <si>
    <t>jyoliver@verizon.net</t>
  </si>
  <si>
    <t>C0540</t>
  </si>
  <si>
    <t>José Reyes Leal</t>
  </si>
  <si>
    <t>NW45 6ST</t>
  </si>
  <si>
    <t>9047 York Road</t>
  </si>
  <si>
    <t>(543) 365-7239</t>
  </si>
  <si>
    <t>mglee@msn.com</t>
  </si>
  <si>
    <t>C0541</t>
  </si>
  <si>
    <t>Nicolás Pascual Gabaldón Paniagua</t>
  </si>
  <si>
    <t>W14 9ZK</t>
  </si>
  <si>
    <t>(953) 224-1239</t>
  </si>
  <si>
    <t>jgmyers@yahoo.com</t>
  </si>
  <si>
    <t>C0542</t>
  </si>
  <si>
    <t>Gonzalo Barberá Gimeno</t>
  </si>
  <si>
    <t>(719) 666-7774</t>
  </si>
  <si>
    <t>jadavis@comcast.net</t>
  </si>
  <si>
    <t>C0543</t>
  </si>
  <si>
    <t>Marco Sanchez Yuste</t>
  </si>
  <si>
    <t>W09 2TG</t>
  </si>
  <si>
    <t>9829 York Road</t>
  </si>
  <si>
    <t>(740) 214-9501</t>
  </si>
  <si>
    <t>presoff@mac.com</t>
  </si>
  <si>
    <t>C0544</t>
  </si>
  <si>
    <t>Alejandra Olivera</t>
  </si>
  <si>
    <t>SE98 6GP</t>
  </si>
  <si>
    <t>(957) 947-6883</t>
  </si>
  <si>
    <t>jadavis@outlook.com</t>
  </si>
  <si>
    <t>C0545</t>
  </si>
  <si>
    <t>Sandra Leiva Planas</t>
  </si>
  <si>
    <t>65 Kings Road</t>
  </si>
  <si>
    <t>(454) 614-0576</t>
  </si>
  <si>
    <t>willg@yahoo.com</t>
  </si>
  <si>
    <t>C0546</t>
  </si>
  <si>
    <t>Sigfrido Urrutia Vargas</t>
  </si>
  <si>
    <t>SE57 3KJ</t>
  </si>
  <si>
    <t>9541 The Avenue</t>
  </si>
  <si>
    <t>(501) 237-3656</t>
  </si>
  <si>
    <t>gbacon@gmail.com</t>
  </si>
  <si>
    <t>C0547</t>
  </si>
  <si>
    <t>Nydia Ureña Serrano</t>
  </si>
  <si>
    <t>N19 4UF</t>
  </si>
  <si>
    <t>(302) 344-8410</t>
  </si>
  <si>
    <t>quantaman@me.com</t>
  </si>
  <si>
    <t>C0548</t>
  </si>
  <si>
    <t>Etelvina Tolosa Exposito</t>
  </si>
  <si>
    <t>45 Main Road</t>
  </si>
  <si>
    <t>(364) 877-2311</t>
  </si>
  <si>
    <t>cantu@att.net</t>
  </si>
  <si>
    <t>C0549</t>
  </si>
  <si>
    <t>Adriana Gilabert Bravo</t>
  </si>
  <si>
    <t>EC64 1KL</t>
  </si>
  <si>
    <t>352 Highfield Road</t>
  </si>
  <si>
    <t>(209) 900-1460</t>
  </si>
  <si>
    <t>oechslin@mac.com</t>
  </si>
  <si>
    <t>C0550</t>
  </si>
  <si>
    <t>Juan José Giménez Calzada</t>
  </si>
  <si>
    <t>EC82 3UN</t>
  </si>
  <si>
    <t>(705) 896-8293</t>
  </si>
  <si>
    <t>tkrotchko@comcast.net</t>
  </si>
  <si>
    <t>C0551</t>
  </si>
  <si>
    <t>Emiliana Marti Manso</t>
  </si>
  <si>
    <t>710 Richmond Road</t>
  </si>
  <si>
    <t>(845) 453-8354</t>
  </si>
  <si>
    <t>keiji@mac.com</t>
  </si>
  <si>
    <t>C0552</t>
  </si>
  <si>
    <t>Adora Solera Juliá</t>
  </si>
  <si>
    <t>W56 7HP</t>
  </si>
  <si>
    <t>60 Kingsway</t>
  </si>
  <si>
    <t>(222) 401-6952</t>
  </si>
  <si>
    <t>ubergeeb@sbcglobal.net</t>
  </si>
  <si>
    <t>C0553</t>
  </si>
  <si>
    <t>Sancho Arregui Ibañez</t>
  </si>
  <si>
    <t>NW31 4PH</t>
  </si>
  <si>
    <t>(226) 882-1823</t>
  </si>
  <si>
    <t>hutton@live.com</t>
  </si>
  <si>
    <t>C0554</t>
  </si>
  <si>
    <t>Sonia Pacífica Aranda Durán</t>
  </si>
  <si>
    <t>95 South Street</t>
  </si>
  <si>
    <t>(876) 391-9261</t>
  </si>
  <si>
    <t>nacho@icloud.com</t>
  </si>
  <si>
    <t>C0555</t>
  </si>
  <si>
    <t>Aitor Pelayo Tello</t>
  </si>
  <si>
    <t>NW58 7WR</t>
  </si>
  <si>
    <t>16 Green Lane</t>
  </si>
  <si>
    <t>(942) 807-6926</t>
  </si>
  <si>
    <t>kingjoshi@hotmail.com</t>
  </si>
  <si>
    <t>C0556</t>
  </si>
  <si>
    <t>Juana Losa Villar</t>
  </si>
  <si>
    <t>N83 0BL</t>
  </si>
  <si>
    <t>(772) 705-5952</t>
  </si>
  <si>
    <t>pontipak@live.com</t>
  </si>
  <si>
    <t>C0557</t>
  </si>
  <si>
    <t>Goyo Ríos Guerra</t>
  </si>
  <si>
    <t>208 Grove Road</t>
  </si>
  <si>
    <t>(840) 981-1117</t>
  </si>
  <si>
    <t>bogjobber@msn.com</t>
  </si>
  <si>
    <t>C0558</t>
  </si>
  <si>
    <t>Rufino Beltran-Torralba</t>
  </si>
  <si>
    <t>W43 9QS</t>
  </si>
  <si>
    <t>6 Main Road</t>
  </si>
  <si>
    <t>(693) 870-1822</t>
  </si>
  <si>
    <t>alhajj@mac.com</t>
  </si>
  <si>
    <t>C0559</t>
  </si>
  <si>
    <t>Apolonia Pareja Real</t>
  </si>
  <si>
    <t>SW18 9FH</t>
  </si>
  <si>
    <t>(388) 451-5422</t>
  </si>
  <si>
    <t>blixem@mac.com</t>
  </si>
  <si>
    <t>C0560</t>
  </si>
  <si>
    <t>Herminia Samper Sureda</t>
  </si>
  <si>
    <t>85 Broadway</t>
  </si>
  <si>
    <t>(780) 656-1096</t>
  </si>
  <si>
    <t>zilla@sbcglobal.net</t>
  </si>
  <si>
    <t>C0561</t>
  </si>
  <si>
    <t>Loida Morera</t>
  </si>
  <si>
    <t>N71 3MK</t>
  </si>
  <si>
    <t>72 Queen Street</t>
  </si>
  <si>
    <t>(579) 952-6808</t>
  </si>
  <si>
    <t>shaffei@msn.com</t>
  </si>
  <si>
    <t>C0562</t>
  </si>
  <si>
    <t>Milagros Cadenas</t>
  </si>
  <si>
    <t>SE85 6RQ</t>
  </si>
  <si>
    <t>(387) 538-2533</t>
  </si>
  <si>
    <t>breegster@live.com</t>
  </si>
  <si>
    <t>C0563</t>
  </si>
  <si>
    <t>Ema Saura</t>
  </si>
  <si>
    <t>877 North Road</t>
  </si>
  <si>
    <t>(727) 372-5713</t>
  </si>
  <si>
    <t>pplinux@yahoo.com</t>
  </si>
  <si>
    <t>C0564</t>
  </si>
  <si>
    <t>Angelino Ibañez Bonet</t>
  </si>
  <si>
    <t>W93 5YP</t>
  </si>
  <si>
    <t>18 York Road</t>
  </si>
  <si>
    <t>(317) 672-5744</t>
  </si>
  <si>
    <t>nasarius@optonline.net</t>
  </si>
  <si>
    <t>C0565</t>
  </si>
  <si>
    <t>Candelas Gutierrez Solana</t>
  </si>
  <si>
    <t>N49 2BS</t>
  </si>
  <si>
    <t>(329) 891-2077</t>
  </si>
  <si>
    <t>kuparine@live.com</t>
  </si>
  <si>
    <t>C0566</t>
  </si>
  <si>
    <t>Lucio Figuerola-Lorenzo</t>
  </si>
  <si>
    <t>1 The Avenue</t>
  </si>
  <si>
    <t>(398) 404-4531</t>
  </si>
  <si>
    <t>rohitm@comcast.net</t>
  </si>
  <si>
    <t>C0567</t>
  </si>
  <si>
    <t>Benita Ramírez Ribera</t>
  </si>
  <si>
    <t>W02 8UK</t>
  </si>
  <si>
    <t>549 West Street</t>
  </si>
  <si>
    <t>(951) 374-6032</t>
  </si>
  <si>
    <t>msloan@sbcglobal.net</t>
  </si>
  <si>
    <t>C0568</t>
  </si>
  <si>
    <t>Zaida Tovar Tolosa</t>
  </si>
  <si>
    <t>NW17 2GU</t>
  </si>
  <si>
    <t>(361) 244-5124</t>
  </si>
  <si>
    <t>jschauma@sbcglobal.net</t>
  </si>
  <si>
    <t>C0569</t>
  </si>
  <si>
    <t>Héctor Puga Tudela</t>
  </si>
  <si>
    <t>62 Richmond Road</t>
  </si>
  <si>
    <t>(308) 927-4163</t>
  </si>
  <si>
    <t>ramollin@icloud.com</t>
  </si>
  <si>
    <t>C0570</t>
  </si>
  <si>
    <t>Adelina Carmona Bayo</t>
  </si>
  <si>
    <t>W42 9AC</t>
  </si>
  <si>
    <t>89 West Street</t>
  </si>
  <si>
    <t>(604) 635-3303</t>
  </si>
  <si>
    <t>seanq@gmail.com</t>
  </si>
  <si>
    <t>C0571</t>
  </si>
  <si>
    <t>Carmelita Tejedor Casas</t>
  </si>
  <si>
    <t>EC06 1BX</t>
  </si>
  <si>
    <t>(334) 850-8140</t>
  </si>
  <si>
    <t>C0572</t>
  </si>
  <si>
    <t>Bernarda Quero Córdoba</t>
  </si>
  <si>
    <t>45 The Crescent</t>
  </si>
  <si>
    <t>(551) 463-3914</t>
  </si>
  <si>
    <t>jeteve@outlook.com</t>
  </si>
  <si>
    <t>C0573</t>
  </si>
  <si>
    <t>Evita Alfaro Miguel</t>
  </si>
  <si>
    <t>SE53 2CJ</t>
  </si>
  <si>
    <t>42 Albert Road</t>
  </si>
  <si>
    <t>(732) 565-1110</t>
  </si>
  <si>
    <t>C0574</t>
  </si>
  <si>
    <t>Lidia Reyes Carbajo Pla</t>
  </si>
  <si>
    <t>W73 9BU</t>
  </si>
  <si>
    <t>(312) 348-5773</t>
  </si>
  <si>
    <t>sinclair@gmail.com</t>
  </si>
  <si>
    <t>C0575</t>
  </si>
  <si>
    <t>Carlota Rosell Baños</t>
  </si>
  <si>
    <t>28 Windsor Road</t>
  </si>
  <si>
    <t>(637) 729-8146</t>
  </si>
  <si>
    <t>gboss@verizon.net</t>
  </si>
  <si>
    <t>C0576</t>
  </si>
  <si>
    <t>Fausto Montero Sanmartín</t>
  </si>
  <si>
    <t>EC06 3FQ</t>
  </si>
  <si>
    <t>36 Albert Road</t>
  </si>
  <si>
    <t>(809) 618-5906</t>
  </si>
  <si>
    <t>helger@yahoo.ca</t>
  </si>
  <si>
    <t>C0577</t>
  </si>
  <si>
    <t>Lalo Castellanos Rueda</t>
  </si>
  <si>
    <t>W06 3RG</t>
  </si>
  <si>
    <t>(875) 247-7784</t>
  </si>
  <si>
    <t>chrwin@me.com</t>
  </si>
  <si>
    <t>C0578</t>
  </si>
  <si>
    <t>Sabina Jover-Mendoza</t>
  </si>
  <si>
    <t>3 St. John’s Road</t>
  </si>
  <si>
    <t>(922) 389-1420</t>
  </si>
  <si>
    <t>frosal@me.com</t>
  </si>
  <si>
    <t>C0579</t>
  </si>
  <si>
    <t>Nuria Mur</t>
  </si>
  <si>
    <t>WC80 6TR</t>
  </si>
  <si>
    <t>16 School Lane</t>
  </si>
  <si>
    <t>(358) 338-4360</t>
  </si>
  <si>
    <t>jfinke@optonline.net</t>
  </si>
  <si>
    <t>C0580</t>
  </si>
  <si>
    <t>Feliciana Gutierrez Mora</t>
  </si>
  <si>
    <t>E18 4JN</t>
  </si>
  <si>
    <t>(371) 781-3986</t>
  </si>
  <si>
    <t>tbmaddux@comcast.net</t>
  </si>
  <si>
    <t>C0581</t>
  </si>
  <si>
    <t>Jerónimo Vidal Hernandez</t>
  </si>
  <si>
    <t>22 Church Street</t>
  </si>
  <si>
    <t>(994) 884-8160</t>
  </si>
  <si>
    <t>gumpish@aol.com</t>
  </si>
  <si>
    <t>C0582</t>
  </si>
  <si>
    <t>Fortunata Jordán</t>
  </si>
  <si>
    <t>NW51 4UV</t>
  </si>
  <si>
    <t>91 Springfield Road</t>
  </si>
  <si>
    <t>(410) 711-4695</t>
  </si>
  <si>
    <t>pplinux@icloud.com</t>
  </si>
  <si>
    <t>C0583</t>
  </si>
  <si>
    <t>Manu Céspedes Corominas</t>
  </si>
  <si>
    <t>SW78 0SY</t>
  </si>
  <si>
    <t>(679) 967-9642</t>
  </si>
  <si>
    <t>cvrcek@att.net</t>
  </si>
  <si>
    <t>C0584</t>
  </si>
  <si>
    <t>Áurea Guzman</t>
  </si>
  <si>
    <t>96 The Avenue</t>
  </si>
  <si>
    <t>(392) 902-5044</t>
  </si>
  <si>
    <t>neuffer@verizon.net</t>
  </si>
  <si>
    <t>C0585</t>
  </si>
  <si>
    <t>Modesta Lledó Izquierdo</t>
  </si>
  <si>
    <t>SE59 7HT</t>
  </si>
  <si>
    <t>17 North Road</t>
  </si>
  <si>
    <t>(812) 508-9807</t>
  </si>
  <si>
    <t>jsbach@msn.com</t>
  </si>
  <si>
    <t>C0586</t>
  </si>
  <si>
    <t>Telmo Lastra-Cuervo</t>
  </si>
  <si>
    <t>E76 4QI</t>
  </si>
  <si>
    <t>(422) 416-4444</t>
  </si>
  <si>
    <t>biglou@yahoo.com</t>
  </si>
  <si>
    <t>C0587</t>
  </si>
  <si>
    <t>Iris Camino-Briones</t>
  </si>
  <si>
    <t>5 George Street</t>
  </si>
  <si>
    <t>(473) 919-0061</t>
  </si>
  <si>
    <t>andale@icloud.com</t>
  </si>
  <si>
    <t>C0588</t>
  </si>
  <si>
    <t>Clarisa Belda Cid</t>
  </si>
  <si>
    <t>N05 2BR</t>
  </si>
  <si>
    <t>78 Church Road</t>
  </si>
  <si>
    <t>(822) 736-4675</t>
  </si>
  <si>
    <t>irving@me.com</t>
  </si>
  <si>
    <t>C0589</t>
  </si>
  <si>
    <t>Petrona Palau Soto</t>
  </si>
  <si>
    <t>E48 9XF</t>
  </si>
  <si>
    <t>(833) 823-6470</t>
  </si>
  <si>
    <t>cisugrad@icloud.com</t>
  </si>
  <si>
    <t>C0590</t>
  </si>
  <si>
    <t>Cándido Alcázar Canales</t>
  </si>
  <si>
    <t>44 Manor Road</t>
  </si>
  <si>
    <t>(413) 463-3164</t>
  </si>
  <si>
    <t>gator@gmail.com</t>
  </si>
  <si>
    <t>C0591</t>
  </si>
  <si>
    <t>Jose Carlos Lopez Lledó</t>
  </si>
  <si>
    <t>SW74 1UW</t>
  </si>
  <si>
    <t>9822 Victoria Street</t>
  </si>
  <si>
    <t>(780) 604-2895</t>
  </si>
  <si>
    <t>bflong@sbcglobal.net</t>
  </si>
  <si>
    <t>C0592</t>
  </si>
  <si>
    <t>Adoración de Casanova</t>
  </si>
  <si>
    <t>NW53 4EZ</t>
  </si>
  <si>
    <t>(262) 211-0265</t>
  </si>
  <si>
    <t>jginspace@outlook.com</t>
  </si>
  <si>
    <t>C0593</t>
  </si>
  <si>
    <t>Gregorio Salamanca</t>
  </si>
  <si>
    <t>90 St. John’s Road</t>
  </si>
  <si>
    <t>(268) 712-7660</t>
  </si>
  <si>
    <t>mugwump@gmail.com</t>
  </si>
  <si>
    <t>C0594</t>
  </si>
  <si>
    <t>Miguel Llopis</t>
  </si>
  <si>
    <t>E21 5SK</t>
  </si>
  <si>
    <t>93 London Road</t>
  </si>
  <si>
    <t>(744) 267-9349</t>
  </si>
  <si>
    <t>noticias@hotmail.com</t>
  </si>
  <si>
    <t>C0595</t>
  </si>
  <si>
    <t>Eutimio Gilberto Pagès Ricart</t>
  </si>
  <si>
    <t>N67 8OM</t>
  </si>
  <si>
    <t>(949) 257-2530</t>
  </si>
  <si>
    <t>bartlett@aol.com</t>
  </si>
  <si>
    <t>C0596</t>
  </si>
  <si>
    <t>Anita Roca-Soler</t>
  </si>
  <si>
    <t>82 West Street</t>
  </si>
  <si>
    <t>(834) 971-5240</t>
  </si>
  <si>
    <t>mlewan@mac.com</t>
  </si>
  <si>
    <t>C0597</t>
  </si>
  <si>
    <t>Adalberto Gomis-Bello</t>
  </si>
  <si>
    <t>W06 1LQ</t>
  </si>
  <si>
    <t>17 Manchester Road</t>
  </si>
  <si>
    <t>(707) 279-5282</t>
  </si>
  <si>
    <t>fukuchi@sbcglobal.net</t>
  </si>
  <si>
    <t>C0598</t>
  </si>
  <si>
    <t>Paz Giner Reig</t>
  </si>
  <si>
    <t>WC13 9CG</t>
  </si>
  <si>
    <t>(934) 362-5596</t>
  </si>
  <si>
    <t>mhoffman@me.com</t>
  </si>
  <si>
    <t>C0599</t>
  </si>
  <si>
    <t>Horacio Cuéllar Escobar</t>
  </si>
  <si>
    <t>7 Stanley Road</t>
  </si>
  <si>
    <t>(336) 533-6650</t>
  </si>
  <si>
    <t>mxiao@icloud.com</t>
  </si>
  <si>
    <t>C0600</t>
  </si>
  <si>
    <t>Urbano Real-Tolosa</t>
  </si>
  <si>
    <t>EC36 4JR</t>
  </si>
  <si>
    <t>9482 Richmond Road</t>
  </si>
  <si>
    <t>(375) 573-3606</t>
  </si>
  <si>
    <t>linuxhack@verizon.net</t>
  </si>
  <si>
    <t>C0601</t>
  </si>
  <si>
    <t>Curro Segarra Peinado</t>
  </si>
  <si>
    <t>SW21 0LV</t>
  </si>
  <si>
    <t>(944) 481-9531</t>
  </si>
  <si>
    <t>speeves@me.com</t>
  </si>
  <si>
    <t>C0602</t>
  </si>
  <si>
    <t>Clemente Nevado</t>
  </si>
  <si>
    <t>319 The Grove</t>
  </si>
  <si>
    <t>(466) 210-7434</t>
  </si>
  <si>
    <t>petersko@sbcglobal.net</t>
  </si>
  <si>
    <t>C0603</t>
  </si>
  <si>
    <t>Azucena Elías Heredia</t>
  </si>
  <si>
    <t>E75 8HS</t>
  </si>
  <si>
    <t>580 Broadway</t>
  </si>
  <si>
    <t>(832) 804-2690</t>
  </si>
  <si>
    <t>baveja@optonline.net</t>
  </si>
  <si>
    <t>C0604</t>
  </si>
  <si>
    <t>Nicolasa Villena-Saura</t>
  </si>
  <si>
    <t>N85 9WT</t>
  </si>
  <si>
    <t>(347) 847-3387</t>
  </si>
  <si>
    <t>koudas@optonline.net</t>
  </si>
  <si>
    <t>C0605</t>
  </si>
  <si>
    <t>Luis Miguel Amaya</t>
  </si>
  <si>
    <t>65 High Street</t>
  </si>
  <si>
    <t>(301) 821-4226</t>
  </si>
  <si>
    <t>sravani@hotmail.com</t>
  </si>
  <si>
    <t>C0606</t>
  </si>
  <si>
    <t>Salomé Pla Pons</t>
  </si>
  <si>
    <t>N12 0BH</t>
  </si>
  <si>
    <t>87 Main Road</t>
  </si>
  <si>
    <t>(462) 752-6248</t>
  </si>
  <si>
    <t>crowemojo@optonline.net</t>
  </si>
  <si>
    <t>C0607</t>
  </si>
  <si>
    <t>Nazaret Morán Escamilla</t>
  </si>
  <si>
    <t>WC72 9SR</t>
  </si>
  <si>
    <t>(400) 658-1904</t>
  </si>
  <si>
    <t>themer@hotmail.com</t>
  </si>
  <si>
    <t>C0608</t>
  </si>
  <si>
    <t>Rafael Edu Zamorano Ochoa</t>
  </si>
  <si>
    <t>71 Stanley Road</t>
  </si>
  <si>
    <t>(596) 653-4507</t>
  </si>
  <si>
    <t>jdhedden@live.com</t>
  </si>
  <si>
    <t>C0609</t>
  </si>
  <si>
    <t>Sergio Salmerón Carreras</t>
  </si>
  <si>
    <t>WC50 3YX</t>
  </si>
  <si>
    <t>9496 Main Street</t>
  </si>
  <si>
    <t>(519) 384-8287</t>
  </si>
  <si>
    <t>chance@live.com</t>
  </si>
  <si>
    <t>C0610</t>
  </si>
  <si>
    <t>Mamen del Carrasco</t>
  </si>
  <si>
    <t>EC92 0MA</t>
  </si>
  <si>
    <t>(896) 641-7976</t>
  </si>
  <si>
    <t>mcnihil@verizon.net</t>
  </si>
  <si>
    <t>C0611</t>
  </si>
  <si>
    <t>Tecla Aparicio Boada</t>
  </si>
  <si>
    <t>517 Stanley Road</t>
  </si>
  <si>
    <t>(288) 958-3534</t>
  </si>
  <si>
    <t>jnolan@verizon.net</t>
  </si>
  <si>
    <t>C0612</t>
  </si>
  <si>
    <t>Amado Rodríguez Girón</t>
  </si>
  <si>
    <t>SW28 3JH</t>
  </si>
  <si>
    <t>382 West Street</t>
  </si>
  <si>
    <t>(871) 820-2589</t>
  </si>
  <si>
    <t>henkp@icloud.com</t>
  </si>
  <si>
    <t>C0613</t>
  </si>
  <si>
    <t>Jordi Seco Cantón</t>
  </si>
  <si>
    <t>SE06 9AR</t>
  </si>
  <si>
    <t>(303) 681-8666</t>
  </si>
  <si>
    <t>caidaperl@verizon.net</t>
  </si>
  <si>
    <t>C0614</t>
  </si>
  <si>
    <t>Manu Vega Girona</t>
  </si>
  <si>
    <t>69 High Street</t>
  </si>
  <si>
    <t>(385) 830-3297</t>
  </si>
  <si>
    <t>thowell@me.com</t>
  </si>
  <si>
    <t>C0615</t>
  </si>
  <si>
    <t>Basilio Riquelme Gordillo</t>
  </si>
  <si>
    <t>N75 9BF</t>
  </si>
  <si>
    <t>859 George Street</t>
  </si>
  <si>
    <t>(971) 618-7510</t>
  </si>
  <si>
    <t>techie@yahoo.com</t>
  </si>
  <si>
    <t>C0616</t>
  </si>
  <si>
    <t>Emiliano Marín</t>
  </si>
  <si>
    <t>N12 9TU</t>
  </si>
  <si>
    <t>(851) 584-2900</t>
  </si>
  <si>
    <t>mfburgo@sbcglobal.net</t>
  </si>
  <si>
    <t>C0617</t>
  </si>
  <si>
    <t>Itziar de Castellanos</t>
  </si>
  <si>
    <t>41 Alexander Road</t>
  </si>
  <si>
    <t>(247) 995-5965</t>
  </si>
  <si>
    <t>C0618</t>
  </si>
  <si>
    <t>Carmelita del Cabezas</t>
  </si>
  <si>
    <t>NW29 1SG</t>
  </si>
  <si>
    <t>763 The Green</t>
  </si>
  <si>
    <t>(998) 535-6878</t>
  </si>
  <si>
    <t>scotfl@gmail.com</t>
  </si>
  <si>
    <t>C0619</t>
  </si>
  <si>
    <t>Rufina Ballester Llamas</t>
  </si>
  <si>
    <t>E86 3DU</t>
  </si>
  <si>
    <t>(350) 396-0627</t>
  </si>
  <si>
    <t>mhouston@mac.com</t>
  </si>
  <si>
    <t>C0620</t>
  </si>
  <si>
    <t>Obdulia Escribano</t>
  </si>
  <si>
    <t>84 Church Lane</t>
  </si>
  <si>
    <t>(770) 862-7445</t>
  </si>
  <si>
    <t>mmccool@mac.com</t>
  </si>
  <si>
    <t>C0621</t>
  </si>
  <si>
    <t>Eli Montero</t>
  </si>
  <si>
    <t>E61 2JK</t>
  </si>
  <si>
    <t>5 King Street</t>
  </si>
  <si>
    <t>(786) 235-4329</t>
  </si>
  <si>
    <t>gamma@live.com</t>
  </si>
  <si>
    <t>C0622</t>
  </si>
  <si>
    <t>Edelmiro Expósito Colomer</t>
  </si>
  <si>
    <t>SW74 1QG</t>
  </si>
  <si>
    <t>(300) 685-3494</t>
  </si>
  <si>
    <t>gastown@me.com</t>
  </si>
  <si>
    <t>C0623</t>
  </si>
  <si>
    <t>Encarnacion Calderón-Olmedo</t>
  </si>
  <si>
    <t>319 Alexander Road</t>
  </si>
  <si>
    <t>(226) 599-5111</t>
  </si>
  <si>
    <t>earmstro@optonline.net</t>
  </si>
  <si>
    <t>C0624</t>
  </si>
  <si>
    <t>Toribio Aller Parra</t>
  </si>
  <si>
    <t>NW41 9IZ</t>
  </si>
  <si>
    <t>9 Chester Road</t>
  </si>
  <si>
    <t>(560) 348-7975</t>
  </si>
  <si>
    <t>luebke@gmail.com</t>
  </si>
  <si>
    <t>C0625</t>
  </si>
  <si>
    <t>Hugo Tamarit Hoz</t>
  </si>
  <si>
    <t>NW12 4XH</t>
  </si>
  <si>
    <t>(693) 263-4900</t>
  </si>
  <si>
    <t>jschauma@gmail.com</t>
  </si>
  <si>
    <t>C0626</t>
  </si>
  <si>
    <t>Renata del Alberola</t>
  </si>
  <si>
    <t>363 The Green</t>
  </si>
  <si>
    <t>(546) 784-9818</t>
  </si>
  <si>
    <t>kiddailey@hotmail.com</t>
  </si>
  <si>
    <t>C0627</t>
  </si>
  <si>
    <t>Prudencio Carreras Cobo</t>
  </si>
  <si>
    <t>W28 9FC</t>
  </si>
  <si>
    <t>62 The Green</t>
  </si>
  <si>
    <t>(212) 965-6554</t>
  </si>
  <si>
    <t>hakim@comcast.net</t>
  </si>
  <si>
    <t>C0628</t>
  </si>
  <si>
    <t>Fabio de Arrieta</t>
  </si>
  <si>
    <t>NW06 8XV</t>
  </si>
  <si>
    <t>(889) 443-1755</t>
  </si>
  <si>
    <t>aukjan@sbcglobal.net</t>
  </si>
  <si>
    <t>C0629</t>
  </si>
  <si>
    <t>Ciro Hernando Puga Patiño</t>
  </si>
  <si>
    <t>78 Springfield Road</t>
  </si>
  <si>
    <t>(848) 779-2483</t>
  </si>
  <si>
    <t>policies@hotmail.com</t>
  </si>
  <si>
    <t>C0630</t>
  </si>
  <si>
    <t>Efraín Anguita Torres</t>
  </si>
  <si>
    <t>NW41 6MG</t>
  </si>
  <si>
    <t>92 Church Lane</t>
  </si>
  <si>
    <t>(805) 697-3346</t>
  </si>
  <si>
    <t>lbaxter@outlook.com</t>
  </si>
  <si>
    <t>C0631</t>
  </si>
  <si>
    <t>Claudia Clemente Bertrán</t>
  </si>
  <si>
    <t>N23 0XZ</t>
  </si>
  <si>
    <t>(913) 721-8266</t>
  </si>
  <si>
    <t>grolschie@mac.com</t>
  </si>
  <si>
    <t>C0632</t>
  </si>
  <si>
    <t>Brunilda Paredes-Fajardo</t>
  </si>
  <si>
    <t>9 Main Road</t>
  </si>
  <si>
    <t>(282) 349-2003</t>
  </si>
  <si>
    <t>mjewell@hotmail.com</t>
  </si>
  <si>
    <t>C0633</t>
  </si>
  <si>
    <t>Nicolás Moles Colomer</t>
  </si>
  <si>
    <t>SW19 4ZN</t>
  </si>
  <si>
    <t>9529 Springfield Road</t>
  </si>
  <si>
    <t>(963) 229-9721</t>
  </si>
  <si>
    <t>rande@hotmail.com</t>
  </si>
  <si>
    <t>C0634</t>
  </si>
  <si>
    <t>Fátima Alemany Puerta</t>
  </si>
  <si>
    <t>SW41 7WV</t>
  </si>
  <si>
    <t>(546) 649-9186</t>
  </si>
  <si>
    <t>gravyface@optonline.net</t>
  </si>
  <si>
    <t>C0635</t>
  </si>
  <si>
    <t>Gabriela González Robles</t>
  </si>
  <si>
    <t>76 The Grove</t>
  </si>
  <si>
    <t>(790) 423-9896</t>
  </si>
  <si>
    <t>symbolic@aol.com</t>
  </si>
  <si>
    <t>C0636</t>
  </si>
  <si>
    <t>Norberto Cerdá-Fernández</t>
  </si>
  <si>
    <t>SE80 7ZT</t>
  </si>
  <si>
    <t>72 New Road</t>
  </si>
  <si>
    <t>(402) 426-6854</t>
  </si>
  <si>
    <t>payned@sbcglobal.net</t>
  </si>
  <si>
    <t>C0637</t>
  </si>
  <si>
    <t>Mónica Colom Larrea</t>
  </si>
  <si>
    <t>N70 4MS</t>
  </si>
  <si>
    <t>(258) 814-1284</t>
  </si>
  <si>
    <t>zeitlin@msn.com</t>
  </si>
  <si>
    <t>C0638</t>
  </si>
  <si>
    <t>Eusebio González Figuerola</t>
  </si>
  <si>
    <t>5 Victoria Street</t>
  </si>
  <si>
    <t>(832) 468-1526</t>
  </si>
  <si>
    <t>shang@outlook.com</t>
  </si>
  <si>
    <t>C0639</t>
  </si>
  <si>
    <t>Isaac del Amaya</t>
  </si>
  <si>
    <t>N28 3JE</t>
  </si>
  <si>
    <t>89 York Road</t>
  </si>
  <si>
    <t>(587) 654-1459</t>
  </si>
  <si>
    <t>atmarks@mac.com</t>
  </si>
  <si>
    <t>C0640</t>
  </si>
  <si>
    <t>Víctor Gisbert</t>
  </si>
  <si>
    <t>NW26 3BP</t>
  </si>
  <si>
    <t>(786) 599-5695</t>
  </si>
  <si>
    <t>jugalator@optonline.net</t>
  </si>
  <si>
    <t>C0641</t>
  </si>
  <si>
    <t>Paca Castell Viana</t>
  </si>
  <si>
    <t>9535 Manchester Road</t>
  </si>
  <si>
    <t>(673) 380-1953</t>
  </si>
  <si>
    <t>amimojo@yahoo.com</t>
  </si>
  <si>
    <t>C0642</t>
  </si>
  <si>
    <t>Belen Zoraida Baró Lozano</t>
  </si>
  <si>
    <t>N85 7LD</t>
  </si>
  <si>
    <t>925 George Street</t>
  </si>
  <si>
    <t>(787) 598-7416</t>
  </si>
  <si>
    <t>library@outlook.com</t>
  </si>
  <si>
    <t>C0643</t>
  </si>
  <si>
    <t>Pastor Fuente Arenas</t>
  </si>
  <si>
    <t>NW69 5KE</t>
  </si>
  <si>
    <t>(252) 212-3211</t>
  </si>
  <si>
    <t>mwandel@verizon.net</t>
  </si>
  <si>
    <t>C0644</t>
  </si>
  <si>
    <t>Amaro Quero Paredes</t>
  </si>
  <si>
    <t>520 Albert Road</t>
  </si>
  <si>
    <t>(458) 895-2442</t>
  </si>
  <si>
    <t>mfburgo@hotmail.com</t>
  </si>
  <si>
    <t>C0645</t>
  </si>
  <si>
    <t>Margarita del Coronado</t>
  </si>
  <si>
    <t>SE34 0ME</t>
  </si>
  <si>
    <t>68 Main Road</t>
  </si>
  <si>
    <t>(901) 850-8259</t>
  </si>
  <si>
    <t>hyper@yahoo.ca</t>
  </si>
  <si>
    <t>C0646</t>
  </si>
  <si>
    <t>Calixto España Jove</t>
  </si>
  <si>
    <t>N36 2IX</t>
  </si>
  <si>
    <t>(625) 448-6097</t>
  </si>
  <si>
    <t>rjones@sbcglobal.net</t>
  </si>
  <si>
    <t>C0647</t>
  </si>
  <si>
    <t>Sofía Mulet Benet</t>
  </si>
  <si>
    <t>567 Albert Road</t>
  </si>
  <si>
    <t>(556) 902-0359</t>
  </si>
  <si>
    <t>naoya@aol.com</t>
  </si>
  <si>
    <t>C0648</t>
  </si>
  <si>
    <t>Melania Ariadna Barceló Garcés</t>
  </si>
  <si>
    <t>WC72 9NZ</t>
  </si>
  <si>
    <t>38 Richmond Road</t>
  </si>
  <si>
    <t>(419) 691-3967</t>
  </si>
  <si>
    <t>hermanab@mac.com</t>
  </si>
  <si>
    <t>C0649</t>
  </si>
  <si>
    <t>Albina Dulce Nieto Ferrándiz</t>
  </si>
  <si>
    <t>W46 2BU</t>
  </si>
  <si>
    <t>(299) 917-8437</t>
  </si>
  <si>
    <t>pakaste@icloud.com</t>
  </si>
  <si>
    <t>C0650</t>
  </si>
  <si>
    <t>Pepita Roig</t>
  </si>
  <si>
    <t>23 Park Avenue</t>
  </si>
  <si>
    <t>(568) 949-0998</t>
  </si>
  <si>
    <t>wainwrig@optonline.net</t>
  </si>
  <si>
    <t>C0651</t>
  </si>
  <si>
    <t>Marcela Leal Montes</t>
  </si>
  <si>
    <t>SW89 6BP</t>
  </si>
  <si>
    <t>9772 George Street</t>
  </si>
  <si>
    <t>(377) 519-0306</t>
  </si>
  <si>
    <t>jeteve@optonline.net</t>
  </si>
  <si>
    <t>C0652</t>
  </si>
  <si>
    <t>Paloma Salvà Carvajal</t>
  </si>
  <si>
    <t>EC32 7ZT</t>
  </si>
  <si>
    <t>(266) 259-5870</t>
  </si>
  <si>
    <t>singer@yahoo.ca</t>
  </si>
  <si>
    <t>C0653</t>
  </si>
  <si>
    <t>Adelia Martí Bello</t>
  </si>
  <si>
    <t>584 Park Avenue</t>
  </si>
  <si>
    <t>(399) 366-1808</t>
  </si>
  <si>
    <t>telbij@msn.com</t>
  </si>
  <si>
    <t>C0654</t>
  </si>
  <si>
    <t>Atilio Batalla Rios</t>
  </si>
  <si>
    <t>SW73 5IR</t>
  </si>
  <si>
    <t>99 High Street</t>
  </si>
  <si>
    <t>(494) 586-8976</t>
  </si>
  <si>
    <t>bancboy@verizon.net</t>
  </si>
  <si>
    <t>C0655</t>
  </si>
  <si>
    <t>Felicia Novoa Cózar</t>
  </si>
  <si>
    <t>W07 1MG</t>
  </si>
  <si>
    <t>(255) 815-9078</t>
  </si>
  <si>
    <t>thassine@sbcglobal.net</t>
  </si>
  <si>
    <t>C0656</t>
  </si>
  <si>
    <t>Petrona Guardia Céspedes</t>
  </si>
  <si>
    <t>81 Manor Road</t>
  </si>
  <si>
    <t>(727) 783-4000</t>
  </si>
  <si>
    <t>skajan@gmail.com</t>
  </si>
  <si>
    <t>C0657</t>
  </si>
  <si>
    <t>Tito Oliveras-Mármol</t>
  </si>
  <si>
    <t>N69 4QH</t>
  </si>
  <si>
    <t>47 St. John’s Road</t>
  </si>
  <si>
    <t>(848) 504-4182</t>
  </si>
  <si>
    <t>mjewell@verizon.net</t>
  </si>
  <si>
    <t>C0658</t>
  </si>
  <si>
    <t>Urbano Plana Cornejo</t>
  </si>
  <si>
    <t>SE32 0CN</t>
  </si>
  <si>
    <t>(746) 203-6657</t>
  </si>
  <si>
    <t>C0659</t>
  </si>
  <si>
    <t>Anselma Rodriguez Bernad</t>
  </si>
  <si>
    <t>21 Manor Road</t>
  </si>
  <si>
    <t>(865) 416-9258</t>
  </si>
  <si>
    <t>crandall@comcast.net</t>
  </si>
  <si>
    <t>C0660</t>
  </si>
  <si>
    <t>Adrián Fabra Viña</t>
  </si>
  <si>
    <t>EC85 9TN</t>
  </si>
  <si>
    <t>82 George Street</t>
  </si>
  <si>
    <t>(965) 404-9334</t>
  </si>
  <si>
    <t>tokuhirom@msn.com</t>
  </si>
  <si>
    <t>C0661</t>
  </si>
  <si>
    <t>Nicolasa Becerra Sánchez</t>
  </si>
  <si>
    <t>WC75 0HJ</t>
  </si>
  <si>
    <t>(928) 728-1293</t>
  </si>
  <si>
    <t>martyloo@verizon.net</t>
  </si>
  <si>
    <t>C0662</t>
  </si>
  <si>
    <t>Ágata Carbajo Calvo</t>
  </si>
  <si>
    <t>9459 King Street</t>
  </si>
  <si>
    <t>(979) 684-4030</t>
  </si>
  <si>
    <t>floxy@gmail.com</t>
  </si>
  <si>
    <t>C0663</t>
  </si>
  <si>
    <t>Pepita Laura Lladó Franch</t>
  </si>
  <si>
    <t>WC09 3CX</t>
  </si>
  <si>
    <t>7 South Street</t>
  </si>
  <si>
    <t>(667) 933-2880</t>
  </si>
  <si>
    <t>paulv@verizon.net</t>
  </si>
  <si>
    <t>C0664</t>
  </si>
  <si>
    <t>Noemí Carpio Seco</t>
  </si>
  <si>
    <t>E78 3QR</t>
  </si>
  <si>
    <t>(569) 583-5618</t>
  </si>
  <si>
    <t>linuxhack@msn.com</t>
  </si>
  <si>
    <t>C0665</t>
  </si>
  <si>
    <t>Edelmira Mosquera Recio</t>
  </si>
  <si>
    <t>288 Broadway</t>
  </si>
  <si>
    <t>(553) 319-8193</t>
  </si>
  <si>
    <t>tlinden@mac.com</t>
  </si>
  <si>
    <t>C0666</t>
  </si>
  <si>
    <t>Petrona Fonseca Martínez</t>
  </si>
  <si>
    <t>N82 6DQ</t>
  </si>
  <si>
    <t>79 North Road</t>
  </si>
  <si>
    <t>(216) 642-1783</t>
  </si>
  <si>
    <t>juerd@gmail.com</t>
  </si>
  <si>
    <t>C0667</t>
  </si>
  <si>
    <t>Fernando Peralta Arévalo</t>
  </si>
  <si>
    <t>NW36 9XU</t>
  </si>
  <si>
    <t>(758) 641-0007</t>
  </si>
  <si>
    <t>stellaau@comcast.net</t>
  </si>
  <si>
    <t>C0668</t>
  </si>
  <si>
    <t>Ariel Florencio Dávila Aramburu</t>
  </si>
  <si>
    <t>13 Victoria Road</t>
  </si>
  <si>
    <t>(647) 600-0763</t>
  </si>
  <si>
    <t>miturria@yahoo.ca</t>
  </si>
  <si>
    <t>C0669</t>
  </si>
  <si>
    <t>Magdalena Almansa Bayona</t>
  </si>
  <si>
    <t>W62 7UD</t>
  </si>
  <si>
    <t>43 The Green</t>
  </si>
  <si>
    <t>(389) 210-4301</t>
  </si>
  <si>
    <t>inico@yahoo.com</t>
  </si>
  <si>
    <t>C0670</t>
  </si>
  <si>
    <t>Amancio Chuy Cañas Garcia</t>
  </si>
  <si>
    <t>N75 9JP</t>
  </si>
  <si>
    <t>(559) 237-4254</t>
  </si>
  <si>
    <t>joelw@verizon.net</t>
  </si>
  <si>
    <t>C0671</t>
  </si>
  <si>
    <t>Xiomara Albero Palomares</t>
  </si>
  <si>
    <t>42 Stanley Road</t>
  </si>
  <si>
    <t>(425) 639-1001</t>
  </si>
  <si>
    <t>jshirley@me.com</t>
  </si>
  <si>
    <t>C0672</t>
  </si>
  <si>
    <t>Moreno del Armas</t>
  </si>
  <si>
    <t>WC10 7YI</t>
  </si>
  <si>
    <t>477 London Road</t>
  </si>
  <si>
    <t>(912) 744-3841</t>
  </si>
  <si>
    <t>ranasta@mac.com</t>
  </si>
  <si>
    <t>C0673</t>
  </si>
  <si>
    <t>Mayte Arjona Mir</t>
  </si>
  <si>
    <t>W39 2MS</t>
  </si>
  <si>
    <t>(420) 734-0267</t>
  </si>
  <si>
    <t>frikazoyd@live.com</t>
  </si>
  <si>
    <t>C0674</t>
  </si>
  <si>
    <t>Elena Conde Alonso</t>
  </si>
  <si>
    <t>1 North Road</t>
  </si>
  <si>
    <t>(642) 256-2742</t>
  </si>
  <si>
    <t>osrin@aol.com</t>
  </si>
  <si>
    <t>C0675</t>
  </si>
  <si>
    <t>Celia Peinado Riquelme</t>
  </si>
  <si>
    <t>SE21 8PJ</t>
  </si>
  <si>
    <t>23 Main Road</t>
  </si>
  <si>
    <t>(440) 856-1816</t>
  </si>
  <si>
    <t>pthomsen@verizon.net</t>
  </si>
  <si>
    <t>C0676</t>
  </si>
  <si>
    <t>José Mas Diaz</t>
  </si>
  <si>
    <t>W79 6UG</t>
  </si>
  <si>
    <t>(236) 758-1959</t>
  </si>
  <si>
    <t>eurohack@optonline.net</t>
  </si>
  <si>
    <t>C0677</t>
  </si>
  <si>
    <t>Marco del Almansa</t>
  </si>
  <si>
    <t>874 Manor Road</t>
  </si>
  <si>
    <t>(454) 251-7217</t>
  </si>
  <si>
    <t>csilvers@outlook.com</t>
  </si>
  <si>
    <t>C0678</t>
  </si>
  <si>
    <t>Ariel Martorell Quero</t>
  </si>
  <si>
    <t>EC17 3MA</t>
  </si>
  <si>
    <t>954 Windsor Road</t>
  </si>
  <si>
    <t>(554) 671-5835</t>
  </si>
  <si>
    <t>rasca@icloud.com</t>
  </si>
  <si>
    <t>C0679</t>
  </si>
  <si>
    <t>Claudia Ibañez Macías</t>
  </si>
  <si>
    <t>WC13 6VO</t>
  </si>
  <si>
    <t>(796) 405-5951</t>
  </si>
  <si>
    <t>donev@yahoo.com</t>
  </si>
  <si>
    <t>C0680</t>
  </si>
  <si>
    <t>Morena Llanos Dalmau</t>
  </si>
  <si>
    <t>823 The Green</t>
  </si>
  <si>
    <t>(355) 836-1997</t>
  </si>
  <si>
    <t>psichel@yahoo.ca</t>
  </si>
  <si>
    <t>C0681</t>
  </si>
  <si>
    <t>Tecla Gertrudis Fortuny Santana</t>
  </si>
  <si>
    <t>W95 4IQ</t>
  </si>
  <si>
    <t>9 Stanley Road</t>
  </si>
  <si>
    <t>(286) 437-9985</t>
  </si>
  <si>
    <t>ranasta@att.net</t>
  </si>
  <si>
    <t>C0682</t>
  </si>
  <si>
    <t>Jose Francisco Martí Crespo</t>
  </si>
  <si>
    <t>N74 6MB</t>
  </si>
  <si>
    <t>(728) 630-9093</t>
  </si>
  <si>
    <t>lbaxter@verizon.net</t>
  </si>
  <si>
    <t>C0683</t>
  </si>
  <si>
    <t>Teresita Donaire Prieto</t>
  </si>
  <si>
    <t>45 South Street</t>
  </si>
  <si>
    <t>(375) 276-9555</t>
  </si>
  <si>
    <t>rnewman@yahoo.com</t>
  </si>
  <si>
    <t>C0684</t>
  </si>
  <si>
    <t>Sofía Campillo Meléndez</t>
  </si>
  <si>
    <t>SE29 0XB</t>
  </si>
  <si>
    <t>1 Kings Road</t>
  </si>
  <si>
    <t>(303) 888-3580</t>
  </si>
  <si>
    <t>intlprog@optonline.net</t>
  </si>
  <si>
    <t>C0685</t>
  </si>
  <si>
    <t>Paola Anastasia Peral Gracia</t>
  </si>
  <si>
    <t>SW63 0GX</t>
  </si>
  <si>
    <t>(620) 263-0937</t>
  </si>
  <si>
    <t>jgoerzen@sbcglobal.net</t>
  </si>
  <si>
    <t>C0686</t>
  </si>
  <si>
    <t>Fabián Ojeda Duran</t>
  </si>
  <si>
    <t>75 The Drive</t>
  </si>
  <si>
    <t>(285) 569-3815</t>
  </si>
  <si>
    <t>shrapnull@mac.com</t>
  </si>
  <si>
    <t>C0687</t>
  </si>
  <si>
    <t>Pascuala Conde-Amat</t>
  </si>
  <si>
    <t>NW49 8JX</t>
  </si>
  <si>
    <t>919 Queensway</t>
  </si>
  <si>
    <t>(933) 493-1296</t>
  </si>
  <si>
    <t>teverett@yahoo.com</t>
  </si>
  <si>
    <t>C0688</t>
  </si>
  <si>
    <t>Vicente de Manzano</t>
  </si>
  <si>
    <t>E25 7BW</t>
  </si>
  <si>
    <t>(984) 925-1479</t>
  </si>
  <si>
    <t>jdhedden@verizon.net</t>
  </si>
  <si>
    <t>C0689</t>
  </si>
  <si>
    <t>Serafina de Suárez</t>
  </si>
  <si>
    <t>893 Church Lane</t>
  </si>
  <si>
    <t>(745) 969-2385</t>
  </si>
  <si>
    <t>miami@hotmail.com</t>
  </si>
  <si>
    <t>C0690</t>
  </si>
  <si>
    <t>Benita Susanita Segarra Comas</t>
  </si>
  <si>
    <t>SE91 4YS</t>
  </si>
  <si>
    <t>9633 Highfield Road</t>
  </si>
  <si>
    <t>(385) 423-8512</t>
  </si>
  <si>
    <t>reeds@sbcglobal.net</t>
  </si>
  <si>
    <t>C0691</t>
  </si>
  <si>
    <t>Casemiro Aliaga Arce</t>
  </si>
  <si>
    <t>WC40 6RS</t>
  </si>
  <si>
    <t>(541) 380-9655</t>
  </si>
  <si>
    <t>jmmuller@hotmail.com</t>
  </si>
  <si>
    <t>C0692</t>
  </si>
  <si>
    <t>Renato Machado Pla</t>
  </si>
  <si>
    <t>(499) 251-4292</t>
  </si>
  <si>
    <t>mailarc@verizon.net</t>
  </si>
  <si>
    <t>C0693</t>
  </si>
  <si>
    <t>Desiderio Mendoza Escobar</t>
  </si>
  <si>
    <t>EC74 0XB</t>
  </si>
  <si>
    <t>42 Kingsway</t>
  </si>
  <si>
    <t>(889) 376-3128</t>
  </si>
  <si>
    <t>sfoskett@sbcglobal.net</t>
  </si>
  <si>
    <t>C0694</t>
  </si>
  <si>
    <t>Gerardo Bernat Barros</t>
  </si>
  <si>
    <t>SE59 1ZQ</t>
  </si>
  <si>
    <t>(899) 319-0739</t>
  </si>
  <si>
    <t>eurohack@yahoo.ca</t>
  </si>
  <si>
    <t>C0695</t>
  </si>
  <si>
    <t>Hugo Torrecilla Canals</t>
  </si>
  <si>
    <t>44 Grove Road</t>
  </si>
  <si>
    <t>(799) 736-0563</t>
  </si>
  <si>
    <t>ahmad@yahoo.com</t>
  </si>
  <si>
    <t>C0696</t>
  </si>
  <si>
    <t>Mamen Ortega Ferrer</t>
  </si>
  <si>
    <t>W52 6WK</t>
  </si>
  <si>
    <t>72 The Grove</t>
  </si>
  <si>
    <t>(897) 495-1662</t>
  </si>
  <si>
    <t>lstein@hotmail.com</t>
  </si>
  <si>
    <t>C0697</t>
  </si>
  <si>
    <t>Ciríaco del Ruano</t>
  </si>
  <si>
    <t>NW50 1WE</t>
  </si>
  <si>
    <t>(744) 403-9916</t>
  </si>
  <si>
    <t>bmidd@aol.com</t>
  </si>
  <si>
    <t>C0698</t>
  </si>
  <si>
    <t>Reynaldo Gargallo Salcedo</t>
  </si>
  <si>
    <t>79 The Avenue</t>
  </si>
  <si>
    <t>(936) 598-2906</t>
  </si>
  <si>
    <t>stecoop@msn.com</t>
  </si>
  <si>
    <t>C0699</t>
  </si>
  <si>
    <t>Blanca Quero Alcántara</t>
  </si>
  <si>
    <t>WC28 1FM</t>
  </si>
  <si>
    <t>593 New Road</t>
  </si>
  <si>
    <t>(469) 532-4548</t>
  </si>
  <si>
    <t>ateniese@icloud.com</t>
  </si>
  <si>
    <t>C0700</t>
  </si>
  <si>
    <t>Concepción Catalán</t>
  </si>
  <si>
    <t>SW43 0ZK</t>
  </si>
  <si>
    <t>(947) 361-6058</t>
  </si>
  <si>
    <t>carcus@mac.com</t>
  </si>
  <si>
    <t>C0701</t>
  </si>
  <si>
    <t>Carolina Bilbao Iñiguez</t>
  </si>
  <si>
    <t>85 Victoria Street</t>
  </si>
  <si>
    <t>(949) 882-5871</t>
  </si>
  <si>
    <t>klaudon@gmail.com</t>
  </si>
  <si>
    <t>C0702</t>
  </si>
  <si>
    <t>Luisina Gonzalez Ferrán</t>
  </si>
  <si>
    <t>SW74 5VB</t>
  </si>
  <si>
    <t>302 Kingsway</t>
  </si>
  <si>
    <t>(305) 415-3051</t>
  </si>
  <si>
    <t>C0703</t>
  </si>
  <si>
    <t>Filomena Larrañaga Andrade</t>
  </si>
  <si>
    <t>E48 1ZX</t>
  </si>
  <si>
    <t>(828) 518-2220</t>
  </si>
  <si>
    <t>rfisher@hotmail.com</t>
  </si>
  <si>
    <t>C0704</t>
  </si>
  <si>
    <t>Marta Roldán-Galván</t>
  </si>
  <si>
    <t>220 Manchester Road</t>
  </si>
  <si>
    <t>(723) 679-1851</t>
  </si>
  <si>
    <t>mxiao@yahoo.com</t>
  </si>
  <si>
    <t>C0705</t>
  </si>
  <si>
    <t>Alma Valderrama Cortés</t>
  </si>
  <si>
    <t>SW25 9DQ</t>
  </si>
  <si>
    <t>650 Queensway</t>
  </si>
  <si>
    <t>(274) 482-2742</t>
  </si>
  <si>
    <t>reziac@att.net</t>
  </si>
  <si>
    <t>C0706</t>
  </si>
  <si>
    <t>Alcides Viana Benavente</t>
  </si>
  <si>
    <t>SE15 3HN</t>
  </si>
  <si>
    <t>(596) 753-6330</t>
  </si>
  <si>
    <t>mailarc@att.net</t>
  </si>
  <si>
    <t>C0707</t>
  </si>
  <si>
    <t>Santiago Garmendia Doménech</t>
  </si>
  <si>
    <t>9518 Mill Road</t>
  </si>
  <si>
    <t>(493) 751-7562</t>
  </si>
  <si>
    <t>brainless@msn.com</t>
  </si>
  <si>
    <t>C0708</t>
  </si>
  <si>
    <t>Nerea Torrent-Valverde</t>
  </si>
  <si>
    <t>NW19 5DQ</t>
  </si>
  <si>
    <t>9833 Main Road</t>
  </si>
  <si>
    <t>(804) 565-3963</t>
  </si>
  <si>
    <t>akoblin@comcast.net</t>
  </si>
  <si>
    <t>C0709</t>
  </si>
  <si>
    <t>Ángeles del Higueras</t>
  </si>
  <si>
    <t>NW83 9CK</t>
  </si>
  <si>
    <t>(857) 359-0241</t>
  </si>
  <si>
    <t>geoffr@optonline.net</t>
  </si>
  <si>
    <t>C0710</t>
  </si>
  <si>
    <t>Octavio de Andrés</t>
  </si>
  <si>
    <t>9 Grange Road</t>
  </si>
  <si>
    <t>(680) 877-0373</t>
  </si>
  <si>
    <t>shawnce@gmail.com</t>
  </si>
  <si>
    <t>C0711</t>
  </si>
  <si>
    <t>Eligio Herrero-Canet</t>
  </si>
  <si>
    <t>WC26 5BI</t>
  </si>
  <si>
    <t>19 The Avenue</t>
  </si>
  <si>
    <t>(644) 440-6033</t>
  </si>
  <si>
    <t>trygstad@mac.com</t>
  </si>
  <si>
    <t>C0712</t>
  </si>
  <si>
    <t>Elías Carbonell Pareja</t>
  </si>
  <si>
    <t>W45 7MN</t>
  </si>
  <si>
    <t>(788) 977-2844</t>
  </si>
  <si>
    <t>plover@me.com</t>
  </si>
  <si>
    <t>C0713</t>
  </si>
  <si>
    <t>Elvira Olmedo Girona</t>
  </si>
  <si>
    <t>575 Park Avenue</t>
  </si>
  <si>
    <t>(244) 263-7499</t>
  </si>
  <si>
    <t>choset@optonline.net</t>
  </si>
  <si>
    <t>C0714</t>
  </si>
  <si>
    <t>Sosimo Landa Aragonés</t>
  </si>
  <si>
    <t>SW21 9ZX</t>
  </si>
  <si>
    <t>5 Mill Road</t>
  </si>
  <si>
    <t>(837) 287-6032</t>
  </si>
  <si>
    <t>caidaperl@aol.com</t>
  </si>
  <si>
    <t>C0715</t>
  </si>
  <si>
    <t>Clotilde del Osorio</t>
  </si>
  <si>
    <t>N91 6SR</t>
  </si>
  <si>
    <t>(212) 363-5006</t>
  </si>
  <si>
    <t>murdocj@gmail.com</t>
  </si>
  <si>
    <t>C0716</t>
  </si>
  <si>
    <t>Alcides Tello Fernandez</t>
  </si>
  <si>
    <t>9505 The Grove</t>
  </si>
  <si>
    <t>(315) 840-0702</t>
  </si>
  <si>
    <t>grossman@verizon.net</t>
  </si>
  <si>
    <t>C0717</t>
  </si>
  <si>
    <t>Sigfrido Simó Benavent</t>
  </si>
  <si>
    <t>SE31 9GQ</t>
  </si>
  <si>
    <t>51 George Street</t>
  </si>
  <si>
    <t>(467) 358-4503</t>
  </si>
  <si>
    <t>bartlett@mac.com</t>
  </si>
  <si>
    <t>C0718</t>
  </si>
  <si>
    <t>Nerea Leon Puga</t>
  </si>
  <si>
    <t>W96 5MH</t>
  </si>
  <si>
    <t>(360) 620-0866</t>
  </si>
  <si>
    <t>claesjac@aol.com</t>
  </si>
  <si>
    <t>C0719</t>
  </si>
  <si>
    <t>David Ballesteros-Francisco</t>
  </si>
  <si>
    <t>437 Queensway</t>
  </si>
  <si>
    <t>(229) 275-5223</t>
  </si>
  <si>
    <t>jadavis@icloud.com</t>
  </si>
  <si>
    <t>C0720</t>
  </si>
  <si>
    <t>Eva Araceli Marcos Cerdán</t>
  </si>
  <si>
    <t>NW87 0HE</t>
  </si>
  <si>
    <t>364 The Green</t>
  </si>
  <si>
    <t>(344) 778-8434</t>
  </si>
  <si>
    <t>vmalik@msn.com</t>
  </si>
  <si>
    <t>C0721</t>
  </si>
  <si>
    <t>Tecla Conesa</t>
  </si>
  <si>
    <t>EC47 2KO</t>
  </si>
  <si>
    <t>(258) 518-2594</t>
  </si>
  <si>
    <t>slaff@me.com</t>
  </si>
  <si>
    <t>C0722</t>
  </si>
  <si>
    <t>Mayte Isern Gárate</t>
  </si>
  <si>
    <t>4 Mill Road</t>
  </si>
  <si>
    <t>(859) 270-2403</t>
  </si>
  <si>
    <t>kjohnson@gmail.com</t>
  </si>
  <si>
    <t>C0723</t>
  </si>
  <si>
    <t>Ignacio Bauzà-Torrens</t>
  </si>
  <si>
    <t>SW50 4KB</t>
  </si>
  <si>
    <t>5 High Street</t>
  </si>
  <si>
    <t>(611) 486-5321</t>
  </si>
  <si>
    <t>weazelman@icloud.com</t>
  </si>
  <si>
    <t>C0724</t>
  </si>
  <si>
    <t>Amor Estrada-Querol</t>
  </si>
  <si>
    <t>N10 8HK</t>
  </si>
  <si>
    <t>(768) 652-3949</t>
  </si>
  <si>
    <t>ivoibs@icloud.com</t>
  </si>
  <si>
    <t>C0725</t>
  </si>
  <si>
    <t>Gabino Aranda Godoy</t>
  </si>
  <si>
    <t>11 The Avenue</t>
  </si>
  <si>
    <t>(998) 487-9102</t>
  </si>
  <si>
    <t>atmarks@aol.com</t>
  </si>
  <si>
    <t>C0726</t>
  </si>
  <si>
    <t>Gerónimo Asenjo</t>
  </si>
  <si>
    <t>NW16 9IB</t>
  </si>
  <si>
    <t>3 Manor Road</t>
  </si>
  <si>
    <t>(253) 321-2154</t>
  </si>
  <si>
    <t>hermanab@live.com</t>
  </si>
  <si>
    <t>C0727</t>
  </si>
  <si>
    <t>Enrique Andreu Cueto</t>
  </si>
  <si>
    <t>W64 5TV</t>
  </si>
  <si>
    <t>(532) 409-6324</t>
  </si>
  <si>
    <t>matty@yahoo.ca</t>
  </si>
  <si>
    <t>C0728</t>
  </si>
  <si>
    <t>Clara Cantón Farré</t>
  </si>
  <si>
    <t>76 Queensway</t>
  </si>
  <si>
    <t>(661) 728-1691</t>
  </si>
  <si>
    <t>enintend@verizon.net</t>
  </si>
  <si>
    <t>C0729</t>
  </si>
  <si>
    <t>Baudelio Asensio</t>
  </si>
  <si>
    <t>WC10 3BR</t>
  </si>
  <si>
    <t>21 Alexander Road</t>
  </si>
  <si>
    <t>(570) 540-0876</t>
  </si>
  <si>
    <t>dsugal@me.com</t>
  </si>
  <si>
    <t>C0730</t>
  </si>
  <si>
    <t>Pepita del Grau</t>
  </si>
  <si>
    <t>N20 5KT</t>
  </si>
  <si>
    <t>(433) 516-7191</t>
  </si>
  <si>
    <t>openldap@outlook.com</t>
  </si>
  <si>
    <t>C0731</t>
  </si>
  <si>
    <t>Alba Batalla Valls</t>
  </si>
  <si>
    <t>24 Kings Road</t>
  </si>
  <si>
    <t>(535) 857-6686</t>
  </si>
  <si>
    <t>lishoy@comcast.net</t>
  </si>
  <si>
    <t>C0732</t>
  </si>
  <si>
    <t>Bernardino Patiño Aguado</t>
  </si>
  <si>
    <t>WC58 1WY</t>
  </si>
  <si>
    <t>666 St. John’s Road</t>
  </si>
  <si>
    <t>(849) 782-9869</t>
  </si>
  <si>
    <t>temmink@optonline.net</t>
  </si>
  <si>
    <t>C0733</t>
  </si>
  <si>
    <t>Esteban Vaquero Dominguez</t>
  </si>
  <si>
    <t>NW49 1FQ</t>
  </si>
  <si>
    <t>(561) 625-6255</t>
  </si>
  <si>
    <t>wildixon@optonline.net</t>
  </si>
  <si>
    <t>C0734</t>
  </si>
  <si>
    <t>Anacleto Tomás Torrecilla</t>
  </si>
  <si>
    <t>94 New Road</t>
  </si>
  <si>
    <t>(654) 705-7739</t>
  </si>
  <si>
    <t>peoplesr@outlook.com</t>
  </si>
  <si>
    <t>C0735</t>
  </si>
  <si>
    <t>Severino Nicolau Vizcaíno</t>
  </si>
  <si>
    <t>NW54 0QY</t>
  </si>
  <si>
    <t>87 St. John’s Road</t>
  </si>
  <si>
    <t>(712) 820-6745</t>
  </si>
  <si>
    <t>psichel@aol.com</t>
  </si>
  <si>
    <t>C0736</t>
  </si>
  <si>
    <t>Corona Feijoo Pi</t>
  </si>
  <si>
    <t>EC54 6EY</t>
  </si>
  <si>
    <t>(259) 838-4855</t>
  </si>
  <si>
    <t>C0737</t>
  </si>
  <si>
    <t>Rafaela Hurtado Reguera</t>
  </si>
  <si>
    <t>73 Chester Road</t>
  </si>
  <si>
    <t>(824) 717-6847</t>
  </si>
  <si>
    <t>mlewan@live.com</t>
  </si>
  <si>
    <t>C0738</t>
  </si>
  <si>
    <t>Zaira Calderón Ariño</t>
  </si>
  <si>
    <t>SE36 8WH</t>
  </si>
  <si>
    <t>952 London Road</t>
  </si>
  <si>
    <t>(366) 665-1941</t>
  </si>
  <si>
    <t>okroeger@yahoo.com</t>
  </si>
  <si>
    <t>C0739</t>
  </si>
  <si>
    <t>Aníbal Acero</t>
  </si>
  <si>
    <t>W12 6MQ</t>
  </si>
  <si>
    <t>(305) 495-3592</t>
  </si>
  <si>
    <t>jgmyers@att.net</t>
  </si>
  <si>
    <t>C0740</t>
  </si>
  <si>
    <t>Leocadio Palomo Palomares</t>
  </si>
  <si>
    <t>386 Richmond Road</t>
  </si>
  <si>
    <t>(602) 659-7572</t>
  </si>
  <si>
    <t>torgox@verizon.net</t>
  </si>
  <si>
    <t>C0741</t>
  </si>
  <si>
    <t>Juan Carlos Delgado Durán</t>
  </si>
  <si>
    <t>EC70 8TD</t>
  </si>
  <si>
    <t>515 New Road</t>
  </si>
  <si>
    <t>(689) 239-4563</t>
  </si>
  <si>
    <t>eurohack@verizon.net</t>
  </si>
  <si>
    <t>C0742</t>
  </si>
  <si>
    <t>Elvira Bravo-Cano</t>
  </si>
  <si>
    <t>WC71 0UF</t>
  </si>
  <si>
    <t>(207) 205-4139</t>
  </si>
  <si>
    <t>grinder@mac.com</t>
  </si>
  <si>
    <t>C0743</t>
  </si>
  <si>
    <t>Demetrio de Larrañaga</t>
  </si>
  <si>
    <t>16 George Street</t>
  </si>
  <si>
    <t>(516) 973-1052</t>
  </si>
  <si>
    <t>mallanmba@comcast.net</t>
  </si>
  <si>
    <t>C0744</t>
  </si>
  <si>
    <t>Hernando Garay</t>
  </si>
  <si>
    <t>NW01 6ER</t>
  </si>
  <si>
    <t>25 Victoria Street</t>
  </si>
  <si>
    <t>(556) 265-3355</t>
  </si>
  <si>
    <t>martyloo@sbcglobal.net</t>
  </si>
  <si>
    <t>C0745</t>
  </si>
  <si>
    <t>Isabela Roma Jurado</t>
  </si>
  <si>
    <t>W60 2PX</t>
  </si>
  <si>
    <t>(630) 838-5414</t>
  </si>
  <si>
    <t>smcnabb@yahoo.com</t>
  </si>
  <si>
    <t>C0746</t>
  </si>
  <si>
    <t>Roberto Tomás-Bermúdez</t>
  </si>
  <si>
    <t>93 St. John’s Road</t>
  </si>
  <si>
    <t>(762) 570-3297</t>
  </si>
  <si>
    <t>msherr@yahoo.ca</t>
  </si>
  <si>
    <t>C0747</t>
  </si>
  <si>
    <t>Yolanda Oliva Polo</t>
  </si>
  <si>
    <t>N10 2EQ</t>
  </si>
  <si>
    <t>9 Broadway</t>
  </si>
  <si>
    <t>(283) 766-9356</t>
  </si>
  <si>
    <t>grothoff@icloud.com</t>
  </si>
  <si>
    <t>C0748</t>
  </si>
  <si>
    <t>Rosendo Pinilla Bustamante</t>
  </si>
  <si>
    <t>W10 2TN</t>
  </si>
  <si>
    <t>(750) 486-9536</t>
  </si>
  <si>
    <t>budinger@icloud.com</t>
  </si>
  <si>
    <t>C0749</t>
  </si>
  <si>
    <t>Vanesa Celia Ibáñez Ferrer</t>
  </si>
  <si>
    <t>5 Church Road</t>
  </si>
  <si>
    <t>(619) 353-7970</t>
  </si>
  <si>
    <t>C0750</t>
  </si>
  <si>
    <t>Albina de Fiol</t>
  </si>
  <si>
    <t>SE07 3LY</t>
  </si>
  <si>
    <t>24 Richmond Road</t>
  </si>
  <si>
    <t>(961) 219-0829</t>
  </si>
  <si>
    <t>dpitts@sbcglobal.net</t>
  </si>
  <si>
    <t>C0751</t>
  </si>
  <si>
    <t>Georgina Arroyo Araujo</t>
  </si>
  <si>
    <t>W75 0OS</t>
  </si>
  <si>
    <t>(209) 879-1264</t>
  </si>
  <si>
    <t>osaru@me.com</t>
  </si>
  <si>
    <t>C0752</t>
  </si>
  <si>
    <t>Celestina Rodrigo Hidalgo</t>
  </si>
  <si>
    <t>213 The Drive</t>
  </si>
  <si>
    <t>(332) 532-0822</t>
  </si>
  <si>
    <t>jramio@gmail.com</t>
  </si>
  <si>
    <t>C0753</t>
  </si>
  <si>
    <t>Felicidad de Bernal</t>
  </si>
  <si>
    <t>NW58 3QB</t>
  </si>
  <si>
    <t>561 Albert Road</t>
  </si>
  <si>
    <t>(487) 640-6779</t>
  </si>
  <si>
    <t>kudra@comcast.net</t>
  </si>
  <si>
    <t>C0754</t>
  </si>
  <si>
    <t>Valeria Almansa-Bárcena</t>
  </si>
  <si>
    <t>SW24 1UB</t>
  </si>
  <si>
    <t>(536) 366-2187</t>
  </si>
  <si>
    <t>yruan@icloud.com</t>
  </si>
  <si>
    <t>C0755</t>
  </si>
  <si>
    <t>Javier Cortina Grau</t>
  </si>
  <si>
    <t>28 Victoria Street</t>
  </si>
  <si>
    <t>(363) 544-2841</t>
  </si>
  <si>
    <t>petersen@msn.com</t>
  </si>
  <si>
    <t>C0756</t>
  </si>
  <si>
    <t>Manolo Isidro Ros Salgado</t>
  </si>
  <si>
    <t>SW80 9JL</t>
  </si>
  <si>
    <t>26 The Drive</t>
  </si>
  <si>
    <t>(461) 271-1631</t>
  </si>
  <si>
    <t>jbearp@sbcglobal.net</t>
  </si>
  <si>
    <t>C0757</t>
  </si>
  <si>
    <t>Concepción Bustamante</t>
  </si>
  <si>
    <t>E73 0ZM</t>
  </si>
  <si>
    <t>(857) 335-5320</t>
  </si>
  <si>
    <t>kjohnson@mac.com</t>
  </si>
  <si>
    <t>C0758</t>
  </si>
  <si>
    <t>Viviana Tur Asensio</t>
  </si>
  <si>
    <t>27 Church Road</t>
  </si>
  <si>
    <t>(634) 371-1153</t>
  </si>
  <si>
    <t>jaesenj@comcast.net</t>
  </si>
  <si>
    <t>C0759</t>
  </si>
  <si>
    <t>Emilia Valentín Coello</t>
  </si>
  <si>
    <t>WC52 1ML</t>
  </si>
  <si>
    <t>(439) 244-2458</t>
  </si>
  <si>
    <t>offthelip@yahoo.ca</t>
  </si>
  <si>
    <t>C0760</t>
  </si>
  <si>
    <t>Bárbara Arcos Cases</t>
  </si>
  <si>
    <t>E54 2MI</t>
  </si>
  <si>
    <t>(320) 535-5081</t>
  </si>
  <si>
    <t>C0761</t>
  </si>
  <si>
    <t>Martín Giménez Herrera</t>
  </si>
  <si>
    <t>40 Woodland Dr.</t>
  </si>
  <si>
    <t>New York, NY 10011</t>
  </si>
  <si>
    <t>(993) 964-1956</t>
  </si>
  <si>
    <t>pgolle@aol.com</t>
  </si>
  <si>
    <t>C0762</t>
  </si>
  <si>
    <t>Gastón Real Barriga</t>
  </si>
  <si>
    <t>9453 South Pineknoll Drive</t>
  </si>
  <si>
    <t>Freeport, NY 11520</t>
  </si>
  <si>
    <t>(748) 245-9826</t>
  </si>
  <si>
    <t>mdielmann@verizon.net</t>
  </si>
  <si>
    <t>C0763</t>
  </si>
  <si>
    <t>Estefanía Peñas</t>
  </si>
  <si>
    <t>847 S. Manor St.</t>
  </si>
  <si>
    <t>New York, NY 10031</t>
  </si>
  <si>
    <t>(381) 532-2238</t>
  </si>
  <si>
    <t>gerlo@optonline.net</t>
  </si>
  <si>
    <t>C0764</t>
  </si>
  <si>
    <t>Loreto Estrella Viñas Juan</t>
  </si>
  <si>
    <t>7071 Third St.</t>
  </si>
  <si>
    <t>Bronx, NY 10472</t>
  </si>
  <si>
    <t>(907) 754-8902</t>
  </si>
  <si>
    <t>sarahs@verizon.net</t>
  </si>
  <si>
    <t>C0765</t>
  </si>
  <si>
    <t>Emperatriz Quirós Aguirre</t>
  </si>
  <si>
    <t>8215 Atlantic St.</t>
  </si>
  <si>
    <t>Brooklyn, NY 11218</t>
  </si>
  <si>
    <t>(531) 907-4416</t>
  </si>
  <si>
    <t>galbra@comcast.net</t>
  </si>
  <si>
    <t>C0766</t>
  </si>
  <si>
    <t>Leocadio Escalona</t>
  </si>
  <si>
    <t>735 N. Yukon Street</t>
  </si>
  <si>
    <t>Brooklyn, NY 11215</t>
  </si>
  <si>
    <t>(572) 498-8666</t>
  </si>
  <si>
    <t>kaiser@comcast.net</t>
  </si>
  <si>
    <t>C0767</t>
  </si>
  <si>
    <t>Carina Barroso Lopez</t>
  </si>
  <si>
    <t>3 Holly Ave.</t>
  </si>
  <si>
    <t>Ridgewood, NY 11385</t>
  </si>
  <si>
    <t>(716) 425-2898</t>
  </si>
  <si>
    <t>kildjean@hotmail.com</t>
  </si>
  <si>
    <t>C0768</t>
  </si>
  <si>
    <t>Damián Tomas Solís</t>
  </si>
  <si>
    <t>770 Carson St.</t>
  </si>
  <si>
    <t>Bronx, NY 10463</t>
  </si>
  <si>
    <t>(762) 419-8629</t>
  </si>
  <si>
    <t>cliffordj@yahoo.ca</t>
  </si>
  <si>
    <t>C0769</t>
  </si>
  <si>
    <t>Isaac Vallejo-Coll</t>
  </si>
  <si>
    <t>47 Honey Creek Lane</t>
  </si>
  <si>
    <t>New York, NY 10023</t>
  </si>
  <si>
    <t>(280) 675-9489</t>
  </si>
  <si>
    <t>breegster@outlook.com</t>
  </si>
  <si>
    <t>C0770</t>
  </si>
  <si>
    <t>Fernanda Lozano Bastida</t>
  </si>
  <si>
    <t>89 West Lakeview Dr.</t>
  </si>
  <si>
    <t>Bronx, NY 10456</t>
  </si>
  <si>
    <t>(634) 550-6646</t>
  </si>
  <si>
    <t>calin@comcast.net</t>
  </si>
  <si>
    <t>C0771</t>
  </si>
  <si>
    <t>Angélica Diego Cuéllar</t>
  </si>
  <si>
    <t>541 S. State Dr.</t>
  </si>
  <si>
    <t>Ithaca, NY 14850</t>
  </si>
  <si>
    <t>(527) 606-6801</t>
  </si>
  <si>
    <t>C0772</t>
  </si>
  <si>
    <t>José Luis Lorenzo Losada</t>
  </si>
  <si>
    <t>8759 Tanglewood Dr.</t>
  </si>
  <si>
    <t>Spring Valley, NY 10977</t>
  </si>
  <si>
    <t>(465) 963-8317</t>
  </si>
  <si>
    <t>singer@att.net</t>
  </si>
  <si>
    <t>C0773</t>
  </si>
  <si>
    <t>María Sáenz Azorin</t>
  </si>
  <si>
    <t>9283 High Ridge Drive</t>
  </si>
  <si>
    <t>Brooklyn, NY 11208</t>
  </si>
  <si>
    <t>(659) 984-6638</t>
  </si>
  <si>
    <t>vsprintf@att.net</t>
  </si>
  <si>
    <t>C0774</t>
  </si>
  <si>
    <t>Hernando Olmedo Seguí</t>
  </si>
  <si>
    <t>582 Honey Creek Road</t>
  </si>
  <si>
    <t>Bronx, NY 10461</t>
  </si>
  <si>
    <t>(962) 381-3510</t>
  </si>
  <si>
    <t>mhassel@msn.com</t>
  </si>
  <si>
    <t>C0775</t>
  </si>
  <si>
    <t>Mamen Chacón Crespo</t>
  </si>
  <si>
    <t>847 West Jockey Hollow Court</t>
  </si>
  <si>
    <t>Bronx, NY 10452</t>
  </si>
  <si>
    <t>(576) 978-9774</t>
  </si>
  <si>
    <t>weidai@sbcglobal.net</t>
  </si>
  <si>
    <t>C0776</t>
  </si>
  <si>
    <t>Morena Ros Estrada</t>
  </si>
  <si>
    <t>720 Paris Hill St.</t>
  </si>
  <si>
    <t>Huntington Station, NY 11746</t>
  </si>
  <si>
    <t>(721) 881-8367</t>
  </si>
  <si>
    <t>quantaman@msn.com</t>
  </si>
  <si>
    <t>C0777</t>
  </si>
  <si>
    <t>Berta Mena Rivas</t>
  </si>
  <si>
    <t>61 Bridle St.</t>
  </si>
  <si>
    <t>Brooklyn, NY 11212</t>
  </si>
  <si>
    <t>(812) 855-9668</t>
  </si>
  <si>
    <t>timtroyr@gmail.com</t>
  </si>
  <si>
    <t>C0778</t>
  </si>
  <si>
    <t>Carmen Alemany Bertrán</t>
  </si>
  <si>
    <t>9555 Purple Finch Dr.</t>
  </si>
  <si>
    <t>Jamestown, NY 14701</t>
  </si>
  <si>
    <t>(819) 268-2557</t>
  </si>
  <si>
    <t>papathan@att.net</t>
  </si>
  <si>
    <t>C0779</t>
  </si>
  <si>
    <t>Emilia Oliveras Granados</t>
  </si>
  <si>
    <t>8473 South Lilac Court</t>
  </si>
  <si>
    <t>Newburgh, NY 12550</t>
  </si>
  <si>
    <t>(398) 878-0122</t>
  </si>
  <si>
    <t>jyoliver@att.net</t>
  </si>
  <si>
    <t>C0780</t>
  </si>
  <si>
    <t>Jaime Santiago Vazquez</t>
  </si>
  <si>
    <t>855 Colonial St.</t>
  </si>
  <si>
    <t>Brooklyn, NY 11236</t>
  </si>
  <si>
    <t>(301) 631-9640</t>
  </si>
  <si>
    <t>steve@sbcglobal.net</t>
  </si>
  <si>
    <t>C0781</t>
  </si>
  <si>
    <t>Clemente de Coloma</t>
  </si>
  <si>
    <t>48 Sunbeam St.</t>
  </si>
  <si>
    <t>West Babylon, NY 11704</t>
  </si>
  <si>
    <t>(891) 535-5328</t>
  </si>
  <si>
    <t>falcao@live.com</t>
  </si>
  <si>
    <t>C0782</t>
  </si>
  <si>
    <t>Hilda del Tapia</t>
  </si>
  <si>
    <t>440 Cactus St.</t>
  </si>
  <si>
    <t>Brooklyn, NY 11204</t>
  </si>
  <si>
    <t>(576) 200-5761</t>
  </si>
  <si>
    <t>wildfire@mac.com</t>
  </si>
  <si>
    <t>C0783</t>
  </si>
  <si>
    <t>Espiridión Abril Marti</t>
  </si>
  <si>
    <t>36 NW. Pierce St.</t>
  </si>
  <si>
    <t>Staten Island, NY 10312</t>
  </si>
  <si>
    <t>(654) 407-4012</t>
  </si>
  <si>
    <t>pfitza@comcast.net</t>
  </si>
  <si>
    <t>C0784</t>
  </si>
  <si>
    <t>Porfirio Cal Bru</t>
  </si>
  <si>
    <t>832 Lake Forest Rd.</t>
  </si>
  <si>
    <t>Astoria, NY 11106</t>
  </si>
  <si>
    <t>(599) 743-9003</t>
  </si>
  <si>
    <t>staffelb@mac.com</t>
  </si>
  <si>
    <t>C0785</t>
  </si>
  <si>
    <t>María Ángeles de Valbuena</t>
  </si>
  <si>
    <t>810 10th St.</t>
  </si>
  <si>
    <t>Patchogue, NY 11772</t>
  </si>
  <si>
    <t>(240) 906-5404</t>
  </si>
  <si>
    <t>chaffar@live.com</t>
  </si>
  <si>
    <t>C0786</t>
  </si>
  <si>
    <t>Darío Dávila</t>
  </si>
  <si>
    <t>268 E. Penn Circle</t>
  </si>
  <si>
    <t>Lindenhurst, NY 11757</t>
  </si>
  <si>
    <t>(455) 626-4301</t>
  </si>
  <si>
    <t>bmidd@gmail.com</t>
  </si>
  <si>
    <t>C0787</t>
  </si>
  <si>
    <t>Victor Manuel Sedano-Domingo</t>
  </si>
  <si>
    <t>606 Galvin Street</t>
  </si>
  <si>
    <t>Astoria, NY 11105</t>
  </si>
  <si>
    <t>(493) 311-8669</t>
  </si>
  <si>
    <t>north@live.com</t>
  </si>
  <si>
    <t>C0788</t>
  </si>
  <si>
    <t>Marcela Saura</t>
  </si>
  <si>
    <t>940 Riverside Court</t>
  </si>
  <si>
    <t>(758) 602-4935</t>
  </si>
  <si>
    <t>scottzed@gmail.com</t>
  </si>
  <si>
    <t>C0789</t>
  </si>
  <si>
    <t>Rosalva Carreras Calatayud</t>
  </si>
  <si>
    <t>9485 S. Pheasant Dr.</t>
  </si>
  <si>
    <t>Levittown, NY 11756</t>
  </si>
  <si>
    <t>(390) 779-8899</t>
  </si>
  <si>
    <t>jramio@icloud.com</t>
  </si>
  <si>
    <t>C0790</t>
  </si>
  <si>
    <t>Ágata Bermúdez-Espejo</t>
  </si>
  <si>
    <t>54 Indian Summer Street</t>
  </si>
  <si>
    <t>East Elmhurst, NY 11370</t>
  </si>
  <si>
    <t>(487) 438-4975</t>
  </si>
  <si>
    <t>wagnerch@yahoo.com</t>
  </si>
  <si>
    <t>C0791</t>
  </si>
  <si>
    <t>Leire Bellido Carmona</t>
  </si>
  <si>
    <t>719 Center Ave.</t>
  </si>
  <si>
    <t>Bronx, NY 10467</t>
  </si>
  <si>
    <t>(659) 904-0068</t>
  </si>
  <si>
    <t>nighthawk@aol.com</t>
  </si>
  <si>
    <t>C0792</t>
  </si>
  <si>
    <t>Consuela Emilia Cuenca Cerdán</t>
  </si>
  <si>
    <t>91 SE. Pierce Ave.</t>
  </si>
  <si>
    <t>Brooklyn, NY 11206</t>
  </si>
  <si>
    <t>(721) 772-9718</t>
  </si>
  <si>
    <t>pthomsen@yahoo.com</t>
  </si>
  <si>
    <t>C0793</t>
  </si>
  <si>
    <t>Juan Luis Ángel Alemany</t>
  </si>
  <si>
    <t>73 Alderwood St.</t>
  </si>
  <si>
    <t>Fresh Meadows, NY 11365</t>
  </si>
  <si>
    <t>(471) 210-6992</t>
  </si>
  <si>
    <t>nelson@yahoo.com</t>
  </si>
  <si>
    <t>C0794</t>
  </si>
  <si>
    <t>Nazaret Garrido Lladó</t>
  </si>
  <si>
    <t>9163 South Oxford Ave.</t>
  </si>
  <si>
    <t>Jackson Heights, NY 11372</t>
  </si>
  <si>
    <t>(435) 955-2960</t>
  </si>
  <si>
    <t>augusto@gmail.com</t>
  </si>
  <si>
    <t>C0795</t>
  </si>
  <si>
    <t>Elena Pons</t>
  </si>
  <si>
    <t>8478 West St.</t>
  </si>
  <si>
    <t>Brooklyn, NY 11224</t>
  </si>
  <si>
    <t>(323) 803-5626</t>
  </si>
  <si>
    <t>jrifkin@outlook.com</t>
  </si>
  <si>
    <t>C0796</t>
  </si>
  <si>
    <t>Pilar Castells Fernández</t>
  </si>
  <si>
    <t>8142 Lees Creek Rd.</t>
  </si>
  <si>
    <t>Corona, NY 11368</t>
  </si>
  <si>
    <t>(507) 934-7625</t>
  </si>
  <si>
    <t>pgolle@outlook.com</t>
  </si>
  <si>
    <t>C0797</t>
  </si>
  <si>
    <t>José María Jacobo Ojeda Montesinos</t>
  </si>
  <si>
    <t>70 Green Hill Drive</t>
  </si>
  <si>
    <t>Bronx, NY 10473</t>
  </si>
  <si>
    <t>(532) 766-7644</t>
  </si>
  <si>
    <t>sekiya@live.com</t>
  </si>
  <si>
    <t>C0798</t>
  </si>
  <si>
    <t>Manolo de Pavón</t>
  </si>
  <si>
    <t>9983 Woodside Street</t>
  </si>
  <si>
    <t>Endicott, NY 13760</t>
  </si>
  <si>
    <t>(772) 757-3738</t>
  </si>
  <si>
    <t>airship@verizon.net</t>
  </si>
  <si>
    <t>C0799</t>
  </si>
  <si>
    <t>Cándido Beltrán Pino</t>
  </si>
  <si>
    <t>23 Tarkiln Hill Avenue</t>
  </si>
  <si>
    <t>Brooklyn, NY 11229</t>
  </si>
  <si>
    <t>(887) 277-6652</t>
  </si>
  <si>
    <t>credmond@hotmail.com</t>
  </si>
  <si>
    <t>C0800</t>
  </si>
  <si>
    <t>Apolonia del Real</t>
  </si>
  <si>
    <t>7241 Cemetery Ave.</t>
  </si>
  <si>
    <t>Bronx, NY 10458</t>
  </si>
  <si>
    <t>(725) 408-3080</t>
  </si>
  <si>
    <t>parrt@outlook.com</t>
  </si>
  <si>
    <t>C0801</t>
  </si>
  <si>
    <t>Zoraida Rovira Arce</t>
  </si>
  <si>
    <t>85 Lookout Ave.</t>
  </si>
  <si>
    <t>Brooklyn, NY 11223</t>
  </si>
  <si>
    <t>(845) 673-0453</t>
  </si>
  <si>
    <t>mwandel@att.net</t>
  </si>
  <si>
    <t>C0802</t>
  </si>
  <si>
    <t>Elpidio Pont Expósito</t>
  </si>
  <si>
    <t>37 Fairview Ave.</t>
  </si>
  <si>
    <t>Massapequa, NY 11758</t>
  </si>
  <si>
    <t>(962) 741-6475</t>
  </si>
  <si>
    <t>lamprecht@live.com</t>
  </si>
  <si>
    <t>C0803</t>
  </si>
  <si>
    <t>Joan Lobo-Haro</t>
  </si>
  <si>
    <t>91 Annadale Road</t>
  </si>
  <si>
    <t>New York, NY 10025</t>
  </si>
  <si>
    <t>(396) 942-3896</t>
  </si>
  <si>
    <t>fudrucker@live.com</t>
  </si>
  <si>
    <t>C0804</t>
  </si>
  <si>
    <t>Nayara Gimeno Velasco</t>
  </si>
  <si>
    <t>81 Bohemia Lane</t>
  </si>
  <si>
    <t>Brooklyn, NY 11209</t>
  </si>
  <si>
    <t>(672) 429-8285</t>
  </si>
  <si>
    <t>ntegrity@aol.com</t>
  </si>
  <si>
    <t>C0805</t>
  </si>
  <si>
    <t>África del Conde</t>
  </si>
  <si>
    <t>749 N. Beechwood Ave.</t>
  </si>
  <si>
    <t>Brooklyn, NY 11220</t>
  </si>
  <si>
    <t>(524) 528-5199</t>
  </si>
  <si>
    <t>shaffei@outlook.com</t>
  </si>
  <si>
    <t>C0806</t>
  </si>
  <si>
    <t>Ángela Pinedo Vendrell</t>
  </si>
  <si>
    <t>759 E. Foxrun Ave.</t>
  </si>
  <si>
    <t>Bay Shore, NY 11706</t>
  </si>
  <si>
    <t>(422) 560-9699</t>
  </si>
  <si>
    <t>tellis@yahoo.com</t>
  </si>
  <si>
    <t>C0807</t>
  </si>
  <si>
    <t>Joan Fabregat Ochoa</t>
  </si>
  <si>
    <t>242 East 8th Lane</t>
  </si>
  <si>
    <t>Lockport, NY 14094</t>
  </si>
  <si>
    <t>(879) 980-7282</t>
  </si>
  <si>
    <t>mcraigw@yahoo.ca</t>
  </si>
  <si>
    <t>C0808</t>
  </si>
  <si>
    <t>Cruz Tamayo-Carpio</t>
  </si>
  <si>
    <t>8133 SE. Augusta Ave.</t>
  </si>
  <si>
    <t>Staten Island, NY 10306</t>
  </si>
  <si>
    <t>(372) 654-9387</t>
  </si>
  <si>
    <t>clkao@outlook.com</t>
  </si>
  <si>
    <t>C0809</t>
  </si>
  <si>
    <t>Pascual Pedro Ruiz</t>
  </si>
  <si>
    <t>8497 3rd St.</t>
  </si>
  <si>
    <t>New York, NY 10028</t>
  </si>
  <si>
    <t>(933) 613-2582</t>
  </si>
  <si>
    <t>kwilliams@icloud.com</t>
  </si>
  <si>
    <t>C0810</t>
  </si>
  <si>
    <t>Melisa Guitart</t>
  </si>
  <si>
    <t>9045 Poor House Lane</t>
  </si>
  <si>
    <t>Bronx, NY 10451</t>
  </si>
  <si>
    <t>(365) 278-8056</t>
  </si>
  <si>
    <t>munson@icloud.com</t>
  </si>
  <si>
    <t>C0811</t>
  </si>
  <si>
    <t>Anacleto Caballero Ferrera</t>
  </si>
  <si>
    <t>71 Cambridge Lane</t>
  </si>
  <si>
    <t>New York, NY 10024</t>
  </si>
  <si>
    <t>(588) 897-0633</t>
  </si>
  <si>
    <t>nwiger@aol.com</t>
  </si>
  <si>
    <t>C0812</t>
  </si>
  <si>
    <t>Vicente Calleja</t>
  </si>
  <si>
    <t>8117 Birch Hill Rd.</t>
  </si>
  <si>
    <t>Bronx, NY 10465</t>
  </si>
  <si>
    <t>(303) 754-3969</t>
  </si>
  <si>
    <t>epeeist@gmail.com</t>
  </si>
  <si>
    <t>C0813</t>
  </si>
  <si>
    <t>Marco Ropero</t>
  </si>
  <si>
    <t>9140 Carpenter St.</t>
  </si>
  <si>
    <t>Brooklyn, NY 11207</t>
  </si>
  <si>
    <t>(311) 963-9615</t>
  </si>
  <si>
    <t>krueger@comcast.net</t>
  </si>
  <si>
    <t>C0814</t>
  </si>
  <si>
    <t>Cristian Baquero-Cánovas</t>
  </si>
  <si>
    <t>538 Cross Street</t>
  </si>
  <si>
    <t>Bronx, NY 10462</t>
  </si>
  <si>
    <t>(777) 720-1143</t>
  </si>
  <si>
    <t>dsugal@live.com</t>
  </si>
  <si>
    <t>C0815</t>
  </si>
  <si>
    <t>Josep Reina Prieto</t>
  </si>
  <si>
    <t>919 Princeton St.</t>
  </si>
  <si>
    <t>Fairport, NY 14450</t>
  </si>
  <si>
    <t>(741) 758-2688</t>
  </si>
  <si>
    <t>tellis@me.com</t>
  </si>
  <si>
    <t>C0816</t>
  </si>
  <si>
    <t>Florinda Anguita-Sancho</t>
  </si>
  <si>
    <t>17 Ashley Street</t>
  </si>
  <si>
    <t>New York, NY 10029</t>
  </si>
  <si>
    <t>(802) 484-9409</t>
  </si>
  <si>
    <t>inico@aol.com</t>
  </si>
  <si>
    <t>C0817</t>
  </si>
  <si>
    <t>Calixta Villaverde Acosta</t>
  </si>
  <si>
    <t>682 Glenwood Street</t>
  </si>
  <si>
    <t>Bronx, NY 10466</t>
  </si>
  <si>
    <t>(641) 921-8831</t>
  </si>
  <si>
    <t>bebing@optonline.net</t>
  </si>
  <si>
    <t>C0818</t>
  </si>
  <si>
    <t>Marisela Milla-Martorell</t>
  </si>
  <si>
    <t>94 Beach St.</t>
  </si>
  <si>
    <t>Brooklyn, NY 11228</t>
  </si>
  <si>
    <t>(954) 421-2884</t>
  </si>
  <si>
    <t>jdray@aol.com</t>
  </si>
  <si>
    <t>C0819</t>
  </si>
  <si>
    <t>Rosendo Almeida Naranjo</t>
  </si>
  <si>
    <t>26 East Main Dr.</t>
  </si>
  <si>
    <t>Buffalo, NY 14224</t>
  </si>
  <si>
    <t>(954) 956-0103</t>
  </si>
  <si>
    <t>irving@sbcglobal.net</t>
  </si>
  <si>
    <t>C0820</t>
  </si>
  <si>
    <t>Ana Sofía Colomer Martín</t>
  </si>
  <si>
    <t>373 Bear Hill St.</t>
  </si>
  <si>
    <t>Brooklyn, NY 11213</t>
  </si>
  <si>
    <t>(295) 983-4853</t>
  </si>
  <si>
    <t>andersbr@hotmail.com</t>
  </si>
  <si>
    <t>C0821</t>
  </si>
  <si>
    <t>Rolando Caballero Niño</t>
  </si>
  <si>
    <t>497 Maiden Street</t>
  </si>
  <si>
    <t>(253) 483-2574</t>
  </si>
  <si>
    <t>parrt@yahoo.ca</t>
  </si>
  <si>
    <t>C0822</t>
  </si>
  <si>
    <t>Paola Casanovas-Riba</t>
  </si>
  <si>
    <t>741 Ann Ave.</t>
  </si>
  <si>
    <t>Brooklyn, NY 11225</t>
  </si>
  <si>
    <t>(244) 616-3629</t>
  </si>
  <si>
    <t>cliffski@live.com</t>
  </si>
  <si>
    <t>C0823</t>
  </si>
  <si>
    <t>Lupita del Sanjuan</t>
  </si>
  <si>
    <t>23 Kent St.</t>
  </si>
  <si>
    <t>Hamburg, NY 14075</t>
  </si>
  <si>
    <t>(586) 717-5632</t>
  </si>
  <si>
    <t>mlewan@att.net</t>
  </si>
  <si>
    <t>C0824</t>
  </si>
  <si>
    <t>Modesto Franco Hervia</t>
  </si>
  <si>
    <t>4 Fairground Avenue</t>
  </si>
  <si>
    <t>South Richmond Hill, NY 11419</t>
  </si>
  <si>
    <t>(890) 780-5763</t>
  </si>
  <si>
    <t>dwsauder@yahoo.com</t>
  </si>
  <si>
    <t>C0825</t>
  </si>
  <si>
    <t>Modesto Morante</t>
  </si>
  <si>
    <t>20 Deerfield Lane</t>
  </si>
  <si>
    <t>Bronx, NY 10469</t>
  </si>
  <si>
    <t>(958) 671-5221</t>
  </si>
  <si>
    <t>djupedal@yahoo.com</t>
  </si>
  <si>
    <t>C0826</t>
  </si>
  <si>
    <t>Clemente Ferrero Garmendia</t>
  </si>
  <si>
    <t>9618 Lower River St.</t>
  </si>
  <si>
    <t>New York, NY 10033</t>
  </si>
  <si>
    <t>(203) 272-8879</t>
  </si>
  <si>
    <t>dpitts@mac.com</t>
  </si>
  <si>
    <t>C0827</t>
  </si>
  <si>
    <t>Guiomar Ferrera</t>
  </si>
  <si>
    <t>50 New Rd.</t>
  </si>
  <si>
    <t>Westbury, NY 11590</t>
  </si>
  <si>
    <t>(412) 374-4809</t>
  </si>
  <si>
    <t>kevinm@live.com</t>
  </si>
  <si>
    <t>C0828</t>
  </si>
  <si>
    <t>Araceli Borrell-Armas</t>
  </si>
  <si>
    <t>534 Clinton Street</t>
  </si>
  <si>
    <t>Brooklyn, NY 11211</t>
  </si>
  <si>
    <t>(700) 831-5400</t>
  </si>
  <si>
    <t>okroeger@gmail.com</t>
  </si>
  <si>
    <t>C0829</t>
  </si>
  <si>
    <t>Jorge Gutierrez Caparrós</t>
  </si>
  <si>
    <t>56 Marsh Drive</t>
  </si>
  <si>
    <t>Brooklyn, NY 11214</t>
  </si>
  <si>
    <t>(536) 847-4736</t>
  </si>
  <si>
    <t>smpeters@optonline.net</t>
  </si>
  <si>
    <t>C0830</t>
  </si>
  <si>
    <t>Beatriz Mamen Casanovas Ruiz</t>
  </si>
  <si>
    <t>901 Belmont Street</t>
  </si>
  <si>
    <t>Middletown, NY 10940</t>
  </si>
  <si>
    <t>(853) 399-2912</t>
  </si>
  <si>
    <t>balchen@aol.com</t>
  </si>
  <si>
    <t>C0831</t>
  </si>
  <si>
    <t>Vicenta Rivero Otero</t>
  </si>
  <si>
    <t>34 West Pleasant St.</t>
  </si>
  <si>
    <t>New York, NY 10027</t>
  </si>
  <si>
    <t>(719) 895-4064</t>
  </si>
  <si>
    <t>marin@att.net</t>
  </si>
  <si>
    <t>C0832</t>
  </si>
  <si>
    <t>Vicenta Solé-Palma</t>
  </si>
  <si>
    <t>61 Fulton Street</t>
  </si>
  <si>
    <t>Forest Hills, NY 11375</t>
  </si>
  <si>
    <t>(579) 455-3524</t>
  </si>
  <si>
    <t>bdthomas@yahoo.ca</t>
  </si>
  <si>
    <t>C0833</t>
  </si>
  <si>
    <t>Alejandra Beltrán Fuente</t>
  </si>
  <si>
    <t>38 Nut Swamp St.</t>
  </si>
  <si>
    <t>Jamaica, NY 11434</t>
  </si>
  <si>
    <t>(952) 284-4700</t>
  </si>
  <si>
    <t>sartak@outlook.com</t>
  </si>
  <si>
    <t>C0834</t>
  </si>
  <si>
    <t>Ruperta Casanova Bermúdez</t>
  </si>
  <si>
    <t>505 Evergreen Dr.</t>
  </si>
  <si>
    <t>Brooklyn, NY 11237</t>
  </si>
  <si>
    <t>(819) 878-4303</t>
  </si>
  <si>
    <t>jmmuller@yahoo.com</t>
  </si>
  <si>
    <t>C0835</t>
  </si>
  <si>
    <t>Nicolás Ayala Campoy</t>
  </si>
  <si>
    <t>353 Sherman St.</t>
  </si>
  <si>
    <t>Flushing, NY 11354</t>
  </si>
  <si>
    <t>(467) 290-0508</t>
  </si>
  <si>
    <t>bowmanbs@me.com</t>
  </si>
  <si>
    <t>C0836</t>
  </si>
  <si>
    <t>Leopoldo del Sáez</t>
  </si>
  <si>
    <t>764 New St.</t>
  </si>
  <si>
    <t>Buffalo, NY 14221</t>
  </si>
  <si>
    <t>(590) 409-5907</t>
  </si>
  <si>
    <t>parsimony@live.com</t>
  </si>
  <si>
    <t>C0837</t>
  </si>
  <si>
    <t>Haroldo del Hoyos</t>
  </si>
  <si>
    <t>2 Delaware Lane</t>
  </si>
  <si>
    <t>Huntington, NY 11743</t>
  </si>
  <si>
    <t>(266) 570-8715</t>
  </si>
  <si>
    <t>weazelman@optonline.net</t>
  </si>
  <si>
    <t>C0838</t>
  </si>
  <si>
    <t>Juanita Pastora Escolano Marí</t>
  </si>
  <si>
    <t>940 S. Thomas Ave.</t>
  </si>
  <si>
    <t>Jamaica, NY 11435</t>
  </si>
  <si>
    <t>(471) 733-8756</t>
  </si>
  <si>
    <t>dexter@aol.com</t>
  </si>
  <si>
    <t>C0839</t>
  </si>
  <si>
    <t>Jenny Manuel Llorens</t>
  </si>
  <si>
    <t>8459 Wagon Road</t>
  </si>
  <si>
    <t>Tonawanda, NY 14150</t>
  </si>
  <si>
    <t>(616) 501-9475</t>
  </si>
  <si>
    <t>avalon@att.net</t>
  </si>
  <si>
    <t>C0840</t>
  </si>
  <si>
    <t>Belén Cantero Uría</t>
  </si>
  <si>
    <t>815 Victoria Ave.</t>
  </si>
  <si>
    <t>New York, NY 10009</t>
  </si>
  <si>
    <t>(814) 815-8592</t>
  </si>
  <si>
    <t>mgemmons@optonline.net</t>
  </si>
  <si>
    <t>C0841</t>
  </si>
  <si>
    <t>Candela Grande Arenas</t>
  </si>
  <si>
    <t>7019 Maple St.</t>
  </si>
  <si>
    <t>Brooklyn, NY 11233</t>
  </si>
  <si>
    <t>(628) 340-8842</t>
  </si>
  <si>
    <t>djpig@aol.com</t>
  </si>
  <si>
    <t>C0842</t>
  </si>
  <si>
    <t>Socorro Sans Pomares</t>
  </si>
  <si>
    <t>7328 Marsh St.</t>
  </si>
  <si>
    <t>Brooklyn, NY 11221</t>
  </si>
  <si>
    <t>(994) 397-7201</t>
  </si>
  <si>
    <t>bartak@comcast.net</t>
  </si>
  <si>
    <t>C0843</t>
  </si>
  <si>
    <t>Nazaret Antúnez Rios</t>
  </si>
  <si>
    <t>7379 Nut Swamp Dr.</t>
  </si>
  <si>
    <t>Poughkeepsie, NY 12603</t>
  </si>
  <si>
    <t>(644) 968-4427</t>
  </si>
  <si>
    <t>jmcnamara@yahoo.com</t>
  </si>
  <si>
    <t>C0844</t>
  </si>
  <si>
    <t>Yago Teruel Palomino</t>
  </si>
  <si>
    <t>67 Bald Hill St.</t>
  </si>
  <si>
    <t>Far Rockaway, NY 11691</t>
  </si>
  <si>
    <t>(549) 850-2390</t>
  </si>
  <si>
    <t>aibrahim@comcast.net</t>
  </si>
  <si>
    <t>C0845</t>
  </si>
  <si>
    <t>Lola Crespi Lobato</t>
  </si>
  <si>
    <t>4 Proctor Ave.</t>
  </si>
  <si>
    <t>Hempstead, NY 11550</t>
  </si>
  <si>
    <t>(506) 841-6393</t>
  </si>
  <si>
    <t>duncand@yahoo.com</t>
  </si>
  <si>
    <t>C0846</t>
  </si>
  <si>
    <t>Matías Agudo Ruiz</t>
  </si>
  <si>
    <t>9 Lake St.</t>
  </si>
  <si>
    <t>Brooklyn, NY 11210</t>
  </si>
  <si>
    <t>(340) 492-0275</t>
  </si>
  <si>
    <t>bdbrown@att.net</t>
  </si>
  <si>
    <t>C0847</t>
  </si>
  <si>
    <t>Luisa Redondo Salom</t>
  </si>
  <si>
    <t>501 Foster Ave.</t>
  </si>
  <si>
    <t>Jamaica, NY 11432</t>
  </si>
  <si>
    <t>(383) 357-1843</t>
  </si>
  <si>
    <t>C0848</t>
  </si>
  <si>
    <t>Isa Trillo Rozas</t>
  </si>
  <si>
    <t>7652 Lakeshore Court</t>
  </si>
  <si>
    <t>Brooklyn, NY 11219</t>
  </si>
  <si>
    <t>(405) 559-9778</t>
  </si>
  <si>
    <t>monkeydo@att.net</t>
  </si>
  <si>
    <t>C0849</t>
  </si>
  <si>
    <t>Asdrubal Estevez Solís</t>
  </si>
  <si>
    <t>490 Beacon St.</t>
  </si>
  <si>
    <t>Brooklyn, NY 11238</t>
  </si>
  <si>
    <t>(268) 398-7609</t>
  </si>
  <si>
    <t>amichalo@verizon.net</t>
  </si>
  <si>
    <t>C0850</t>
  </si>
  <si>
    <t>Ruth Blázquez Cerro</t>
  </si>
  <si>
    <t>9050 West Catherine Dr.</t>
  </si>
  <si>
    <t>Bronx, NY 10460</t>
  </si>
  <si>
    <t>(310) 577-6728</t>
  </si>
  <si>
    <t>gravyface@aol.com</t>
  </si>
  <si>
    <t>C0851</t>
  </si>
  <si>
    <t>Hernando del Nieto</t>
  </si>
  <si>
    <t>8438 Joy Ridge Drive</t>
  </si>
  <si>
    <t>Bronx, NY 10457</t>
  </si>
  <si>
    <t>(811) 765-3302</t>
  </si>
  <si>
    <t>webdragon@msn.com</t>
  </si>
  <si>
    <t>C0852</t>
  </si>
  <si>
    <t>Silvio Vilanova Amador</t>
  </si>
  <si>
    <t>9656 Beaver Ridge St.</t>
  </si>
  <si>
    <t>New York, NY 10032</t>
  </si>
  <si>
    <t>(403) 928-7118</t>
  </si>
  <si>
    <t>matthijs@me.com</t>
  </si>
  <si>
    <t>C0853</t>
  </si>
  <si>
    <t>Damián Andrade</t>
  </si>
  <si>
    <t>106 Market Ave.</t>
  </si>
  <si>
    <t>New York, NY 10040</t>
  </si>
  <si>
    <t>(607) 905-6893</t>
  </si>
  <si>
    <t>kidehen@msn.com</t>
  </si>
  <si>
    <t>C0854</t>
  </si>
  <si>
    <t>Patricio Velasco</t>
  </si>
  <si>
    <t>8615 W. Pine Lane</t>
  </si>
  <si>
    <t>Staten Island, NY 10314</t>
  </si>
  <si>
    <t>(384) 958-4888</t>
  </si>
  <si>
    <t>rjones@yahoo.com</t>
  </si>
  <si>
    <t>C0855</t>
  </si>
  <si>
    <t>Antonio Mendizábal Sevillano</t>
  </si>
  <si>
    <t>9323 E. Old York St.</t>
  </si>
  <si>
    <t>North Tonawanda, NY 14120</t>
  </si>
  <si>
    <t>(324) 284-9902</t>
  </si>
  <si>
    <t>zavadsky@yahoo.ca</t>
  </si>
  <si>
    <t>C0856</t>
  </si>
  <si>
    <t>Aitana Escudero Hidalgo</t>
  </si>
  <si>
    <t>8819 Oak Ave.</t>
  </si>
  <si>
    <t>New York, NY 10016</t>
  </si>
  <si>
    <t>(836) 752-4390</t>
  </si>
  <si>
    <t>jaesenj@icloud.com</t>
  </si>
  <si>
    <t>C0857</t>
  </si>
  <si>
    <t>Magdalena Castell Rey</t>
  </si>
  <si>
    <t>9910 Essex St.</t>
  </si>
  <si>
    <t>Brooklyn, NY 11234</t>
  </si>
  <si>
    <t>(574) 870-1271</t>
  </si>
  <si>
    <t>smcnabb@mac.com</t>
  </si>
  <si>
    <t>C0858</t>
  </si>
  <si>
    <t>Baltasar del Giner</t>
  </si>
  <si>
    <t>142 Windfall St.</t>
  </si>
  <si>
    <t>Rochester, NY 14609</t>
  </si>
  <si>
    <t>(422) 535-5367</t>
  </si>
  <si>
    <t>sagal@outlook.com</t>
  </si>
  <si>
    <t>C0859</t>
  </si>
  <si>
    <t>Martirio Samper Tena</t>
  </si>
  <si>
    <t>9809 Gates Street</t>
  </si>
  <si>
    <t>Bronx, NY 10468</t>
  </si>
  <si>
    <t>(415) 828-3663</t>
  </si>
  <si>
    <t>dwendlan@gmail.com</t>
  </si>
  <si>
    <t>C0860</t>
  </si>
  <si>
    <t>Arsenio Haro Ledesma</t>
  </si>
  <si>
    <t>510 West Homewood Ave.</t>
  </si>
  <si>
    <t>Brooklyn, NY 11203</t>
  </si>
  <si>
    <t>(415) 947-3697</t>
  </si>
  <si>
    <t>nweaver@att.net</t>
  </si>
  <si>
    <t>C0861</t>
  </si>
  <si>
    <t>Herminia Nevado Pagès</t>
  </si>
  <si>
    <t>9 Nut Swamp Road</t>
  </si>
  <si>
    <t>Brentwood, NY 11717</t>
  </si>
  <si>
    <t>(655) 247-5450</t>
  </si>
  <si>
    <t>odlyzko@icloud.com</t>
  </si>
  <si>
    <t>C0862</t>
  </si>
  <si>
    <t>Apolonia Luís-Bernat</t>
  </si>
  <si>
    <t>52 Glenridge Street</t>
  </si>
  <si>
    <t>New York, NY 10128</t>
  </si>
  <si>
    <t>(726) 230-1885</t>
  </si>
  <si>
    <t>jipsen@mac.com</t>
  </si>
  <si>
    <t>C0863</t>
  </si>
  <si>
    <t>Lina Porcel Bustamante</t>
  </si>
  <si>
    <t>8788 Birchpond Circle</t>
  </si>
  <si>
    <t>Brooklyn, NY 11230</t>
  </si>
  <si>
    <t>(301) 446-4931</t>
  </si>
  <si>
    <t>bogjobber@outlook.com</t>
  </si>
  <si>
    <t>C0864</t>
  </si>
  <si>
    <t>José Luis Ferrándiz Cornejo</t>
  </si>
  <si>
    <t>559 Young St.</t>
  </si>
  <si>
    <t>Auburn, NY 13021</t>
  </si>
  <si>
    <t>(205) 948-8280</t>
  </si>
  <si>
    <t>benanov@att.net</t>
  </si>
  <si>
    <t>C0865</t>
  </si>
  <si>
    <t>Belen Chaparro</t>
  </si>
  <si>
    <t>114 Carriage Lane</t>
  </si>
  <si>
    <t>Brooklyn, NY 11216</t>
  </si>
  <si>
    <t>(216) 341-9188</t>
  </si>
  <si>
    <t>rnewman@verizon.net</t>
  </si>
  <si>
    <t>C0866</t>
  </si>
  <si>
    <t>Poncio Cerdán</t>
  </si>
  <si>
    <t>328 E. Windfall Ave.</t>
  </si>
  <si>
    <t>Flushing, NY 11355</t>
  </si>
  <si>
    <t>(922) 668-4401</t>
  </si>
  <si>
    <t>oracle@hotmail.com</t>
  </si>
  <si>
    <t>C0867</t>
  </si>
  <si>
    <t>Andrés Doménech Almazán</t>
  </si>
  <si>
    <t>9123 Shub Farm Road</t>
  </si>
  <si>
    <t>New York, NY 10002</t>
  </si>
  <si>
    <t>(929) 916-9742</t>
  </si>
  <si>
    <t>ianbuck@yahoo.com</t>
  </si>
  <si>
    <t>C0868</t>
  </si>
  <si>
    <t>Cecilio Apolinar Salas Alemán</t>
  </si>
  <si>
    <t>120 Whitemarsh St.</t>
  </si>
  <si>
    <t>Yonkers, NY 10701</t>
  </si>
  <si>
    <t>(294) 465-2217</t>
  </si>
  <si>
    <t>hampton@hotmail.com</t>
  </si>
  <si>
    <t>C0869</t>
  </si>
  <si>
    <t>Otilia Ropero Macias</t>
  </si>
  <si>
    <t>9690 Princess Ave.</t>
  </si>
  <si>
    <t>Elmont, NY 11003</t>
  </si>
  <si>
    <t>(358) 731-3798</t>
  </si>
  <si>
    <t>boomzilla@sbcglobal.net</t>
  </si>
  <si>
    <t>C0870</t>
  </si>
  <si>
    <t>Severo de Goñi</t>
  </si>
  <si>
    <t>8948 St Louis Ave.</t>
  </si>
  <si>
    <t>Rome, NY 13440</t>
  </si>
  <si>
    <t>(352) 604-1886</t>
  </si>
  <si>
    <t>bulletin@att.net</t>
  </si>
  <si>
    <t>C0871</t>
  </si>
  <si>
    <t>Chuy Julián Cabrero</t>
  </si>
  <si>
    <t>748 East Brown St.</t>
  </si>
  <si>
    <t>New York, NY 10034</t>
  </si>
  <si>
    <t>(316) 723-5488</t>
  </si>
  <si>
    <t>animats@msn.com</t>
  </si>
  <si>
    <t>C0872</t>
  </si>
  <si>
    <t>Adelia Campo-Bueno</t>
  </si>
  <si>
    <t>679 Oak Meadow Ave.</t>
  </si>
  <si>
    <t>South Ozone Park, NY 11420</t>
  </si>
  <si>
    <t>(900) 365-3438</t>
  </si>
  <si>
    <t>dieman@mac.com</t>
  </si>
  <si>
    <t>C0873</t>
  </si>
  <si>
    <t>Anacleto Paniagua-Antúnez</t>
  </si>
  <si>
    <t>490 W. Vernon Street</t>
  </si>
  <si>
    <t>New York, NY 10003</t>
  </si>
  <si>
    <t>(232) 995-8639</t>
  </si>
  <si>
    <t>augusto@yahoo.com</t>
  </si>
  <si>
    <t>C0874</t>
  </si>
  <si>
    <t>Régulo Larrea Pereira</t>
  </si>
  <si>
    <t>279 Magnolia Avenue</t>
  </si>
  <si>
    <t>Woodside, NY 11377</t>
  </si>
  <si>
    <t>(713) 359-4317</t>
  </si>
  <si>
    <t>dunstan@outlook.com</t>
  </si>
  <si>
    <t>C0875</t>
  </si>
  <si>
    <t>Pacífica Guardiola Rosa</t>
  </si>
  <si>
    <t>9589 Thorne Ave.</t>
  </si>
  <si>
    <t>Brooklyn, NY 11235</t>
  </si>
  <si>
    <t>(206) 847-8774</t>
  </si>
  <si>
    <t>mhoffman@sbcglobal.net</t>
  </si>
  <si>
    <t>C0876</t>
  </si>
  <si>
    <t>Victorino Aramburu</t>
  </si>
  <si>
    <t>899 Shipley Ave.</t>
  </si>
  <si>
    <t>Brooklyn, NY 11201</t>
  </si>
  <si>
    <t>(411) 376-4315</t>
  </si>
  <si>
    <t>weazelman@gmail.com</t>
  </si>
  <si>
    <t>C0877</t>
  </si>
  <si>
    <t>Bibiana Mata Alcolea</t>
  </si>
  <si>
    <t>46 Victoria Court</t>
  </si>
  <si>
    <t>Bronx, NY 10453</t>
  </si>
  <si>
    <t>(938) 721-2256</t>
  </si>
  <si>
    <t>mirod@icloud.com</t>
  </si>
  <si>
    <t>C0878</t>
  </si>
  <si>
    <t>Florentina Grande Quintero</t>
  </si>
  <si>
    <t>8664 Oak Valley Drive</t>
  </si>
  <si>
    <t>Webster, NY 14580</t>
  </si>
  <si>
    <t>(419) 442-9188</t>
  </si>
  <si>
    <t>yangyan@msn.com</t>
  </si>
  <si>
    <t>C0879</t>
  </si>
  <si>
    <t>Cayetano Coello Fernandez</t>
  </si>
  <si>
    <t>922 West Leeton Ridge St.</t>
  </si>
  <si>
    <t>Buffalo, NY 14215</t>
  </si>
  <si>
    <t>(763) 952-1502</t>
  </si>
  <si>
    <t>benits@optonline.net</t>
  </si>
  <si>
    <t>C0880</t>
  </si>
  <si>
    <t>Florinda Gascón Gonzalo</t>
  </si>
  <si>
    <t>7880 Leeton Ridge Avenue</t>
  </si>
  <si>
    <t>Astoria, NY 11103</t>
  </si>
  <si>
    <t>(723) 961-1436</t>
  </si>
  <si>
    <t>oevans@aol.com</t>
  </si>
  <si>
    <t>C0881</t>
  </si>
  <si>
    <t>Valeria Ríos</t>
  </si>
  <si>
    <t>92 Marvon St.</t>
  </si>
  <si>
    <t>Troy, NY 12180</t>
  </si>
  <si>
    <t>(233) 477-9648</t>
  </si>
  <si>
    <t>sfoskett@yahoo.com</t>
  </si>
  <si>
    <t>C0882</t>
  </si>
  <si>
    <t>Blanca Moya Fabregat</t>
  </si>
  <si>
    <t>905 Wrangler Lane</t>
  </si>
  <si>
    <t>(347) 835-6563</t>
  </si>
  <si>
    <t>catalog@hotmail.com</t>
  </si>
  <si>
    <t>C0883</t>
  </si>
  <si>
    <t>Soraya Cáceres Marin</t>
  </si>
  <si>
    <t>9096 Clark Lane</t>
  </si>
  <si>
    <t>(732) 949-7420</t>
  </si>
  <si>
    <t>preneel@verizon.net</t>
  </si>
  <si>
    <t>C0884</t>
  </si>
  <si>
    <t>Rufina Rosselló Sales</t>
  </si>
  <si>
    <t>9783 Poplar Street</t>
  </si>
  <si>
    <t>(334) 788-2547</t>
  </si>
  <si>
    <t>drezet@msn.com</t>
  </si>
  <si>
    <t>C0885</t>
  </si>
  <si>
    <t>Abril Almazán Gargallo</t>
  </si>
  <si>
    <t>744 Coffee Ave.</t>
  </si>
  <si>
    <t>(355) 952-4381</t>
  </si>
  <si>
    <t>symbolic@mac.com</t>
  </si>
  <si>
    <t>C0886</t>
  </si>
  <si>
    <t>Sandalio Pinto Alcázar</t>
  </si>
  <si>
    <t>10 Rockwell Road</t>
  </si>
  <si>
    <t>(875) 650-4506</t>
  </si>
  <si>
    <t>melnik@mac.com</t>
  </si>
  <si>
    <t>C0887</t>
  </si>
  <si>
    <t>Urbano Rosselló Llabrés</t>
  </si>
  <si>
    <t>395 W. Coffee St.</t>
  </si>
  <si>
    <t>(650) 311-4823</t>
  </si>
  <si>
    <t>vertigo@optonline.net</t>
  </si>
  <si>
    <t>C0888</t>
  </si>
  <si>
    <t>Aurelio Ferreras Granados</t>
  </si>
  <si>
    <t>499 Second Dr.</t>
  </si>
  <si>
    <t>(944) 439-2624</t>
  </si>
  <si>
    <t>odlyzko@outlook.com</t>
  </si>
  <si>
    <t>C0889</t>
  </si>
  <si>
    <t>Aroa Pujol Belmonte</t>
  </si>
  <si>
    <t>56 Nut Swamp Circle</t>
  </si>
  <si>
    <t>(283) 827-0141</t>
  </si>
  <si>
    <t>nachbaur@yahoo.com</t>
  </si>
  <si>
    <t>C0890</t>
  </si>
  <si>
    <t>Calista de Abril</t>
  </si>
  <si>
    <t>943 Holly Ave.</t>
  </si>
  <si>
    <t>(975) 594-0844</t>
  </si>
  <si>
    <t>cumarana@att.net</t>
  </si>
  <si>
    <t>C0891</t>
  </si>
  <si>
    <t>Teófilo Contreras Téllez</t>
  </si>
  <si>
    <t>9752 Blackburn Dr.</t>
  </si>
  <si>
    <t>(990) 738-6040</t>
  </si>
  <si>
    <t>donev@outlook.com</t>
  </si>
  <si>
    <t>C0892</t>
  </si>
  <si>
    <t>Milagros Cabañas</t>
  </si>
  <si>
    <t>8821 Rockville Lane</t>
  </si>
  <si>
    <t>(770) 545-8863</t>
  </si>
  <si>
    <t>hutton@me.com</t>
  </si>
  <si>
    <t>C0893</t>
  </si>
  <si>
    <t>Gonzalo Sans Miró</t>
  </si>
  <si>
    <t>6 Newport Court</t>
  </si>
  <si>
    <t>(334) 305-7194</t>
  </si>
  <si>
    <t>corrada@mac.com</t>
  </si>
  <si>
    <t>C0894</t>
  </si>
  <si>
    <t>Sofía Bou Zamorano</t>
  </si>
  <si>
    <t>309 South Hill Field St.</t>
  </si>
  <si>
    <t>(602) 467-4837</t>
  </si>
  <si>
    <t>chinthaka@aol.com</t>
  </si>
  <si>
    <t>C0895</t>
  </si>
  <si>
    <t>Leandro Gabino Cruz Izaguirre</t>
  </si>
  <si>
    <t>7363 St Louis Street</t>
  </si>
  <si>
    <t>(939) 500-3265</t>
  </si>
  <si>
    <t>cgreuter@yahoo.com</t>
  </si>
  <si>
    <t>C0896</t>
  </si>
  <si>
    <t>Angelina Royo Canals</t>
  </si>
  <si>
    <t>8877 Selby Rd.</t>
  </si>
  <si>
    <t>(987) 536-2384</t>
  </si>
  <si>
    <t>ateniese@hotmail.com</t>
  </si>
  <si>
    <t>C0897</t>
  </si>
  <si>
    <t>Pío Fonseca-Granados</t>
  </si>
  <si>
    <t>35 Airport Street</t>
  </si>
  <si>
    <t>(730) 738-3338</t>
  </si>
  <si>
    <t>mcmillan@optonline.net</t>
  </si>
  <si>
    <t>C0898</t>
  </si>
  <si>
    <t>Luis Miguel Cuadrado Gual</t>
  </si>
  <si>
    <t>858 Primrose Lane</t>
  </si>
  <si>
    <t>(330) 201-7051</t>
  </si>
  <si>
    <t>gilmoure@yahoo.ca</t>
  </si>
  <si>
    <t>C0899</t>
  </si>
  <si>
    <t>Blanca Lucas Cortés</t>
  </si>
  <si>
    <t>824 Woodside Avenue</t>
  </si>
  <si>
    <t>(932) 338-3282</t>
  </si>
  <si>
    <t>mbrown@live.com</t>
  </si>
  <si>
    <t>C0900</t>
  </si>
  <si>
    <t>José Luis Arévalo</t>
  </si>
  <si>
    <t>917 NW. Leatherwood Court</t>
  </si>
  <si>
    <t>(878) 237-0878</t>
  </si>
  <si>
    <t>qmacro@verizon.net</t>
  </si>
  <si>
    <t>C0901</t>
  </si>
  <si>
    <t>Leonel Sierra Fajardo</t>
  </si>
  <si>
    <t>21 Creek Drive</t>
  </si>
  <si>
    <t>(403) 429-9891</t>
  </si>
  <si>
    <t>staikos@gmail.com</t>
  </si>
  <si>
    <t>C0902</t>
  </si>
  <si>
    <t>Calixto Palacio Casas</t>
  </si>
  <si>
    <t>39 Goldfield Rd.</t>
  </si>
  <si>
    <t>(705) 444-0556</t>
  </si>
  <si>
    <t>knorr@comcast.net</t>
  </si>
  <si>
    <t>C0903</t>
  </si>
  <si>
    <t>Eugenio Pla Alegre</t>
  </si>
  <si>
    <t>972 Stillwater St.</t>
  </si>
  <si>
    <t>(879) 591-2306</t>
  </si>
  <si>
    <t>gavinls@verizon.net</t>
  </si>
  <si>
    <t>C0904</t>
  </si>
  <si>
    <t>Daniela Arana</t>
  </si>
  <si>
    <t>86 Logan Dr.</t>
  </si>
  <si>
    <t>(467) 399-9709</t>
  </si>
  <si>
    <t>scarolan@aol.com</t>
  </si>
  <si>
    <t>C0905</t>
  </si>
  <si>
    <t>Amancio Casares Francisco</t>
  </si>
  <si>
    <t>88 Maple Circle</t>
  </si>
  <si>
    <t>(744) 598-1150</t>
  </si>
  <si>
    <t>hutton@comcast.net</t>
  </si>
  <si>
    <t>C0906</t>
  </si>
  <si>
    <t>Leopoldo Lamas Vilaplana</t>
  </si>
  <si>
    <t>31 Studebaker St.</t>
  </si>
  <si>
    <t>(857) 769-7335</t>
  </si>
  <si>
    <t>pizza@gmail.com</t>
  </si>
  <si>
    <t>C0907</t>
  </si>
  <si>
    <t>Pascual del Haro</t>
  </si>
  <si>
    <t>34 E. Lafayette Court</t>
  </si>
  <si>
    <t>(894) 916-8764</t>
  </si>
  <si>
    <t>mobileip@yahoo.ca</t>
  </si>
  <si>
    <t>C0908</t>
  </si>
  <si>
    <t>Dionisia Llamas</t>
  </si>
  <si>
    <t>2 Ridgeview Dr.</t>
  </si>
  <si>
    <t>(546) 437-8882</t>
  </si>
  <si>
    <t>horrocks@yahoo.com</t>
  </si>
  <si>
    <t>C0909</t>
  </si>
  <si>
    <t>Amada Falcó Llabrés</t>
  </si>
  <si>
    <t>75 Jefferson Lane</t>
  </si>
  <si>
    <t>(928) 743-6374</t>
  </si>
  <si>
    <t>sarahs@aol.com</t>
  </si>
  <si>
    <t>C0910</t>
  </si>
  <si>
    <t>Óscar Enríquez Acedo</t>
  </si>
  <si>
    <t>5 Circle Dr.</t>
  </si>
  <si>
    <t>(751) 725-0334</t>
  </si>
  <si>
    <t>fluffy@aol.com</t>
  </si>
  <si>
    <t>C0911</t>
  </si>
  <si>
    <t>Cecilio Bastida Seguí</t>
  </si>
  <si>
    <t>612 Silver Spear Dr.</t>
  </si>
  <si>
    <t>(453) 596-2200</t>
  </si>
  <si>
    <t>jeffcovey@optonline.net</t>
  </si>
  <si>
    <t>C0912</t>
  </si>
  <si>
    <t>Leocadia Aznar Revilla</t>
  </si>
  <si>
    <t>8627 Bayberry Street</t>
  </si>
  <si>
    <t>(623) 788-7862</t>
  </si>
  <si>
    <t>naoya@outlook.com</t>
  </si>
  <si>
    <t>C0913</t>
  </si>
  <si>
    <t>Anabel Iniesta Hierro</t>
  </si>
  <si>
    <t>4 Bank Dr.</t>
  </si>
  <si>
    <t>(920) 438-1880</t>
  </si>
  <si>
    <t>C0914</t>
  </si>
  <si>
    <t>Lilia Narváez Batalla</t>
  </si>
  <si>
    <t>8579 Greenview St.</t>
  </si>
  <si>
    <t>(752) 297-5212</t>
  </si>
  <si>
    <t>mrobshaw@me.com</t>
  </si>
  <si>
    <t>C0915</t>
  </si>
  <si>
    <t>Adriana Egea Luís</t>
  </si>
  <si>
    <t>8483 Sugar Ave.</t>
  </si>
  <si>
    <t>(693) 681-7202</t>
  </si>
  <si>
    <t>ajlitt@outlook.com</t>
  </si>
  <si>
    <t>C0916</t>
  </si>
  <si>
    <t>Pepita del Gallart</t>
  </si>
  <si>
    <t>8995 Rockledge Street</t>
  </si>
  <si>
    <t>(455) 437-3253</t>
  </si>
  <si>
    <t>dawnsong@icloud.com</t>
  </si>
  <si>
    <t>C0917</t>
  </si>
  <si>
    <t>Luis Ángel Téllez Conde</t>
  </si>
  <si>
    <t>9834 Pennington Ave.</t>
  </si>
  <si>
    <t>(212) 757-8062</t>
  </si>
  <si>
    <t>mirod@aol.com</t>
  </si>
  <si>
    <t>C0918</t>
  </si>
  <si>
    <t>Angelina Sanmiguel Gallo</t>
  </si>
  <si>
    <t>14 Charles Ave.</t>
  </si>
  <si>
    <t>(904) 210-8504</t>
  </si>
  <si>
    <t>uraeus@aol.com</t>
  </si>
  <si>
    <t>C0919</t>
  </si>
  <si>
    <t>Catalina Solé Porras</t>
  </si>
  <si>
    <t>178 Oakland Lane</t>
  </si>
  <si>
    <t>(203) 626-2113</t>
  </si>
  <si>
    <t>treeves@comcast.net</t>
  </si>
  <si>
    <t>C0920</t>
  </si>
  <si>
    <t>Manuela Benavides Gálvez</t>
  </si>
  <si>
    <t>7690 Glenridge Street</t>
  </si>
  <si>
    <t>(671) 220-0042</t>
  </si>
  <si>
    <t>gknauss@outlook.com</t>
  </si>
  <si>
    <t>C0921</t>
  </si>
  <si>
    <t>Teresa Lastra Serra</t>
  </si>
  <si>
    <t>9105 E. Bayberry Avenue</t>
  </si>
  <si>
    <t>(547) 966-8598</t>
  </si>
  <si>
    <t>duncand@mac.com</t>
  </si>
  <si>
    <t>C0922</t>
  </si>
  <si>
    <t>Marianela Jover Carballo</t>
  </si>
  <si>
    <t>8489 Colonial St.</t>
  </si>
  <si>
    <t>(623) 913-9558</t>
  </si>
  <si>
    <t>marioph@mac.com</t>
  </si>
  <si>
    <t>C0923</t>
  </si>
  <si>
    <t>Ainara Zaragoza Crespi</t>
  </si>
  <si>
    <t>7266 Shady Drive</t>
  </si>
  <si>
    <t>(715) 291-1286</t>
  </si>
  <si>
    <t>unreal@aol.com</t>
  </si>
  <si>
    <t>C0924</t>
  </si>
  <si>
    <t>Claudio Porfirio Francisco Múñiz</t>
  </si>
  <si>
    <t>493 Summer Avenue</t>
  </si>
  <si>
    <t>(354) 237-3268</t>
  </si>
  <si>
    <t>mdielmann@yahoo.ca</t>
  </si>
  <si>
    <t>C0925</t>
  </si>
  <si>
    <t>Andrés Felipe Cuevas</t>
  </si>
  <si>
    <t>254 Kingston Street</t>
  </si>
  <si>
    <t>(269) 935-1685</t>
  </si>
  <si>
    <t>kuparine@msn.com</t>
  </si>
  <si>
    <t>C0926</t>
  </si>
  <si>
    <t>Encarnación Fiol Domingo</t>
  </si>
  <si>
    <t>37 Garfield Dr.</t>
  </si>
  <si>
    <t>(646) 203-3225</t>
  </si>
  <si>
    <t>pfitza@live.com</t>
  </si>
  <si>
    <t>C0927</t>
  </si>
  <si>
    <t>Fátima de Cisneros</t>
  </si>
  <si>
    <t>92 Peg Shop Rd.</t>
  </si>
  <si>
    <t>(806) 938-4587</t>
  </si>
  <si>
    <t>comdig@yahoo.ca</t>
  </si>
  <si>
    <t>C0928</t>
  </si>
  <si>
    <t>Maximino Vigil Morante</t>
  </si>
  <si>
    <t>457 Orange Street</t>
  </si>
  <si>
    <t>(633) 955-6590</t>
  </si>
  <si>
    <t>sfoskett@verizon.net</t>
  </si>
  <si>
    <t>C0929</t>
  </si>
  <si>
    <t>María Luisa Antúnez Girón</t>
  </si>
  <si>
    <t>62 Swanson Dr.</t>
  </si>
  <si>
    <t>(987) 947-7889</t>
  </si>
  <si>
    <t>techie@gmail.com</t>
  </si>
  <si>
    <t>C0930</t>
  </si>
  <si>
    <t>Beatriz Bello Godoy</t>
  </si>
  <si>
    <t>269 Hartford St.</t>
  </si>
  <si>
    <t>(946) 604-6365</t>
  </si>
  <si>
    <t>kjetilk@live.com</t>
  </si>
  <si>
    <t>C0931</t>
  </si>
  <si>
    <t>Eloísa Rosalina Pont Madrigal</t>
  </si>
  <si>
    <t>15 East Richardson Drive</t>
  </si>
  <si>
    <t>(696) 763-2316</t>
  </si>
  <si>
    <t>kourai@me.com</t>
  </si>
  <si>
    <t>C0932</t>
  </si>
  <si>
    <t>Ibán Rios Calvet</t>
  </si>
  <si>
    <t>859 Foxrun Ave.</t>
  </si>
  <si>
    <t>(461) 831-9487</t>
  </si>
  <si>
    <t>kempsonc@aol.com</t>
  </si>
  <si>
    <t>C0933</t>
  </si>
  <si>
    <t>Rufino Mascaró-Borrell</t>
  </si>
  <si>
    <t>6 Monroe Ave.</t>
  </si>
  <si>
    <t>(695) 531-1875</t>
  </si>
  <si>
    <t>joglo@optonline.net</t>
  </si>
  <si>
    <t>C0934</t>
  </si>
  <si>
    <t>Félix Paredes Mulet</t>
  </si>
  <si>
    <t>7465 Rosewood Road</t>
  </si>
  <si>
    <t>(936) 854-3061</t>
  </si>
  <si>
    <t>pakaste@msn.com</t>
  </si>
  <si>
    <t>C0935</t>
  </si>
  <si>
    <t>Lucho Aznar</t>
  </si>
  <si>
    <t>85 Brewery Lane</t>
  </si>
  <si>
    <t>(691) 840-0840</t>
  </si>
  <si>
    <t>facet@gmail.com</t>
  </si>
  <si>
    <t>C0936</t>
  </si>
  <si>
    <t>Encarnacion del Aguiló</t>
  </si>
  <si>
    <t>8987 Tunnel Court</t>
  </si>
  <si>
    <t>(810) 733-6823</t>
  </si>
  <si>
    <t>lstaf@me.com</t>
  </si>
  <si>
    <t>C0937</t>
  </si>
  <si>
    <t>Juan Bautista de Campos</t>
  </si>
  <si>
    <t>618 North Park Drive</t>
  </si>
  <si>
    <t>(392) 721-3723</t>
  </si>
  <si>
    <t>vganesh@hotmail.com</t>
  </si>
  <si>
    <t>C0938</t>
  </si>
  <si>
    <t>Leonor Ugarte Salas</t>
  </si>
  <si>
    <t>749 Honey Creek St.</t>
  </si>
  <si>
    <t>(244) 975-9008</t>
  </si>
  <si>
    <t>seebs@gmail.com</t>
  </si>
  <si>
    <t>C0939</t>
  </si>
  <si>
    <t>Hermenegildo de Tolosa</t>
  </si>
  <si>
    <t>401 Arcadia St.</t>
  </si>
  <si>
    <t>(574) 310-1480</t>
  </si>
  <si>
    <t>baveja@msn.com</t>
  </si>
  <si>
    <t>C0940</t>
  </si>
  <si>
    <t>Lisandro Benavides Barba</t>
  </si>
  <si>
    <t>61 Aspen Street</t>
  </si>
  <si>
    <t>(562) 687-6697</t>
  </si>
  <si>
    <t>jdhedden@me.com</t>
  </si>
  <si>
    <t>C0941</t>
  </si>
  <si>
    <t>Zacarías Milla Fernandez</t>
  </si>
  <si>
    <t>8842 Albany Dr.</t>
  </si>
  <si>
    <t>(362) 958-3945</t>
  </si>
  <si>
    <t>nimaclea@mac.com</t>
  </si>
  <si>
    <t>C0942</t>
  </si>
  <si>
    <t>Leyre Ponce-Quintana</t>
  </si>
  <si>
    <t>7761 Glenridge St.</t>
  </si>
  <si>
    <t>(425) 692-2477</t>
  </si>
  <si>
    <t>wikinerd@msn.com</t>
  </si>
  <si>
    <t>C0943</t>
  </si>
  <si>
    <t>Palmira Moreno Manzanares</t>
  </si>
  <si>
    <t>7542 Logan Ave.</t>
  </si>
  <si>
    <t>(844) 204-7819</t>
  </si>
  <si>
    <t>suresh@sbcglobal.net</t>
  </si>
  <si>
    <t>C0944</t>
  </si>
  <si>
    <t>Amancio Bermúdez Flor</t>
  </si>
  <si>
    <t>906 North Marshall Drive</t>
  </si>
  <si>
    <t>(707) 398-6865</t>
  </si>
  <si>
    <t>mhassel@outlook.com</t>
  </si>
  <si>
    <t>C0945</t>
  </si>
  <si>
    <t>Baltasar Téllez Vargas</t>
  </si>
  <si>
    <t>566 Old Windsor Street</t>
  </si>
  <si>
    <t>(469) 519-2773</t>
  </si>
  <si>
    <t>mcsporran@hotmail.com</t>
  </si>
  <si>
    <t>C0946</t>
  </si>
  <si>
    <t>María Fernanda Delia Rovira Taboada</t>
  </si>
  <si>
    <t>363 Carson Lane</t>
  </si>
  <si>
    <t>(592) 732-7144</t>
  </si>
  <si>
    <t>lcheng@outlook.com</t>
  </si>
  <si>
    <t>C0947</t>
  </si>
  <si>
    <t>Héctor Galván</t>
  </si>
  <si>
    <t>8046 Clay Street</t>
  </si>
  <si>
    <t>(602) 356-3808</t>
  </si>
  <si>
    <t>weidai@att.net</t>
  </si>
  <si>
    <t>C0948</t>
  </si>
  <si>
    <t>Matías Rincón-Roldan</t>
  </si>
  <si>
    <t>36 South Lake Forest Lane</t>
  </si>
  <si>
    <t>(640) 568-0785</t>
  </si>
  <si>
    <t>jpflip@hotmail.com</t>
  </si>
  <si>
    <t>C0949</t>
  </si>
  <si>
    <t>Benigno Folch Villaverde</t>
  </si>
  <si>
    <t>437 Jockey Hollow Dr.</t>
  </si>
  <si>
    <t>(400) 512-4755</t>
  </si>
  <si>
    <t>C0950</t>
  </si>
  <si>
    <t>Ariel Bejarano Gimenez</t>
  </si>
  <si>
    <t>135 Airport Ave.</t>
  </si>
  <si>
    <t>(415) 935-8378</t>
  </si>
  <si>
    <t>smpeters@gmail.com</t>
  </si>
  <si>
    <t>C0951</t>
  </si>
  <si>
    <t>Román Villa Marqués</t>
  </si>
  <si>
    <t>8857 Gonzales Street</t>
  </si>
  <si>
    <t>(664) 297-3908</t>
  </si>
  <si>
    <t>cosimo@live.com</t>
  </si>
  <si>
    <t>C0952</t>
  </si>
  <si>
    <t>Dimas Ibarra Domínguez</t>
  </si>
  <si>
    <t>9538 South Wall St.</t>
  </si>
  <si>
    <t>(843) 208-4225</t>
  </si>
  <si>
    <t>bdbrown@yahoo.ca</t>
  </si>
  <si>
    <t>C0953</t>
  </si>
  <si>
    <t>Íñigo Pavón Pol</t>
  </si>
  <si>
    <t>8478 Vernon Lane</t>
  </si>
  <si>
    <t>(336) 204-3889</t>
  </si>
  <si>
    <t>psharpe@me.com</t>
  </si>
  <si>
    <t>C0954</t>
  </si>
  <si>
    <t>Fernanda Olivé Garmendia</t>
  </si>
  <si>
    <t>7133 E. West St.</t>
  </si>
  <si>
    <t>(911) 488-1913</t>
  </si>
  <si>
    <t>moxfulder@sbcglobal.net</t>
  </si>
  <si>
    <t>C0955</t>
  </si>
  <si>
    <t>Norberto Chucho Raya Saldaña</t>
  </si>
  <si>
    <t>26 Sycamore Street</t>
  </si>
  <si>
    <t>(535) 815-9607</t>
  </si>
  <si>
    <t>tattooman@comcast.net</t>
  </si>
  <si>
    <t>C0956</t>
  </si>
  <si>
    <t>Clementina Salcedo Valenzuela</t>
  </si>
  <si>
    <t>746 Marsh Ave.</t>
  </si>
  <si>
    <t>(295) 730-6919</t>
  </si>
  <si>
    <t>scottzed@live.com</t>
  </si>
  <si>
    <t>C0957</t>
  </si>
  <si>
    <t>Brunilda Paredes Vilar</t>
  </si>
  <si>
    <t>53 Cedarwood St.</t>
  </si>
  <si>
    <t>(743) 483-8112</t>
  </si>
  <si>
    <t>hampton@me.com</t>
  </si>
  <si>
    <t>C0958</t>
  </si>
  <si>
    <t>Ester Gras Talavera</t>
  </si>
  <si>
    <t>86 N. Poor House Ave.</t>
  </si>
  <si>
    <t>(831) 249-5449</t>
  </si>
  <si>
    <t>clkao@yahoo.com</t>
  </si>
  <si>
    <t>C0959</t>
  </si>
  <si>
    <t>Jonatan del Guzman</t>
  </si>
  <si>
    <t>7017 Walt Whitman Street</t>
  </si>
  <si>
    <t>(960) 905-6170</t>
  </si>
  <si>
    <t>amaranth@mac.com</t>
  </si>
  <si>
    <t>C0960</t>
  </si>
  <si>
    <t>Susanita Polo Pons</t>
  </si>
  <si>
    <t>7952 Durham St.</t>
  </si>
  <si>
    <t>(214) 703-7189</t>
  </si>
  <si>
    <t>pemungkah@verizon.net</t>
  </si>
  <si>
    <t>C0961</t>
  </si>
  <si>
    <t>Emiliano Galván Madrigal</t>
  </si>
  <si>
    <t>7788 S. Princeton Court</t>
  </si>
  <si>
    <t>(944) 933-0069</t>
  </si>
  <si>
    <t>joehall@gmail.com</t>
  </si>
  <si>
    <t>C0962</t>
  </si>
  <si>
    <t>Palmira Téllez Rosales</t>
  </si>
  <si>
    <t>7707 Beech Ave.</t>
  </si>
  <si>
    <t>(429) 932-6260</t>
  </si>
  <si>
    <t>C0963</t>
  </si>
  <si>
    <t>Gracia José Puente Belmonte</t>
  </si>
  <si>
    <t>9307 Riverside Dr.</t>
  </si>
  <si>
    <t>(922) 644-8881</t>
  </si>
  <si>
    <t>C0964</t>
  </si>
  <si>
    <t>Ariel Alejo Blázquez Castells</t>
  </si>
  <si>
    <t>954 S. Nichols Rd.</t>
  </si>
  <si>
    <t>(405) 986-6020</t>
  </si>
  <si>
    <t>ntegrity@hotmail.com</t>
  </si>
  <si>
    <t>C0965</t>
  </si>
  <si>
    <t>Juan Antonio Solana-Torrijos</t>
  </si>
  <si>
    <t>584 Pumpkin Hill Dr.</t>
  </si>
  <si>
    <t>(890) 409-6135</t>
  </si>
  <si>
    <t>kawasaki@att.net</t>
  </si>
  <si>
    <t>C0966</t>
  </si>
  <si>
    <t>Guiomar Jáuregui Ochoa</t>
  </si>
  <si>
    <t>9799 E. Pumpkin Hill Lane</t>
  </si>
  <si>
    <t>(252) 913-1668</t>
  </si>
  <si>
    <t>library@yahoo.com</t>
  </si>
  <si>
    <t>C0967</t>
  </si>
  <si>
    <t>Mayte Luz Bolaños</t>
  </si>
  <si>
    <t>60 Thatcher Court</t>
  </si>
  <si>
    <t>(622) 688-5821</t>
  </si>
  <si>
    <t>kramulous@yahoo.ca</t>
  </si>
  <si>
    <t>C0968</t>
  </si>
  <si>
    <t>Florencio López Diez</t>
  </si>
  <si>
    <t>8606 Edgewood Lane</t>
  </si>
  <si>
    <t>(255) 804-7439</t>
  </si>
  <si>
    <t>neonatus@comcast.net</t>
  </si>
  <si>
    <t>C0969</t>
  </si>
  <si>
    <t>Pepito Sedano Pou</t>
  </si>
  <si>
    <t>8408 Broad Ave.</t>
  </si>
  <si>
    <t>(815) 908-2066</t>
  </si>
  <si>
    <t>jpflip@aol.com</t>
  </si>
  <si>
    <t>C0970</t>
  </si>
  <si>
    <t>Aitana Gelabert Guardiola</t>
  </si>
  <si>
    <t>417 Nut Swamp Lane</t>
  </si>
  <si>
    <t>(601) 823-1097</t>
  </si>
  <si>
    <t>jnolan@att.net</t>
  </si>
  <si>
    <t>C0971</t>
  </si>
  <si>
    <t>Luis Pellicer Fábregas</t>
  </si>
  <si>
    <t>638 Jennings Street</t>
  </si>
  <si>
    <t>(297) 326-4044</t>
  </si>
  <si>
    <t>snunez@optonline.net</t>
  </si>
  <si>
    <t>C0972</t>
  </si>
  <si>
    <t>Herminio Pereira Redondo</t>
  </si>
  <si>
    <t>307 Fairview Avenue</t>
  </si>
  <si>
    <t>(952) 610-9397</t>
  </si>
  <si>
    <t>sarahs@mac.com</t>
  </si>
  <si>
    <t>C0973</t>
  </si>
  <si>
    <t>Primitiva Quintero Sacristán</t>
  </si>
  <si>
    <t>9182 Market St.</t>
  </si>
  <si>
    <t>(773) 942-8792</t>
  </si>
  <si>
    <t>mosses@yahoo.ca</t>
  </si>
  <si>
    <t>C0974</t>
  </si>
  <si>
    <t>Evangelina Esparza Mariscal</t>
  </si>
  <si>
    <t>55 Lake Forest Drive</t>
  </si>
  <si>
    <t>(516) 557-3412</t>
  </si>
  <si>
    <t>parkes@att.net</t>
  </si>
  <si>
    <t>C0975</t>
  </si>
  <si>
    <t>Celia Aguiló Duran</t>
  </si>
  <si>
    <t>1 Plymouth St.</t>
  </si>
  <si>
    <t>(921) 425-7436</t>
  </si>
  <si>
    <t>rgiersig@outlook.com</t>
  </si>
  <si>
    <t>C0976</t>
  </si>
  <si>
    <t>Olivia del Grau</t>
  </si>
  <si>
    <t>8279 Main Street</t>
  </si>
  <si>
    <t>(689) 655-6058</t>
  </si>
  <si>
    <t>kevinm@me.com</t>
  </si>
  <si>
    <t>C0977</t>
  </si>
  <si>
    <t>Juan Bautista Valderrama Méndez</t>
  </si>
  <si>
    <t>918 Fordham St.</t>
  </si>
  <si>
    <t>(671) 524-5360</t>
  </si>
  <si>
    <t>notaprguy@outlook.com</t>
  </si>
  <si>
    <t>C0978</t>
  </si>
  <si>
    <t>Carina Cañete Alcolea</t>
  </si>
  <si>
    <t>508 Cypress St.</t>
  </si>
  <si>
    <t>(910) 903-9965</t>
  </si>
  <si>
    <t>johnh@gmail.com</t>
  </si>
  <si>
    <t>C0979</t>
  </si>
  <si>
    <t>Ambrosio Calatayud Revilla</t>
  </si>
  <si>
    <t>24 Railroad Court</t>
  </si>
  <si>
    <t>(904) 731-9687</t>
  </si>
  <si>
    <t>erynf@mac.com</t>
  </si>
  <si>
    <t>C0980</t>
  </si>
  <si>
    <t>Ildefonso de Fajardo</t>
  </si>
  <si>
    <t>634 Rockaway St.</t>
  </si>
  <si>
    <t>(455) 701-2540</t>
  </si>
  <si>
    <t>jginspace@optonline.net</t>
  </si>
  <si>
    <t>C0981</t>
  </si>
  <si>
    <t>Edelmira Baeza-Rodriguez</t>
  </si>
  <si>
    <t>957 South Arcadia Street</t>
  </si>
  <si>
    <t>(864) 567-3221</t>
  </si>
  <si>
    <t>terjesa@att.net</t>
  </si>
  <si>
    <t>C0982</t>
  </si>
  <si>
    <t>Socorro Castro Agustí</t>
  </si>
  <si>
    <t>750 Vernon Ave.</t>
  </si>
  <si>
    <t>(241) 803-9393</t>
  </si>
  <si>
    <t>hermes@optonline.net</t>
  </si>
  <si>
    <t>C0983</t>
  </si>
  <si>
    <t>Calixto Ávila Pintor</t>
  </si>
  <si>
    <t>35 Miller St.</t>
  </si>
  <si>
    <t>(237) 839-2784</t>
  </si>
  <si>
    <t>C0984</t>
  </si>
  <si>
    <t>Severiano de Morán</t>
  </si>
  <si>
    <t>7545 Yukon Street</t>
  </si>
  <si>
    <t>(362) 504-0521</t>
  </si>
  <si>
    <t>jguyer@icloud.com</t>
  </si>
  <si>
    <t>C0985</t>
  </si>
  <si>
    <t>Olimpia Valls Calvet</t>
  </si>
  <si>
    <t>75 Victoria St.</t>
  </si>
  <si>
    <t>(205) 311-7938</t>
  </si>
  <si>
    <t>C0986</t>
  </si>
  <si>
    <t>Vito del Lara</t>
  </si>
  <si>
    <t>7654 Creek St.</t>
  </si>
  <si>
    <t>(459) 473-8039</t>
  </si>
  <si>
    <t>wkrebs@icloud.com</t>
  </si>
  <si>
    <t>C0987</t>
  </si>
  <si>
    <t>Teodosio Arteaga Nicolau</t>
  </si>
  <si>
    <t>829 Devonshire Street</t>
  </si>
  <si>
    <t>(956) 901-0189</t>
  </si>
  <si>
    <t>msherr@mac.com</t>
  </si>
  <si>
    <t>C0988</t>
  </si>
  <si>
    <t>Juan Luis Amorós Calvet</t>
  </si>
  <si>
    <t>48 North Arch St.</t>
  </si>
  <si>
    <t>(289) 371-6935</t>
  </si>
  <si>
    <t>evans@hotmail.com</t>
  </si>
  <si>
    <t>C0989</t>
  </si>
  <si>
    <t>Olivia del Martí</t>
  </si>
  <si>
    <t>818 North Ridge St.</t>
  </si>
  <si>
    <t>(534) 741-5424</t>
  </si>
  <si>
    <t>dgriffith@sbcglobal.net</t>
  </si>
  <si>
    <t>C0990</t>
  </si>
  <si>
    <t>Nicanor Peña Tudela</t>
  </si>
  <si>
    <t>7 Hill Field St.</t>
  </si>
  <si>
    <t>(562) 803-1918</t>
  </si>
  <si>
    <t>sakusha@me.com</t>
  </si>
  <si>
    <t>C0991</t>
  </si>
  <si>
    <t>Elena Torre Blazquez</t>
  </si>
  <si>
    <t>13 4th Rd.</t>
  </si>
  <si>
    <t>(703) 578-2309</t>
  </si>
  <si>
    <t>starstuff@live.com</t>
  </si>
  <si>
    <t>C0992</t>
  </si>
  <si>
    <t>Adriana Zabala</t>
  </si>
  <si>
    <t>308 Elmwood Ave.</t>
  </si>
  <si>
    <t>(394) 282-3814</t>
  </si>
  <si>
    <t>zeller@yahoo.com</t>
  </si>
  <si>
    <t>C0993</t>
  </si>
  <si>
    <t>Yésica Carnero</t>
  </si>
  <si>
    <t>37 Sunbeam Lane</t>
  </si>
  <si>
    <t>(733) 346-2538</t>
  </si>
  <si>
    <t>parasite@comcast.net</t>
  </si>
  <si>
    <t>C0994</t>
  </si>
  <si>
    <t>Luis Miguel Gutierrez Llabrés</t>
  </si>
  <si>
    <t>679 Philmont St.</t>
  </si>
  <si>
    <t>(350) 800-2197</t>
  </si>
  <si>
    <t>sherzodr@aol.com</t>
  </si>
  <si>
    <t>C0995</t>
  </si>
  <si>
    <t>Josué Salom González</t>
  </si>
  <si>
    <t>324 Augusta St.</t>
  </si>
  <si>
    <t>(853) 698-8173</t>
  </si>
  <si>
    <t>ajohnson@comcast.net</t>
  </si>
  <si>
    <t>C0996</t>
  </si>
  <si>
    <t>Montserrat Tomé</t>
  </si>
  <si>
    <t>7606 Alderwood Rd.</t>
  </si>
  <si>
    <t>(946) 694-2288</t>
  </si>
  <si>
    <t>hmbrand@optonline.net</t>
  </si>
  <si>
    <t>C0997</t>
  </si>
  <si>
    <t>Berta Izaguirre-Coll</t>
  </si>
  <si>
    <t>8672 S. Mechanic Dr.</t>
  </si>
  <si>
    <t>(718) 641-6619</t>
  </si>
  <si>
    <t>clkao@optonline.net</t>
  </si>
  <si>
    <t>C0998</t>
  </si>
  <si>
    <t>Asunción Arnaiz Castellanos</t>
  </si>
  <si>
    <t>20 Marvon Rd.</t>
  </si>
  <si>
    <t>(352) 826-4955</t>
  </si>
  <si>
    <t>kingma@mac.com</t>
  </si>
  <si>
    <t>C0999</t>
  </si>
  <si>
    <t>Nilo Porras Casas</t>
  </si>
  <si>
    <t>116 Division Lane</t>
  </si>
  <si>
    <t>(473) 640-7258</t>
  </si>
  <si>
    <t>mahbub@mac.com</t>
  </si>
  <si>
    <t>T_O</t>
  </si>
  <si>
    <t xml:space="preserve">NOMBRE DE TIPO DE OPERACIÓN </t>
  </si>
  <si>
    <t xml:space="preserve">No.OC </t>
  </si>
  <si>
    <t xml:space="preserve">FECHA </t>
  </si>
  <si>
    <t xml:space="preserve">ESTADO </t>
  </si>
  <si>
    <t xml:space="preserve">PROVEEDOR </t>
  </si>
  <si>
    <t>CONDICION COMERCIAL</t>
  </si>
  <si>
    <t>TRM</t>
  </si>
  <si>
    <t xml:space="preserve">VALOR EN PESOS </t>
  </si>
  <si>
    <t xml:space="preserve">REQUISIDOR </t>
  </si>
  <si>
    <t xml:space="preserve">AREA SOLICITANTE </t>
  </si>
  <si>
    <t>ORDEN DE COMPRA DE GASTOS DE VIAJE</t>
  </si>
  <si>
    <t>CERRADA</t>
  </si>
  <si>
    <t>PAGO A 30 DIAS</t>
  </si>
  <si>
    <t>PESO COLOMBIANO</t>
  </si>
  <si>
    <t>R</t>
  </si>
  <si>
    <t>.</t>
  </si>
  <si>
    <t>S</t>
  </si>
  <si>
    <t>N</t>
  </si>
  <si>
    <t>T</t>
  </si>
  <si>
    <t>BOGOTA</t>
  </si>
  <si>
    <t>MARIA FERNANDA MORALES MORALES</t>
  </si>
  <si>
    <t>VALOR NULO VALOR NULO</t>
  </si>
  <si>
    <t>YISELL NATALIA BELTRAN MAHECHA</t>
  </si>
  <si>
    <t>YNBELTRANM</t>
  </si>
  <si>
    <t>ORDEN DE COMPRA CELEBRACIONES Y  EVENTOS</t>
  </si>
  <si>
    <t>PAGO A 8 DÍAS</t>
  </si>
  <si>
    <t>ORDEN DE COMPRA SERVICIOS TECNOLOGIA</t>
  </si>
  <si>
    <t>APLICADA</t>
  </si>
  <si>
    <t>P</t>
  </si>
  <si>
    <t>YENNI PAEZ BALLESTEROS</t>
  </si>
  <si>
    <t>ALIX MILLET GARCIA MENDOZA</t>
  </si>
  <si>
    <t>ORDEN DE COMPRA SEGUROS</t>
  </si>
  <si>
    <t>PAGO DE CONTADO</t>
  </si>
  <si>
    <t>SANDRA NATALIA  GUACANEME ROJAS</t>
  </si>
  <si>
    <t>ANA ALEIDA GUAYARA SANCHEZ</t>
  </si>
  <si>
    <t>ORDEN DE COMPRA GASTOS GENERALES</t>
  </si>
  <si>
    <t>PAGO A 8 DIAS TARJETA DE CREDITO</t>
  </si>
  <si>
    <t>JOHN FREDDY GUTIERREZ TOVAR</t>
  </si>
  <si>
    <t>ORDEN DE COMPRA  ALMUERZO Y REFRIGERIOS</t>
  </si>
  <si>
    <t>ORDEN DE COMPRA GASTOS DE MERCADEO</t>
  </si>
  <si>
    <t>JESSICA PAOLA SÁNCHEZ CHALAR</t>
  </si>
  <si>
    <t>MONICA YANETH OTAVO ZAMUDIO</t>
  </si>
  <si>
    <t>JEANNE CAROLINE CADENA GARZÓN</t>
  </si>
  <si>
    <t>SANTIAGO GIRON HERNANDEZ</t>
  </si>
  <si>
    <t>ORDEN DE COMPRA ELEMENTOS  ASEO Y CAFETE</t>
  </si>
  <si>
    <t>ORDEN DE COMPRA UTILES, PAPELERIA Y FOTO</t>
  </si>
  <si>
    <t>BOGOTA, D.C.</t>
  </si>
  <si>
    <t>Bogotá</t>
  </si>
  <si>
    <t>ERIKA ESTEFANIA ROJAS GUEVARA</t>
  </si>
  <si>
    <t>EEROJASG</t>
  </si>
  <si>
    <t>CIERRE DE OC MES FEBRERO DEL 2023 MOTIVO: CAMBIO DE PRODUCTO</t>
  </si>
  <si>
    <t>ORDEN DE COMPRA HONORARIOS SERVICIOS EDU</t>
  </si>
  <si>
    <t>NO APROBADA</t>
  </si>
  <si>
    <t>M</t>
  </si>
  <si>
    <t>ORDEN DE COMPRA MATERIAL BIBLIOGRAFICO</t>
  </si>
  <si>
    <t>ADRIANA MARCELA SUA ORMAZA</t>
  </si>
  <si>
    <t>ORDEN DE COMPRA SEGURIDAD</t>
  </si>
  <si>
    <t>ORDEN DE COMPRA ARRENDAMIENTOS</t>
  </si>
  <si>
    <t>O</t>
  </si>
  <si>
    <t>YUDI ELISED FORERO RONCANCIO</t>
  </si>
  <si>
    <t>ORDEN DE COMPRA MANTENIMIENTO Y ADECUACI</t>
  </si>
  <si>
    <t>ADRIANA ANGOLA ANGULO</t>
  </si>
  <si>
    <t>AANGOLAA</t>
  </si>
  <si>
    <t>Meta</t>
  </si>
  <si>
    <t>ORDEN DE COMPRA HONORARIOS</t>
  </si>
  <si>
    <t>CASO WF. 11825 REQNO. 114 Requisidor: DIANA BAYONA Área: 4014 PROVEEDOR:MAGDA XIMENA ACEVEDO CC 52927106 Descripción: CORRECCION DE ESTILO DICIEMBRE 2022 - ENERO 2023 Sucursal: VIRTUAL</t>
  </si>
  <si>
    <t>DIANA MARCELA BAYONA ROJAS</t>
  </si>
  <si>
    <t>Virtual</t>
  </si>
  <si>
    <t>ORDEN DE COMPRA TRANSPORTE</t>
  </si>
  <si>
    <t>CASO WF.11923 REQNO.189 Requisidor: DIANA BAYONA Área: 4014 PROVEEDOR: LORENA HERNANDEZ CC 1069727456 Descripción: DISEñO GRAFICO FREELANCE DESDE 01/02/2023 HASTA 28/02/2023 Sucursal: VIRTUAL</t>
  </si>
  <si>
    <t xml:space="preserve">DIRECCIÓN VIRTUAL </t>
  </si>
  <si>
    <t>ORDEN DE COMPRA GASTOS PERSONAL</t>
  </si>
  <si>
    <t>CIERRE DE OC MES FEBRERO DEL 2023 MOTIVO: POR SOLICITUD DEL REQUISIDOR</t>
  </si>
  <si>
    <t>CIERRE DE REQUISICION MES FEBRERO DEL 2022 MOTIVO: SUBIERON REQUISICIóN DOBLE</t>
  </si>
  <si>
    <t>PAULA JULIANA SALAMANCA PEDROZA</t>
  </si>
  <si>
    <t>ORDEN DE COMPRA MONEDA EXTRANJERA</t>
  </si>
  <si>
    <t>EURO</t>
  </si>
  <si>
    <t>5031.49</t>
  </si>
  <si>
    <t>CASO WF. 11969 REQNO 208 Requisidor:DIANA BAYONA Área: 4014 PROVEEDOR: 3D VISTA NIT 444444126 Descripción: ADQUISICIóN LICENCIA 3D VISTA PARA EL AREA DE PRODUCCIóN DEV Sucursal: VIRTUAL</t>
  </si>
  <si>
    <t>4334308.26</t>
  </si>
  <si>
    <t>ORDEN DE COMPRA SERVICIO DE ASEO</t>
  </si>
  <si>
    <t>18676116.88</t>
  </si>
  <si>
    <t>EDNA LILIANA RODRIGUEZ PEÑA</t>
  </si>
  <si>
    <t>DOLAR ESTADOUNIDENSE</t>
  </si>
  <si>
    <t>4631.64</t>
  </si>
  <si>
    <t>EDISON FERNANDO DIAZ CASTILLO</t>
  </si>
  <si>
    <t>JORGE STIVEN BARON ORTIZ</t>
  </si>
  <si>
    <t>CIERRE DE OC FEBRERO DEL 2022 MOTIVO: CREACIóN DE NUEVO CASO</t>
  </si>
  <si>
    <t>5207.03</t>
  </si>
  <si>
    <t>ORDEN DE COMPRA ACTIVOS FIJOS</t>
  </si>
  <si>
    <t>CASO WF. 12192 REQNO. 328 Requisidor:CAROLINE CADENA Área: BIENESTAR PROVEEDOR:COMPENSAR Descripción: REFRIGERIOS Sucursal: BOGOTA</t>
  </si>
  <si>
    <t>ORDEN DE COMPRA  TARJETAS DE CRÉDITO</t>
  </si>
  <si>
    <t>4878.24</t>
  </si>
  <si>
    <t xml:space="preserve">TALENTO HUMANO </t>
  </si>
  <si>
    <t>YURY JOHANNA ROMERO DIAZ</t>
  </si>
  <si>
    <t>CIERRE DE OC MES FEBRERO DEL 2022 MOTIVO: SE REALIZA NUEVO CASO</t>
  </si>
  <si>
    <t>OLGA LUCIA BERNAL MORALES</t>
  </si>
  <si>
    <t>LAURA VALENTINA MATA SANCHEZ</t>
  </si>
  <si>
    <t>LVMATAS</t>
  </si>
  <si>
    <t>SANDRA MILENA RINCON PINEDA</t>
  </si>
  <si>
    <t>CIERRE DE OC MES FEBRERO DEL 2022 MOTIVO: SE REALIZA NUEVA OC</t>
  </si>
  <si>
    <t>4853.9</t>
  </si>
  <si>
    <t>CIERRE DE OC MES FEBRERO DEL 2023 MOTIVO: SE NECESITA CREAR NUEVO CASO</t>
  </si>
  <si>
    <t>CASO WF.12843 NO.622 Requisidor:WENDI RUIZ Área: PROYECTOS ESPECIALES PROVEEDOR:SHALOM LOGISTICS SAS  Descripción: SERVICIOS DE TRANSPORTES Sucursal: BOGOTA</t>
  </si>
  <si>
    <t xml:space="preserve">CRAI </t>
  </si>
  <si>
    <t>ORDEN DE COMPRA DE  REEMBOLSOS</t>
  </si>
  <si>
    <t>CIERRE DE OC MES MARZO DEL 2023 MOTIVO: REQUISIDOR SOLICITA EL CIERRE DE LA OC</t>
  </si>
  <si>
    <t>CIERRE DE OC MES MARZO DEL 2021 MOTIVO: REQUISIDOR SOLICITA CIERRE POR CORREO ELECTRONICO</t>
  </si>
  <si>
    <t>JOHN FREDDY GUTIERREZ TOV</t>
  </si>
  <si>
    <t>HEINY DANIELA RAMIREZ</t>
  </si>
  <si>
    <t>WENDI CONTRERAS</t>
  </si>
  <si>
    <t>Servicios prestados año 2023</t>
  </si>
  <si>
    <t>MARIA FERNANDA MORALES MORALES</t>
  </si>
  <si>
    <t>4748.14</t>
  </si>
  <si>
    <t>24.98</t>
  </si>
  <si>
    <t>HEINY DANIELA RAMIREZ ORTIZ</t>
  </si>
  <si>
    <t>.ADRIANA MARCELA SUA ORMAZA</t>
  </si>
  <si>
    <t>DANIELA RAMIREZ</t>
  </si>
  <si>
    <t>Servicios prestados Año 2023</t>
  </si>
  <si>
    <t>4736.03</t>
  </si>
  <si>
    <t>PAGO A 15 DIAS</t>
  </si>
  <si>
    <t>2282017.2</t>
  </si>
  <si>
    <t>Servicios año 2023</t>
  </si>
  <si>
    <t>4755.12</t>
  </si>
  <si>
    <t>1401.76</t>
  </si>
  <si>
    <t>1168.13</t>
  </si>
  <si>
    <t>CASO WF.12222 REQNO.340 Requisidor:CAROLINE CADENA Área: BIENESTAR PROVEEDOR:COMPENSAR Descripción: INDUCCION 2023-1 Sucursal: BOGOTA</t>
  </si>
  <si>
    <t>GABRIEL ALEJANDRO ROCHA REYES</t>
  </si>
  <si>
    <t>SERVICIOS ADMINISTRATIVOS</t>
  </si>
  <si>
    <t>CASO WF. 13216 REQNO 842 Requisidor: DIANA BAYONA Área: 4029 PROVEEDOR:LUIS FERNANDO OSPINA CC 13852273 Descripción: GESTION MATRICULA ESTUDIANTES NUEVOS VIRTUALES- AGENTE  OSPINA ASESORES 2023 -1 Sucursal: BOGOTA</t>
  </si>
  <si>
    <t>JEANNE CAROLINE CADENA GARZÓN</t>
  </si>
  <si>
    <t>4538.91</t>
  </si>
  <si>
    <t>17390.6</t>
  </si>
  <si>
    <t>.DIANA MARCELA BAYONA ROJAS</t>
  </si>
  <si>
    <t>DIANA MARCELA BAYONA</t>
  </si>
  <si>
    <t>DIANA MARCELA BAYONA ROJA</t>
  </si>
  <si>
    <t>FABIAN MACHADO</t>
  </si>
  <si>
    <t xml:space="preserve">ADMISIONES REGISTRO Y CONTROL </t>
  </si>
  <si>
    <t xml:space="preserve"> GABRIEL ALEJANDRO ROCHA REYES</t>
  </si>
  <si>
    <t>Evento en la U el 11-04-2023.</t>
  </si>
  <si>
    <t>4531.75</t>
  </si>
  <si>
    <t>48064.06</t>
  </si>
  <si>
    <t>Identificación</t>
  </si>
  <si>
    <t>Nombres</t>
  </si>
  <si>
    <t xml:space="preserve">MODALIDAD DE TRABAJO </t>
  </si>
  <si>
    <t>TIPIFICACIÓN</t>
  </si>
  <si>
    <t>IMPLEMENTACIÓN</t>
  </si>
  <si>
    <t>Cargo</t>
  </si>
  <si>
    <t>Descripción de Área</t>
  </si>
  <si>
    <t>PROCESO ENCARGADO</t>
  </si>
  <si>
    <t xml:space="preserve">PRESENCIAL </t>
  </si>
  <si>
    <t>N/A</t>
  </si>
  <si>
    <t>NO APLICA</t>
  </si>
  <si>
    <t>PROFESIONAL COMPRAS 1</t>
  </si>
  <si>
    <t>Dirección Administrativa</t>
  </si>
  <si>
    <t>Procesos de Servicios Administrativos</t>
  </si>
  <si>
    <t>PROFESIONAL COMPRAS 2</t>
  </si>
  <si>
    <t>PROFESIONAL COMPRAS 3</t>
  </si>
  <si>
    <t>TRABAJO EN CASA</t>
  </si>
  <si>
    <t>PROFESIONAL COMPRAS 4</t>
  </si>
  <si>
    <t>Compras E Infraestructura</t>
  </si>
  <si>
    <t xml:space="preserve">TELETRABAJO </t>
  </si>
  <si>
    <t>SUPLEMENTARIO (3X2)</t>
  </si>
  <si>
    <t>FASE II</t>
  </si>
  <si>
    <t>PROFESIONAL COMPRAS 5</t>
  </si>
  <si>
    <t>PROFESIONAL COMPRAS 6</t>
  </si>
  <si>
    <t>MOVIL</t>
  </si>
  <si>
    <t>FASE I</t>
  </si>
  <si>
    <t>PROFESIONAL COMPRAS 7</t>
  </si>
  <si>
    <t>Tecnología</t>
  </si>
  <si>
    <t>PROFESIONAL COMPRAS 8</t>
  </si>
  <si>
    <t>PROFESIONAL COMPRAS 9</t>
  </si>
  <si>
    <t>AUTONOMO (4X1)</t>
  </si>
  <si>
    <t>PROFESIONAL COMPRAS 10</t>
  </si>
  <si>
    <t>PROFESIONAL COMPRAS 11</t>
  </si>
  <si>
    <t>PROFESIONAL COMPRAS 12</t>
  </si>
  <si>
    <t>PROFESIONAL COMPRAS 13</t>
  </si>
  <si>
    <t>Investigación</t>
  </si>
  <si>
    <t>PROFESIONAL COMPRAS 14</t>
  </si>
  <si>
    <t>PROFESIONAL COMPRAS 15</t>
  </si>
  <si>
    <t>PROFESIONAL COMPRAS 16</t>
  </si>
  <si>
    <t>PROFESIONAL COMPRAS 17</t>
  </si>
  <si>
    <t>PROFESIONAL COMPRAS 18</t>
  </si>
  <si>
    <t>Riesgos</t>
  </si>
  <si>
    <t>PROFESIONAL COMPRAS 19</t>
  </si>
  <si>
    <t>PROFESIONAL COMPRAS 20</t>
  </si>
  <si>
    <t>Contabilidad</t>
  </si>
  <si>
    <t>PROFESIONAL COMPRAS 21</t>
  </si>
  <si>
    <t>Recursos Humanos</t>
  </si>
  <si>
    <t>PROFESIONAL COMPRAS 22</t>
  </si>
  <si>
    <t>Juridica</t>
  </si>
  <si>
    <t>PROFESIONAL COMPRAS 23</t>
  </si>
  <si>
    <t>Bienestar Laboral</t>
  </si>
  <si>
    <t>PROFESIONAL COMPRAS 24</t>
  </si>
  <si>
    <t>Seguridad y Salud en el trabajo</t>
  </si>
  <si>
    <t>PROFESIONAL COMPRAS 25</t>
  </si>
  <si>
    <t>Seguridad Fisica</t>
  </si>
  <si>
    <t>LÍDER GESTIÓN COMPRAS</t>
  </si>
  <si>
    <t>Inventarios</t>
  </si>
  <si>
    <t>AUXILIAR DE COMPRAS</t>
  </si>
  <si>
    <t>Ingeniería</t>
  </si>
  <si>
    <t>CONSUMO m3</t>
  </si>
  <si>
    <t xml:space="preserve">EMPRESA ACUEDUCTO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</si>
</sst>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#,##0.0000000"/>
    <numFmt numFmtId="166" formatCode="&quot;$&quot;\ #,##0"/>
    <numFmt numFmtId="167" formatCode="_-&quot;$&quot;\ * #,##0_-;\-&quot;$&quot;\ * #,##0_-;_-&quot;$&quot;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1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5" fillId="0" borderId="0"/>
  </cellStyleXfs>
  <cellXfs count="34">
    <xf numFmtId="0" fontId="0" fillId="0" borderId="0" xfId="0"/>
    <xf numFmtId="164" fontId="0" fillId="0" borderId="0" xfId="0" applyNumberFormat="1"/>
    <xf numFmtId="8" fontId="0" fillId="0" borderId="0" xfId="0" applyNumberFormat="1"/>
    <xf numFmtId="165" fontId="0" fillId="0" borderId="0" xfId="0" applyNumberFormat="1"/>
    <xf numFmtId="0" fontId="6" fillId="2" borderId="3" xfId="4" applyFont="1" applyFill="1" applyBorder="1" applyAlignment="1">
      <alignment horizontal="center" vertical="center" wrapText="1"/>
    </xf>
    <xf numFmtId="0" fontId="6" fillId="2" borderId="4" xfId="4" applyFont="1" applyFill="1" applyBorder="1" applyAlignment="1">
      <alignment horizontal="center" vertical="center" wrapText="1"/>
    </xf>
    <xf numFmtId="14" fontId="6" fillId="2" borderId="4" xfId="4" applyNumberFormat="1" applyFont="1" applyFill="1" applyBorder="1" applyAlignment="1">
      <alignment horizontal="center" vertical="center" wrapText="1"/>
    </xf>
    <xf numFmtId="0" fontId="6" fillId="2" borderId="5" xfId="4" applyFont="1" applyFill="1" applyBorder="1" applyAlignment="1">
      <alignment horizontal="center" vertical="center" wrapText="1"/>
    </xf>
    <xf numFmtId="0" fontId="7" fillId="0" borderId="0" xfId="0" applyFont="1"/>
    <xf numFmtId="14" fontId="7" fillId="0" borderId="0" xfId="0" applyNumberFormat="1" applyFont="1"/>
    <xf numFmtId="42" fontId="7" fillId="0" borderId="0" xfId="3" applyFont="1" applyBorder="1"/>
    <xf numFmtId="43" fontId="7" fillId="0" borderId="0" xfId="1" applyFont="1"/>
    <xf numFmtId="42" fontId="7" fillId="0" borderId="0" xfId="3" applyFont="1" applyBorder="1" applyAlignment="1">
      <alignment horizontal="center"/>
    </xf>
    <xf numFmtId="42" fontId="7" fillId="0" borderId="0" xfId="3" applyFont="1" applyFill="1" applyBorder="1"/>
    <xf numFmtId="166" fontId="7" fillId="0" borderId="0" xfId="3" applyNumberFormat="1" applyFont="1" applyBorder="1"/>
    <xf numFmtId="14" fontId="7" fillId="3" borderId="0" xfId="0" applyNumberFormat="1" applyFont="1" applyFill="1"/>
    <xf numFmtId="42" fontId="7" fillId="0" borderId="0" xfId="3" applyFont="1"/>
    <xf numFmtId="42" fontId="7" fillId="3" borderId="0" xfId="3" applyFont="1" applyFill="1"/>
    <xf numFmtId="0" fontId="2" fillId="0" borderId="0" xfId="0" applyFont="1"/>
    <xf numFmtId="0" fontId="2" fillId="0" borderId="0" xfId="0" applyFont="1" applyAlignment="1">
      <alignment horizontal="center"/>
    </xf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  <xf numFmtId="167" fontId="0" fillId="0" borderId="0" xfId="2" applyNumberFormat="1" applyFont="1"/>
    <xf numFmtId="0" fontId="8" fillId="5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left" vertical="center" wrapText="1"/>
    </xf>
    <xf numFmtId="0" fontId="8" fillId="6" borderId="6" xfId="0" applyFont="1" applyFill="1" applyBorder="1" applyAlignment="1">
      <alignment horizontal="center" vertical="center" wrapText="1"/>
    </xf>
    <xf numFmtId="1" fontId="9" fillId="4" borderId="6" xfId="0" applyNumberFormat="1" applyFont="1" applyFill="1" applyBorder="1"/>
    <xf numFmtId="49" fontId="9" fillId="4" borderId="6" xfId="0" applyNumberFormat="1" applyFont="1" applyFill="1" applyBorder="1"/>
    <xf numFmtId="0" fontId="9" fillId="4" borderId="6" xfId="0" applyFont="1" applyFill="1" applyBorder="1" applyAlignment="1">
      <alignment horizontal="left"/>
    </xf>
    <xf numFmtId="49" fontId="9" fillId="0" borderId="6" xfId="0" applyNumberFormat="1" applyFont="1" applyBorder="1"/>
    <xf numFmtId="0" fontId="9" fillId="0" borderId="6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</cellXfs>
  <cellStyles count="5">
    <cellStyle name="Millares" xfId="1" builtinId="3"/>
    <cellStyle name="Moneda" xfId="2" builtinId="4"/>
    <cellStyle name="Moneda [0]" xfId="3" builtinId="7"/>
    <cellStyle name="Normal" xfId="0" builtinId="0"/>
    <cellStyle name="Normal 2" xfId="4" xr:uid="{138E1D07-8A55-4A4F-B273-A4D6FD485DEB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border outline="0">
        <left style="medium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ndom_names_fossbytes (1)" connectionId="1" xr16:uid="{B6B513F6-7EE5-4CA8-8E64-220E799DEF84}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8F1782-AAEE-4489-B468-B969E8A9982E}" name="Tabla2" displayName="Tabla2" ref="B2:F470" totalsRowShown="0" headerRowDxfId="7" dataDxfId="6" tableBorderDxfId="5" headerRowCellStyle="Normal 2" dataCellStyle="Moneda [0]">
  <autoFilter ref="B2:F470" xr:uid="{AD3FE8DE-4C07-4C95-B0FC-92C95169AFBE}"/>
  <tableColumns count="5">
    <tableColumn id="1" xr3:uid="{105A0A27-DBD8-40A1-9DFE-5B2E42078372}" name="SEDE" dataDxfId="4"/>
    <tableColumn id="2" xr3:uid="{B37685CA-9762-4223-8F2E-D9C8A0BC9238}" name="CUENTA " dataDxfId="3"/>
    <tableColumn id="39" xr3:uid="{EBE6B20A-9F15-46F0-A794-C4F08B330D02}" name="FECHA" dataDxfId="2"/>
    <tableColumn id="3" xr3:uid="{4D9CC815-0A5C-4153-B129-895D71456434}" name="CONSUMO $" dataDxfId="1" dataCellStyle="Moneda [0]"/>
    <tableColumn id="4" xr3:uid="{985586D4-AA1C-4AE0-B32E-D94A80B0206C}" name="CONSUMO m3" dataDxfId="0" dataCellStyle="Millares">
      <calculatedColumnFormula>+Tabla2[[#This Row],[CONSUMO $]]/2500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6013-F368-4DA0-842D-542399A9749F}">
  <dimension ref="A1:L1743"/>
  <sheetViews>
    <sheetView tabSelected="1" topLeftCell="C1" zoomScale="45" zoomScaleNormal="55" workbookViewId="0">
      <selection activeCell="N8" sqref="N8"/>
    </sheetView>
  </sheetViews>
  <sheetFormatPr baseColWidth="10" defaultRowHeight="14.4" x14ac:dyDescent="0.3"/>
  <cols>
    <col min="2" max="2" width="64.88671875" customWidth="1"/>
    <col min="3" max="3" width="18.88671875" customWidth="1"/>
    <col min="6" max="6" width="55.44140625" customWidth="1"/>
    <col min="7" max="7" width="41.109375" customWidth="1"/>
    <col min="8" max="8" width="54.33203125" customWidth="1"/>
    <col min="9" max="10" width="79.6640625" customWidth="1"/>
    <col min="11" max="11" width="34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1644</v>
      </c>
      <c r="K1" t="s">
        <v>9</v>
      </c>
      <c r="L1" t="s">
        <v>1643</v>
      </c>
    </row>
    <row r="2" spans="1:12" x14ac:dyDescent="0.3">
      <c r="A2">
        <v>1</v>
      </c>
      <c r="B2" t="s">
        <v>1550</v>
      </c>
      <c r="C2">
        <v>43831</v>
      </c>
      <c r="D2">
        <v>2020</v>
      </c>
      <c r="E2" t="s">
        <v>10</v>
      </c>
      <c r="F2" t="s">
        <v>1554</v>
      </c>
      <c r="G2" t="s">
        <v>11</v>
      </c>
      <c r="H2" s="1" t="s">
        <v>1567</v>
      </c>
      <c r="I2" t="s">
        <v>1577</v>
      </c>
      <c r="J2" s="2">
        <v>1894198</v>
      </c>
      <c r="K2" t="s">
        <v>12</v>
      </c>
      <c r="L2" t="s">
        <v>1650</v>
      </c>
    </row>
    <row r="3" spans="1:12" x14ac:dyDescent="0.3">
      <c r="A3">
        <v>2</v>
      </c>
      <c r="B3" t="s">
        <v>1551</v>
      </c>
      <c r="C3">
        <v>44166</v>
      </c>
      <c r="D3">
        <v>2020</v>
      </c>
      <c r="E3" t="s">
        <v>10</v>
      </c>
      <c r="F3" t="s">
        <v>1554</v>
      </c>
      <c r="G3" t="s">
        <v>11</v>
      </c>
      <c r="H3" s="1" t="s">
        <v>1565</v>
      </c>
      <c r="I3" t="s">
        <v>1577</v>
      </c>
      <c r="J3" s="2">
        <v>2190946</v>
      </c>
      <c r="K3" t="s">
        <v>12</v>
      </c>
      <c r="L3" t="s">
        <v>1653</v>
      </c>
    </row>
    <row r="4" spans="1:12" x14ac:dyDescent="0.3">
      <c r="A4">
        <v>3</v>
      </c>
      <c r="B4" t="s">
        <v>13</v>
      </c>
      <c r="C4">
        <v>43881.51666666667</v>
      </c>
      <c r="D4">
        <v>2020</v>
      </c>
      <c r="E4" t="s">
        <v>10</v>
      </c>
      <c r="F4" t="s">
        <v>1554</v>
      </c>
      <c r="G4" t="s">
        <v>11</v>
      </c>
      <c r="H4" s="1" t="s">
        <v>1563</v>
      </c>
      <c r="I4" t="s">
        <v>1577</v>
      </c>
      <c r="J4" s="2">
        <v>2839815</v>
      </c>
      <c r="K4" t="s">
        <v>12</v>
      </c>
      <c r="L4" t="s">
        <v>1649</v>
      </c>
    </row>
    <row r="5" spans="1:12" x14ac:dyDescent="0.3">
      <c r="A5">
        <v>4</v>
      </c>
      <c r="B5" t="s">
        <v>14</v>
      </c>
      <c r="C5">
        <v>43881.557638888888</v>
      </c>
      <c r="D5">
        <v>2020</v>
      </c>
      <c r="E5" t="s">
        <v>10</v>
      </c>
      <c r="F5" t="s">
        <v>1553</v>
      </c>
      <c r="G5" t="s">
        <v>15</v>
      </c>
      <c r="H5" s="1" t="s">
        <v>1570</v>
      </c>
      <c r="I5" t="s">
        <v>1578</v>
      </c>
      <c r="J5" s="2">
        <v>2659494</v>
      </c>
      <c r="K5" t="s">
        <v>16</v>
      </c>
      <c r="L5" t="s">
        <v>1648</v>
      </c>
    </row>
    <row r="6" spans="1:12" x14ac:dyDescent="0.3">
      <c r="A6">
        <v>5</v>
      </c>
      <c r="B6" t="s">
        <v>17</v>
      </c>
      <c r="C6">
        <v>43882.354166666664</v>
      </c>
      <c r="D6">
        <v>2020</v>
      </c>
      <c r="E6" t="s">
        <v>10</v>
      </c>
      <c r="F6" t="s">
        <v>1552</v>
      </c>
      <c r="G6" t="s">
        <v>18</v>
      </c>
      <c r="H6" s="1" t="s">
        <v>1562</v>
      </c>
      <c r="I6" t="s">
        <v>1579</v>
      </c>
      <c r="J6" s="2">
        <v>4330326</v>
      </c>
      <c r="L6" t="s">
        <v>1649</v>
      </c>
    </row>
    <row r="7" spans="1:12" x14ac:dyDescent="0.3">
      <c r="A7">
        <v>6</v>
      </c>
      <c r="B7" t="s">
        <v>19</v>
      </c>
      <c r="C7">
        <v>43882.430555555555</v>
      </c>
      <c r="D7">
        <v>2020</v>
      </c>
      <c r="E7" t="s">
        <v>10</v>
      </c>
      <c r="F7" t="s">
        <v>20</v>
      </c>
      <c r="G7" t="s">
        <v>21</v>
      </c>
      <c r="H7" s="1" t="s">
        <v>1575</v>
      </c>
      <c r="I7" t="s">
        <v>1577</v>
      </c>
      <c r="J7" s="2">
        <v>1951592</v>
      </c>
      <c r="K7" t="s">
        <v>12</v>
      </c>
      <c r="L7" t="s">
        <v>1653</v>
      </c>
    </row>
    <row r="8" spans="1:12" x14ac:dyDescent="0.3">
      <c r="A8">
        <v>7</v>
      </c>
      <c r="B8" t="s">
        <v>22</v>
      </c>
      <c r="C8">
        <v>43882.48333333333</v>
      </c>
      <c r="D8">
        <v>2020</v>
      </c>
      <c r="E8" t="s">
        <v>10</v>
      </c>
      <c r="F8" t="s">
        <v>1555</v>
      </c>
      <c r="G8" t="s">
        <v>23</v>
      </c>
      <c r="H8" s="1" t="s">
        <v>1575</v>
      </c>
      <c r="I8" t="s">
        <v>1580</v>
      </c>
      <c r="J8" s="2">
        <v>1389695</v>
      </c>
      <c r="K8" t="s">
        <v>16</v>
      </c>
      <c r="L8" t="s">
        <v>1651</v>
      </c>
    </row>
    <row r="9" spans="1:12" x14ac:dyDescent="0.3">
      <c r="A9">
        <v>8</v>
      </c>
      <c r="B9" t="s">
        <v>24</v>
      </c>
      <c r="C9">
        <v>43882.538194444445</v>
      </c>
      <c r="D9">
        <v>2020</v>
      </c>
      <c r="E9" t="s">
        <v>10</v>
      </c>
      <c r="F9" t="s">
        <v>1553</v>
      </c>
      <c r="G9" t="s">
        <v>18</v>
      </c>
      <c r="H9" s="1" t="s">
        <v>1575</v>
      </c>
      <c r="I9" t="s">
        <v>1577</v>
      </c>
      <c r="J9" s="2">
        <v>1758561</v>
      </c>
      <c r="K9" t="s">
        <v>12</v>
      </c>
      <c r="L9" t="s">
        <v>1648</v>
      </c>
    </row>
    <row r="10" spans="1:12" x14ac:dyDescent="0.3">
      <c r="A10">
        <v>9</v>
      </c>
      <c r="B10" t="s">
        <v>25</v>
      </c>
      <c r="C10">
        <v>43885.404861111114</v>
      </c>
      <c r="D10">
        <v>2020</v>
      </c>
      <c r="E10" t="s">
        <v>10</v>
      </c>
      <c r="F10" t="s">
        <v>1556</v>
      </c>
      <c r="G10" t="s">
        <v>15</v>
      </c>
      <c r="H10" s="1" t="s">
        <v>1575</v>
      </c>
      <c r="I10" t="s">
        <v>1581</v>
      </c>
      <c r="J10" s="2">
        <v>4112620</v>
      </c>
      <c r="K10" t="s">
        <v>16</v>
      </c>
      <c r="L10" t="s">
        <v>1653</v>
      </c>
    </row>
    <row r="11" spans="1:12" x14ac:dyDescent="0.3">
      <c r="A11">
        <v>10</v>
      </c>
      <c r="B11" t="s">
        <v>26</v>
      </c>
      <c r="C11">
        <v>43885.477777777778</v>
      </c>
      <c r="D11">
        <v>2020</v>
      </c>
      <c r="E11" t="s">
        <v>10</v>
      </c>
      <c r="F11" t="s">
        <v>1556</v>
      </c>
      <c r="G11" t="s">
        <v>18</v>
      </c>
      <c r="H11" s="1" t="s">
        <v>1575</v>
      </c>
      <c r="I11" t="s">
        <v>1579</v>
      </c>
      <c r="J11" s="2">
        <v>3073708</v>
      </c>
      <c r="L11" t="s">
        <v>1653</v>
      </c>
    </row>
    <row r="12" spans="1:12" x14ac:dyDescent="0.3">
      <c r="A12">
        <v>11</v>
      </c>
      <c r="B12" t="s">
        <v>27</v>
      </c>
      <c r="C12">
        <v>43885.668055555558</v>
      </c>
      <c r="D12">
        <v>2020</v>
      </c>
      <c r="E12" t="s">
        <v>10</v>
      </c>
      <c r="F12" t="s">
        <v>1556</v>
      </c>
      <c r="G12" t="s">
        <v>11</v>
      </c>
      <c r="H12" s="1" t="s">
        <v>1575</v>
      </c>
      <c r="I12" t="s">
        <v>1577</v>
      </c>
      <c r="J12" s="2">
        <v>4134075</v>
      </c>
      <c r="K12" t="s">
        <v>12</v>
      </c>
      <c r="L12" t="s">
        <v>1648</v>
      </c>
    </row>
    <row r="13" spans="1:12" x14ac:dyDescent="0.3">
      <c r="A13">
        <v>12</v>
      </c>
      <c r="B13" t="s">
        <v>28</v>
      </c>
      <c r="C13">
        <v>43886.454861111109</v>
      </c>
      <c r="D13">
        <v>2020</v>
      </c>
      <c r="E13" t="s">
        <v>10</v>
      </c>
      <c r="F13" t="s">
        <v>1556</v>
      </c>
      <c r="G13" t="s">
        <v>15</v>
      </c>
      <c r="H13" s="1" t="s">
        <v>1575</v>
      </c>
      <c r="I13" t="s">
        <v>1582</v>
      </c>
      <c r="J13" s="2">
        <v>4274046</v>
      </c>
      <c r="K13" t="s">
        <v>16</v>
      </c>
      <c r="L13" t="s">
        <v>1651</v>
      </c>
    </row>
    <row r="14" spans="1:12" x14ac:dyDescent="0.3">
      <c r="A14">
        <v>13</v>
      </c>
      <c r="B14" t="s">
        <v>30</v>
      </c>
      <c r="C14">
        <v>43886.53125</v>
      </c>
      <c r="D14">
        <v>2020</v>
      </c>
      <c r="E14" t="s">
        <v>10</v>
      </c>
      <c r="F14" t="s">
        <v>1556</v>
      </c>
      <c r="G14" t="s">
        <v>21</v>
      </c>
      <c r="H14" s="1" t="s">
        <v>1575</v>
      </c>
      <c r="I14" t="s">
        <v>1579</v>
      </c>
      <c r="J14" s="2">
        <v>4073740</v>
      </c>
      <c r="L14" t="s">
        <v>1652</v>
      </c>
    </row>
    <row r="15" spans="1:12" x14ac:dyDescent="0.3">
      <c r="A15">
        <v>14</v>
      </c>
      <c r="B15" t="s">
        <v>31</v>
      </c>
      <c r="C15">
        <v>43886.543749999997</v>
      </c>
      <c r="D15">
        <v>2020</v>
      </c>
      <c r="E15" t="s">
        <v>10</v>
      </c>
      <c r="F15" t="s">
        <v>1556</v>
      </c>
      <c r="G15" t="s">
        <v>21</v>
      </c>
      <c r="H15" s="1" t="s">
        <v>1575</v>
      </c>
      <c r="I15" t="s">
        <v>1583</v>
      </c>
      <c r="J15" s="2">
        <v>1125957</v>
      </c>
      <c r="K15" t="s">
        <v>12</v>
      </c>
      <c r="L15" t="s">
        <v>1653</v>
      </c>
    </row>
    <row r="16" spans="1:12" x14ac:dyDescent="0.3">
      <c r="A16">
        <v>15</v>
      </c>
      <c r="B16" t="s">
        <v>32</v>
      </c>
      <c r="C16">
        <v>43886.6875</v>
      </c>
      <c r="D16">
        <v>2020</v>
      </c>
      <c r="E16" t="s">
        <v>10</v>
      </c>
      <c r="F16" t="s">
        <v>1556</v>
      </c>
      <c r="G16" t="s">
        <v>18</v>
      </c>
      <c r="H16" s="1" t="s">
        <v>1575</v>
      </c>
      <c r="I16" t="s">
        <v>1584</v>
      </c>
      <c r="J16" s="2">
        <v>3762494</v>
      </c>
      <c r="K16" t="s">
        <v>12</v>
      </c>
      <c r="L16" t="s">
        <v>1652</v>
      </c>
    </row>
    <row r="17" spans="1:12" x14ac:dyDescent="0.3">
      <c r="A17">
        <v>16</v>
      </c>
      <c r="B17" t="s">
        <v>33</v>
      </c>
      <c r="C17">
        <v>43888.378472222219</v>
      </c>
      <c r="D17">
        <v>2020</v>
      </c>
      <c r="E17" t="s">
        <v>10</v>
      </c>
      <c r="F17" t="s">
        <v>1556</v>
      </c>
      <c r="G17" t="s">
        <v>15</v>
      </c>
      <c r="H17" s="1" t="s">
        <v>1575</v>
      </c>
      <c r="I17" t="s">
        <v>1585</v>
      </c>
      <c r="J17" s="2">
        <v>2840594</v>
      </c>
      <c r="K17" t="s">
        <v>12</v>
      </c>
      <c r="L17" t="s">
        <v>1651</v>
      </c>
    </row>
    <row r="18" spans="1:12" x14ac:dyDescent="0.3">
      <c r="A18">
        <v>17</v>
      </c>
      <c r="B18" t="s">
        <v>34</v>
      </c>
      <c r="C18">
        <v>43888.430555555555</v>
      </c>
      <c r="D18">
        <v>2020</v>
      </c>
      <c r="E18" t="s">
        <v>10</v>
      </c>
      <c r="F18" t="s">
        <v>1556</v>
      </c>
      <c r="G18" t="s">
        <v>35</v>
      </c>
      <c r="H18" s="1" t="s">
        <v>1575</v>
      </c>
      <c r="I18" t="s">
        <v>1578</v>
      </c>
      <c r="J18" s="2">
        <v>2476436</v>
      </c>
      <c r="K18" t="s">
        <v>16</v>
      </c>
      <c r="L18" t="s">
        <v>1652</v>
      </c>
    </row>
    <row r="19" spans="1:12" x14ac:dyDescent="0.3">
      <c r="A19">
        <v>18</v>
      </c>
      <c r="B19" t="s">
        <v>34</v>
      </c>
      <c r="C19">
        <v>43888.431250000001</v>
      </c>
      <c r="D19">
        <v>2020</v>
      </c>
      <c r="E19" t="s">
        <v>10</v>
      </c>
      <c r="F19" t="s">
        <v>1553</v>
      </c>
      <c r="G19" t="s">
        <v>35</v>
      </c>
      <c r="H19" s="1" t="s">
        <v>1575</v>
      </c>
      <c r="I19" t="s">
        <v>1578</v>
      </c>
      <c r="J19" s="2">
        <v>3633604</v>
      </c>
      <c r="K19" t="s">
        <v>16</v>
      </c>
      <c r="L19" t="s">
        <v>1653</v>
      </c>
    </row>
    <row r="20" spans="1:12" x14ac:dyDescent="0.3">
      <c r="A20">
        <v>19</v>
      </c>
      <c r="B20" t="s">
        <v>36</v>
      </c>
      <c r="C20">
        <v>43888.631944444445</v>
      </c>
      <c r="D20">
        <v>2020</v>
      </c>
      <c r="E20" t="s">
        <v>10</v>
      </c>
      <c r="F20" t="s">
        <v>1553</v>
      </c>
      <c r="G20" t="s">
        <v>15</v>
      </c>
      <c r="H20" s="1" t="s">
        <v>1575</v>
      </c>
      <c r="I20" t="s">
        <v>1586</v>
      </c>
      <c r="J20" s="2">
        <v>1386730</v>
      </c>
      <c r="L20" t="s">
        <v>1650</v>
      </c>
    </row>
    <row r="21" spans="1:12" x14ac:dyDescent="0.3">
      <c r="A21">
        <v>20</v>
      </c>
      <c r="B21" t="s">
        <v>37</v>
      </c>
      <c r="C21">
        <v>43888.695833333331</v>
      </c>
      <c r="D21">
        <v>2020</v>
      </c>
      <c r="E21" t="s">
        <v>10</v>
      </c>
      <c r="F21" t="s">
        <v>1554</v>
      </c>
      <c r="G21" t="s">
        <v>18</v>
      </c>
      <c r="H21" s="1" t="s">
        <v>1575</v>
      </c>
      <c r="I21" t="s">
        <v>1584</v>
      </c>
      <c r="J21" s="2">
        <v>3894045</v>
      </c>
      <c r="K21" t="s">
        <v>12</v>
      </c>
      <c r="L21" t="s">
        <v>1652</v>
      </c>
    </row>
    <row r="22" spans="1:12" x14ac:dyDescent="0.3">
      <c r="A22">
        <v>21</v>
      </c>
      <c r="B22" t="s">
        <v>38</v>
      </c>
      <c r="C22">
        <v>43888.72152777778</v>
      </c>
      <c r="D22">
        <v>2020</v>
      </c>
      <c r="E22" t="s">
        <v>10</v>
      </c>
      <c r="F22" t="s">
        <v>1553</v>
      </c>
      <c r="G22" t="s">
        <v>15</v>
      </c>
      <c r="H22" s="1" t="s">
        <v>1575</v>
      </c>
      <c r="I22" t="s">
        <v>1587</v>
      </c>
      <c r="J22" s="2">
        <v>3284144</v>
      </c>
      <c r="K22" t="s">
        <v>12</v>
      </c>
      <c r="L22" t="s">
        <v>1652</v>
      </c>
    </row>
    <row r="23" spans="1:12" x14ac:dyDescent="0.3">
      <c r="A23">
        <v>22</v>
      </c>
      <c r="B23" t="s">
        <v>39</v>
      </c>
      <c r="C23">
        <v>43889.397916666669</v>
      </c>
      <c r="D23">
        <v>2020</v>
      </c>
      <c r="E23" t="s">
        <v>10</v>
      </c>
      <c r="F23" t="s">
        <v>1553</v>
      </c>
      <c r="G23" t="s">
        <v>11</v>
      </c>
      <c r="H23" s="1" t="s">
        <v>1575</v>
      </c>
      <c r="I23" t="s">
        <v>1588</v>
      </c>
      <c r="J23" s="2">
        <v>4831342</v>
      </c>
      <c r="K23" t="s">
        <v>16</v>
      </c>
      <c r="L23" t="s">
        <v>1650</v>
      </c>
    </row>
    <row r="24" spans="1:12" x14ac:dyDescent="0.3">
      <c r="A24">
        <v>23</v>
      </c>
      <c r="B24" t="s">
        <v>40</v>
      </c>
      <c r="C24">
        <v>43889.56527777778</v>
      </c>
      <c r="D24">
        <v>2020</v>
      </c>
      <c r="E24" t="s">
        <v>10</v>
      </c>
      <c r="F24" t="s">
        <v>1553</v>
      </c>
      <c r="G24" t="s">
        <v>18</v>
      </c>
      <c r="H24" s="1" t="s">
        <v>1575</v>
      </c>
      <c r="I24" t="s">
        <v>1587</v>
      </c>
      <c r="J24" s="2">
        <v>2875426</v>
      </c>
      <c r="K24" t="s">
        <v>12</v>
      </c>
      <c r="L24" t="s">
        <v>1651</v>
      </c>
    </row>
    <row r="25" spans="1:12" x14ac:dyDescent="0.3">
      <c r="A25">
        <v>24</v>
      </c>
      <c r="B25" t="s">
        <v>41</v>
      </c>
      <c r="C25">
        <v>43889.618750000001</v>
      </c>
      <c r="D25">
        <v>2020</v>
      </c>
      <c r="E25" t="s">
        <v>10</v>
      </c>
      <c r="F25" t="s">
        <v>1557</v>
      </c>
      <c r="G25" t="s">
        <v>42</v>
      </c>
      <c r="H25" s="1" t="s">
        <v>1575</v>
      </c>
      <c r="I25" t="s">
        <v>1587</v>
      </c>
      <c r="J25" s="2">
        <v>2419763</v>
      </c>
      <c r="K25" t="s">
        <v>12</v>
      </c>
      <c r="L25" t="s">
        <v>1649</v>
      </c>
    </row>
    <row r="26" spans="1:12" x14ac:dyDescent="0.3">
      <c r="A26">
        <v>25</v>
      </c>
      <c r="B26" t="s">
        <v>43</v>
      </c>
      <c r="C26">
        <v>43892.493750000001</v>
      </c>
      <c r="D26">
        <v>2020</v>
      </c>
      <c r="E26" t="s">
        <v>10</v>
      </c>
      <c r="F26" t="s">
        <v>1557</v>
      </c>
      <c r="G26" t="s">
        <v>44</v>
      </c>
      <c r="H26" s="1" t="s">
        <v>1575</v>
      </c>
      <c r="I26" t="s">
        <v>1578</v>
      </c>
      <c r="J26" s="2">
        <v>2143353</v>
      </c>
      <c r="K26" t="s">
        <v>16</v>
      </c>
      <c r="L26" t="s">
        <v>1648</v>
      </c>
    </row>
    <row r="27" spans="1:12" x14ac:dyDescent="0.3">
      <c r="A27">
        <v>26</v>
      </c>
      <c r="B27" t="s">
        <v>45</v>
      </c>
      <c r="C27">
        <v>43892.666666666664</v>
      </c>
      <c r="D27">
        <v>2020</v>
      </c>
      <c r="E27" t="s">
        <v>10</v>
      </c>
      <c r="F27" t="s">
        <v>1557</v>
      </c>
      <c r="G27" t="s">
        <v>18</v>
      </c>
      <c r="H27" s="1" t="s">
        <v>1575</v>
      </c>
      <c r="I27" t="s">
        <v>1589</v>
      </c>
      <c r="J27" s="2">
        <v>2097599</v>
      </c>
      <c r="K27" t="s">
        <v>12</v>
      </c>
      <c r="L27" t="s">
        <v>1652</v>
      </c>
    </row>
    <row r="28" spans="1:12" x14ac:dyDescent="0.3">
      <c r="A28">
        <v>27</v>
      </c>
      <c r="B28" t="s">
        <v>46</v>
      </c>
      <c r="C28">
        <v>43893.436111111114</v>
      </c>
      <c r="D28">
        <v>2020</v>
      </c>
      <c r="E28" t="s">
        <v>10</v>
      </c>
      <c r="F28" t="s">
        <v>1557</v>
      </c>
      <c r="G28" t="s">
        <v>44</v>
      </c>
      <c r="H28" s="1" t="s">
        <v>1575</v>
      </c>
      <c r="I28" t="s">
        <v>1590</v>
      </c>
      <c r="J28" s="2">
        <v>2517467</v>
      </c>
      <c r="K28" t="s">
        <v>12</v>
      </c>
      <c r="L28" t="s">
        <v>1649</v>
      </c>
    </row>
    <row r="29" spans="1:12" x14ac:dyDescent="0.3">
      <c r="A29">
        <v>28</v>
      </c>
      <c r="B29" t="s">
        <v>47</v>
      </c>
      <c r="C29">
        <v>43893.484027777777</v>
      </c>
      <c r="D29">
        <v>2020</v>
      </c>
      <c r="E29" t="s">
        <v>10</v>
      </c>
      <c r="F29" t="s">
        <v>1557</v>
      </c>
      <c r="G29" t="s">
        <v>49</v>
      </c>
      <c r="H29" s="1" t="s">
        <v>1575</v>
      </c>
      <c r="I29" t="s">
        <v>1578</v>
      </c>
      <c r="J29" s="2">
        <v>4415045</v>
      </c>
      <c r="K29" t="s">
        <v>16</v>
      </c>
      <c r="L29" t="s">
        <v>1651</v>
      </c>
    </row>
    <row r="30" spans="1:12" x14ac:dyDescent="0.3">
      <c r="A30">
        <v>29</v>
      </c>
      <c r="B30" t="s">
        <v>50</v>
      </c>
      <c r="C30">
        <v>43894.338888888888</v>
      </c>
      <c r="D30">
        <v>2020</v>
      </c>
      <c r="E30" t="s">
        <v>10</v>
      </c>
      <c r="F30" t="s">
        <v>1557</v>
      </c>
      <c r="G30" t="s">
        <v>15</v>
      </c>
      <c r="H30" s="1" t="s">
        <v>1575</v>
      </c>
      <c r="I30" t="s">
        <v>1591</v>
      </c>
      <c r="J30" s="2">
        <v>1401352</v>
      </c>
      <c r="L30" t="s">
        <v>1653</v>
      </c>
    </row>
    <row r="31" spans="1:12" x14ac:dyDescent="0.3">
      <c r="A31">
        <v>30</v>
      </c>
      <c r="B31" t="s">
        <v>51</v>
      </c>
      <c r="C31">
        <v>43894.397916666669</v>
      </c>
      <c r="D31">
        <v>2020</v>
      </c>
      <c r="E31" t="s">
        <v>10</v>
      </c>
      <c r="F31" t="s">
        <v>1557</v>
      </c>
      <c r="G31" t="s">
        <v>11</v>
      </c>
      <c r="H31" s="1" t="s">
        <v>1575</v>
      </c>
      <c r="I31" t="s">
        <v>1577</v>
      </c>
      <c r="J31" s="2">
        <v>1240822</v>
      </c>
      <c r="K31" t="s">
        <v>12</v>
      </c>
      <c r="L31" t="s">
        <v>1648</v>
      </c>
    </row>
    <row r="32" spans="1:12" x14ac:dyDescent="0.3">
      <c r="A32">
        <v>31</v>
      </c>
      <c r="B32" t="s">
        <v>52</v>
      </c>
      <c r="C32">
        <v>43894.404166666667</v>
      </c>
      <c r="D32">
        <v>2020</v>
      </c>
      <c r="E32" t="s">
        <v>10</v>
      </c>
      <c r="F32" t="s">
        <v>1557</v>
      </c>
      <c r="G32" t="s">
        <v>11</v>
      </c>
      <c r="H32" s="1" t="s">
        <v>1575</v>
      </c>
      <c r="I32" t="s">
        <v>1592</v>
      </c>
      <c r="J32" s="2">
        <v>2436880</v>
      </c>
      <c r="K32" t="s">
        <v>53</v>
      </c>
      <c r="L32" t="s">
        <v>1649</v>
      </c>
    </row>
    <row r="33" spans="1:12" x14ac:dyDescent="0.3">
      <c r="A33">
        <v>32</v>
      </c>
      <c r="B33" t="s">
        <v>54</v>
      </c>
      <c r="C33">
        <v>43894.44027777778</v>
      </c>
      <c r="D33">
        <v>2020</v>
      </c>
      <c r="E33" t="s">
        <v>10</v>
      </c>
      <c r="F33" t="s">
        <v>1557</v>
      </c>
      <c r="G33" t="s">
        <v>18</v>
      </c>
      <c r="H33" s="1" t="s">
        <v>1565</v>
      </c>
      <c r="I33" t="s">
        <v>1589</v>
      </c>
      <c r="J33" s="2">
        <v>1017194</v>
      </c>
      <c r="K33" t="s">
        <v>12</v>
      </c>
      <c r="L33" t="s">
        <v>1651</v>
      </c>
    </row>
    <row r="34" spans="1:12" x14ac:dyDescent="0.3">
      <c r="A34">
        <v>33</v>
      </c>
      <c r="B34" t="s">
        <v>52</v>
      </c>
      <c r="C34">
        <v>43894.683333333334</v>
      </c>
      <c r="D34">
        <v>2020</v>
      </c>
      <c r="E34" t="s">
        <v>10</v>
      </c>
      <c r="F34" t="s">
        <v>1557</v>
      </c>
      <c r="G34" t="s">
        <v>11</v>
      </c>
      <c r="H34" s="1" t="s">
        <v>1565</v>
      </c>
      <c r="I34" t="s">
        <v>1588</v>
      </c>
      <c r="J34" s="2">
        <v>4601852</v>
      </c>
      <c r="K34" t="s">
        <v>16</v>
      </c>
      <c r="L34" t="s">
        <v>1651</v>
      </c>
    </row>
    <row r="35" spans="1:12" x14ac:dyDescent="0.3">
      <c r="A35">
        <v>34</v>
      </c>
      <c r="B35" t="s">
        <v>55</v>
      </c>
      <c r="C35">
        <v>43894.693055555559</v>
      </c>
      <c r="D35">
        <v>2020</v>
      </c>
      <c r="E35" t="s">
        <v>10</v>
      </c>
      <c r="F35" t="s">
        <v>1557</v>
      </c>
      <c r="G35" t="s">
        <v>11</v>
      </c>
      <c r="H35" s="1" t="s">
        <v>1565</v>
      </c>
      <c r="I35" t="s">
        <v>1593</v>
      </c>
      <c r="J35" s="2">
        <v>1378089</v>
      </c>
      <c r="K35" t="s">
        <v>12</v>
      </c>
      <c r="L35" t="s">
        <v>1651</v>
      </c>
    </row>
    <row r="36" spans="1:12" x14ac:dyDescent="0.3">
      <c r="A36">
        <v>35</v>
      </c>
      <c r="B36" t="s">
        <v>56</v>
      </c>
      <c r="C36">
        <v>43895.295138888891</v>
      </c>
      <c r="D36">
        <v>2020</v>
      </c>
      <c r="E36" t="s">
        <v>10</v>
      </c>
      <c r="F36" t="s">
        <v>1557</v>
      </c>
      <c r="G36" t="s">
        <v>57</v>
      </c>
      <c r="H36" s="1" t="s">
        <v>1565</v>
      </c>
      <c r="I36" t="s">
        <v>1587</v>
      </c>
      <c r="J36" s="2">
        <v>1285474</v>
      </c>
      <c r="K36" t="s">
        <v>12</v>
      </c>
      <c r="L36" t="s">
        <v>1653</v>
      </c>
    </row>
    <row r="37" spans="1:12" x14ac:dyDescent="0.3">
      <c r="A37">
        <v>36</v>
      </c>
      <c r="B37" t="s">
        <v>58</v>
      </c>
      <c r="C37">
        <v>43895.351388888892</v>
      </c>
      <c r="D37">
        <v>2020</v>
      </c>
      <c r="E37" t="s">
        <v>10</v>
      </c>
      <c r="F37" t="s">
        <v>1553</v>
      </c>
      <c r="G37" t="s">
        <v>15</v>
      </c>
      <c r="H37" s="1" t="s">
        <v>1565</v>
      </c>
      <c r="I37" t="s">
        <v>1594</v>
      </c>
      <c r="J37" s="2">
        <v>4062932</v>
      </c>
      <c r="K37" t="s">
        <v>59</v>
      </c>
      <c r="L37" t="s">
        <v>1648</v>
      </c>
    </row>
    <row r="38" spans="1:12" x14ac:dyDescent="0.3">
      <c r="A38">
        <v>37</v>
      </c>
      <c r="B38" t="s">
        <v>60</v>
      </c>
      <c r="C38">
        <v>43895.379861111112</v>
      </c>
      <c r="D38">
        <v>2020</v>
      </c>
      <c r="E38" t="s">
        <v>10</v>
      </c>
      <c r="F38" t="s">
        <v>1553</v>
      </c>
      <c r="G38" t="s">
        <v>62</v>
      </c>
      <c r="H38" s="1" t="s">
        <v>1565</v>
      </c>
      <c r="I38" t="s">
        <v>1579</v>
      </c>
      <c r="J38" s="2">
        <v>4712154</v>
      </c>
      <c r="K38" t="s">
        <v>63</v>
      </c>
      <c r="L38" t="s">
        <v>1649</v>
      </c>
    </row>
    <row r="39" spans="1:12" x14ac:dyDescent="0.3">
      <c r="A39">
        <v>38</v>
      </c>
      <c r="B39" t="s">
        <v>64</v>
      </c>
      <c r="C39">
        <v>43895.386805555558</v>
      </c>
      <c r="D39">
        <v>2020</v>
      </c>
      <c r="E39" t="s">
        <v>10</v>
      </c>
      <c r="F39" t="s">
        <v>1553</v>
      </c>
      <c r="G39" t="s">
        <v>65</v>
      </c>
      <c r="H39" s="1" t="s">
        <v>1565</v>
      </c>
      <c r="I39" t="s">
        <v>1578</v>
      </c>
      <c r="J39" s="2">
        <v>4505731</v>
      </c>
      <c r="K39" t="s">
        <v>16</v>
      </c>
      <c r="L39" t="s">
        <v>1648</v>
      </c>
    </row>
    <row r="40" spans="1:12" x14ac:dyDescent="0.3">
      <c r="A40">
        <v>39</v>
      </c>
      <c r="B40" t="s">
        <v>66</v>
      </c>
      <c r="C40">
        <v>43895.443055555559</v>
      </c>
      <c r="D40">
        <v>2020</v>
      </c>
      <c r="E40" t="s">
        <v>10</v>
      </c>
      <c r="F40" t="s">
        <v>1554</v>
      </c>
      <c r="G40" t="s">
        <v>67</v>
      </c>
      <c r="H40" s="1" t="s">
        <v>1565</v>
      </c>
      <c r="I40" t="s">
        <v>1595</v>
      </c>
      <c r="J40" s="2">
        <v>3051683</v>
      </c>
      <c r="K40" t="s">
        <v>12</v>
      </c>
      <c r="L40" t="s">
        <v>1648</v>
      </c>
    </row>
    <row r="41" spans="1:12" x14ac:dyDescent="0.3">
      <c r="A41">
        <v>40</v>
      </c>
      <c r="B41" t="s">
        <v>68</v>
      </c>
      <c r="C41">
        <v>43895.490277777775</v>
      </c>
      <c r="D41">
        <v>2020</v>
      </c>
      <c r="E41" t="s">
        <v>10</v>
      </c>
      <c r="F41" t="s">
        <v>1554</v>
      </c>
      <c r="G41" t="s">
        <v>57</v>
      </c>
      <c r="H41" s="1" t="s">
        <v>1565</v>
      </c>
      <c r="I41" t="s">
        <v>1588</v>
      </c>
      <c r="J41" s="2">
        <v>1990705</v>
      </c>
      <c r="K41" t="s">
        <v>16</v>
      </c>
      <c r="L41" t="s">
        <v>1652</v>
      </c>
    </row>
    <row r="42" spans="1:12" x14ac:dyDescent="0.3">
      <c r="A42">
        <v>41</v>
      </c>
      <c r="B42" t="s">
        <v>68</v>
      </c>
      <c r="C42">
        <v>43895.490972222222</v>
      </c>
      <c r="D42">
        <v>2020</v>
      </c>
      <c r="E42" t="s">
        <v>10</v>
      </c>
      <c r="F42" t="s">
        <v>1561</v>
      </c>
      <c r="G42" t="s">
        <v>57</v>
      </c>
      <c r="H42" s="1" t="s">
        <v>1565</v>
      </c>
      <c r="I42" t="s">
        <v>1588</v>
      </c>
      <c r="J42" s="2">
        <v>1702119</v>
      </c>
      <c r="K42" t="s">
        <v>16</v>
      </c>
      <c r="L42" t="s">
        <v>1649</v>
      </c>
    </row>
    <row r="43" spans="1:12" x14ac:dyDescent="0.3">
      <c r="A43">
        <v>42</v>
      </c>
      <c r="B43" t="s">
        <v>69</v>
      </c>
      <c r="C43">
        <v>43895.661111111112</v>
      </c>
      <c r="D43">
        <v>2020</v>
      </c>
      <c r="E43" t="s">
        <v>10</v>
      </c>
      <c r="F43" t="s">
        <v>1561</v>
      </c>
      <c r="G43" t="s">
        <v>15</v>
      </c>
      <c r="H43" s="1" t="s">
        <v>1565</v>
      </c>
      <c r="I43" t="s">
        <v>1578</v>
      </c>
      <c r="J43" s="2">
        <v>1884275</v>
      </c>
      <c r="K43" t="s">
        <v>16</v>
      </c>
      <c r="L43" t="s">
        <v>1650</v>
      </c>
    </row>
    <row r="44" spans="1:12" x14ac:dyDescent="0.3">
      <c r="A44">
        <v>43</v>
      </c>
      <c r="B44" t="s">
        <v>71</v>
      </c>
      <c r="C44">
        <v>43895.663888888892</v>
      </c>
      <c r="D44">
        <v>2020</v>
      </c>
      <c r="E44" t="s">
        <v>10</v>
      </c>
      <c r="F44" t="s">
        <v>70</v>
      </c>
      <c r="G44" t="s">
        <v>15</v>
      </c>
      <c r="H44" s="1" t="s">
        <v>1565</v>
      </c>
      <c r="I44" t="s">
        <v>1578</v>
      </c>
      <c r="J44" s="2">
        <v>2276612</v>
      </c>
      <c r="K44" t="s">
        <v>16</v>
      </c>
      <c r="L44" t="s">
        <v>1652</v>
      </c>
    </row>
    <row r="45" spans="1:12" x14ac:dyDescent="0.3">
      <c r="A45">
        <v>44</v>
      </c>
      <c r="B45" t="s">
        <v>72</v>
      </c>
      <c r="C45">
        <v>43896.475694444445</v>
      </c>
      <c r="D45">
        <v>2020</v>
      </c>
      <c r="E45" t="s">
        <v>10</v>
      </c>
      <c r="F45" t="s">
        <v>1553</v>
      </c>
      <c r="G45" t="s">
        <v>44</v>
      </c>
      <c r="H45" s="1" t="s">
        <v>1565</v>
      </c>
      <c r="I45" t="s">
        <v>1596</v>
      </c>
      <c r="J45" s="2">
        <v>2421472</v>
      </c>
      <c r="K45" t="s">
        <v>16</v>
      </c>
      <c r="L45" t="s">
        <v>1649</v>
      </c>
    </row>
    <row r="46" spans="1:12" x14ac:dyDescent="0.3">
      <c r="A46">
        <v>45</v>
      </c>
      <c r="B46" t="s">
        <v>73</v>
      </c>
      <c r="C46">
        <v>43899.367361111108</v>
      </c>
      <c r="D46">
        <v>2020</v>
      </c>
      <c r="E46" t="s">
        <v>10</v>
      </c>
      <c r="F46" t="s">
        <v>1554</v>
      </c>
      <c r="G46" t="s">
        <v>23</v>
      </c>
      <c r="H46" s="1" t="s">
        <v>1565</v>
      </c>
      <c r="I46" t="s">
        <v>1597</v>
      </c>
      <c r="J46" s="2">
        <v>4103031</v>
      </c>
      <c r="K46" t="s">
        <v>12</v>
      </c>
      <c r="L46" t="s">
        <v>1651</v>
      </c>
    </row>
    <row r="47" spans="1:12" x14ac:dyDescent="0.3">
      <c r="A47">
        <v>46</v>
      </c>
      <c r="B47" t="s">
        <v>74</v>
      </c>
      <c r="C47">
        <v>43899.370138888888</v>
      </c>
      <c r="D47">
        <v>2020</v>
      </c>
      <c r="E47" t="s">
        <v>10</v>
      </c>
      <c r="F47" t="s">
        <v>1554</v>
      </c>
      <c r="G47" t="s">
        <v>23</v>
      </c>
      <c r="H47" s="1" t="s">
        <v>1565</v>
      </c>
      <c r="I47" t="s">
        <v>1577</v>
      </c>
      <c r="J47" s="2">
        <v>1238430</v>
      </c>
      <c r="K47" t="s">
        <v>12</v>
      </c>
      <c r="L47" t="s">
        <v>1652</v>
      </c>
    </row>
    <row r="48" spans="1:12" x14ac:dyDescent="0.3">
      <c r="A48">
        <v>47</v>
      </c>
      <c r="B48" t="s">
        <v>75</v>
      </c>
      <c r="C48">
        <v>43899.532638888886</v>
      </c>
      <c r="D48">
        <v>2020</v>
      </c>
      <c r="E48" t="s">
        <v>10</v>
      </c>
      <c r="F48" t="s">
        <v>29</v>
      </c>
      <c r="G48" t="s">
        <v>15</v>
      </c>
      <c r="H48" s="1" t="s">
        <v>1565</v>
      </c>
      <c r="I48" t="s">
        <v>1598</v>
      </c>
      <c r="J48" s="2">
        <v>1190785</v>
      </c>
      <c r="K48" t="s">
        <v>53</v>
      </c>
      <c r="L48" t="s">
        <v>1651</v>
      </c>
    </row>
    <row r="49" spans="1:12" x14ac:dyDescent="0.3">
      <c r="A49">
        <v>48</v>
      </c>
      <c r="B49" t="s">
        <v>76</v>
      </c>
      <c r="C49">
        <v>43899.611111111109</v>
      </c>
      <c r="D49">
        <v>2020</v>
      </c>
      <c r="E49" t="s">
        <v>10</v>
      </c>
      <c r="F49" t="s">
        <v>1553</v>
      </c>
      <c r="G49" t="s">
        <v>15</v>
      </c>
      <c r="H49" s="1" t="s">
        <v>1565</v>
      </c>
      <c r="I49" t="s">
        <v>1582</v>
      </c>
      <c r="J49" s="2">
        <v>3932958</v>
      </c>
      <c r="K49" t="s">
        <v>16</v>
      </c>
      <c r="L49" t="s">
        <v>1652</v>
      </c>
    </row>
    <row r="50" spans="1:12" x14ac:dyDescent="0.3">
      <c r="A50">
        <v>49</v>
      </c>
      <c r="B50" t="s">
        <v>41</v>
      </c>
      <c r="C50">
        <v>43899.619444444441</v>
      </c>
      <c r="D50">
        <v>2020</v>
      </c>
      <c r="E50" t="s">
        <v>10</v>
      </c>
      <c r="F50" t="s">
        <v>1558</v>
      </c>
      <c r="G50" t="s">
        <v>42</v>
      </c>
      <c r="H50" s="1" t="s">
        <v>1569</v>
      </c>
      <c r="I50" t="s">
        <v>1587</v>
      </c>
      <c r="J50" s="2">
        <v>4574951</v>
      </c>
      <c r="K50" t="s">
        <v>12</v>
      </c>
      <c r="L50" t="s">
        <v>1653</v>
      </c>
    </row>
    <row r="51" spans="1:12" x14ac:dyDescent="0.3">
      <c r="A51">
        <v>50</v>
      </c>
      <c r="B51" t="s">
        <v>76</v>
      </c>
      <c r="C51">
        <v>43899.62222222222</v>
      </c>
      <c r="D51">
        <v>2020</v>
      </c>
      <c r="E51" t="s">
        <v>10</v>
      </c>
      <c r="F51" t="s">
        <v>1553</v>
      </c>
      <c r="G51" t="s">
        <v>15</v>
      </c>
      <c r="H51" s="1" t="s">
        <v>1576</v>
      </c>
      <c r="I51" t="s">
        <v>1582</v>
      </c>
      <c r="J51" s="2">
        <v>1368565</v>
      </c>
      <c r="K51" t="s">
        <v>16</v>
      </c>
      <c r="L51" t="s">
        <v>1652</v>
      </c>
    </row>
    <row r="52" spans="1:12" x14ac:dyDescent="0.3">
      <c r="A52">
        <v>51</v>
      </c>
      <c r="B52" t="s">
        <v>77</v>
      </c>
      <c r="C52">
        <v>43899.62777777778</v>
      </c>
      <c r="D52">
        <v>2020</v>
      </c>
      <c r="E52" t="s">
        <v>10</v>
      </c>
      <c r="F52" t="s">
        <v>1553</v>
      </c>
      <c r="G52" t="s">
        <v>21</v>
      </c>
      <c r="H52" s="1" t="s">
        <v>1571</v>
      </c>
      <c r="I52" t="s">
        <v>1599</v>
      </c>
      <c r="J52" s="2">
        <v>1304263</v>
      </c>
      <c r="K52" t="s">
        <v>12</v>
      </c>
      <c r="L52" t="s">
        <v>1651</v>
      </c>
    </row>
    <row r="53" spans="1:12" x14ac:dyDescent="0.3">
      <c r="A53">
        <v>52</v>
      </c>
      <c r="B53" t="s">
        <v>50</v>
      </c>
      <c r="C53">
        <v>43899.629861111112</v>
      </c>
      <c r="D53">
        <v>2020</v>
      </c>
      <c r="E53" t="s">
        <v>10</v>
      </c>
      <c r="F53" t="s">
        <v>1553</v>
      </c>
      <c r="G53" t="s">
        <v>15</v>
      </c>
      <c r="H53" s="1" t="s">
        <v>1565</v>
      </c>
      <c r="I53" t="s">
        <v>1454</v>
      </c>
      <c r="J53" s="2">
        <v>2601644</v>
      </c>
      <c r="L53" t="s">
        <v>1648</v>
      </c>
    </row>
    <row r="54" spans="1:12" x14ac:dyDescent="0.3">
      <c r="A54">
        <v>53</v>
      </c>
      <c r="B54" t="s">
        <v>79</v>
      </c>
      <c r="C54">
        <v>43899.633333333331</v>
      </c>
      <c r="D54">
        <v>2020</v>
      </c>
      <c r="E54" t="s">
        <v>10</v>
      </c>
      <c r="F54" t="s">
        <v>1553</v>
      </c>
      <c r="G54" t="s">
        <v>67</v>
      </c>
      <c r="H54" s="1" t="s">
        <v>1573</v>
      </c>
      <c r="I54" t="s">
        <v>1590</v>
      </c>
      <c r="J54" s="2">
        <v>1120789</v>
      </c>
      <c r="K54" t="s">
        <v>12</v>
      </c>
      <c r="L54" t="s">
        <v>1653</v>
      </c>
    </row>
    <row r="55" spans="1:12" x14ac:dyDescent="0.3">
      <c r="A55">
        <v>54</v>
      </c>
      <c r="B55" t="s">
        <v>50</v>
      </c>
      <c r="C55">
        <v>43899.633333333331</v>
      </c>
      <c r="D55">
        <v>2020</v>
      </c>
      <c r="E55" t="s">
        <v>10</v>
      </c>
      <c r="F55" t="s">
        <v>1553</v>
      </c>
      <c r="G55" t="s">
        <v>15</v>
      </c>
      <c r="H55" s="1" t="s">
        <v>1575</v>
      </c>
      <c r="I55" t="s">
        <v>1454</v>
      </c>
      <c r="J55" s="2">
        <v>4285807</v>
      </c>
      <c r="L55" t="s">
        <v>1651</v>
      </c>
    </row>
    <row r="56" spans="1:12" x14ac:dyDescent="0.3">
      <c r="A56">
        <v>55</v>
      </c>
      <c r="B56" t="s">
        <v>50</v>
      </c>
      <c r="C56">
        <v>43899.635416666664</v>
      </c>
      <c r="D56">
        <v>2020</v>
      </c>
      <c r="E56" t="s">
        <v>10</v>
      </c>
      <c r="F56" t="s">
        <v>1553</v>
      </c>
      <c r="G56" t="s">
        <v>15</v>
      </c>
      <c r="H56" s="1" t="s">
        <v>1572</v>
      </c>
      <c r="I56" t="s">
        <v>1454</v>
      </c>
      <c r="J56" s="2">
        <v>4648982</v>
      </c>
      <c r="L56" t="s">
        <v>1648</v>
      </c>
    </row>
    <row r="57" spans="1:12" x14ac:dyDescent="0.3">
      <c r="A57">
        <v>56</v>
      </c>
      <c r="B57" t="s">
        <v>81</v>
      </c>
      <c r="C57">
        <v>43900.359722222223</v>
      </c>
      <c r="D57">
        <v>2020</v>
      </c>
      <c r="E57" t="s">
        <v>10</v>
      </c>
      <c r="F57" t="s">
        <v>1553</v>
      </c>
      <c r="G57" t="s">
        <v>62</v>
      </c>
      <c r="H57" s="1" t="s">
        <v>1564</v>
      </c>
      <c r="I57" t="s">
        <v>1580</v>
      </c>
      <c r="J57" s="2">
        <v>4834120</v>
      </c>
      <c r="K57" t="s">
        <v>16</v>
      </c>
      <c r="L57" t="s">
        <v>1652</v>
      </c>
    </row>
    <row r="58" spans="1:12" x14ac:dyDescent="0.3">
      <c r="A58">
        <v>57</v>
      </c>
      <c r="B58" t="s">
        <v>83</v>
      </c>
      <c r="C58">
        <v>43900.394444444442</v>
      </c>
      <c r="D58">
        <v>2020</v>
      </c>
      <c r="E58" t="s">
        <v>10</v>
      </c>
      <c r="F58" t="s">
        <v>1553</v>
      </c>
      <c r="G58" t="s">
        <v>15</v>
      </c>
      <c r="H58" s="1" t="s">
        <v>1576</v>
      </c>
      <c r="I58" t="s">
        <v>1586</v>
      </c>
      <c r="J58" s="2">
        <v>4363830</v>
      </c>
      <c r="L58" t="s">
        <v>1653</v>
      </c>
    </row>
    <row r="59" spans="1:12" x14ac:dyDescent="0.3">
      <c r="A59">
        <v>58</v>
      </c>
      <c r="B59" t="s">
        <v>84</v>
      </c>
      <c r="C59">
        <v>43900.45</v>
      </c>
      <c r="D59">
        <v>2020</v>
      </c>
      <c r="E59" t="s">
        <v>10</v>
      </c>
      <c r="F59" t="s">
        <v>1553</v>
      </c>
      <c r="G59" t="s">
        <v>11</v>
      </c>
      <c r="H59" s="1" t="s">
        <v>1568</v>
      </c>
      <c r="J59" s="2">
        <v>3847489</v>
      </c>
      <c r="L59" t="s">
        <v>1648</v>
      </c>
    </row>
    <row r="60" spans="1:12" x14ac:dyDescent="0.3">
      <c r="A60">
        <v>59</v>
      </c>
      <c r="B60" t="s">
        <v>85</v>
      </c>
      <c r="C60">
        <v>43900.47152777778</v>
      </c>
      <c r="D60">
        <v>2020</v>
      </c>
      <c r="E60" t="s">
        <v>10</v>
      </c>
      <c r="F60" t="s">
        <v>1553</v>
      </c>
      <c r="G60" t="s">
        <v>21</v>
      </c>
      <c r="H60" s="1" t="s">
        <v>1574</v>
      </c>
      <c r="I60" t="s">
        <v>1600</v>
      </c>
      <c r="J60" s="2">
        <v>3358503</v>
      </c>
      <c r="L60" t="s">
        <v>1651</v>
      </c>
    </row>
    <row r="61" spans="1:12" x14ac:dyDescent="0.3">
      <c r="A61">
        <v>60</v>
      </c>
      <c r="B61" t="s">
        <v>86</v>
      </c>
      <c r="C61">
        <v>43900.69027777778</v>
      </c>
      <c r="D61">
        <v>2020</v>
      </c>
      <c r="E61" t="s">
        <v>10</v>
      </c>
      <c r="F61" t="s">
        <v>1553</v>
      </c>
      <c r="G61" t="s">
        <v>18</v>
      </c>
      <c r="H61" s="1" t="s">
        <v>1571</v>
      </c>
      <c r="I61" t="s">
        <v>1579</v>
      </c>
      <c r="J61" s="2">
        <v>3067418</v>
      </c>
      <c r="L61" t="s">
        <v>1649</v>
      </c>
    </row>
    <row r="62" spans="1:12" x14ac:dyDescent="0.3">
      <c r="A62">
        <v>61</v>
      </c>
      <c r="B62" t="s">
        <v>87</v>
      </c>
      <c r="C62">
        <v>43901.439583333333</v>
      </c>
      <c r="D62">
        <v>2020</v>
      </c>
      <c r="E62" t="s">
        <v>10</v>
      </c>
      <c r="F62" t="s">
        <v>1553</v>
      </c>
      <c r="G62" t="s">
        <v>15</v>
      </c>
      <c r="H62" s="1" t="s">
        <v>1568</v>
      </c>
      <c r="I62" t="s">
        <v>1587</v>
      </c>
      <c r="J62" s="2">
        <v>2434190</v>
      </c>
      <c r="K62" t="s">
        <v>12</v>
      </c>
      <c r="L62" t="s">
        <v>1648</v>
      </c>
    </row>
    <row r="63" spans="1:12" x14ac:dyDescent="0.3">
      <c r="A63">
        <v>62</v>
      </c>
      <c r="B63" t="s">
        <v>76</v>
      </c>
      <c r="C63">
        <v>43901.481249999997</v>
      </c>
      <c r="D63">
        <v>2020</v>
      </c>
      <c r="E63" t="s">
        <v>10</v>
      </c>
      <c r="F63" t="s">
        <v>1553</v>
      </c>
      <c r="G63" t="s">
        <v>15</v>
      </c>
      <c r="H63" s="1" t="s">
        <v>1564</v>
      </c>
      <c r="I63" t="s">
        <v>1582</v>
      </c>
      <c r="J63" s="2">
        <v>4731106</v>
      </c>
      <c r="K63" t="s">
        <v>16</v>
      </c>
      <c r="L63" t="s">
        <v>1653</v>
      </c>
    </row>
    <row r="64" spans="1:12" x14ac:dyDescent="0.3">
      <c r="A64">
        <v>63</v>
      </c>
      <c r="B64" t="s">
        <v>88</v>
      </c>
      <c r="C64">
        <v>43901.590277777781</v>
      </c>
      <c r="D64">
        <v>2020</v>
      </c>
      <c r="E64" t="s">
        <v>10</v>
      </c>
      <c r="F64" t="s">
        <v>1553</v>
      </c>
      <c r="G64" t="s">
        <v>62</v>
      </c>
      <c r="H64" s="1" t="s">
        <v>1571</v>
      </c>
      <c r="I64" t="s">
        <v>1601</v>
      </c>
      <c r="J64" s="2">
        <v>2803375</v>
      </c>
      <c r="K64" t="s">
        <v>53</v>
      </c>
      <c r="L64" t="s">
        <v>1653</v>
      </c>
    </row>
    <row r="65" spans="1:12" x14ac:dyDescent="0.3">
      <c r="A65">
        <v>64</v>
      </c>
      <c r="B65" t="s">
        <v>50</v>
      </c>
      <c r="C65">
        <v>43901.690972222219</v>
      </c>
      <c r="D65">
        <v>2020</v>
      </c>
      <c r="E65" t="s">
        <v>10</v>
      </c>
      <c r="F65" t="s">
        <v>1553</v>
      </c>
      <c r="G65" t="s">
        <v>57</v>
      </c>
      <c r="H65" s="1" t="s">
        <v>1576</v>
      </c>
      <c r="I65" t="s">
        <v>1602</v>
      </c>
      <c r="J65" s="2">
        <v>1819346</v>
      </c>
      <c r="K65" t="s">
        <v>59</v>
      </c>
      <c r="L65" t="s">
        <v>1651</v>
      </c>
    </row>
    <row r="66" spans="1:12" x14ac:dyDescent="0.3">
      <c r="A66">
        <v>65</v>
      </c>
      <c r="B66" t="s">
        <v>76</v>
      </c>
      <c r="C66">
        <v>43901.694444444445</v>
      </c>
      <c r="D66">
        <v>2020</v>
      </c>
      <c r="E66" t="s">
        <v>10</v>
      </c>
      <c r="F66" t="s">
        <v>1553</v>
      </c>
      <c r="G66" t="s">
        <v>15</v>
      </c>
      <c r="H66" s="1" t="s">
        <v>1576</v>
      </c>
      <c r="I66" t="s">
        <v>1582</v>
      </c>
      <c r="J66" s="2">
        <v>1303549</v>
      </c>
      <c r="K66" t="s">
        <v>16</v>
      </c>
      <c r="L66" t="s">
        <v>1648</v>
      </c>
    </row>
    <row r="67" spans="1:12" x14ac:dyDescent="0.3">
      <c r="A67">
        <v>66</v>
      </c>
      <c r="B67" t="s">
        <v>89</v>
      </c>
      <c r="C67">
        <v>43901.72152777778</v>
      </c>
      <c r="D67">
        <v>2020</v>
      </c>
      <c r="E67" t="s">
        <v>10</v>
      </c>
      <c r="F67" t="s">
        <v>1553</v>
      </c>
      <c r="G67" t="s">
        <v>18</v>
      </c>
      <c r="H67" s="1" t="s">
        <v>1570</v>
      </c>
      <c r="I67" t="s">
        <v>1579</v>
      </c>
      <c r="J67" s="2">
        <v>1452458</v>
      </c>
      <c r="L67" t="s">
        <v>1649</v>
      </c>
    </row>
    <row r="68" spans="1:12" x14ac:dyDescent="0.3">
      <c r="A68">
        <v>67</v>
      </c>
      <c r="B68" t="s">
        <v>76</v>
      </c>
      <c r="C68">
        <v>43902.461805555555</v>
      </c>
      <c r="D68">
        <v>2020</v>
      </c>
      <c r="E68" t="s">
        <v>10</v>
      </c>
      <c r="F68" t="s">
        <v>1553</v>
      </c>
      <c r="G68" t="s">
        <v>15</v>
      </c>
      <c r="H68" s="1" t="s">
        <v>1562</v>
      </c>
      <c r="I68" t="s">
        <v>1582</v>
      </c>
      <c r="J68" s="2">
        <v>3065104</v>
      </c>
      <c r="K68" t="s">
        <v>16</v>
      </c>
      <c r="L68" t="s">
        <v>1652</v>
      </c>
    </row>
    <row r="69" spans="1:12" x14ac:dyDescent="0.3">
      <c r="A69">
        <v>68</v>
      </c>
      <c r="B69" t="s">
        <v>90</v>
      </c>
      <c r="C69">
        <v>43902.547222222223</v>
      </c>
      <c r="D69">
        <v>2020</v>
      </c>
      <c r="E69" t="s">
        <v>10</v>
      </c>
      <c r="F69" t="s">
        <v>1553</v>
      </c>
      <c r="G69" t="s">
        <v>57</v>
      </c>
      <c r="H69" s="1" t="s">
        <v>1567</v>
      </c>
      <c r="I69" t="s">
        <v>1594</v>
      </c>
      <c r="J69" s="2">
        <v>3014251</v>
      </c>
      <c r="K69" t="s">
        <v>59</v>
      </c>
      <c r="L69" t="s">
        <v>1651</v>
      </c>
    </row>
    <row r="70" spans="1:12" x14ac:dyDescent="0.3">
      <c r="A70">
        <v>69</v>
      </c>
      <c r="B70" t="s">
        <v>91</v>
      </c>
      <c r="C70">
        <v>43902.662499999999</v>
      </c>
      <c r="D70">
        <v>2020</v>
      </c>
      <c r="E70" t="s">
        <v>10</v>
      </c>
      <c r="F70" t="s">
        <v>1554</v>
      </c>
      <c r="G70" t="s">
        <v>18</v>
      </c>
      <c r="H70" s="1" t="s">
        <v>1565</v>
      </c>
      <c r="I70" t="s">
        <v>1578</v>
      </c>
      <c r="J70" s="2">
        <v>1236234</v>
      </c>
      <c r="K70" t="s">
        <v>16</v>
      </c>
      <c r="L70" t="s">
        <v>1651</v>
      </c>
    </row>
    <row r="71" spans="1:12" x14ac:dyDescent="0.3">
      <c r="A71">
        <v>70</v>
      </c>
      <c r="B71" t="s">
        <v>92</v>
      </c>
      <c r="C71">
        <v>43903.411111111112</v>
      </c>
      <c r="D71">
        <v>2020</v>
      </c>
      <c r="E71" t="s">
        <v>10</v>
      </c>
      <c r="F71" t="s">
        <v>1554</v>
      </c>
      <c r="G71" t="s">
        <v>23</v>
      </c>
      <c r="H71" s="1" t="s">
        <v>1576</v>
      </c>
      <c r="I71" t="s">
        <v>1580</v>
      </c>
      <c r="J71" s="2">
        <v>1694374</v>
      </c>
      <c r="K71" t="s">
        <v>16</v>
      </c>
      <c r="L71" t="s">
        <v>1651</v>
      </c>
    </row>
    <row r="72" spans="1:12" x14ac:dyDescent="0.3">
      <c r="A72">
        <v>71</v>
      </c>
      <c r="B72" t="s">
        <v>93</v>
      </c>
      <c r="C72">
        <v>43903.454861111109</v>
      </c>
      <c r="D72">
        <v>2020</v>
      </c>
      <c r="E72" t="s">
        <v>10</v>
      </c>
      <c r="F72" t="s">
        <v>1554</v>
      </c>
      <c r="G72" t="s">
        <v>18</v>
      </c>
      <c r="H72" s="1" t="s">
        <v>1562</v>
      </c>
      <c r="I72" t="s">
        <v>1603</v>
      </c>
      <c r="J72" s="2">
        <v>3621572</v>
      </c>
      <c r="L72" t="s">
        <v>1651</v>
      </c>
    </row>
    <row r="73" spans="1:12" x14ac:dyDescent="0.3">
      <c r="A73">
        <v>72</v>
      </c>
      <c r="B73" t="s">
        <v>76</v>
      </c>
      <c r="C73">
        <v>43903.472222222219</v>
      </c>
      <c r="D73">
        <v>2020</v>
      </c>
      <c r="E73" t="s">
        <v>10</v>
      </c>
      <c r="F73" t="s">
        <v>1554</v>
      </c>
      <c r="G73" t="s">
        <v>15</v>
      </c>
      <c r="H73" s="1" t="s">
        <v>1564</v>
      </c>
      <c r="I73" t="s">
        <v>1582</v>
      </c>
      <c r="J73" s="2">
        <v>1804714</v>
      </c>
      <c r="K73" t="s">
        <v>16</v>
      </c>
      <c r="L73" t="s">
        <v>1652</v>
      </c>
    </row>
    <row r="74" spans="1:12" x14ac:dyDescent="0.3">
      <c r="A74">
        <v>73</v>
      </c>
      <c r="B74" t="s">
        <v>94</v>
      </c>
      <c r="C74">
        <v>43903.497916666667</v>
      </c>
      <c r="D74">
        <v>2020</v>
      </c>
      <c r="E74" t="s">
        <v>10</v>
      </c>
      <c r="F74" t="s">
        <v>1554</v>
      </c>
      <c r="G74" t="s">
        <v>15</v>
      </c>
      <c r="H74" s="1" t="s">
        <v>1568</v>
      </c>
      <c r="I74" t="s">
        <v>1585</v>
      </c>
      <c r="J74" s="2">
        <v>1634995</v>
      </c>
      <c r="K74" t="s">
        <v>12</v>
      </c>
      <c r="L74" t="s">
        <v>1651</v>
      </c>
    </row>
    <row r="75" spans="1:12" x14ac:dyDescent="0.3">
      <c r="A75">
        <v>74</v>
      </c>
      <c r="B75" t="s">
        <v>95</v>
      </c>
      <c r="C75">
        <v>43903.53125</v>
      </c>
      <c r="D75">
        <v>2020</v>
      </c>
      <c r="E75" t="s">
        <v>10</v>
      </c>
      <c r="F75" t="s">
        <v>1554</v>
      </c>
      <c r="G75" t="s">
        <v>15</v>
      </c>
      <c r="H75" s="1" t="s">
        <v>1573</v>
      </c>
      <c r="I75" t="s">
        <v>1587</v>
      </c>
      <c r="J75" s="2">
        <v>3500607</v>
      </c>
      <c r="K75" t="s">
        <v>12</v>
      </c>
      <c r="L75" t="s">
        <v>1650</v>
      </c>
    </row>
    <row r="76" spans="1:12" x14ac:dyDescent="0.3">
      <c r="A76">
        <v>75</v>
      </c>
      <c r="B76" t="s">
        <v>96</v>
      </c>
      <c r="C76">
        <v>43903.61041666667</v>
      </c>
      <c r="D76">
        <v>2020</v>
      </c>
      <c r="E76" t="s">
        <v>10</v>
      </c>
      <c r="F76" t="s">
        <v>1552</v>
      </c>
      <c r="G76" t="s">
        <v>18</v>
      </c>
      <c r="H76" s="1" t="s">
        <v>1566</v>
      </c>
      <c r="I76" t="s">
        <v>1603</v>
      </c>
      <c r="J76" s="2">
        <v>2637684</v>
      </c>
      <c r="L76" t="s">
        <v>1651</v>
      </c>
    </row>
    <row r="77" spans="1:12" x14ac:dyDescent="0.3">
      <c r="A77">
        <v>76</v>
      </c>
      <c r="B77" t="s">
        <v>97</v>
      </c>
      <c r="C77">
        <v>43903.652083333334</v>
      </c>
      <c r="D77">
        <v>2020</v>
      </c>
      <c r="E77" t="s">
        <v>10</v>
      </c>
      <c r="F77" t="s">
        <v>1552</v>
      </c>
      <c r="G77" t="s">
        <v>18</v>
      </c>
      <c r="H77" s="1" t="s">
        <v>1566</v>
      </c>
      <c r="I77" t="s">
        <v>1587</v>
      </c>
      <c r="J77" s="2">
        <v>4331012</v>
      </c>
      <c r="K77" t="s">
        <v>12</v>
      </c>
      <c r="L77" t="s">
        <v>1653</v>
      </c>
    </row>
    <row r="78" spans="1:12" x14ac:dyDescent="0.3">
      <c r="A78">
        <v>77</v>
      </c>
      <c r="B78" t="s">
        <v>98</v>
      </c>
      <c r="C78">
        <v>43906.369444444441</v>
      </c>
      <c r="D78">
        <v>2020</v>
      </c>
      <c r="E78" t="s">
        <v>10</v>
      </c>
      <c r="F78" t="s">
        <v>1554</v>
      </c>
      <c r="G78" t="s">
        <v>11</v>
      </c>
      <c r="H78" s="1" t="s">
        <v>1571</v>
      </c>
      <c r="I78" t="s">
        <v>1577</v>
      </c>
      <c r="J78" s="2">
        <v>2782325</v>
      </c>
      <c r="K78" t="s">
        <v>12</v>
      </c>
      <c r="L78" t="s">
        <v>1649</v>
      </c>
    </row>
    <row r="79" spans="1:12" x14ac:dyDescent="0.3">
      <c r="A79">
        <v>78</v>
      </c>
      <c r="B79" t="s">
        <v>99</v>
      </c>
      <c r="C79">
        <v>43906.404166666667</v>
      </c>
      <c r="D79">
        <v>2020</v>
      </c>
      <c r="E79" t="s">
        <v>10</v>
      </c>
      <c r="F79" t="s">
        <v>1554</v>
      </c>
      <c r="G79" t="s">
        <v>11</v>
      </c>
      <c r="H79" s="1" t="s">
        <v>1567</v>
      </c>
      <c r="I79" t="s">
        <v>1577</v>
      </c>
      <c r="J79" s="2">
        <v>3279710</v>
      </c>
      <c r="K79" t="s">
        <v>12</v>
      </c>
      <c r="L79" t="s">
        <v>1653</v>
      </c>
    </row>
    <row r="80" spans="1:12" x14ac:dyDescent="0.3">
      <c r="A80">
        <v>79</v>
      </c>
      <c r="B80" t="s">
        <v>100</v>
      </c>
      <c r="C80">
        <v>43906.413888888892</v>
      </c>
      <c r="D80">
        <v>2020</v>
      </c>
      <c r="E80" t="s">
        <v>10</v>
      </c>
      <c r="F80" t="s">
        <v>1554</v>
      </c>
      <c r="G80" t="s">
        <v>11</v>
      </c>
      <c r="H80" s="1" t="s">
        <v>1566</v>
      </c>
      <c r="I80" t="s">
        <v>1588</v>
      </c>
      <c r="J80" s="2">
        <v>2121999</v>
      </c>
      <c r="K80" t="s">
        <v>16</v>
      </c>
      <c r="L80" t="s">
        <v>1648</v>
      </c>
    </row>
    <row r="81" spans="1:12" x14ac:dyDescent="0.3">
      <c r="A81">
        <v>80</v>
      </c>
      <c r="B81" t="s">
        <v>101</v>
      </c>
      <c r="C81">
        <v>43906.435416666667</v>
      </c>
      <c r="D81">
        <v>2020</v>
      </c>
      <c r="E81" t="s">
        <v>10</v>
      </c>
      <c r="F81" t="s">
        <v>1554</v>
      </c>
      <c r="G81" t="s">
        <v>11</v>
      </c>
      <c r="H81" s="1" t="s">
        <v>1575</v>
      </c>
      <c r="I81" t="s">
        <v>1577</v>
      </c>
      <c r="J81" s="2">
        <v>3798051</v>
      </c>
      <c r="K81" t="s">
        <v>12</v>
      </c>
      <c r="L81" t="s">
        <v>1649</v>
      </c>
    </row>
    <row r="82" spans="1:12" x14ac:dyDescent="0.3">
      <c r="A82">
        <v>81</v>
      </c>
      <c r="B82" t="s">
        <v>102</v>
      </c>
      <c r="C82">
        <v>43907.349305555559</v>
      </c>
      <c r="D82">
        <v>2020</v>
      </c>
      <c r="E82" t="s">
        <v>10</v>
      </c>
      <c r="F82" t="s">
        <v>20</v>
      </c>
      <c r="G82" t="s">
        <v>21</v>
      </c>
      <c r="H82" s="1" t="s">
        <v>1566</v>
      </c>
      <c r="I82" t="s">
        <v>1583</v>
      </c>
      <c r="J82" s="2">
        <v>4704219</v>
      </c>
      <c r="K82" t="s">
        <v>12</v>
      </c>
      <c r="L82" t="s">
        <v>1653</v>
      </c>
    </row>
    <row r="83" spans="1:12" x14ac:dyDescent="0.3">
      <c r="A83">
        <v>82</v>
      </c>
      <c r="B83" t="s">
        <v>103</v>
      </c>
      <c r="C83">
        <v>43907.365972222222</v>
      </c>
      <c r="D83">
        <v>2020</v>
      </c>
      <c r="E83" t="s">
        <v>10</v>
      </c>
      <c r="F83" t="s">
        <v>20</v>
      </c>
      <c r="G83" t="s">
        <v>21</v>
      </c>
      <c r="H83" s="1" t="s">
        <v>1574</v>
      </c>
      <c r="I83" t="s">
        <v>1583</v>
      </c>
      <c r="J83" s="2">
        <v>1391549</v>
      </c>
      <c r="K83" t="s">
        <v>12</v>
      </c>
      <c r="L83" t="s">
        <v>1650</v>
      </c>
    </row>
    <row r="84" spans="1:12" x14ac:dyDescent="0.3">
      <c r="A84">
        <v>83</v>
      </c>
      <c r="B84" t="s">
        <v>104</v>
      </c>
      <c r="C84">
        <v>43907.402777777781</v>
      </c>
      <c r="D84">
        <v>2020</v>
      </c>
      <c r="E84" t="s">
        <v>10</v>
      </c>
      <c r="F84" t="s">
        <v>1553</v>
      </c>
      <c r="G84" t="s">
        <v>18</v>
      </c>
      <c r="H84" s="1" t="s">
        <v>1568</v>
      </c>
      <c r="I84" t="s">
        <v>1587</v>
      </c>
      <c r="J84" s="2">
        <v>4387516</v>
      </c>
      <c r="K84" t="s">
        <v>12</v>
      </c>
      <c r="L84" t="s">
        <v>1650</v>
      </c>
    </row>
    <row r="85" spans="1:12" x14ac:dyDescent="0.3">
      <c r="A85">
        <v>84</v>
      </c>
      <c r="B85" t="s">
        <v>105</v>
      </c>
      <c r="C85">
        <v>43907.556944444441</v>
      </c>
      <c r="D85">
        <v>2020</v>
      </c>
      <c r="E85" t="s">
        <v>10</v>
      </c>
      <c r="F85" t="s">
        <v>1553</v>
      </c>
      <c r="G85" t="s">
        <v>57</v>
      </c>
      <c r="H85" s="1" t="s">
        <v>1574</v>
      </c>
      <c r="I85" t="s">
        <v>1596</v>
      </c>
      <c r="J85" s="2">
        <v>1385415</v>
      </c>
      <c r="K85" t="s">
        <v>16</v>
      </c>
      <c r="L85" t="s">
        <v>1649</v>
      </c>
    </row>
    <row r="86" spans="1:12" x14ac:dyDescent="0.3">
      <c r="A86">
        <v>85</v>
      </c>
      <c r="B86" t="s">
        <v>106</v>
      </c>
      <c r="C86">
        <v>43907.606944444444</v>
      </c>
      <c r="D86">
        <v>2020</v>
      </c>
      <c r="E86" t="s">
        <v>10</v>
      </c>
      <c r="F86" t="s">
        <v>1553</v>
      </c>
      <c r="G86" t="s">
        <v>11</v>
      </c>
      <c r="H86" s="1" t="s">
        <v>1576</v>
      </c>
      <c r="I86" t="s">
        <v>1577</v>
      </c>
      <c r="J86" s="2">
        <v>3881372</v>
      </c>
      <c r="K86" t="s">
        <v>12</v>
      </c>
      <c r="L86" t="s">
        <v>1648</v>
      </c>
    </row>
    <row r="87" spans="1:12" x14ac:dyDescent="0.3">
      <c r="A87">
        <v>86</v>
      </c>
      <c r="B87" t="s">
        <v>50</v>
      </c>
      <c r="C87">
        <v>43908.456944444442</v>
      </c>
      <c r="D87">
        <v>2020</v>
      </c>
      <c r="E87" t="s">
        <v>10</v>
      </c>
      <c r="F87" t="s">
        <v>1553</v>
      </c>
      <c r="G87" t="s">
        <v>15</v>
      </c>
      <c r="H87" s="1" t="s">
        <v>1564</v>
      </c>
      <c r="I87" t="s">
        <v>1604</v>
      </c>
      <c r="J87" s="2">
        <v>2928208</v>
      </c>
      <c r="K87" t="s">
        <v>12</v>
      </c>
      <c r="L87" t="s">
        <v>1650</v>
      </c>
    </row>
    <row r="88" spans="1:12" x14ac:dyDescent="0.3">
      <c r="A88">
        <v>87</v>
      </c>
      <c r="B88" t="s">
        <v>107</v>
      </c>
      <c r="C88">
        <v>43908.636111111111</v>
      </c>
      <c r="D88">
        <v>2020</v>
      </c>
      <c r="E88" t="s">
        <v>10</v>
      </c>
      <c r="F88" t="s">
        <v>1553</v>
      </c>
      <c r="G88" t="s">
        <v>11</v>
      </c>
      <c r="H88" s="1" t="s">
        <v>1569</v>
      </c>
      <c r="I88" t="s">
        <v>1577</v>
      </c>
      <c r="J88" s="2">
        <v>2332643</v>
      </c>
      <c r="K88" t="s">
        <v>12</v>
      </c>
      <c r="L88" t="s">
        <v>1651</v>
      </c>
    </row>
    <row r="89" spans="1:12" x14ac:dyDescent="0.3">
      <c r="A89">
        <v>88</v>
      </c>
      <c r="B89" t="s">
        <v>108</v>
      </c>
      <c r="C89">
        <v>43908.671527777777</v>
      </c>
      <c r="D89">
        <v>2020</v>
      </c>
      <c r="E89" t="s">
        <v>10</v>
      </c>
      <c r="F89" t="s">
        <v>1553</v>
      </c>
      <c r="G89" t="s">
        <v>11</v>
      </c>
      <c r="H89" s="1" t="s">
        <v>1566</v>
      </c>
      <c r="I89" t="s">
        <v>1588</v>
      </c>
      <c r="J89" s="2">
        <v>1050436</v>
      </c>
      <c r="K89" t="s">
        <v>16</v>
      </c>
      <c r="L89" t="s">
        <v>1648</v>
      </c>
    </row>
    <row r="90" spans="1:12" x14ac:dyDescent="0.3">
      <c r="A90">
        <v>89</v>
      </c>
      <c r="B90" t="s">
        <v>109</v>
      </c>
      <c r="C90">
        <v>43909.588888888888</v>
      </c>
      <c r="D90">
        <v>2020</v>
      </c>
      <c r="E90" t="s">
        <v>10</v>
      </c>
      <c r="F90" t="s">
        <v>1553</v>
      </c>
      <c r="G90" t="s">
        <v>18</v>
      </c>
      <c r="H90" s="1" t="s">
        <v>1575</v>
      </c>
      <c r="I90" t="s">
        <v>1578</v>
      </c>
      <c r="J90" s="2">
        <v>4378147</v>
      </c>
      <c r="K90" t="s">
        <v>16</v>
      </c>
      <c r="L90" t="s">
        <v>1653</v>
      </c>
    </row>
    <row r="91" spans="1:12" x14ac:dyDescent="0.3">
      <c r="A91">
        <v>90</v>
      </c>
      <c r="B91" t="s">
        <v>110</v>
      </c>
      <c r="C91">
        <v>43910.444444444445</v>
      </c>
      <c r="D91">
        <v>2020</v>
      </c>
      <c r="E91" t="s">
        <v>10</v>
      </c>
      <c r="F91" t="s">
        <v>1554</v>
      </c>
      <c r="G91" t="s">
        <v>23</v>
      </c>
      <c r="H91" s="1" t="s">
        <v>1566</v>
      </c>
      <c r="I91" t="s">
        <v>1605</v>
      </c>
      <c r="J91" s="2">
        <v>4668848</v>
      </c>
      <c r="K91" t="s">
        <v>16</v>
      </c>
      <c r="L91" t="s">
        <v>1651</v>
      </c>
    </row>
    <row r="92" spans="1:12" x14ac:dyDescent="0.3">
      <c r="A92">
        <v>91</v>
      </c>
      <c r="B92" t="s">
        <v>111</v>
      </c>
      <c r="C92">
        <v>43914.694444444445</v>
      </c>
      <c r="D92">
        <v>2020</v>
      </c>
      <c r="E92" t="s">
        <v>10</v>
      </c>
      <c r="F92" t="s">
        <v>1554</v>
      </c>
      <c r="G92" t="s">
        <v>23</v>
      </c>
      <c r="H92" s="1" t="s">
        <v>1564</v>
      </c>
      <c r="I92" t="s">
        <v>1580</v>
      </c>
      <c r="J92" s="2">
        <v>1516397</v>
      </c>
      <c r="K92" t="s">
        <v>16</v>
      </c>
      <c r="L92" t="s">
        <v>1652</v>
      </c>
    </row>
    <row r="93" spans="1:12" x14ac:dyDescent="0.3">
      <c r="A93">
        <v>92</v>
      </c>
      <c r="B93" t="s">
        <v>112</v>
      </c>
      <c r="C93">
        <v>43914.779166666667</v>
      </c>
      <c r="D93">
        <v>2020</v>
      </c>
      <c r="E93" t="s">
        <v>10</v>
      </c>
      <c r="F93" t="s">
        <v>1554</v>
      </c>
      <c r="G93" t="s">
        <v>21</v>
      </c>
      <c r="H93" s="1" t="s">
        <v>1567</v>
      </c>
      <c r="I93" t="s">
        <v>1606</v>
      </c>
      <c r="J93" s="2">
        <v>2717888</v>
      </c>
      <c r="K93" t="s">
        <v>12</v>
      </c>
      <c r="L93" t="s">
        <v>1650</v>
      </c>
    </row>
    <row r="94" spans="1:12" x14ac:dyDescent="0.3">
      <c r="A94">
        <v>93</v>
      </c>
      <c r="B94" t="s">
        <v>113</v>
      </c>
      <c r="C94">
        <v>43915.650694444441</v>
      </c>
      <c r="D94">
        <v>2020</v>
      </c>
      <c r="E94" t="s">
        <v>10</v>
      </c>
      <c r="F94" t="s">
        <v>1554</v>
      </c>
      <c r="G94" t="s">
        <v>57</v>
      </c>
      <c r="H94" s="1" t="s">
        <v>1562</v>
      </c>
      <c r="I94" t="s">
        <v>1607</v>
      </c>
      <c r="J94" s="2">
        <v>4510966</v>
      </c>
      <c r="K94" t="s">
        <v>16</v>
      </c>
      <c r="L94" t="s">
        <v>1649</v>
      </c>
    </row>
    <row r="95" spans="1:12" x14ac:dyDescent="0.3">
      <c r="A95">
        <v>94</v>
      </c>
      <c r="B95" t="s">
        <v>114</v>
      </c>
      <c r="C95">
        <v>43917.536111111112</v>
      </c>
      <c r="D95">
        <v>2020</v>
      </c>
      <c r="E95" t="s">
        <v>10</v>
      </c>
      <c r="F95" t="s">
        <v>1554</v>
      </c>
      <c r="G95" t="s">
        <v>11</v>
      </c>
      <c r="H95" s="1" t="s">
        <v>1564</v>
      </c>
      <c r="I95" t="s">
        <v>1588</v>
      </c>
      <c r="J95" s="2">
        <v>3114207</v>
      </c>
      <c r="K95" t="s">
        <v>16</v>
      </c>
      <c r="L95" t="s">
        <v>1648</v>
      </c>
    </row>
    <row r="96" spans="1:12" x14ac:dyDescent="0.3">
      <c r="A96">
        <v>95</v>
      </c>
      <c r="B96" t="s">
        <v>115</v>
      </c>
      <c r="C96">
        <v>43920.669444444444</v>
      </c>
      <c r="D96">
        <v>2020</v>
      </c>
      <c r="E96" t="s">
        <v>10</v>
      </c>
      <c r="F96" t="s">
        <v>1554</v>
      </c>
      <c r="G96" t="s">
        <v>18</v>
      </c>
      <c r="H96" s="1" t="s">
        <v>1567</v>
      </c>
      <c r="I96" t="s">
        <v>1584</v>
      </c>
      <c r="J96" s="2">
        <v>1784604</v>
      </c>
      <c r="K96" t="s">
        <v>12</v>
      </c>
      <c r="L96" t="s">
        <v>1652</v>
      </c>
    </row>
    <row r="97" spans="1:12" x14ac:dyDescent="0.3">
      <c r="A97">
        <v>96</v>
      </c>
      <c r="B97" t="s">
        <v>50</v>
      </c>
      <c r="C97">
        <v>43920.761805555558</v>
      </c>
      <c r="D97">
        <v>2020</v>
      </c>
      <c r="E97" t="s">
        <v>10</v>
      </c>
      <c r="F97" t="s">
        <v>29</v>
      </c>
      <c r="G97" t="s">
        <v>15</v>
      </c>
      <c r="H97" s="1" t="s">
        <v>1576</v>
      </c>
      <c r="I97" t="s">
        <v>1604</v>
      </c>
      <c r="J97" s="2">
        <v>2428675</v>
      </c>
      <c r="K97" t="s">
        <v>12</v>
      </c>
      <c r="L97" t="s">
        <v>1649</v>
      </c>
    </row>
    <row r="98" spans="1:12" x14ac:dyDescent="0.3">
      <c r="A98">
        <v>97</v>
      </c>
      <c r="B98" t="s">
        <v>50</v>
      </c>
      <c r="C98">
        <v>43920.76458333333</v>
      </c>
      <c r="D98">
        <v>2020</v>
      </c>
      <c r="E98" t="s">
        <v>10</v>
      </c>
      <c r="F98" t="s">
        <v>29</v>
      </c>
      <c r="G98" t="s">
        <v>15</v>
      </c>
      <c r="H98" s="1" t="s">
        <v>1566</v>
      </c>
      <c r="I98" t="s">
        <v>1604</v>
      </c>
      <c r="J98" s="2">
        <v>1532926</v>
      </c>
      <c r="K98" t="s">
        <v>12</v>
      </c>
      <c r="L98" t="s">
        <v>1652</v>
      </c>
    </row>
    <row r="99" spans="1:12" x14ac:dyDescent="0.3">
      <c r="A99">
        <v>98</v>
      </c>
      <c r="B99" t="s">
        <v>116</v>
      </c>
      <c r="C99">
        <v>43923.382638888892</v>
      </c>
      <c r="D99">
        <v>2020</v>
      </c>
      <c r="E99" t="s">
        <v>10</v>
      </c>
      <c r="F99" t="s">
        <v>1553</v>
      </c>
      <c r="G99" t="s">
        <v>62</v>
      </c>
      <c r="H99" s="1" t="s">
        <v>1576</v>
      </c>
      <c r="I99" t="s">
        <v>1608</v>
      </c>
      <c r="J99" s="2">
        <v>3317917</v>
      </c>
      <c r="K99" t="s">
        <v>12</v>
      </c>
      <c r="L99" t="s">
        <v>1652</v>
      </c>
    </row>
    <row r="100" spans="1:12" x14ac:dyDescent="0.3">
      <c r="A100">
        <v>99</v>
      </c>
      <c r="B100" t="s">
        <v>117</v>
      </c>
      <c r="C100">
        <v>43924.406944444447</v>
      </c>
      <c r="D100">
        <v>2020</v>
      </c>
      <c r="E100" t="s">
        <v>10</v>
      </c>
      <c r="F100" t="s">
        <v>1553</v>
      </c>
      <c r="G100" t="s">
        <v>18</v>
      </c>
      <c r="H100" s="1" t="s">
        <v>1568</v>
      </c>
      <c r="I100" t="s">
        <v>1608</v>
      </c>
      <c r="J100" s="2">
        <v>2567799</v>
      </c>
      <c r="K100" t="s">
        <v>12</v>
      </c>
      <c r="L100" t="s">
        <v>1648</v>
      </c>
    </row>
    <row r="101" spans="1:12" x14ac:dyDescent="0.3">
      <c r="A101">
        <v>100</v>
      </c>
      <c r="B101" t="s">
        <v>118</v>
      </c>
      <c r="C101">
        <v>43924.431944444441</v>
      </c>
      <c r="D101">
        <v>2020</v>
      </c>
      <c r="E101" t="s">
        <v>10</v>
      </c>
      <c r="F101" t="s">
        <v>1553</v>
      </c>
      <c r="G101" t="s">
        <v>18</v>
      </c>
      <c r="H101" s="1" t="s">
        <v>1562</v>
      </c>
      <c r="I101" t="s">
        <v>1587</v>
      </c>
      <c r="J101" s="2">
        <v>1561963</v>
      </c>
      <c r="K101" t="s">
        <v>12</v>
      </c>
      <c r="L101" t="s">
        <v>1652</v>
      </c>
    </row>
    <row r="102" spans="1:12" x14ac:dyDescent="0.3">
      <c r="A102">
        <v>101</v>
      </c>
      <c r="B102" t="s">
        <v>119</v>
      </c>
      <c r="C102">
        <v>43934.407638888886</v>
      </c>
      <c r="D102">
        <v>2020</v>
      </c>
      <c r="E102" t="s">
        <v>10</v>
      </c>
      <c r="F102" t="s">
        <v>1553</v>
      </c>
      <c r="G102" t="s">
        <v>18</v>
      </c>
      <c r="H102" s="1" t="s">
        <v>1569</v>
      </c>
      <c r="I102" t="s">
        <v>1609</v>
      </c>
      <c r="J102" s="2">
        <v>2829484</v>
      </c>
      <c r="K102" t="s">
        <v>16</v>
      </c>
      <c r="L102" t="s">
        <v>1652</v>
      </c>
    </row>
    <row r="103" spans="1:12" x14ac:dyDescent="0.3">
      <c r="A103">
        <v>102</v>
      </c>
      <c r="B103" t="s">
        <v>120</v>
      </c>
      <c r="C103">
        <v>43934.51458333333</v>
      </c>
      <c r="D103">
        <v>2020</v>
      </c>
      <c r="E103" t="s">
        <v>10</v>
      </c>
      <c r="F103" t="s">
        <v>1553</v>
      </c>
      <c r="G103" t="s">
        <v>21</v>
      </c>
      <c r="H103" s="1" t="s">
        <v>1562</v>
      </c>
      <c r="I103" t="s">
        <v>1610</v>
      </c>
      <c r="J103" s="2">
        <v>4041815</v>
      </c>
      <c r="K103" t="s">
        <v>121</v>
      </c>
      <c r="L103" t="s">
        <v>1648</v>
      </c>
    </row>
    <row r="104" spans="1:12" x14ac:dyDescent="0.3">
      <c r="A104">
        <v>103</v>
      </c>
      <c r="B104" t="s">
        <v>122</v>
      </c>
      <c r="C104">
        <v>43934.571527777778</v>
      </c>
      <c r="D104">
        <v>2020</v>
      </c>
      <c r="E104" t="s">
        <v>10</v>
      </c>
      <c r="F104" t="s">
        <v>1553</v>
      </c>
      <c r="G104" t="s">
        <v>23</v>
      </c>
      <c r="H104" s="1" t="s">
        <v>1573</v>
      </c>
      <c r="I104" t="s">
        <v>1578</v>
      </c>
      <c r="J104" s="2">
        <v>3655872</v>
      </c>
      <c r="K104" t="s">
        <v>16</v>
      </c>
      <c r="L104" t="s">
        <v>1650</v>
      </c>
    </row>
    <row r="105" spans="1:12" x14ac:dyDescent="0.3">
      <c r="A105">
        <v>104</v>
      </c>
      <c r="B105" t="s">
        <v>123</v>
      </c>
      <c r="C105">
        <v>43935.495833333334</v>
      </c>
      <c r="D105">
        <v>2020</v>
      </c>
      <c r="E105" t="s">
        <v>10</v>
      </c>
      <c r="F105" t="s">
        <v>1553</v>
      </c>
      <c r="G105" t="s">
        <v>21</v>
      </c>
      <c r="H105" s="1" t="s">
        <v>1575</v>
      </c>
      <c r="I105" t="s">
        <v>1606</v>
      </c>
      <c r="J105" s="2">
        <v>2660447</v>
      </c>
      <c r="K105" t="s">
        <v>12</v>
      </c>
      <c r="L105" t="s">
        <v>1652</v>
      </c>
    </row>
    <row r="106" spans="1:12" x14ac:dyDescent="0.3">
      <c r="A106">
        <v>105</v>
      </c>
      <c r="B106" t="s">
        <v>124</v>
      </c>
      <c r="C106">
        <v>43935.686111111114</v>
      </c>
      <c r="D106">
        <v>2020</v>
      </c>
      <c r="E106" t="s">
        <v>10</v>
      </c>
      <c r="F106" t="s">
        <v>1553</v>
      </c>
      <c r="G106" t="s">
        <v>18</v>
      </c>
      <c r="H106" s="1" t="s">
        <v>1572</v>
      </c>
      <c r="I106" t="s">
        <v>1578</v>
      </c>
      <c r="J106" s="2">
        <v>3046459</v>
      </c>
      <c r="K106" t="s">
        <v>16</v>
      </c>
      <c r="L106" t="s">
        <v>1650</v>
      </c>
    </row>
    <row r="107" spans="1:12" x14ac:dyDescent="0.3">
      <c r="A107">
        <v>106</v>
      </c>
      <c r="B107" t="s">
        <v>125</v>
      </c>
      <c r="C107">
        <v>43936.505555555559</v>
      </c>
      <c r="D107">
        <v>2020</v>
      </c>
      <c r="E107" t="s">
        <v>10</v>
      </c>
      <c r="F107" t="s">
        <v>1553</v>
      </c>
      <c r="G107" t="s">
        <v>62</v>
      </c>
      <c r="H107" s="1" t="s">
        <v>1566</v>
      </c>
      <c r="I107" t="s">
        <v>1611</v>
      </c>
      <c r="J107" s="2">
        <v>4207734</v>
      </c>
      <c r="K107" t="s">
        <v>59</v>
      </c>
      <c r="L107" t="s">
        <v>1652</v>
      </c>
    </row>
    <row r="108" spans="1:12" x14ac:dyDescent="0.3">
      <c r="A108">
        <v>107</v>
      </c>
      <c r="B108" t="s">
        <v>126</v>
      </c>
      <c r="C108">
        <v>43936.661805555559</v>
      </c>
      <c r="D108">
        <v>2020</v>
      </c>
      <c r="E108" t="s">
        <v>10</v>
      </c>
      <c r="F108" t="s">
        <v>1553</v>
      </c>
      <c r="G108" t="s">
        <v>23</v>
      </c>
      <c r="H108" s="1" t="s">
        <v>1568</v>
      </c>
      <c r="I108" t="s">
        <v>1580</v>
      </c>
      <c r="J108" s="2">
        <v>1751177</v>
      </c>
      <c r="K108" t="s">
        <v>16</v>
      </c>
      <c r="L108" t="s">
        <v>1651</v>
      </c>
    </row>
    <row r="109" spans="1:12" x14ac:dyDescent="0.3">
      <c r="A109">
        <v>108</v>
      </c>
      <c r="B109" t="s">
        <v>50</v>
      </c>
      <c r="C109">
        <v>43936.715277777781</v>
      </c>
      <c r="D109">
        <v>2020</v>
      </c>
      <c r="E109" t="s">
        <v>10</v>
      </c>
      <c r="F109" t="s">
        <v>1553</v>
      </c>
      <c r="G109" t="s">
        <v>15</v>
      </c>
      <c r="H109" s="1" t="s">
        <v>1569</v>
      </c>
      <c r="I109" t="s">
        <v>1604</v>
      </c>
      <c r="J109" s="2">
        <v>2305476</v>
      </c>
      <c r="K109" t="s">
        <v>12</v>
      </c>
      <c r="L109" t="s">
        <v>1652</v>
      </c>
    </row>
    <row r="110" spans="1:12" x14ac:dyDescent="0.3">
      <c r="A110">
        <v>109</v>
      </c>
      <c r="B110" t="s">
        <v>127</v>
      </c>
      <c r="C110">
        <v>43937.492361111108</v>
      </c>
      <c r="D110">
        <v>2020</v>
      </c>
      <c r="E110" t="s">
        <v>10</v>
      </c>
      <c r="F110" t="s">
        <v>1553</v>
      </c>
      <c r="G110" t="s">
        <v>11</v>
      </c>
      <c r="H110" s="1" t="s">
        <v>1567</v>
      </c>
      <c r="I110" t="s">
        <v>1597</v>
      </c>
      <c r="J110" s="2">
        <v>3723548</v>
      </c>
      <c r="K110" t="s">
        <v>12</v>
      </c>
      <c r="L110" t="s">
        <v>1651</v>
      </c>
    </row>
    <row r="111" spans="1:12" x14ac:dyDescent="0.3">
      <c r="A111">
        <v>110</v>
      </c>
      <c r="B111" t="s">
        <v>128</v>
      </c>
      <c r="C111">
        <v>43937.536805555559</v>
      </c>
      <c r="D111">
        <v>2020</v>
      </c>
      <c r="E111" t="s">
        <v>10</v>
      </c>
      <c r="F111" t="s">
        <v>1553</v>
      </c>
      <c r="G111" t="s">
        <v>15</v>
      </c>
      <c r="H111" s="1" t="s">
        <v>1574</v>
      </c>
      <c r="I111" t="s">
        <v>1610</v>
      </c>
      <c r="J111" s="2">
        <v>1423416</v>
      </c>
      <c r="K111" t="s">
        <v>121</v>
      </c>
      <c r="L111" t="s">
        <v>1649</v>
      </c>
    </row>
    <row r="112" spans="1:12" x14ac:dyDescent="0.3">
      <c r="A112">
        <v>111</v>
      </c>
      <c r="B112" t="s">
        <v>129</v>
      </c>
      <c r="C112">
        <v>43937.718055555553</v>
      </c>
      <c r="D112">
        <v>2020</v>
      </c>
      <c r="E112" t="s">
        <v>10</v>
      </c>
      <c r="F112" t="s">
        <v>1553</v>
      </c>
      <c r="G112" t="s">
        <v>67</v>
      </c>
      <c r="H112" s="1" t="s">
        <v>1569</v>
      </c>
      <c r="I112" t="s">
        <v>1595</v>
      </c>
      <c r="J112" s="2">
        <v>2065729</v>
      </c>
      <c r="K112" t="s">
        <v>12</v>
      </c>
      <c r="L112" t="s">
        <v>1652</v>
      </c>
    </row>
    <row r="113" spans="1:12" x14ac:dyDescent="0.3">
      <c r="A113">
        <v>112</v>
      </c>
      <c r="B113" t="s">
        <v>130</v>
      </c>
      <c r="C113">
        <v>43938.364583333336</v>
      </c>
      <c r="D113">
        <v>2020</v>
      </c>
      <c r="E113" t="s">
        <v>10</v>
      </c>
      <c r="F113" t="s">
        <v>1553</v>
      </c>
      <c r="G113" t="s">
        <v>57</v>
      </c>
      <c r="H113" s="1" t="s">
        <v>1562</v>
      </c>
      <c r="I113" t="s">
        <v>1595</v>
      </c>
      <c r="J113" s="2">
        <v>1402994</v>
      </c>
      <c r="K113" t="s">
        <v>12</v>
      </c>
      <c r="L113" t="s">
        <v>1653</v>
      </c>
    </row>
    <row r="114" spans="1:12" x14ac:dyDescent="0.3">
      <c r="A114">
        <v>113</v>
      </c>
      <c r="B114" t="s">
        <v>131</v>
      </c>
      <c r="C114">
        <v>43938.374305555553</v>
      </c>
      <c r="D114">
        <v>2020</v>
      </c>
      <c r="E114" t="s">
        <v>10</v>
      </c>
      <c r="F114" t="s">
        <v>1553</v>
      </c>
      <c r="G114" t="s">
        <v>44</v>
      </c>
      <c r="H114" s="1" t="s">
        <v>1571</v>
      </c>
      <c r="I114" t="s">
        <v>1594</v>
      </c>
      <c r="J114" s="2">
        <v>3675002</v>
      </c>
      <c r="K114" t="s">
        <v>59</v>
      </c>
      <c r="L114" t="s">
        <v>1649</v>
      </c>
    </row>
    <row r="115" spans="1:12" x14ac:dyDescent="0.3">
      <c r="A115">
        <v>114</v>
      </c>
      <c r="B115" t="s">
        <v>133</v>
      </c>
      <c r="C115">
        <v>43938.506944444445</v>
      </c>
      <c r="D115">
        <v>2020</v>
      </c>
      <c r="E115" t="s">
        <v>10</v>
      </c>
      <c r="F115" t="s">
        <v>1553</v>
      </c>
      <c r="G115" t="s">
        <v>62</v>
      </c>
      <c r="H115" s="1" t="s">
        <v>1570</v>
      </c>
      <c r="I115" t="s">
        <v>1587</v>
      </c>
      <c r="J115" s="2">
        <v>2546990</v>
      </c>
      <c r="K115" t="s">
        <v>12</v>
      </c>
      <c r="L115" t="s">
        <v>1653</v>
      </c>
    </row>
    <row r="116" spans="1:12" x14ac:dyDescent="0.3">
      <c r="A116">
        <v>115</v>
      </c>
      <c r="B116" t="s">
        <v>125</v>
      </c>
      <c r="C116">
        <v>43941.604166666664</v>
      </c>
      <c r="D116">
        <v>2020</v>
      </c>
      <c r="E116" t="s">
        <v>10</v>
      </c>
      <c r="F116" t="s">
        <v>1553</v>
      </c>
      <c r="G116" t="s">
        <v>62</v>
      </c>
      <c r="H116" s="1" t="s">
        <v>1569</v>
      </c>
      <c r="I116" t="s">
        <v>1608</v>
      </c>
      <c r="J116" s="2">
        <v>3678404</v>
      </c>
      <c r="K116" t="s">
        <v>12</v>
      </c>
      <c r="L116" t="s">
        <v>1648</v>
      </c>
    </row>
    <row r="117" spans="1:12" x14ac:dyDescent="0.3">
      <c r="A117">
        <v>116</v>
      </c>
      <c r="B117" t="s">
        <v>134</v>
      </c>
      <c r="C117">
        <v>43941.607638888891</v>
      </c>
      <c r="D117">
        <v>2020</v>
      </c>
      <c r="E117" t="s">
        <v>10</v>
      </c>
      <c r="F117" t="s">
        <v>1553</v>
      </c>
      <c r="G117" t="s">
        <v>62</v>
      </c>
      <c r="H117" s="1" t="s">
        <v>1569</v>
      </c>
      <c r="I117" t="s">
        <v>1608</v>
      </c>
      <c r="J117" s="2">
        <v>4779923</v>
      </c>
      <c r="K117" t="s">
        <v>12</v>
      </c>
      <c r="L117" t="s">
        <v>1650</v>
      </c>
    </row>
    <row r="118" spans="1:12" x14ac:dyDescent="0.3">
      <c r="A118">
        <v>117</v>
      </c>
      <c r="B118" t="s">
        <v>135</v>
      </c>
      <c r="C118">
        <v>43941.611111111109</v>
      </c>
      <c r="D118">
        <v>2020</v>
      </c>
      <c r="E118" t="s">
        <v>10</v>
      </c>
      <c r="F118" t="s">
        <v>1552</v>
      </c>
      <c r="G118" t="s">
        <v>18</v>
      </c>
      <c r="H118" s="1" t="s">
        <v>1576</v>
      </c>
      <c r="I118" t="s">
        <v>1584</v>
      </c>
      <c r="J118" s="2">
        <v>1460589</v>
      </c>
      <c r="K118" t="s">
        <v>12</v>
      </c>
      <c r="L118" t="s">
        <v>1652</v>
      </c>
    </row>
    <row r="119" spans="1:12" x14ac:dyDescent="0.3">
      <c r="A119">
        <v>118</v>
      </c>
      <c r="B119" t="s">
        <v>136</v>
      </c>
      <c r="C119">
        <v>43942.366666666669</v>
      </c>
      <c r="D119">
        <v>2020</v>
      </c>
      <c r="E119" t="s">
        <v>10</v>
      </c>
      <c r="F119" t="s">
        <v>1554</v>
      </c>
      <c r="G119" t="s">
        <v>42</v>
      </c>
      <c r="H119" s="1" t="s">
        <v>1576</v>
      </c>
      <c r="I119" t="s">
        <v>1580</v>
      </c>
      <c r="J119" s="2">
        <v>3486499</v>
      </c>
      <c r="K119" t="s">
        <v>16</v>
      </c>
      <c r="L119" t="s">
        <v>1650</v>
      </c>
    </row>
    <row r="120" spans="1:12" x14ac:dyDescent="0.3">
      <c r="A120">
        <v>119</v>
      </c>
      <c r="B120" t="s">
        <v>137</v>
      </c>
      <c r="C120">
        <v>43942.661805555559</v>
      </c>
      <c r="D120">
        <v>2020</v>
      </c>
      <c r="E120" t="s">
        <v>10</v>
      </c>
      <c r="F120" t="s">
        <v>1554</v>
      </c>
      <c r="G120" t="s">
        <v>11</v>
      </c>
      <c r="H120" s="1" t="s">
        <v>1572</v>
      </c>
      <c r="I120" t="s">
        <v>1610</v>
      </c>
      <c r="J120" s="2">
        <v>3042343</v>
      </c>
      <c r="K120" t="s">
        <v>121</v>
      </c>
      <c r="L120" t="s">
        <v>1648</v>
      </c>
    </row>
    <row r="121" spans="1:12" x14ac:dyDescent="0.3">
      <c r="A121">
        <v>120</v>
      </c>
      <c r="B121" t="s">
        <v>138</v>
      </c>
      <c r="C121">
        <v>43942.672222222223</v>
      </c>
      <c r="D121">
        <v>2020</v>
      </c>
      <c r="E121" t="s">
        <v>10</v>
      </c>
      <c r="F121" t="s">
        <v>1554</v>
      </c>
      <c r="G121" t="s">
        <v>11</v>
      </c>
      <c r="H121" s="1" t="s">
        <v>1575</v>
      </c>
      <c r="I121" t="s">
        <v>1593</v>
      </c>
      <c r="J121" s="2">
        <v>3147898</v>
      </c>
      <c r="K121" t="s">
        <v>12</v>
      </c>
      <c r="L121" t="s">
        <v>1650</v>
      </c>
    </row>
    <row r="122" spans="1:12" x14ac:dyDescent="0.3">
      <c r="A122">
        <v>121</v>
      </c>
      <c r="B122" t="s">
        <v>139</v>
      </c>
      <c r="C122">
        <v>43943.384722222225</v>
      </c>
      <c r="D122">
        <v>2020</v>
      </c>
      <c r="E122" t="s">
        <v>10</v>
      </c>
      <c r="F122" t="s">
        <v>1554</v>
      </c>
      <c r="G122" t="s">
        <v>23</v>
      </c>
      <c r="H122" s="1" t="s">
        <v>1564</v>
      </c>
      <c r="I122" t="s">
        <v>1578</v>
      </c>
      <c r="J122" s="2">
        <v>1697571</v>
      </c>
      <c r="K122" t="s">
        <v>16</v>
      </c>
      <c r="L122" t="s">
        <v>1653</v>
      </c>
    </row>
    <row r="123" spans="1:12" x14ac:dyDescent="0.3">
      <c r="A123">
        <v>122</v>
      </c>
      <c r="B123" t="s">
        <v>140</v>
      </c>
      <c r="C123">
        <v>43943.427777777775</v>
      </c>
      <c r="D123">
        <v>2020</v>
      </c>
      <c r="E123" t="s">
        <v>10</v>
      </c>
      <c r="F123" t="s">
        <v>1554</v>
      </c>
      <c r="G123" t="s">
        <v>15</v>
      </c>
      <c r="H123" s="1" t="s">
        <v>1564</v>
      </c>
      <c r="I123" t="s">
        <v>1612</v>
      </c>
      <c r="J123" s="2">
        <v>4306322</v>
      </c>
      <c r="K123" t="s">
        <v>12</v>
      </c>
      <c r="L123" t="s">
        <v>1651</v>
      </c>
    </row>
    <row r="124" spans="1:12" x14ac:dyDescent="0.3">
      <c r="A124">
        <v>123</v>
      </c>
      <c r="B124" t="s">
        <v>141</v>
      </c>
      <c r="C124">
        <v>43943.462500000001</v>
      </c>
      <c r="D124">
        <v>2020</v>
      </c>
      <c r="E124" t="s">
        <v>10</v>
      </c>
      <c r="F124" t="s">
        <v>1554</v>
      </c>
      <c r="G124" t="s">
        <v>23</v>
      </c>
      <c r="H124" s="1" t="s">
        <v>1565</v>
      </c>
      <c r="I124" t="s">
        <v>1602</v>
      </c>
      <c r="J124" s="2">
        <v>3625024</v>
      </c>
      <c r="K124" t="s">
        <v>59</v>
      </c>
      <c r="L124" t="s">
        <v>1652</v>
      </c>
    </row>
    <row r="125" spans="1:12" x14ac:dyDescent="0.3">
      <c r="A125">
        <v>124</v>
      </c>
      <c r="B125" t="s">
        <v>142</v>
      </c>
      <c r="C125">
        <v>43943.538888888892</v>
      </c>
      <c r="D125">
        <v>2020</v>
      </c>
      <c r="E125" t="s">
        <v>10</v>
      </c>
      <c r="F125" t="s">
        <v>78</v>
      </c>
      <c r="G125" t="s">
        <v>21</v>
      </c>
      <c r="H125" s="1" t="s">
        <v>1575</v>
      </c>
      <c r="I125" t="s">
        <v>1613</v>
      </c>
      <c r="J125" s="2">
        <v>2016719</v>
      </c>
      <c r="K125" t="s">
        <v>53</v>
      </c>
      <c r="L125" t="s">
        <v>1653</v>
      </c>
    </row>
    <row r="126" spans="1:12" x14ac:dyDescent="0.3">
      <c r="A126">
        <v>125</v>
      </c>
      <c r="B126" t="s">
        <v>125</v>
      </c>
      <c r="C126">
        <v>43943.656944444447</v>
      </c>
      <c r="D126">
        <v>2020</v>
      </c>
      <c r="E126" t="s">
        <v>10</v>
      </c>
      <c r="F126" t="s">
        <v>1553</v>
      </c>
      <c r="G126" t="s">
        <v>62</v>
      </c>
      <c r="H126" s="1" t="s">
        <v>1576</v>
      </c>
      <c r="I126" t="s">
        <v>1587</v>
      </c>
      <c r="J126" s="2">
        <v>3712524</v>
      </c>
      <c r="K126" t="s">
        <v>12</v>
      </c>
      <c r="L126" t="s">
        <v>1649</v>
      </c>
    </row>
    <row r="127" spans="1:12" x14ac:dyDescent="0.3">
      <c r="A127">
        <v>126</v>
      </c>
      <c r="B127" t="s">
        <v>134</v>
      </c>
      <c r="C127">
        <v>43943.660416666666</v>
      </c>
      <c r="D127">
        <v>2020</v>
      </c>
      <c r="E127" t="s">
        <v>10</v>
      </c>
      <c r="F127" t="s">
        <v>1553</v>
      </c>
      <c r="G127" t="s">
        <v>62</v>
      </c>
      <c r="H127" s="1" t="s">
        <v>1562</v>
      </c>
      <c r="I127" t="s">
        <v>1590</v>
      </c>
      <c r="J127" s="2">
        <v>2541656</v>
      </c>
      <c r="K127" t="s">
        <v>12</v>
      </c>
      <c r="L127" t="s">
        <v>1651</v>
      </c>
    </row>
    <row r="128" spans="1:12" x14ac:dyDescent="0.3">
      <c r="A128">
        <v>127</v>
      </c>
      <c r="B128" t="s">
        <v>143</v>
      </c>
      <c r="C128">
        <v>43943.683333333334</v>
      </c>
      <c r="D128">
        <v>2020</v>
      </c>
      <c r="E128" t="s">
        <v>10</v>
      </c>
      <c r="F128" t="s">
        <v>1553</v>
      </c>
      <c r="G128" t="s">
        <v>62</v>
      </c>
      <c r="H128" s="1" t="s">
        <v>1568</v>
      </c>
      <c r="I128" t="s">
        <v>1614</v>
      </c>
      <c r="J128" s="2">
        <v>4275211</v>
      </c>
      <c r="K128" t="s">
        <v>16</v>
      </c>
      <c r="L128" t="s">
        <v>1648</v>
      </c>
    </row>
    <row r="129" spans="1:12" x14ac:dyDescent="0.3">
      <c r="A129">
        <v>128</v>
      </c>
      <c r="B129" t="s">
        <v>50</v>
      </c>
      <c r="C129">
        <v>43943.701388888891</v>
      </c>
      <c r="D129">
        <v>2020</v>
      </c>
      <c r="E129" t="s">
        <v>10</v>
      </c>
      <c r="F129" t="s">
        <v>1553</v>
      </c>
      <c r="G129" t="s">
        <v>62</v>
      </c>
      <c r="H129" s="1" t="s">
        <v>1571</v>
      </c>
      <c r="I129" t="s">
        <v>1602</v>
      </c>
      <c r="J129" s="2">
        <v>4065092</v>
      </c>
      <c r="K129" t="s">
        <v>59</v>
      </c>
      <c r="L129" t="s">
        <v>1648</v>
      </c>
    </row>
    <row r="130" spans="1:12" x14ac:dyDescent="0.3">
      <c r="A130">
        <v>129</v>
      </c>
      <c r="B130" t="s">
        <v>144</v>
      </c>
      <c r="C130">
        <v>43944.350694444445</v>
      </c>
      <c r="D130">
        <v>2020</v>
      </c>
      <c r="E130" t="s">
        <v>10</v>
      </c>
      <c r="F130" t="s">
        <v>1553</v>
      </c>
      <c r="G130" t="s">
        <v>62</v>
      </c>
      <c r="H130" s="1" t="s">
        <v>1569</v>
      </c>
      <c r="I130" t="s">
        <v>1614</v>
      </c>
      <c r="J130" s="2">
        <v>2094973</v>
      </c>
      <c r="K130" t="s">
        <v>16</v>
      </c>
      <c r="L130" t="s">
        <v>1648</v>
      </c>
    </row>
    <row r="131" spans="1:12" x14ac:dyDescent="0.3">
      <c r="A131">
        <v>130</v>
      </c>
      <c r="B131" t="s">
        <v>145</v>
      </c>
      <c r="C131">
        <v>43944.460416666669</v>
      </c>
      <c r="D131">
        <v>2020</v>
      </c>
      <c r="E131" t="s">
        <v>10</v>
      </c>
      <c r="F131" t="s">
        <v>1553</v>
      </c>
      <c r="G131" t="s">
        <v>15</v>
      </c>
      <c r="H131" s="1" t="s">
        <v>1562</v>
      </c>
      <c r="I131" t="s">
        <v>1609</v>
      </c>
      <c r="J131" s="2">
        <v>4552638</v>
      </c>
      <c r="K131" t="s">
        <v>16</v>
      </c>
      <c r="L131" t="s">
        <v>1652</v>
      </c>
    </row>
    <row r="132" spans="1:12" x14ac:dyDescent="0.3">
      <c r="A132">
        <v>131</v>
      </c>
      <c r="B132" t="s">
        <v>146</v>
      </c>
      <c r="C132">
        <v>43944.782638888886</v>
      </c>
      <c r="D132">
        <v>2020</v>
      </c>
      <c r="E132" t="s">
        <v>10</v>
      </c>
      <c r="F132" t="s">
        <v>82</v>
      </c>
      <c r="G132" t="s">
        <v>62</v>
      </c>
      <c r="H132" s="1" t="s">
        <v>1565</v>
      </c>
      <c r="I132" t="s">
        <v>1615</v>
      </c>
      <c r="J132" s="2">
        <v>4195750</v>
      </c>
      <c r="K132" t="s">
        <v>16</v>
      </c>
      <c r="L132" t="s">
        <v>1651</v>
      </c>
    </row>
    <row r="133" spans="1:12" x14ac:dyDescent="0.3">
      <c r="A133">
        <v>132</v>
      </c>
      <c r="B133" t="s">
        <v>147</v>
      </c>
      <c r="C133">
        <v>43949.481249999997</v>
      </c>
      <c r="D133">
        <v>2020</v>
      </c>
      <c r="E133" t="s">
        <v>10</v>
      </c>
      <c r="F133" t="s">
        <v>1554</v>
      </c>
      <c r="G133" t="s">
        <v>11</v>
      </c>
      <c r="H133" s="1" t="s">
        <v>1576</v>
      </c>
      <c r="I133" t="s">
        <v>1610</v>
      </c>
      <c r="J133" s="2">
        <v>1629832</v>
      </c>
      <c r="K133" t="s">
        <v>121</v>
      </c>
      <c r="L133" t="s">
        <v>1652</v>
      </c>
    </row>
    <row r="134" spans="1:12" x14ac:dyDescent="0.3">
      <c r="A134">
        <v>133</v>
      </c>
      <c r="B134" t="s">
        <v>148</v>
      </c>
      <c r="C134">
        <v>43949.484722222223</v>
      </c>
      <c r="D134">
        <v>2020</v>
      </c>
      <c r="E134" t="s">
        <v>10</v>
      </c>
      <c r="F134" t="s">
        <v>1554</v>
      </c>
      <c r="G134" t="s">
        <v>11</v>
      </c>
      <c r="H134" s="1" t="s">
        <v>1574</v>
      </c>
      <c r="I134" t="s">
        <v>1588</v>
      </c>
      <c r="J134" s="2">
        <v>1108673</v>
      </c>
      <c r="K134" t="s">
        <v>16</v>
      </c>
      <c r="L134" t="s">
        <v>1653</v>
      </c>
    </row>
    <row r="135" spans="1:12" x14ac:dyDescent="0.3">
      <c r="A135">
        <v>134</v>
      </c>
      <c r="B135" t="s">
        <v>149</v>
      </c>
      <c r="C135">
        <v>43950.36041666667</v>
      </c>
      <c r="D135">
        <v>2020</v>
      </c>
      <c r="E135" t="s">
        <v>10</v>
      </c>
      <c r="F135" t="s">
        <v>1554</v>
      </c>
      <c r="G135" t="s">
        <v>57</v>
      </c>
      <c r="H135" s="1" t="s">
        <v>1573</v>
      </c>
      <c r="I135" t="s">
        <v>1607</v>
      </c>
      <c r="J135" s="2">
        <v>2984966</v>
      </c>
      <c r="K135" t="s">
        <v>16</v>
      </c>
      <c r="L135" t="s">
        <v>1649</v>
      </c>
    </row>
    <row r="136" spans="1:12" x14ac:dyDescent="0.3">
      <c r="A136">
        <v>135</v>
      </c>
      <c r="B136" t="s">
        <v>150</v>
      </c>
      <c r="C136">
        <v>43950.407638888886</v>
      </c>
      <c r="D136">
        <v>2020</v>
      </c>
      <c r="E136" t="s">
        <v>10</v>
      </c>
      <c r="F136" t="s">
        <v>1554</v>
      </c>
      <c r="G136" t="s">
        <v>62</v>
      </c>
      <c r="H136" s="1" t="s">
        <v>1564</v>
      </c>
      <c r="I136" t="s">
        <v>1610</v>
      </c>
      <c r="J136" s="2">
        <v>4462342</v>
      </c>
      <c r="K136" t="s">
        <v>121</v>
      </c>
      <c r="L136" t="s">
        <v>1653</v>
      </c>
    </row>
    <row r="137" spans="1:12" x14ac:dyDescent="0.3">
      <c r="A137">
        <v>136</v>
      </c>
      <c r="B137" t="s">
        <v>151</v>
      </c>
      <c r="C137">
        <v>43950.477777777778</v>
      </c>
      <c r="D137">
        <v>2020</v>
      </c>
      <c r="E137" t="s">
        <v>10</v>
      </c>
      <c r="F137" t="s">
        <v>1554</v>
      </c>
      <c r="G137" t="s">
        <v>21</v>
      </c>
      <c r="H137" s="1" t="s">
        <v>1569</v>
      </c>
      <c r="I137" t="s">
        <v>1610</v>
      </c>
      <c r="J137" s="2">
        <v>3354916</v>
      </c>
      <c r="K137" t="s">
        <v>121</v>
      </c>
      <c r="L137" t="s">
        <v>1652</v>
      </c>
    </row>
    <row r="138" spans="1:12" x14ac:dyDescent="0.3">
      <c r="A138">
        <v>137</v>
      </c>
      <c r="B138" t="s">
        <v>152</v>
      </c>
      <c r="C138">
        <v>43955.311111111114</v>
      </c>
      <c r="D138">
        <v>2020</v>
      </c>
      <c r="E138" t="s">
        <v>10</v>
      </c>
      <c r="F138" t="s">
        <v>82</v>
      </c>
      <c r="G138" t="s">
        <v>62</v>
      </c>
      <c r="H138" s="1" t="s">
        <v>1573</v>
      </c>
      <c r="I138" t="s">
        <v>1614</v>
      </c>
      <c r="J138" s="2">
        <v>4262224</v>
      </c>
      <c r="K138" t="s">
        <v>16</v>
      </c>
      <c r="L138" t="s">
        <v>1650</v>
      </c>
    </row>
    <row r="139" spans="1:12" x14ac:dyDescent="0.3">
      <c r="A139">
        <v>138</v>
      </c>
      <c r="B139" t="s">
        <v>153</v>
      </c>
      <c r="C139">
        <v>43955.418749999997</v>
      </c>
      <c r="D139">
        <v>2020</v>
      </c>
      <c r="E139" t="s">
        <v>10</v>
      </c>
      <c r="F139" t="s">
        <v>1553</v>
      </c>
      <c r="G139" t="s">
        <v>15</v>
      </c>
      <c r="H139" s="1" t="s">
        <v>1563</v>
      </c>
      <c r="I139" t="s">
        <v>1616</v>
      </c>
      <c r="J139" s="2">
        <v>2261167</v>
      </c>
      <c r="L139" t="s">
        <v>1652</v>
      </c>
    </row>
    <row r="140" spans="1:12" x14ac:dyDescent="0.3">
      <c r="A140">
        <v>139</v>
      </c>
      <c r="B140" t="s">
        <v>154</v>
      </c>
      <c r="C140">
        <v>43955.734027777777</v>
      </c>
      <c r="D140">
        <v>2020</v>
      </c>
      <c r="E140" t="s">
        <v>10</v>
      </c>
      <c r="F140" t="s">
        <v>78</v>
      </c>
      <c r="G140" t="s">
        <v>21</v>
      </c>
      <c r="H140" s="1" t="s">
        <v>1566</v>
      </c>
      <c r="I140" t="s">
        <v>1610</v>
      </c>
      <c r="J140" s="2">
        <v>3502989</v>
      </c>
      <c r="K140" t="s">
        <v>121</v>
      </c>
      <c r="L140" t="s">
        <v>1648</v>
      </c>
    </row>
    <row r="141" spans="1:12" x14ac:dyDescent="0.3">
      <c r="A141">
        <v>140</v>
      </c>
      <c r="B141" t="s">
        <v>155</v>
      </c>
      <c r="C141">
        <v>43956.587500000001</v>
      </c>
      <c r="D141">
        <v>2020</v>
      </c>
      <c r="E141" t="s">
        <v>10</v>
      </c>
      <c r="F141" t="s">
        <v>78</v>
      </c>
      <c r="G141" t="s">
        <v>21</v>
      </c>
      <c r="H141" s="1" t="s">
        <v>1573</v>
      </c>
      <c r="I141" t="s">
        <v>1606</v>
      </c>
      <c r="J141" s="2">
        <v>1560743</v>
      </c>
      <c r="K141" t="s">
        <v>12</v>
      </c>
      <c r="L141" t="s">
        <v>1648</v>
      </c>
    </row>
    <row r="142" spans="1:12" x14ac:dyDescent="0.3">
      <c r="A142">
        <v>141</v>
      </c>
      <c r="B142" t="s">
        <v>156</v>
      </c>
      <c r="C142">
        <v>43958.522222222222</v>
      </c>
      <c r="D142">
        <v>2020</v>
      </c>
      <c r="E142" t="s">
        <v>10</v>
      </c>
      <c r="F142" t="s">
        <v>1555</v>
      </c>
      <c r="G142" t="s">
        <v>23</v>
      </c>
      <c r="H142" s="1" t="s">
        <v>1564</v>
      </c>
      <c r="I142" t="s">
        <v>1605</v>
      </c>
      <c r="J142" s="2">
        <v>3250855</v>
      </c>
      <c r="K142" t="s">
        <v>16</v>
      </c>
      <c r="L142" t="s">
        <v>1652</v>
      </c>
    </row>
    <row r="143" spans="1:12" x14ac:dyDescent="0.3">
      <c r="A143">
        <v>142</v>
      </c>
      <c r="B143" t="s">
        <v>157</v>
      </c>
      <c r="C143">
        <v>43958.695833333331</v>
      </c>
      <c r="D143">
        <v>2020</v>
      </c>
      <c r="E143" t="s">
        <v>10</v>
      </c>
      <c r="F143" t="s">
        <v>78</v>
      </c>
      <c r="G143" t="s">
        <v>21</v>
      </c>
      <c r="H143" s="1" t="s">
        <v>1576</v>
      </c>
      <c r="I143" t="s">
        <v>1599</v>
      </c>
      <c r="J143" s="2">
        <v>4232721</v>
      </c>
      <c r="K143" t="s">
        <v>12</v>
      </c>
      <c r="L143" t="s">
        <v>1653</v>
      </c>
    </row>
    <row r="144" spans="1:12" x14ac:dyDescent="0.3">
      <c r="A144">
        <v>143</v>
      </c>
      <c r="B144" t="s">
        <v>158</v>
      </c>
      <c r="C144">
        <v>43959.381944444445</v>
      </c>
      <c r="D144">
        <v>2020</v>
      </c>
      <c r="E144" t="s">
        <v>10</v>
      </c>
      <c r="F144" t="s">
        <v>1561</v>
      </c>
      <c r="G144" t="s">
        <v>21</v>
      </c>
      <c r="H144" s="1" t="s">
        <v>1573</v>
      </c>
      <c r="I144" t="s">
        <v>1606</v>
      </c>
      <c r="J144" s="2">
        <v>3490660</v>
      </c>
      <c r="K144" t="s">
        <v>12</v>
      </c>
      <c r="L144" t="s">
        <v>1653</v>
      </c>
    </row>
    <row r="145" spans="1:12" x14ac:dyDescent="0.3">
      <c r="A145">
        <v>144</v>
      </c>
      <c r="B145" t="s">
        <v>50</v>
      </c>
      <c r="C145">
        <v>43959.689583333333</v>
      </c>
      <c r="D145">
        <v>2020</v>
      </c>
      <c r="E145" t="s">
        <v>10</v>
      </c>
      <c r="F145" t="s">
        <v>1561</v>
      </c>
      <c r="G145" t="s">
        <v>15</v>
      </c>
      <c r="H145" s="1" t="s">
        <v>1565</v>
      </c>
      <c r="I145" t="s">
        <v>1604</v>
      </c>
      <c r="J145" s="2">
        <v>961145</v>
      </c>
      <c r="K145" t="s">
        <v>12</v>
      </c>
      <c r="L145" t="s">
        <v>1650</v>
      </c>
    </row>
    <row r="146" spans="1:12" x14ac:dyDescent="0.3">
      <c r="A146">
        <v>145</v>
      </c>
      <c r="B146" t="s">
        <v>159</v>
      </c>
      <c r="C146">
        <v>43959.712500000001</v>
      </c>
      <c r="D146">
        <v>2020</v>
      </c>
      <c r="E146" t="s">
        <v>10</v>
      </c>
      <c r="F146" t="s">
        <v>1561</v>
      </c>
      <c r="G146" t="s">
        <v>21</v>
      </c>
      <c r="H146" s="1" t="s">
        <v>1565</v>
      </c>
      <c r="I146" t="s">
        <v>1610</v>
      </c>
      <c r="J146" s="2">
        <v>3117839</v>
      </c>
      <c r="K146" t="s">
        <v>121</v>
      </c>
      <c r="L146" t="s">
        <v>1650</v>
      </c>
    </row>
    <row r="147" spans="1:12" x14ac:dyDescent="0.3">
      <c r="A147">
        <v>146</v>
      </c>
      <c r="B147" t="s">
        <v>160</v>
      </c>
      <c r="C147">
        <v>43963.348611111112</v>
      </c>
      <c r="D147">
        <v>2020</v>
      </c>
      <c r="E147" t="s">
        <v>10</v>
      </c>
      <c r="F147" t="s">
        <v>1561</v>
      </c>
      <c r="G147" t="s">
        <v>23</v>
      </c>
      <c r="H147" s="1" t="s">
        <v>1565</v>
      </c>
      <c r="I147" t="s">
        <v>1588</v>
      </c>
      <c r="J147" s="2">
        <v>1126459</v>
      </c>
      <c r="K147" t="s">
        <v>16</v>
      </c>
      <c r="L147" t="s">
        <v>1648</v>
      </c>
    </row>
    <row r="148" spans="1:12" x14ac:dyDescent="0.3">
      <c r="A148">
        <v>147</v>
      </c>
      <c r="B148" t="s">
        <v>161</v>
      </c>
      <c r="C148">
        <v>43963.718055555553</v>
      </c>
      <c r="D148">
        <v>2020</v>
      </c>
      <c r="E148" t="s">
        <v>10</v>
      </c>
      <c r="F148" t="s">
        <v>1561</v>
      </c>
      <c r="G148" t="s">
        <v>15</v>
      </c>
      <c r="H148" s="1" t="s">
        <v>1565</v>
      </c>
      <c r="I148" t="s">
        <v>1578</v>
      </c>
      <c r="J148" s="2">
        <v>1714203</v>
      </c>
      <c r="K148" t="s">
        <v>16</v>
      </c>
      <c r="L148" t="s">
        <v>1651</v>
      </c>
    </row>
    <row r="149" spans="1:12" x14ac:dyDescent="0.3">
      <c r="A149">
        <v>148</v>
      </c>
      <c r="B149" t="s">
        <v>50</v>
      </c>
      <c r="C149">
        <v>43964.570138888892</v>
      </c>
      <c r="D149">
        <v>2020</v>
      </c>
      <c r="E149" t="s">
        <v>10</v>
      </c>
      <c r="F149" t="s">
        <v>1561</v>
      </c>
      <c r="G149" t="s">
        <v>62</v>
      </c>
      <c r="H149" s="1" t="s">
        <v>1565</v>
      </c>
      <c r="I149" t="s">
        <v>1617</v>
      </c>
      <c r="J149" s="2">
        <v>1086931</v>
      </c>
      <c r="K149" t="s">
        <v>16</v>
      </c>
      <c r="L149" t="s">
        <v>1648</v>
      </c>
    </row>
    <row r="150" spans="1:12" x14ac:dyDescent="0.3">
      <c r="A150">
        <v>149</v>
      </c>
      <c r="B150" t="s">
        <v>162</v>
      </c>
      <c r="C150">
        <v>43964.678472222222</v>
      </c>
      <c r="D150">
        <v>2020</v>
      </c>
      <c r="E150" t="s">
        <v>10</v>
      </c>
      <c r="F150" t="s">
        <v>20</v>
      </c>
      <c r="G150" t="s">
        <v>21</v>
      </c>
      <c r="H150" s="1" t="s">
        <v>1565</v>
      </c>
      <c r="I150" t="s">
        <v>1583</v>
      </c>
      <c r="J150" s="2">
        <v>3272415</v>
      </c>
      <c r="K150" t="s">
        <v>12</v>
      </c>
      <c r="L150" t="s">
        <v>1652</v>
      </c>
    </row>
    <row r="151" spans="1:12" x14ac:dyDescent="0.3">
      <c r="A151">
        <v>150</v>
      </c>
      <c r="B151" t="s">
        <v>163</v>
      </c>
      <c r="C151">
        <v>43964.758333333331</v>
      </c>
      <c r="D151">
        <v>2020</v>
      </c>
      <c r="E151" t="s">
        <v>10</v>
      </c>
      <c r="F151" t="s">
        <v>164</v>
      </c>
      <c r="G151" t="s">
        <v>165</v>
      </c>
      <c r="H151" s="1" t="s">
        <v>1565</v>
      </c>
      <c r="I151" t="s">
        <v>1610</v>
      </c>
      <c r="J151" s="2">
        <v>1236786</v>
      </c>
      <c r="K151" t="s">
        <v>121</v>
      </c>
      <c r="L151" t="s">
        <v>1653</v>
      </c>
    </row>
    <row r="152" spans="1:12" x14ac:dyDescent="0.3">
      <c r="A152">
        <v>151</v>
      </c>
      <c r="B152" t="s">
        <v>166</v>
      </c>
      <c r="C152">
        <v>43969.673611111109</v>
      </c>
      <c r="D152">
        <v>2020</v>
      </c>
      <c r="E152" t="s">
        <v>10</v>
      </c>
      <c r="F152" t="s">
        <v>1554</v>
      </c>
      <c r="G152" t="s">
        <v>11</v>
      </c>
      <c r="H152" s="1" t="s">
        <v>1565</v>
      </c>
      <c r="I152" t="s">
        <v>1577</v>
      </c>
      <c r="J152" s="2">
        <v>2446355</v>
      </c>
      <c r="K152" t="s">
        <v>12</v>
      </c>
      <c r="L152" t="s">
        <v>1651</v>
      </c>
    </row>
    <row r="153" spans="1:12" x14ac:dyDescent="0.3">
      <c r="A153">
        <v>152</v>
      </c>
      <c r="B153" t="s">
        <v>167</v>
      </c>
      <c r="C153">
        <v>43969.713888888888</v>
      </c>
      <c r="D153">
        <v>2020</v>
      </c>
      <c r="E153" t="s">
        <v>10</v>
      </c>
      <c r="F153" t="s">
        <v>1555</v>
      </c>
      <c r="G153" t="s">
        <v>23</v>
      </c>
      <c r="H153" s="1" t="s">
        <v>1565</v>
      </c>
      <c r="I153" t="s">
        <v>1578</v>
      </c>
      <c r="J153" s="2">
        <v>4377366</v>
      </c>
      <c r="K153" t="s">
        <v>16</v>
      </c>
      <c r="L153" t="s">
        <v>1648</v>
      </c>
    </row>
    <row r="154" spans="1:12" x14ac:dyDescent="0.3">
      <c r="A154">
        <v>153</v>
      </c>
      <c r="B154" t="s">
        <v>168</v>
      </c>
      <c r="C154">
        <v>43969.782638888886</v>
      </c>
      <c r="D154">
        <v>2020</v>
      </c>
      <c r="E154" t="s">
        <v>10</v>
      </c>
      <c r="F154" t="s">
        <v>48</v>
      </c>
      <c r="G154" t="s">
        <v>49</v>
      </c>
      <c r="H154" s="1" t="s">
        <v>1565</v>
      </c>
      <c r="I154" t="s">
        <v>1616</v>
      </c>
      <c r="J154" s="2">
        <v>4333335</v>
      </c>
      <c r="L154" t="s">
        <v>1653</v>
      </c>
    </row>
    <row r="155" spans="1:12" x14ac:dyDescent="0.3">
      <c r="A155">
        <v>154</v>
      </c>
      <c r="B155" t="s">
        <v>169</v>
      </c>
      <c r="C155">
        <v>43970.631944444445</v>
      </c>
      <c r="D155">
        <v>2020</v>
      </c>
      <c r="E155" t="s">
        <v>10</v>
      </c>
      <c r="F155" t="s">
        <v>78</v>
      </c>
      <c r="G155" t="s">
        <v>21</v>
      </c>
      <c r="H155" s="1" t="s">
        <v>1565</v>
      </c>
      <c r="I155" t="s">
        <v>1610</v>
      </c>
      <c r="J155" s="2">
        <v>2587814</v>
      </c>
      <c r="K155" t="s">
        <v>121</v>
      </c>
      <c r="L155" t="s">
        <v>1649</v>
      </c>
    </row>
    <row r="156" spans="1:12" x14ac:dyDescent="0.3">
      <c r="A156">
        <v>155</v>
      </c>
      <c r="B156" t="s">
        <v>170</v>
      </c>
      <c r="C156">
        <v>43971.363888888889</v>
      </c>
      <c r="D156">
        <v>2020</v>
      </c>
      <c r="E156" t="s">
        <v>10</v>
      </c>
      <c r="F156" t="s">
        <v>1555</v>
      </c>
      <c r="G156" t="s">
        <v>23</v>
      </c>
      <c r="H156" s="1" t="s">
        <v>1565</v>
      </c>
      <c r="I156" t="s">
        <v>1580</v>
      </c>
      <c r="J156" s="2">
        <v>3443340</v>
      </c>
      <c r="K156" t="s">
        <v>16</v>
      </c>
      <c r="L156" t="s">
        <v>1648</v>
      </c>
    </row>
    <row r="157" spans="1:12" x14ac:dyDescent="0.3">
      <c r="A157">
        <v>156</v>
      </c>
      <c r="B157" t="s">
        <v>171</v>
      </c>
      <c r="C157">
        <v>43972.373611111114</v>
      </c>
      <c r="D157">
        <v>2020</v>
      </c>
      <c r="E157" t="s">
        <v>10</v>
      </c>
      <c r="F157" t="s">
        <v>1552</v>
      </c>
      <c r="G157" t="s">
        <v>18</v>
      </c>
      <c r="H157" s="1" t="s">
        <v>1565</v>
      </c>
      <c r="I157" t="s">
        <v>1618</v>
      </c>
      <c r="J157" s="2">
        <v>1387362</v>
      </c>
      <c r="K157" t="s">
        <v>53</v>
      </c>
      <c r="L157" t="s">
        <v>1649</v>
      </c>
    </row>
    <row r="158" spans="1:12" x14ac:dyDescent="0.3">
      <c r="A158">
        <v>157</v>
      </c>
      <c r="B158" t="s">
        <v>172</v>
      </c>
      <c r="C158">
        <v>43972.386111111111</v>
      </c>
      <c r="D158">
        <v>2020</v>
      </c>
      <c r="E158" t="s">
        <v>10</v>
      </c>
      <c r="F158" t="s">
        <v>1552</v>
      </c>
      <c r="G158" t="s">
        <v>18</v>
      </c>
      <c r="H158" s="1" t="s">
        <v>1565</v>
      </c>
      <c r="I158" t="s">
        <v>1618</v>
      </c>
      <c r="J158" s="2">
        <v>2992263</v>
      </c>
      <c r="K158" t="s">
        <v>53</v>
      </c>
      <c r="L158" t="s">
        <v>1651</v>
      </c>
    </row>
    <row r="159" spans="1:12" x14ac:dyDescent="0.3">
      <c r="A159">
        <v>158</v>
      </c>
      <c r="B159" t="s">
        <v>173</v>
      </c>
      <c r="C159">
        <v>43972.839583333334</v>
      </c>
      <c r="D159">
        <v>2020</v>
      </c>
      <c r="E159" t="s">
        <v>10</v>
      </c>
      <c r="F159" t="s">
        <v>48</v>
      </c>
      <c r="G159" t="s">
        <v>49</v>
      </c>
      <c r="H159" s="1" t="s">
        <v>1565</v>
      </c>
      <c r="I159" t="s">
        <v>1618</v>
      </c>
      <c r="J159" s="2">
        <v>4694381</v>
      </c>
      <c r="K159" t="s">
        <v>53</v>
      </c>
      <c r="L159" t="s">
        <v>1652</v>
      </c>
    </row>
    <row r="160" spans="1:12" x14ac:dyDescent="0.3">
      <c r="A160">
        <v>159</v>
      </c>
      <c r="B160" t="s">
        <v>174</v>
      </c>
      <c r="C160">
        <v>43973.388888888891</v>
      </c>
      <c r="D160">
        <v>2020</v>
      </c>
      <c r="E160" t="s">
        <v>10</v>
      </c>
      <c r="F160" t="s">
        <v>1554</v>
      </c>
      <c r="G160" t="s">
        <v>18</v>
      </c>
      <c r="H160" s="1" t="s">
        <v>1565</v>
      </c>
      <c r="I160" t="s">
        <v>1614</v>
      </c>
      <c r="J160" s="2">
        <v>4087623</v>
      </c>
      <c r="K160" t="s">
        <v>16</v>
      </c>
      <c r="L160" t="s">
        <v>1650</v>
      </c>
    </row>
    <row r="161" spans="1:12" x14ac:dyDescent="0.3">
      <c r="A161">
        <v>160</v>
      </c>
      <c r="B161" t="s">
        <v>175</v>
      </c>
      <c r="C161">
        <v>43973.398611111108</v>
      </c>
      <c r="D161">
        <v>2020</v>
      </c>
      <c r="E161" t="s">
        <v>10</v>
      </c>
      <c r="F161" t="s">
        <v>1554</v>
      </c>
      <c r="G161" t="s">
        <v>18</v>
      </c>
      <c r="H161" s="1" t="s">
        <v>1565</v>
      </c>
      <c r="I161" t="s">
        <v>1614</v>
      </c>
      <c r="J161" s="2">
        <v>3284601</v>
      </c>
      <c r="K161" t="s">
        <v>16</v>
      </c>
      <c r="L161" t="s">
        <v>1652</v>
      </c>
    </row>
    <row r="162" spans="1:12" x14ac:dyDescent="0.3">
      <c r="A162">
        <v>161</v>
      </c>
      <c r="B162" t="s">
        <v>176</v>
      </c>
      <c r="C162">
        <v>43973.788888888892</v>
      </c>
      <c r="D162">
        <v>2020</v>
      </c>
      <c r="E162" t="s">
        <v>10</v>
      </c>
      <c r="F162" t="s">
        <v>1554</v>
      </c>
      <c r="G162" t="s">
        <v>21</v>
      </c>
      <c r="H162" s="1" t="s">
        <v>1565</v>
      </c>
      <c r="I162" t="s">
        <v>1583</v>
      </c>
      <c r="J162" s="2">
        <v>1867784</v>
      </c>
      <c r="K162" t="s">
        <v>12</v>
      </c>
      <c r="L162" t="s">
        <v>1648</v>
      </c>
    </row>
    <row r="163" spans="1:12" x14ac:dyDescent="0.3">
      <c r="A163">
        <v>162</v>
      </c>
      <c r="B163" t="s">
        <v>177</v>
      </c>
      <c r="C163">
        <v>43973.79583333333</v>
      </c>
      <c r="D163">
        <v>2020</v>
      </c>
      <c r="E163" t="s">
        <v>10</v>
      </c>
      <c r="F163" t="s">
        <v>1554</v>
      </c>
      <c r="G163" t="s">
        <v>21</v>
      </c>
      <c r="H163" s="1" t="s">
        <v>1565</v>
      </c>
      <c r="I163" t="s">
        <v>1583</v>
      </c>
      <c r="J163" s="2">
        <v>2117154</v>
      </c>
      <c r="K163" t="s">
        <v>12</v>
      </c>
      <c r="L163" t="s">
        <v>1648</v>
      </c>
    </row>
    <row r="164" spans="1:12" x14ac:dyDescent="0.3">
      <c r="A164">
        <v>163</v>
      </c>
      <c r="B164" t="s">
        <v>178</v>
      </c>
      <c r="C164">
        <v>43977.445833333331</v>
      </c>
      <c r="D164">
        <v>2020</v>
      </c>
      <c r="E164" t="s">
        <v>10</v>
      </c>
      <c r="F164" t="s">
        <v>1554</v>
      </c>
      <c r="G164" t="s">
        <v>15</v>
      </c>
      <c r="H164" s="1" t="s">
        <v>1565</v>
      </c>
      <c r="I164" t="s">
        <v>1609</v>
      </c>
      <c r="J164" s="2">
        <v>4221404</v>
      </c>
      <c r="K164" t="s">
        <v>16</v>
      </c>
      <c r="L164" t="s">
        <v>1649</v>
      </c>
    </row>
    <row r="165" spans="1:12" x14ac:dyDescent="0.3">
      <c r="A165">
        <v>164</v>
      </c>
      <c r="B165" t="s">
        <v>179</v>
      </c>
      <c r="C165">
        <v>43977.5</v>
      </c>
      <c r="D165">
        <v>2020</v>
      </c>
      <c r="E165" t="s">
        <v>10</v>
      </c>
      <c r="F165" t="s">
        <v>1554</v>
      </c>
      <c r="G165" t="s">
        <v>18</v>
      </c>
      <c r="H165" s="1" t="s">
        <v>1565</v>
      </c>
      <c r="I165" t="s">
        <v>1598</v>
      </c>
      <c r="J165" s="2">
        <v>2157925</v>
      </c>
      <c r="K165" t="s">
        <v>53</v>
      </c>
      <c r="L165" t="s">
        <v>1653</v>
      </c>
    </row>
    <row r="166" spans="1:12" x14ac:dyDescent="0.3">
      <c r="A166">
        <v>165</v>
      </c>
      <c r="B166" t="s">
        <v>180</v>
      </c>
      <c r="C166">
        <v>43978.453472222223</v>
      </c>
      <c r="D166">
        <v>2020</v>
      </c>
      <c r="E166" t="s">
        <v>10</v>
      </c>
      <c r="F166" t="s">
        <v>1552</v>
      </c>
      <c r="G166" t="s">
        <v>18</v>
      </c>
      <c r="H166" s="1" t="s">
        <v>1565</v>
      </c>
      <c r="I166" t="s">
        <v>1587</v>
      </c>
      <c r="J166" s="2">
        <v>1567372</v>
      </c>
      <c r="K166" t="s">
        <v>12</v>
      </c>
      <c r="L166" t="s">
        <v>1651</v>
      </c>
    </row>
    <row r="167" spans="1:12" x14ac:dyDescent="0.3">
      <c r="A167">
        <v>166</v>
      </c>
      <c r="B167" t="s">
        <v>181</v>
      </c>
      <c r="C167">
        <v>43978.463194444441</v>
      </c>
      <c r="D167">
        <v>2020</v>
      </c>
      <c r="E167" t="s">
        <v>10</v>
      </c>
      <c r="F167" t="s">
        <v>1552</v>
      </c>
      <c r="G167" t="s">
        <v>18</v>
      </c>
      <c r="H167" s="1" t="s">
        <v>1565</v>
      </c>
      <c r="I167" t="s">
        <v>1587</v>
      </c>
      <c r="J167" s="2">
        <v>1678309</v>
      </c>
      <c r="K167" t="s">
        <v>12</v>
      </c>
      <c r="L167" t="s">
        <v>1652</v>
      </c>
    </row>
    <row r="168" spans="1:12" x14ac:dyDescent="0.3">
      <c r="A168">
        <v>167</v>
      </c>
      <c r="B168" t="s">
        <v>182</v>
      </c>
      <c r="C168">
        <v>43978.477083333331</v>
      </c>
      <c r="D168">
        <v>2020</v>
      </c>
      <c r="E168" t="s">
        <v>10</v>
      </c>
      <c r="F168" t="s">
        <v>1552</v>
      </c>
      <c r="G168" t="s">
        <v>18</v>
      </c>
      <c r="H168" s="1" t="s">
        <v>1565</v>
      </c>
      <c r="I168" t="s">
        <v>1587</v>
      </c>
      <c r="J168" s="2">
        <v>3921157</v>
      </c>
      <c r="K168" t="s">
        <v>12</v>
      </c>
      <c r="L168" t="s">
        <v>1648</v>
      </c>
    </row>
    <row r="169" spans="1:12" x14ac:dyDescent="0.3">
      <c r="A169">
        <v>168</v>
      </c>
      <c r="B169" t="s">
        <v>183</v>
      </c>
      <c r="C169">
        <v>43978.481944444444</v>
      </c>
      <c r="D169">
        <v>2020</v>
      </c>
      <c r="E169" t="s">
        <v>10</v>
      </c>
      <c r="F169" t="s">
        <v>1552</v>
      </c>
      <c r="G169" t="s">
        <v>18</v>
      </c>
      <c r="H169" s="1" t="s">
        <v>1570</v>
      </c>
      <c r="I169" t="s">
        <v>1583</v>
      </c>
      <c r="J169" s="2">
        <v>2746450</v>
      </c>
      <c r="K169" t="s">
        <v>12</v>
      </c>
      <c r="L169" t="s">
        <v>1648</v>
      </c>
    </row>
    <row r="170" spans="1:12" x14ac:dyDescent="0.3">
      <c r="A170">
        <v>169</v>
      </c>
      <c r="B170" t="s">
        <v>184</v>
      </c>
      <c r="C170">
        <v>43978.620138888888</v>
      </c>
      <c r="D170">
        <v>2020</v>
      </c>
      <c r="E170" t="s">
        <v>10</v>
      </c>
      <c r="F170" t="s">
        <v>29</v>
      </c>
      <c r="G170" t="s">
        <v>15</v>
      </c>
      <c r="H170" s="1" t="s">
        <v>1568</v>
      </c>
      <c r="I170" t="s">
        <v>1619</v>
      </c>
      <c r="J170" s="2">
        <v>2713736</v>
      </c>
      <c r="K170" t="s">
        <v>12</v>
      </c>
      <c r="L170" t="s">
        <v>1652</v>
      </c>
    </row>
    <row r="171" spans="1:12" x14ac:dyDescent="0.3">
      <c r="A171">
        <v>170</v>
      </c>
      <c r="B171" t="s">
        <v>185</v>
      </c>
      <c r="C171">
        <v>43978.724305555559</v>
      </c>
      <c r="D171">
        <v>2020</v>
      </c>
      <c r="E171" t="s">
        <v>10</v>
      </c>
      <c r="F171" t="s">
        <v>29</v>
      </c>
      <c r="G171" t="s">
        <v>15</v>
      </c>
      <c r="H171" s="1" t="s">
        <v>1569</v>
      </c>
      <c r="I171" t="s">
        <v>1579</v>
      </c>
      <c r="J171" s="2">
        <v>3301364</v>
      </c>
      <c r="L171" t="s">
        <v>1653</v>
      </c>
    </row>
    <row r="172" spans="1:12" x14ac:dyDescent="0.3">
      <c r="A172">
        <v>171</v>
      </c>
      <c r="B172" t="s">
        <v>186</v>
      </c>
      <c r="C172">
        <v>43980.344444444447</v>
      </c>
      <c r="D172">
        <v>2020</v>
      </c>
      <c r="E172" t="s">
        <v>10</v>
      </c>
      <c r="F172" t="s">
        <v>1552</v>
      </c>
      <c r="G172" t="s">
        <v>18</v>
      </c>
      <c r="H172" s="1" t="s">
        <v>1566</v>
      </c>
      <c r="I172" t="s">
        <v>1609</v>
      </c>
      <c r="J172" s="2">
        <v>3965039</v>
      </c>
      <c r="K172" t="s">
        <v>16</v>
      </c>
      <c r="L172" t="s">
        <v>1652</v>
      </c>
    </row>
    <row r="173" spans="1:12" x14ac:dyDescent="0.3">
      <c r="A173">
        <v>172</v>
      </c>
      <c r="B173" t="s">
        <v>187</v>
      </c>
      <c r="C173">
        <v>43980.371527777781</v>
      </c>
      <c r="D173">
        <v>2020</v>
      </c>
      <c r="E173" t="s">
        <v>10</v>
      </c>
      <c r="F173" t="s">
        <v>1554</v>
      </c>
      <c r="G173" t="s">
        <v>18</v>
      </c>
      <c r="H173" s="1" t="s">
        <v>1576</v>
      </c>
      <c r="I173" t="s">
        <v>1587</v>
      </c>
      <c r="J173" s="2">
        <v>1015595</v>
      </c>
      <c r="K173" t="s">
        <v>12</v>
      </c>
      <c r="L173" t="s">
        <v>1651</v>
      </c>
    </row>
    <row r="174" spans="1:12" x14ac:dyDescent="0.3">
      <c r="A174">
        <v>173</v>
      </c>
      <c r="B174" t="s">
        <v>188</v>
      </c>
      <c r="C174">
        <v>43980.378472222219</v>
      </c>
      <c r="D174">
        <v>2020</v>
      </c>
      <c r="E174" t="s">
        <v>10</v>
      </c>
      <c r="F174" t="s">
        <v>1554</v>
      </c>
      <c r="G174" t="s">
        <v>18</v>
      </c>
      <c r="H174" s="1" t="s">
        <v>1564</v>
      </c>
      <c r="I174" t="s">
        <v>1608</v>
      </c>
      <c r="J174" s="2">
        <v>3125084</v>
      </c>
      <c r="K174" t="s">
        <v>12</v>
      </c>
      <c r="L174" t="s">
        <v>1650</v>
      </c>
    </row>
    <row r="175" spans="1:12" x14ac:dyDescent="0.3">
      <c r="A175">
        <v>174</v>
      </c>
      <c r="B175" t="s">
        <v>189</v>
      </c>
      <c r="C175">
        <v>43980.4375</v>
      </c>
      <c r="D175">
        <v>2020</v>
      </c>
      <c r="E175" t="s">
        <v>10</v>
      </c>
      <c r="F175" t="s">
        <v>1554</v>
      </c>
      <c r="G175" t="s">
        <v>18</v>
      </c>
      <c r="H175" s="1" t="s">
        <v>1576</v>
      </c>
      <c r="I175" t="s">
        <v>1609</v>
      </c>
      <c r="J175" s="2">
        <v>1075118</v>
      </c>
      <c r="K175" t="s">
        <v>16</v>
      </c>
      <c r="L175" t="s">
        <v>1653</v>
      </c>
    </row>
    <row r="176" spans="1:12" x14ac:dyDescent="0.3">
      <c r="A176">
        <v>175</v>
      </c>
      <c r="B176" t="s">
        <v>190</v>
      </c>
      <c r="C176">
        <v>43980.444444444445</v>
      </c>
      <c r="D176">
        <v>2020</v>
      </c>
      <c r="E176" t="s">
        <v>10</v>
      </c>
      <c r="F176" t="s">
        <v>1554</v>
      </c>
      <c r="G176" t="s">
        <v>18</v>
      </c>
      <c r="H176" s="1" t="s">
        <v>1569</v>
      </c>
      <c r="I176" t="s">
        <v>1610</v>
      </c>
      <c r="J176" s="2">
        <v>4545386</v>
      </c>
      <c r="K176" t="s">
        <v>121</v>
      </c>
      <c r="L176" t="s">
        <v>1648</v>
      </c>
    </row>
    <row r="177" spans="1:12" x14ac:dyDescent="0.3">
      <c r="A177">
        <v>176</v>
      </c>
      <c r="B177" t="s">
        <v>191</v>
      </c>
      <c r="C177">
        <v>43980.63958333333</v>
      </c>
      <c r="D177">
        <v>2020</v>
      </c>
      <c r="E177" t="s">
        <v>10</v>
      </c>
      <c r="F177" t="s">
        <v>1554</v>
      </c>
      <c r="G177" t="s">
        <v>15</v>
      </c>
      <c r="H177" s="1" t="s">
        <v>1573</v>
      </c>
      <c r="I177" t="s">
        <v>1619</v>
      </c>
      <c r="J177" s="2">
        <v>3426161</v>
      </c>
      <c r="K177" t="s">
        <v>12</v>
      </c>
      <c r="L177" t="s">
        <v>1650</v>
      </c>
    </row>
    <row r="178" spans="1:12" x14ac:dyDescent="0.3">
      <c r="A178">
        <v>177</v>
      </c>
      <c r="B178" t="s">
        <v>185</v>
      </c>
      <c r="C178">
        <v>43980.64166666667</v>
      </c>
      <c r="D178">
        <v>2020</v>
      </c>
      <c r="E178" t="s">
        <v>10</v>
      </c>
      <c r="F178" t="s">
        <v>1554</v>
      </c>
      <c r="G178" t="s">
        <v>15</v>
      </c>
      <c r="H178" s="1" t="s">
        <v>1564</v>
      </c>
      <c r="I178" t="s">
        <v>1605</v>
      </c>
      <c r="J178" s="2">
        <v>3432584</v>
      </c>
      <c r="K178" t="s">
        <v>16</v>
      </c>
      <c r="L178" t="s">
        <v>1649</v>
      </c>
    </row>
    <row r="179" spans="1:12" x14ac:dyDescent="0.3">
      <c r="A179">
        <v>178</v>
      </c>
      <c r="B179" t="s">
        <v>192</v>
      </c>
      <c r="C179">
        <v>43983.421527777777</v>
      </c>
      <c r="D179">
        <v>2020</v>
      </c>
      <c r="E179" t="s">
        <v>10</v>
      </c>
      <c r="F179" t="s">
        <v>1554</v>
      </c>
      <c r="G179" t="s">
        <v>21</v>
      </c>
      <c r="H179" s="1" t="s">
        <v>1563</v>
      </c>
      <c r="I179" t="s">
        <v>1610</v>
      </c>
      <c r="J179" s="2">
        <v>4178071</v>
      </c>
      <c r="K179" t="s">
        <v>121</v>
      </c>
      <c r="L179" t="s">
        <v>1649</v>
      </c>
    </row>
    <row r="180" spans="1:12" x14ac:dyDescent="0.3">
      <c r="A180">
        <v>179</v>
      </c>
      <c r="B180" t="s">
        <v>138</v>
      </c>
      <c r="C180">
        <v>43984.462500000001</v>
      </c>
      <c r="D180">
        <v>2020</v>
      </c>
      <c r="E180" t="s">
        <v>10</v>
      </c>
      <c r="F180" t="s">
        <v>1554</v>
      </c>
      <c r="G180" t="s">
        <v>11</v>
      </c>
      <c r="H180" s="1" t="s">
        <v>1574</v>
      </c>
      <c r="I180" t="s">
        <v>1577</v>
      </c>
      <c r="J180" s="2">
        <v>1043531</v>
      </c>
      <c r="K180" t="s">
        <v>12</v>
      </c>
      <c r="L180" t="s">
        <v>1651</v>
      </c>
    </row>
    <row r="181" spans="1:12" x14ac:dyDescent="0.3">
      <c r="A181">
        <v>180</v>
      </c>
      <c r="B181" t="s">
        <v>193</v>
      </c>
      <c r="C181">
        <v>43984.484722222223</v>
      </c>
      <c r="D181">
        <v>2020</v>
      </c>
      <c r="E181" t="s">
        <v>10</v>
      </c>
      <c r="F181" t="s">
        <v>20</v>
      </c>
      <c r="G181" t="s">
        <v>21</v>
      </c>
      <c r="H181" s="1" t="s">
        <v>1571</v>
      </c>
      <c r="I181" t="s">
        <v>1583</v>
      </c>
      <c r="J181" s="2">
        <v>3251415</v>
      </c>
      <c r="K181" t="s">
        <v>12</v>
      </c>
      <c r="L181" t="s">
        <v>1653</v>
      </c>
    </row>
    <row r="182" spans="1:12" x14ac:dyDescent="0.3">
      <c r="A182">
        <v>181</v>
      </c>
      <c r="B182" t="s">
        <v>194</v>
      </c>
      <c r="C182">
        <v>43984.506944444445</v>
      </c>
      <c r="D182">
        <v>2020</v>
      </c>
      <c r="E182" t="s">
        <v>10</v>
      </c>
      <c r="F182" t="s">
        <v>1554</v>
      </c>
      <c r="G182" t="s">
        <v>11</v>
      </c>
      <c r="H182" s="1" t="s">
        <v>1575</v>
      </c>
      <c r="I182" t="s">
        <v>1593</v>
      </c>
      <c r="J182" s="2">
        <v>4709725</v>
      </c>
      <c r="K182" t="s">
        <v>12</v>
      </c>
      <c r="L182" t="s">
        <v>1648</v>
      </c>
    </row>
    <row r="183" spans="1:12" x14ac:dyDescent="0.3">
      <c r="A183">
        <v>182</v>
      </c>
      <c r="B183" t="s">
        <v>195</v>
      </c>
      <c r="C183">
        <v>43985.435416666667</v>
      </c>
      <c r="D183">
        <v>2020</v>
      </c>
      <c r="E183" t="s">
        <v>10</v>
      </c>
      <c r="F183" t="s">
        <v>1552</v>
      </c>
      <c r="G183" t="s">
        <v>18</v>
      </c>
      <c r="H183" s="1" t="s">
        <v>1566</v>
      </c>
      <c r="I183" t="s">
        <v>1578</v>
      </c>
      <c r="J183" s="2">
        <v>2401974</v>
      </c>
      <c r="K183" t="s">
        <v>16</v>
      </c>
      <c r="L183" t="s">
        <v>1653</v>
      </c>
    </row>
    <row r="184" spans="1:12" x14ac:dyDescent="0.3">
      <c r="A184">
        <v>183</v>
      </c>
      <c r="B184" t="s">
        <v>196</v>
      </c>
      <c r="C184">
        <v>43986.447222222225</v>
      </c>
      <c r="D184">
        <v>2020</v>
      </c>
      <c r="E184" t="s">
        <v>10</v>
      </c>
      <c r="F184" t="s">
        <v>1555</v>
      </c>
      <c r="G184" t="s">
        <v>197</v>
      </c>
      <c r="H184" s="1" t="s">
        <v>1574</v>
      </c>
      <c r="I184" t="s">
        <v>1620</v>
      </c>
      <c r="J184" s="2">
        <v>2840231</v>
      </c>
      <c r="K184" t="s">
        <v>53</v>
      </c>
      <c r="L184" t="s">
        <v>1648</v>
      </c>
    </row>
    <row r="185" spans="1:12" x14ac:dyDescent="0.3">
      <c r="A185">
        <v>184</v>
      </c>
      <c r="B185" t="s">
        <v>50</v>
      </c>
      <c r="C185">
        <v>43986.518750000003</v>
      </c>
      <c r="D185">
        <v>2020</v>
      </c>
      <c r="E185" t="s">
        <v>10</v>
      </c>
      <c r="F185" t="s">
        <v>20</v>
      </c>
      <c r="G185" t="s">
        <v>21</v>
      </c>
      <c r="H185" s="1" t="s">
        <v>1573</v>
      </c>
      <c r="I185" t="s">
        <v>1605</v>
      </c>
      <c r="J185" s="2">
        <v>1426210</v>
      </c>
      <c r="K185" t="s">
        <v>16</v>
      </c>
      <c r="L185" t="s">
        <v>1650</v>
      </c>
    </row>
    <row r="186" spans="1:12" x14ac:dyDescent="0.3">
      <c r="A186">
        <v>185</v>
      </c>
      <c r="B186" t="s">
        <v>198</v>
      </c>
      <c r="C186">
        <v>43987.386111111111</v>
      </c>
      <c r="D186">
        <v>2020</v>
      </c>
      <c r="E186" t="s">
        <v>10</v>
      </c>
      <c r="F186" t="s">
        <v>82</v>
      </c>
      <c r="G186" t="s">
        <v>62</v>
      </c>
      <c r="H186" s="1" t="s">
        <v>1565</v>
      </c>
      <c r="I186" t="s">
        <v>1610</v>
      </c>
      <c r="J186" s="2">
        <v>1124236</v>
      </c>
      <c r="K186" t="s">
        <v>121</v>
      </c>
      <c r="L186" t="s">
        <v>1649</v>
      </c>
    </row>
    <row r="187" spans="1:12" x14ac:dyDescent="0.3">
      <c r="A187">
        <v>186</v>
      </c>
      <c r="B187" t="s">
        <v>50</v>
      </c>
      <c r="C187">
        <v>43987.581944444442</v>
      </c>
      <c r="D187">
        <v>2020</v>
      </c>
      <c r="E187" t="s">
        <v>10</v>
      </c>
      <c r="F187" t="s">
        <v>82</v>
      </c>
      <c r="G187" t="s">
        <v>62</v>
      </c>
      <c r="H187" s="1" t="s">
        <v>1571</v>
      </c>
      <c r="I187" t="s">
        <v>1602</v>
      </c>
      <c r="J187" s="2">
        <v>3755672</v>
      </c>
      <c r="K187" t="s">
        <v>59</v>
      </c>
      <c r="L187" t="s">
        <v>1653</v>
      </c>
    </row>
    <row r="188" spans="1:12" x14ac:dyDescent="0.3">
      <c r="A188">
        <v>187</v>
      </c>
      <c r="B188" t="s">
        <v>199</v>
      </c>
      <c r="C188">
        <v>43987.615972222222</v>
      </c>
      <c r="D188">
        <v>2020</v>
      </c>
      <c r="E188" t="s">
        <v>10</v>
      </c>
      <c r="F188" t="s">
        <v>82</v>
      </c>
      <c r="G188" t="s">
        <v>62</v>
      </c>
      <c r="H188" s="1" t="s">
        <v>1569</v>
      </c>
      <c r="I188" t="s">
        <v>1578</v>
      </c>
      <c r="J188" s="2">
        <v>1731841</v>
      </c>
      <c r="K188" t="s">
        <v>16</v>
      </c>
      <c r="L188" t="s">
        <v>1649</v>
      </c>
    </row>
    <row r="189" spans="1:12" x14ac:dyDescent="0.3">
      <c r="A189">
        <v>188</v>
      </c>
      <c r="B189" t="s">
        <v>50</v>
      </c>
      <c r="C189">
        <v>43990.363888888889</v>
      </c>
      <c r="D189">
        <v>2020</v>
      </c>
      <c r="E189" t="s">
        <v>10</v>
      </c>
      <c r="F189" t="s">
        <v>1555</v>
      </c>
      <c r="G189" t="s">
        <v>44</v>
      </c>
      <c r="H189" s="1" t="s">
        <v>1563</v>
      </c>
      <c r="I189" t="s">
        <v>1602</v>
      </c>
      <c r="J189" s="2">
        <v>2346629</v>
      </c>
      <c r="K189" t="s">
        <v>59</v>
      </c>
      <c r="L189" t="s">
        <v>1648</v>
      </c>
    </row>
    <row r="190" spans="1:12" x14ac:dyDescent="0.3">
      <c r="A190">
        <v>189</v>
      </c>
      <c r="B190" t="s">
        <v>50</v>
      </c>
      <c r="C190">
        <v>43990.484722222223</v>
      </c>
      <c r="D190">
        <v>2020</v>
      </c>
      <c r="E190" t="s">
        <v>10</v>
      </c>
      <c r="F190" t="s">
        <v>29</v>
      </c>
      <c r="G190" t="s">
        <v>15</v>
      </c>
      <c r="H190" s="1" t="s">
        <v>1566</v>
      </c>
      <c r="I190" t="s">
        <v>1604</v>
      </c>
      <c r="J190" s="2">
        <v>4513978</v>
      </c>
      <c r="K190" t="s">
        <v>12</v>
      </c>
      <c r="L190" t="s">
        <v>1651</v>
      </c>
    </row>
    <row r="191" spans="1:12" x14ac:dyDescent="0.3">
      <c r="A191">
        <v>190</v>
      </c>
      <c r="B191" t="s">
        <v>200</v>
      </c>
      <c r="C191">
        <v>43990.490972222222</v>
      </c>
      <c r="D191">
        <v>2020</v>
      </c>
      <c r="E191" t="s">
        <v>10</v>
      </c>
      <c r="F191" t="s">
        <v>1555</v>
      </c>
      <c r="G191" t="s">
        <v>23</v>
      </c>
      <c r="H191" s="1" t="s">
        <v>1562</v>
      </c>
      <c r="I191" t="s">
        <v>1580</v>
      </c>
      <c r="J191" s="2">
        <v>2299793</v>
      </c>
      <c r="K191" t="s">
        <v>16</v>
      </c>
      <c r="L191" t="s">
        <v>1649</v>
      </c>
    </row>
    <row r="192" spans="1:12" x14ac:dyDescent="0.3">
      <c r="A192">
        <v>191</v>
      </c>
      <c r="B192" t="s">
        <v>201</v>
      </c>
      <c r="C192">
        <v>43991.380555555559</v>
      </c>
      <c r="D192">
        <v>2020</v>
      </c>
      <c r="E192" t="s">
        <v>10</v>
      </c>
      <c r="F192" t="s">
        <v>29</v>
      </c>
      <c r="G192" t="s">
        <v>15</v>
      </c>
      <c r="H192" s="1" t="s">
        <v>1570</v>
      </c>
      <c r="I192" t="s">
        <v>1609</v>
      </c>
      <c r="J192" s="2">
        <v>4897623</v>
      </c>
      <c r="K192" t="s">
        <v>16</v>
      </c>
      <c r="L192" t="s">
        <v>1650</v>
      </c>
    </row>
    <row r="193" spans="1:12" x14ac:dyDescent="0.3">
      <c r="A193">
        <v>192</v>
      </c>
      <c r="B193" t="s">
        <v>202</v>
      </c>
      <c r="C193">
        <v>43992.498611111114</v>
      </c>
      <c r="D193">
        <v>2020</v>
      </c>
      <c r="E193" t="s">
        <v>10</v>
      </c>
      <c r="F193" t="s">
        <v>1554</v>
      </c>
      <c r="G193" t="s">
        <v>23</v>
      </c>
      <c r="H193" s="1" t="s">
        <v>1568</v>
      </c>
      <c r="I193" t="s">
        <v>1597</v>
      </c>
      <c r="J193" s="2">
        <v>2304449</v>
      </c>
      <c r="K193" t="s">
        <v>12</v>
      </c>
      <c r="L193" t="s">
        <v>1649</v>
      </c>
    </row>
    <row r="194" spans="1:12" x14ac:dyDescent="0.3">
      <c r="A194">
        <v>193</v>
      </c>
      <c r="B194" t="s">
        <v>203</v>
      </c>
      <c r="C194">
        <v>43993.525694444441</v>
      </c>
      <c r="D194">
        <v>2020</v>
      </c>
      <c r="E194" t="s">
        <v>10</v>
      </c>
      <c r="F194" t="s">
        <v>1554</v>
      </c>
      <c r="G194" t="s">
        <v>11</v>
      </c>
      <c r="H194" s="1" t="s">
        <v>1571</v>
      </c>
      <c r="I194" t="s">
        <v>1577</v>
      </c>
      <c r="J194" s="2">
        <v>3325232</v>
      </c>
      <c r="K194" t="s">
        <v>12</v>
      </c>
      <c r="L194" t="s">
        <v>1649</v>
      </c>
    </row>
    <row r="195" spans="1:12" x14ac:dyDescent="0.3">
      <c r="A195">
        <v>194</v>
      </c>
      <c r="B195" t="s">
        <v>204</v>
      </c>
      <c r="C195">
        <v>43993.801388888889</v>
      </c>
      <c r="D195">
        <v>2020</v>
      </c>
      <c r="E195" t="s">
        <v>10</v>
      </c>
      <c r="F195" t="s">
        <v>1554</v>
      </c>
      <c r="G195" t="s">
        <v>21</v>
      </c>
      <c r="H195" s="1" t="s">
        <v>1572</v>
      </c>
      <c r="I195" t="s">
        <v>1618</v>
      </c>
      <c r="J195" s="2">
        <v>2490270</v>
      </c>
      <c r="K195" t="s">
        <v>53</v>
      </c>
      <c r="L195" t="s">
        <v>1650</v>
      </c>
    </row>
    <row r="196" spans="1:12" x14ac:dyDescent="0.3">
      <c r="A196">
        <v>195</v>
      </c>
      <c r="B196" t="s">
        <v>205</v>
      </c>
      <c r="C196">
        <v>43999.449305555558</v>
      </c>
      <c r="D196">
        <v>2020</v>
      </c>
      <c r="E196" t="s">
        <v>10</v>
      </c>
      <c r="F196" t="s">
        <v>1554</v>
      </c>
      <c r="G196" t="s">
        <v>21</v>
      </c>
      <c r="H196" s="1" t="s">
        <v>1572</v>
      </c>
      <c r="I196" t="s">
        <v>1599</v>
      </c>
      <c r="J196" s="2">
        <v>2286685</v>
      </c>
      <c r="K196" t="s">
        <v>12</v>
      </c>
      <c r="L196" t="s">
        <v>1650</v>
      </c>
    </row>
    <row r="197" spans="1:12" x14ac:dyDescent="0.3">
      <c r="A197">
        <v>196</v>
      </c>
      <c r="B197" t="s">
        <v>206</v>
      </c>
      <c r="C197">
        <v>44000.397916666669</v>
      </c>
      <c r="D197">
        <v>2020</v>
      </c>
      <c r="E197" t="s">
        <v>10</v>
      </c>
      <c r="F197" t="s">
        <v>1554</v>
      </c>
      <c r="G197" t="s">
        <v>67</v>
      </c>
      <c r="H197" s="1" t="s">
        <v>1563</v>
      </c>
      <c r="I197" t="s">
        <v>1621</v>
      </c>
      <c r="J197" s="2">
        <v>4444982</v>
      </c>
      <c r="K197" t="s">
        <v>12</v>
      </c>
      <c r="L197" t="s">
        <v>1648</v>
      </c>
    </row>
    <row r="198" spans="1:12" x14ac:dyDescent="0.3">
      <c r="A198">
        <v>197</v>
      </c>
      <c r="B198" t="s">
        <v>207</v>
      </c>
      <c r="C198">
        <v>44000.493750000001</v>
      </c>
      <c r="D198">
        <v>2020</v>
      </c>
      <c r="E198" t="s">
        <v>10</v>
      </c>
      <c r="F198" t="s">
        <v>1554</v>
      </c>
      <c r="G198" t="s">
        <v>15</v>
      </c>
      <c r="H198" s="1" t="s">
        <v>1575</v>
      </c>
      <c r="I198" t="s">
        <v>1587</v>
      </c>
      <c r="J198" s="2">
        <v>4432429</v>
      </c>
      <c r="K198" t="s">
        <v>12</v>
      </c>
      <c r="L198" t="s">
        <v>1649</v>
      </c>
    </row>
    <row r="199" spans="1:12" x14ac:dyDescent="0.3">
      <c r="A199">
        <v>198</v>
      </c>
      <c r="B199" t="s">
        <v>208</v>
      </c>
      <c r="C199">
        <v>44000.581944444442</v>
      </c>
      <c r="D199">
        <v>2020</v>
      </c>
      <c r="E199" t="s">
        <v>10</v>
      </c>
      <c r="F199" t="s">
        <v>80</v>
      </c>
      <c r="G199" t="s">
        <v>67</v>
      </c>
      <c r="H199" s="1" t="s">
        <v>1566</v>
      </c>
      <c r="I199" t="s">
        <v>1610</v>
      </c>
      <c r="J199" s="2">
        <v>4429031</v>
      </c>
      <c r="K199" t="s">
        <v>121</v>
      </c>
      <c r="L199" t="s">
        <v>1649</v>
      </c>
    </row>
    <row r="200" spans="1:12" x14ac:dyDescent="0.3">
      <c r="A200">
        <v>199</v>
      </c>
      <c r="B200" t="s">
        <v>209</v>
      </c>
      <c r="C200">
        <v>44001.594444444447</v>
      </c>
      <c r="D200">
        <v>2020</v>
      </c>
      <c r="E200" t="s">
        <v>10</v>
      </c>
      <c r="F200" t="s">
        <v>1558</v>
      </c>
      <c r="G200" t="s">
        <v>42</v>
      </c>
      <c r="H200" s="1" t="s">
        <v>1564</v>
      </c>
      <c r="I200" t="s">
        <v>1580</v>
      </c>
      <c r="J200" s="2">
        <v>3064246</v>
      </c>
      <c r="K200" t="s">
        <v>16</v>
      </c>
      <c r="L200" t="s">
        <v>1651</v>
      </c>
    </row>
    <row r="201" spans="1:12" x14ac:dyDescent="0.3">
      <c r="A201">
        <v>200</v>
      </c>
      <c r="B201" t="s">
        <v>210</v>
      </c>
      <c r="C201">
        <v>44001.65</v>
      </c>
      <c r="D201">
        <v>2020</v>
      </c>
      <c r="E201" t="s">
        <v>10</v>
      </c>
      <c r="F201" t="s">
        <v>29</v>
      </c>
      <c r="G201" t="s">
        <v>15</v>
      </c>
      <c r="H201" s="1" t="s">
        <v>1570</v>
      </c>
      <c r="I201" t="s">
        <v>1587</v>
      </c>
      <c r="J201" s="2">
        <v>2923064</v>
      </c>
      <c r="K201" t="s">
        <v>12</v>
      </c>
      <c r="L201" t="s">
        <v>1648</v>
      </c>
    </row>
    <row r="202" spans="1:12" x14ac:dyDescent="0.3">
      <c r="A202">
        <v>201</v>
      </c>
      <c r="B202" t="s">
        <v>211</v>
      </c>
      <c r="C202">
        <v>44005.369444444441</v>
      </c>
      <c r="D202">
        <v>2020</v>
      </c>
      <c r="E202" t="s">
        <v>10</v>
      </c>
      <c r="F202" t="s">
        <v>29</v>
      </c>
      <c r="G202" t="s">
        <v>15</v>
      </c>
      <c r="H202" s="1" t="s">
        <v>1563</v>
      </c>
      <c r="I202" t="s">
        <v>1610</v>
      </c>
      <c r="J202" s="2">
        <v>4176167</v>
      </c>
      <c r="K202" t="s">
        <v>121</v>
      </c>
      <c r="L202" t="s">
        <v>1652</v>
      </c>
    </row>
    <row r="203" spans="1:12" x14ac:dyDescent="0.3">
      <c r="A203">
        <v>202</v>
      </c>
      <c r="B203" t="s">
        <v>212</v>
      </c>
      <c r="C203">
        <v>44005.555555555555</v>
      </c>
      <c r="D203">
        <v>2020</v>
      </c>
      <c r="E203" t="s">
        <v>10</v>
      </c>
      <c r="F203" t="s">
        <v>1555</v>
      </c>
      <c r="G203" t="s">
        <v>57</v>
      </c>
      <c r="H203" s="1" t="s">
        <v>1565</v>
      </c>
      <c r="I203" t="s">
        <v>1622</v>
      </c>
      <c r="J203" s="2">
        <v>2558124</v>
      </c>
      <c r="K203" t="s">
        <v>53</v>
      </c>
      <c r="L203" t="s">
        <v>1652</v>
      </c>
    </row>
    <row r="204" spans="1:12" x14ac:dyDescent="0.3">
      <c r="A204">
        <v>203</v>
      </c>
      <c r="B204" t="s">
        <v>213</v>
      </c>
      <c r="C204">
        <v>44006.763194444444</v>
      </c>
      <c r="D204">
        <v>2020</v>
      </c>
      <c r="E204" t="s">
        <v>10</v>
      </c>
      <c r="F204" t="s">
        <v>29</v>
      </c>
      <c r="G204" t="s">
        <v>15</v>
      </c>
      <c r="H204" s="1" t="s">
        <v>1565</v>
      </c>
      <c r="I204" t="s">
        <v>1587</v>
      </c>
      <c r="J204" s="2">
        <v>2966530</v>
      </c>
      <c r="K204" t="s">
        <v>12</v>
      </c>
      <c r="L204" t="s">
        <v>1651</v>
      </c>
    </row>
    <row r="205" spans="1:12" x14ac:dyDescent="0.3">
      <c r="A205">
        <v>204</v>
      </c>
      <c r="B205" t="s">
        <v>214</v>
      </c>
      <c r="C205">
        <v>44006.769444444442</v>
      </c>
      <c r="D205">
        <v>2020</v>
      </c>
      <c r="E205" t="s">
        <v>10</v>
      </c>
      <c r="F205" t="s">
        <v>29</v>
      </c>
      <c r="G205" t="s">
        <v>15</v>
      </c>
      <c r="H205" s="1" t="s">
        <v>1571</v>
      </c>
      <c r="I205" t="s">
        <v>1596</v>
      </c>
      <c r="J205" s="2">
        <v>3060405</v>
      </c>
      <c r="K205" t="s">
        <v>16</v>
      </c>
      <c r="L205" t="s">
        <v>1649</v>
      </c>
    </row>
    <row r="206" spans="1:12" x14ac:dyDescent="0.3">
      <c r="A206">
        <v>205</v>
      </c>
      <c r="B206" t="s">
        <v>215</v>
      </c>
      <c r="C206">
        <v>44006.779166666667</v>
      </c>
      <c r="D206">
        <v>2020</v>
      </c>
      <c r="E206" t="s">
        <v>10</v>
      </c>
      <c r="F206" t="s">
        <v>29</v>
      </c>
      <c r="G206" t="s">
        <v>15</v>
      </c>
      <c r="H206" s="1" t="s">
        <v>1563</v>
      </c>
      <c r="I206" t="s">
        <v>1596</v>
      </c>
      <c r="J206" s="2">
        <v>2453303</v>
      </c>
      <c r="K206" t="s">
        <v>16</v>
      </c>
      <c r="L206" t="s">
        <v>1650</v>
      </c>
    </row>
    <row r="207" spans="1:12" x14ac:dyDescent="0.3">
      <c r="A207">
        <v>206</v>
      </c>
      <c r="B207" t="s">
        <v>216</v>
      </c>
      <c r="C207">
        <v>44007.371527777781</v>
      </c>
      <c r="D207">
        <v>2020</v>
      </c>
      <c r="E207" t="s">
        <v>10</v>
      </c>
      <c r="F207" t="s">
        <v>1553</v>
      </c>
      <c r="G207" t="s">
        <v>18</v>
      </c>
      <c r="H207" s="1" t="s">
        <v>1576</v>
      </c>
      <c r="I207" t="s">
        <v>1587</v>
      </c>
      <c r="J207" s="2">
        <v>2683210</v>
      </c>
      <c r="K207" t="s">
        <v>12</v>
      </c>
      <c r="L207" t="s">
        <v>1653</v>
      </c>
    </row>
    <row r="208" spans="1:12" x14ac:dyDescent="0.3">
      <c r="A208">
        <v>207</v>
      </c>
      <c r="B208" t="s">
        <v>217</v>
      </c>
      <c r="C208">
        <v>44007.387499999997</v>
      </c>
      <c r="D208">
        <v>2020</v>
      </c>
      <c r="E208" t="s">
        <v>10</v>
      </c>
      <c r="F208" t="s">
        <v>1553</v>
      </c>
      <c r="G208" t="s">
        <v>62</v>
      </c>
      <c r="H208" s="1" t="s">
        <v>1566</v>
      </c>
      <c r="I208" t="s">
        <v>1610</v>
      </c>
      <c r="J208" s="2">
        <v>2352504</v>
      </c>
      <c r="K208" t="s">
        <v>121</v>
      </c>
      <c r="L208" t="s">
        <v>1651</v>
      </c>
    </row>
    <row r="209" spans="1:12" x14ac:dyDescent="0.3">
      <c r="A209">
        <v>208</v>
      </c>
      <c r="B209" t="s">
        <v>218</v>
      </c>
      <c r="C209">
        <v>44007.618055555555</v>
      </c>
      <c r="D209">
        <v>2020</v>
      </c>
      <c r="E209" t="s">
        <v>10</v>
      </c>
      <c r="F209" t="s">
        <v>1553</v>
      </c>
      <c r="G209" t="s">
        <v>18</v>
      </c>
      <c r="H209" s="1" t="s">
        <v>1573</v>
      </c>
      <c r="I209" t="s">
        <v>1618</v>
      </c>
      <c r="J209" s="2">
        <v>3269207</v>
      </c>
      <c r="K209" t="s">
        <v>53</v>
      </c>
      <c r="L209" t="s">
        <v>1648</v>
      </c>
    </row>
    <row r="210" spans="1:12" x14ac:dyDescent="0.3">
      <c r="A210">
        <v>209</v>
      </c>
      <c r="B210" t="s">
        <v>219</v>
      </c>
      <c r="C210">
        <v>44007.751388888886</v>
      </c>
      <c r="D210">
        <v>2020</v>
      </c>
      <c r="E210" t="s">
        <v>10</v>
      </c>
      <c r="F210" t="s">
        <v>1553</v>
      </c>
      <c r="G210" t="s">
        <v>15</v>
      </c>
      <c r="H210" s="1" t="s">
        <v>1569</v>
      </c>
      <c r="I210" t="s">
        <v>1585</v>
      </c>
      <c r="J210" s="2">
        <v>970072</v>
      </c>
      <c r="K210" t="s">
        <v>12</v>
      </c>
      <c r="L210" t="s">
        <v>1648</v>
      </c>
    </row>
    <row r="211" spans="1:12" x14ac:dyDescent="0.3">
      <c r="A211">
        <v>210</v>
      </c>
      <c r="B211" t="s">
        <v>220</v>
      </c>
      <c r="C211">
        <v>44012.421527777777</v>
      </c>
      <c r="D211">
        <v>2020</v>
      </c>
      <c r="E211" t="s">
        <v>10</v>
      </c>
      <c r="F211" t="s">
        <v>1553</v>
      </c>
      <c r="G211" t="s">
        <v>221</v>
      </c>
      <c r="H211" s="1" t="s">
        <v>1570</v>
      </c>
      <c r="I211" t="s">
        <v>1623</v>
      </c>
      <c r="J211" s="2">
        <v>2751181</v>
      </c>
      <c r="K211" t="s">
        <v>53</v>
      </c>
      <c r="L211" t="s">
        <v>1650</v>
      </c>
    </row>
    <row r="212" spans="1:12" x14ac:dyDescent="0.3">
      <c r="A212">
        <v>211</v>
      </c>
      <c r="B212" t="s">
        <v>222</v>
      </c>
      <c r="C212">
        <v>44012.54583333333</v>
      </c>
      <c r="D212">
        <v>2020</v>
      </c>
      <c r="E212" t="s">
        <v>10</v>
      </c>
      <c r="F212" t="s">
        <v>1553</v>
      </c>
      <c r="G212" t="s">
        <v>67</v>
      </c>
      <c r="H212" s="1" t="s">
        <v>1570</v>
      </c>
      <c r="I212" t="s">
        <v>1610</v>
      </c>
      <c r="J212" s="2">
        <v>4289964</v>
      </c>
      <c r="K212" t="s">
        <v>121</v>
      </c>
      <c r="L212" t="s">
        <v>1653</v>
      </c>
    </row>
    <row r="213" spans="1:12" x14ac:dyDescent="0.3">
      <c r="A213">
        <v>212</v>
      </c>
      <c r="B213" t="s">
        <v>223</v>
      </c>
      <c r="C213">
        <v>44012.629166666666</v>
      </c>
      <c r="D213">
        <v>2020</v>
      </c>
      <c r="E213" t="s">
        <v>10</v>
      </c>
      <c r="F213" t="s">
        <v>1553</v>
      </c>
      <c r="G213" t="s">
        <v>21</v>
      </c>
      <c r="H213" s="1" t="s">
        <v>1566</v>
      </c>
      <c r="I213" t="s">
        <v>1610</v>
      </c>
      <c r="J213" s="2">
        <v>3669401</v>
      </c>
      <c r="K213" t="s">
        <v>121</v>
      </c>
      <c r="L213" t="s">
        <v>1651</v>
      </c>
    </row>
    <row r="214" spans="1:12" x14ac:dyDescent="0.3">
      <c r="A214">
        <v>213</v>
      </c>
      <c r="B214" t="s">
        <v>177</v>
      </c>
      <c r="C214">
        <v>44013.37777777778</v>
      </c>
      <c r="D214">
        <v>2020</v>
      </c>
      <c r="E214" t="s">
        <v>10</v>
      </c>
      <c r="F214" t="s">
        <v>1553</v>
      </c>
      <c r="G214" t="s">
        <v>21</v>
      </c>
      <c r="H214" s="1" t="s">
        <v>1570</v>
      </c>
      <c r="I214" t="s">
        <v>1583</v>
      </c>
      <c r="J214" s="2">
        <v>3652470</v>
      </c>
      <c r="K214" t="s">
        <v>12</v>
      </c>
      <c r="L214" t="s">
        <v>1653</v>
      </c>
    </row>
    <row r="215" spans="1:12" x14ac:dyDescent="0.3">
      <c r="A215">
        <v>214</v>
      </c>
      <c r="B215" t="s">
        <v>224</v>
      </c>
      <c r="C215">
        <v>44013.511805555558</v>
      </c>
      <c r="D215">
        <v>2020</v>
      </c>
      <c r="E215" t="s">
        <v>10</v>
      </c>
      <c r="F215" t="s">
        <v>1553</v>
      </c>
      <c r="G215" t="s">
        <v>21</v>
      </c>
      <c r="H215" s="1" t="s">
        <v>1574</v>
      </c>
      <c r="I215" t="s">
        <v>1583</v>
      </c>
      <c r="J215" s="2">
        <v>995868</v>
      </c>
      <c r="K215" t="s">
        <v>12</v>
      </c>
      <c r="L215" t="s">
        <v>1649</v>
      </c>
    </row>
    <row r="216" spans="1:12" x14ac:dyDescent="0.3">
      <c r="A216">
        <v>215</v>
      </c>
      <c r="B216" t="s">
        <v>225</v>
      </c>
      <c r="C216">
        <v>44013.53402777778</v>
      </c>
      <c r="D216">
        <v>2020</v>
      </c>
      <c r="E216" t="s">
        <v>10</v>
      </c>
      <c r="F216" t="s">
        <v>1553</v>
      </c>
      <c r="G216" t="s">
        <v>15</v>
      </c>
      <c r="H216" s="1" t="s">
        <v>1570</v>
      </c>
      <c r="I216" t="s">
        <v>1609</v>
      </c>
      <c r="J216" s="2">
        <v>2675326</v>
      </c>
      <c r="K216" t="s">
        <v>16</v>
      </c>
      <c r="L216" t="s">
        <v>1650</v>
      </c>
    </row>
    <row r="217" spans="1:12" x14ac:dyDescent="0.3">
      <c r="A217">
        <v>216</v>
      </c>
      <c r="B217" t="s">
        <v>226</v>
      </c>
      <c r="C217">
        <v>44015.426388888889</v>
      </c>
      <c r="D217">
        <v>2020</v>
      </c>
      <c r="E217" t="s">
        <v>10</v>
      </c>
      <c r="F217" t="s">
        <v>1553</v>
      </c>
      <c r="G217" t="s">
        <v>227</v>
      </c>
      <c r="H217" s="1" t="s">
        <v>1565</v>
      </c>
      <c r="I217" t="s">
        <v>1624</v>
      </c>
      <c r="J217" s="2">
        <v>3695072</v>
      </c>
      <c r="K217" t="s">
        <v>53</v>
      </c>
      <c r="L217" t="s">
        <v>1653</v>
      </c>
    </row>
    <row r="218" spans="1:12" x14ac:dyDescent="0.3">
      <c r="A218">
        <v>217</v>
      </c>
      <c r="B218" t="s">
        <v>159</v>
      </c>
      <c r="C218">
        <v>44015.638888888891</v>
      </c>
      <c r="D218">
        <v>2020</v>
      </c>
      <c r="E218" t="s">
        <v>10</v>
      </c>
      <c r="F218" t="s">
        <v>1553</v>
      </c>
      <c r="G218" t="s">
        <v>21</v>
      </c>
      <c r="H218" s="1" t="s">
        <v>1564</v>
      </c>
      <c r="I218" t="s">
        <v>1610</v>
      </c>
      <c r="J218" s="2">
        <v>4022261</v>
      </c>
      <c r="K218" t="s">
        <v>121</v>
      </c>
      <c r="L218" t="s">
        <v>1650</v>
      </c>
    </row>
    <row r="219" spans="1:12" x14ac:dyDescent="0.3">
      <c r="A219">
        <v>218</v>
      </c>
      <c r="B219" t="s">
        <v>228</v>
      </c>
      <c r="C219">
        <v>44018.638888888891</v>
      </c>
      <c r="D219">
        <v>2020</v>
      </c>
      <c r="E219" t="s">
        <v>10</v>
      </c>
      <c r="F219" t="s">
        <v>1553</v>
      </c>
      <c r="G219" t="s">
        <v>229</v>
      </c>
      <c r="H219" s="1" t="s">
        <v>1575</v>
      </c>
      <c r="I219" t="s">
        <v>1596</v>
      </c>
      <c r="J219" s="2">
        <v>1354997</v>
      </c>
      <c r="K219" t="s">
        <v>16</v>
      </c>
      <c r="L219" t="s">
        <v>1651</v>
      </c>
    </row>
    <row r="220" spans="1:12" x14ac:dyDescent="0.3">
      <c r="A220">
        <v>219</v>
      </c>
      <c r="B220" t="s">
        <v>230</v>
      </c>
      <c r="C220">
        <v>44020.438194444447</v>
      </c>
      <c r="D220">
        <v>2020</v>
      </c>
      <c r="E220" t="s">
        <v>10</v>
      </c>
      <c r="F220" t="s">
        <v>1553</v>
      </c>
      <c r="G220" t="s">
        <v>229</v>
      </c>
      <c r="H220" s="1" t="s">
        <v>1563</v>
      </c>
      <c r="I220" t="s">
        <v>1610</v>
      </c>
      <c r="J220" s="2">
        <v>2886828</v>
      </c>
      <c r="K220" t="s">
        <v>121</v>
      </c>
      <c r="L220" t="s">
        <v>1653</v>
      </c>
    </row>
    <row r="221" spans="1:12" x14ac:dyDescent="0.3">
      <c r="A221">
        <v>220</v>
      </c>
      <c r="B221" t="s">
        <v>232</v>
      </c>
      <c r="C221">
        <v>44020.465277777781</v>
      </c>
      <c r="D221">
        <v>2020</v>
      </c>
      <c r="E221" t="s">
        <v>10</v>
      </c>
      <c r="F221" t="s">
        <v>1553</v>
      </c>
      <c r="G221" t="s">
        <v>229</v>
      </c>
      <c r="H221" s="1" t="s">
        <v>1569</v>
      </c>
      <c r="I221" t="s">
        <v>1623</v>
      </c>
      <c r="J221" s="2">
        <v>3144460</v>
      </c>
      <c r="K221" t="s">
        <v>53</v>
      </c>
      <c r="L221" t="s">
        <v>1651</v>
      </c>
    </row>
    <row r="222" spans="1:12" x14ac:dyDescent="0.3">
      <c r="A222">
        <v>221</v>
      </c>
      <c r="B222" t="s">
        <v>233</v>
      </c>
      <c r="C222">
        <v>44020.714583333334</v>
      </c>
      <c r="D222">
        <v>2020</v>
      </c>
      <c r="E222" t="s">
        <v>10</v>
      </c>
      <c r="F222" t="s">
        <v>1553</v>
      </c>
      <c r="G222" t="s">
        <v>229</v>
      </c>
      <c r="H222" s="1" t="s">
        <v>1567</v>
      </c>
      <c r="I222" t="s">
        <v>1623</v>
      </c>
      <c r="J222" s="2">
        <v>4231153</v>
      </c>
      <c r="K222" t="s">
        <v>53</v>
      </c>
      <c r="L222" t="s">
        <v>1651</v>
      </c>
    </row>
    <row r="223" spans="1:12" x14ac:dyDescent="0.3">
      <c r="A223">
        <v>222</v>
      </c>
      <c r="B223" t="s">
        <v>234</v>
      </c>
      <c r="C223">
        <v>44022.697222222225</v>
      </c>
      <c r="D223">
        <v>2020</v>
      </c>
      <c r="E223" t="s">
        <v>10</v>
      </c>
      <c r="F223" t="s">
        <v>1553</v>
      </c>
      <c r="G223" t="s">
        <v>21</v>
      </c>
      <c r="H223" s="1" t="s">
        <v>1567</v>
      </c>
      <c r="I223" t="s">
        <v>1610</v>
      </c>
      <c r="J223" s="2">
        <v>4645850</v>
      </c>
      <c r="K223" t="s">
        <v>121</v>
      </c>
      <c r="L223" t="s">
        <v>1649</v>
      </c>
    </row>
    <row r="224" spans="1:12" x14ac:dyDescent="0.3">
      <c r="A224">
        <v>223</v>
      </c>
      <c r="B224" t="s">
        <v>235</v>
      </c>
      <c r="C224">
        <v>44026.5</v>
      </c>
      <c r="D224">
        <v>2020</v>
      </c>
      <c r="E224" t="s">
        <v>10</v>
      </c>
      <c r="F224" t="s">
        <v>1553</v>
      </c>
      <c r="G224" t="s">
        <v>229</v>
      </c>
      <c r="H224" s="1" t="s">
        <v>1576</v>
      </c>
      <c r="I224" t="s">
        <v>1625</v>
      </c>
      <c r="J224" s="2">
        <v>4094805</v>
      </c>
      <c r="K224" t="s">
        <v>12</v>
      </c>
      <c r="L224" t="s">
        <v>1650</v>
      </c>
    </row>
    <row r="225" spans="1:12" x14ac:dyDescent="0.3">
      <c r="A225">
        <v>224</v>
      </c>
      <c r="B225" t="s">
        <v>236</v>
      </c>
      <c r="C225">
        <v>44026.677777777775</v>
      </c>
      <c r="D225">
        <v>2020</v>
      </c>
      <c r="E225" t="s">
        <v>10</v>
      </c>
      <c r="F225" t="s">
        <v>1553</v>
      </c>
      <c r="G225" t="s">
        <v>21</v>
      </c>
      <c r="H225" s="1" t="s">
        <v>1562</v>
      </c>
      <c r="I225" t="s">
        <v>1613</v>
      </c>
      <c r="J225" s="2">
        <v>2643319</v>
      </c>
      <c r="K225" t="s">
        <v>53</v>
      </c>
      <c r="L225" t="s">
        <v>1653</v>
      </c>
    </row>
    <row r="226" spans="1:12" x14ac:dyDescent="0.3">
      <c r="A226">
        <v>225</v>
      </c>
      <c r="B226" t="s">
        <v>237</v>
      </c>
      <c r="C226">
        <v>44027.46875</v>
      </c>
      <c r="D226">
        <v>2020</v>
      </c>
      <c r="E226" t="s">
        <v>10</v>
      </c>
      <c r="F226" t="s">
        <v>1553</v>
      </c>
      <c r="G226" t="s">
        <v>229</v>
      </c>
      <c r="H226" s="1" t="s">
        <v>1571</v>
      </c>
      <c r="I226" t="s">
        <v>1623</v>
      </c>
      <c r="J226" s="2">
        <v>3413866</v>
      </c>
      <c r="K226" t="s">
        <v>53</v>
      </c>
      <c r="L226" t="s">
        <v>1651</v>
      </c>
    </row>
    <row r="227" spans="1:12" x14ac:dyDescent="0.3">
      <c r="A227">
        <v>226</v>
      </c>
      <c r="B227" t="s">
        <v>238</v>
      </c>
      <c r="C227">
        <v>44027.640277777777</v>
      </c>
      <c r="D227">
        <v>2020</v>
      </c>
      <c r="E227" t="s">
        <v>10</v>
      </c>
      <c r="F227" t="s">
        <v>1553</v>
      </c>
      <c r="G227" t="s">
        <v>18</v>
      </c>
      <c r="H227" s="1" t="s">
        <v>1570</v>
      </c>
      <c r="I227" t="s">
        <v>1587</v>
      </c>
      <c r="J227" s="2">
        <v>4108255</v>
      </c>
      <c r="K227" t="s">
        <v>12</v>
      </c>
      <c r="L227" t="s">
        <v>1653</v>
      </c>
    </row>
    <row r="228" spans="1:12" x14ac:dyDescent="0.3">
      <c r="A228">
        <v>227</v>
      </c>
      <c r="B228" t="s">
        <v>239</v>
      </c>
      <c r="C228">
        <v>44028.677083333336</v>
      </c>
      <c r="D228">
        <v>2020</v>
      </c>
      <c r="E228" t="s">
        <v>10</v>
      </c>
      <c r="F228" t="s">
        <v>1553</v>
      </c>
      <c r="G228" t="s">
        <v>18</v>
      </c>
      <c r="H228" s="1" t="s">
        <v>1567</v>
      </c>
      <c r="I228" t="s">
        <v>1626</v>
      </c>
      <c r="J228" s="2">
        <v>3466912</v>
      </c>
      <c r="K228" t="s">
        <v>12</v>
      </c>
      <c r="L228" t="s">
        <v>1653</v>
      </c>
    </row>
    <row r="229" spans="1:12" x14ac:dyDescent="0.3">
      <c r="A229">
        <v>228</v>
      </c>
      <c r="B229" t="s">
        <v>240</v>
      </c>
      <c r="C229">
        <v>44029.772916666669</v>
      </c>
      <c r="D229">
        <v>2020</v>
      </c>
      <c r="E229" t="s">
        <v>10</v>
      </c>
      <c r="F229" t="s">
        <v>1553</v>
      </c>
      <c r="G229" t="s">
        <v>15</v>
      </c>
      <c r="H229" s="1" t="s">
        <v>1574</v>
      </c>
      <c r="I229" t="s">
        <v>1619</v>
      </c>
      <c r="J229" s="2">
        <v>3675438</v>
      </c>
      <c r="K229" t="s">
        <v>12</v>
      </c>
      <c r="L229" t="s">
        <v>1652</v>
      </c>
    </row>
    <row r="230" spans="1:12" x14ac:dyDescent="0.3">
      <c r="A230">
        <v>229</v>
      </c>
      <c r="B230" t="s">
        <v>241</v>
      </c>
      <c r="C230">
        <v>44030.92291666667</v>
      </c>
      <c r="D230">
        <v>2020</v>
      </c>
      <c r="E230" t="s">
        <v>10</v>
      </c>
      <c r="F230" t="s">
        <v>1553</v>
      </c>
      <c r="G230" t="s">
        <v>229</v>
      </c>
      <c r="H230" s="1" t="s">
        <v>1569</v>
      </c>
      <c r="I230" t="s">
        <v>1623</v>
      </c>
      <c r="J230" s="2">
        <v>4203115</v>
      </c>
      <c r="K230" t="s">
        <v>53</v>
      </c>
      <c r="L230" t="s">
        <v>1653</v>
      </c>
    </row>
    <row r="231" spans="1:12" x14ac:dyDescent="0.3">
      <c r="A231">
        <v>230</v>
      </c>
      <c r="B231" t="s">
        <v>242</v>
      </c>
      <c r="C231">
        <v>44030.929166666669</v>
      </c>
      <c r="D231">
        <v>2020</v>
      </c>
      <c r="E231" t="s">
        <v>10</v>
      </c>
      <c r="F231" t="s">
        <v>1553</v>
      </c>
      <c r="G231" t="s">
        <v>229</v>
      </c>
      <c r="H231" s="1" t="s">
        <v>1563</v>
      </c>
      <c r="I231" t="s">
        <v>1623</v>
      </c>
      <c r="J231" s="2">
        <v>2458607</v>
      </c>
      <c r="K231" t="s">
        <v>53</v>
      </c>
      <c r="L231" t="s">
        <v>1648</v>
      </c>
    </row>
    <row r="232" spans="1:12" x14ac:dyDescent="0.3">
      <c r="A232">
        <v>231</v>
      </c>
      <c r="B232" t="s">
        <v>243</v>
      </c>
      <c r="C232">
        <v>44033.438194444447</v>
      </c>
      <c r="D232">
        <v>2020</v>
      </c>
      <c r="E232" t="s">
        <v>10</v>
      </c>
      <c r="F232" t="s">
        <v>1553</v>
      </c>
      <c r="G232" t="s">
        <v>11</v>
      </c>
      <c r="H232" s="1" t="s">
        <v>1564</v>
      </c>
      <c r="I232" t="s">
        <v>1610</v>
      </c>
      <c r="J232" s="2">
        <v>3290658</v>
      </c>
      <c r="K232" t="s">
        <v>121</v>
      </c>
      <c r="L232" t="s">
        <v>1650</v>
      </c>
    </row>
    <row r="233" spans="1:12" x14ac:dyDescent="0.3">
      <c r="A233">
        <v>232</v>
      </c>
      <c r="B233" t="s">
        <v>244</v>
      </c>
      <c r="C233">
        <v>44033.644444444442</v>
      </c>
      <c r="D233">
        <v>2020</v>
      </c>
      <c r="E233" t="s">
        <v>10</v>
      </c>
      <c r="F233" t="s">
        <v>1553</v>
      </c>
      <c r="G233" t="s">
        <v>15</v>
      </c>
      <c r="H233" s="1" t="s">
        <v>1573</v>
      </c>
      <c r="I233" t="s">
        <v>1623</v>
      </c>
      <c r="J233" s="2">
        <v>4285841</v>
      </c>
      <c r="K233" t="s">
        <v>53</v>
      </c>
      <c r="L233" t="s">
        <v>1652</v>
      </c>
    </row>
    <row r="234" spans="1:12" x14ac:dyDescent="0.3">
      <c r="A234">
        <v>233</v>
      </c>
      <c r="B234" t="s">
        <v>245</v>
      </c>
      <c r="C234">
        <v>44033.680555555555</v>
      </c>
      <c r="D234">
        <v>2020</v>
      </c>
      <c r="E234" t="s">
        <v>10</v>
      </c>
      <c r="F234" t="s">
        <v>1553</v>
      </c>
      <c r="G234" t="s">
        <v>67</v>
      </c>
      <c r="H234" s="1" t="s">
        <v>1572</v>
      </c>
      <c r="I234" t="s">
        <v>1610</v>
      </c>
      <c r="J234" s="2">
        <v>4832721</v>
      </c>
      <c r="K234" t="s">
        <v>121</v>
      </c>
      <c r="L234" t="s">
        <v>1653</v>
      </c>
    </row>
    <row r="235" spans="1:12" x14ac:dyDescent="0.3">
      <c r="A235">
        <v>234</v>
      </c>
      <c r="B235" t="s">
        <v>50</v>
      </c>
      <c r="C235">
        <v>44034.427777777775</v>
      </c>
      <c r="D235">
        <v>2020</v>
      </c>
      <c r="E235" t="s">
        <v>10</v>
      </c>
      <c r="F235" t="s">
        <v>1553</v>
      </c>
      <c r="G235" t="s">
        <v>11</v>
      </c>
      <c r="H235" s="1" t="s">
        <v>1571</v>
      </c>
      <c r="I235" t="s">
        <v>1610</v>
      </c>
      <c r="J235" s="2">
        <v>3157236</v>
      </c>
      <c r="K235" t="s">
        <v>121</v>
      </c>
      <c r="L235" t="s">
        <v>1649</v>
      </c>
    </row>
    <row r="236" spans="1:12" x14ac:dyDescent="0.3">
      <c r="A236">
        <v>235</v>
      </c>
      <c r="B236" t="s">
        <v>246</v>
      </c>
      <c r="C236">
        <v>44035.400694444441</v>
      </c>
      <c r="D236">
        <v>2020</v>
      </c>
      <c r="E236" t="s">
        <v>10</v>
      </c>
      <c r="F236" t="s">
        <v>1553</v>
      </c>
      <c r="G236" t="s">
        <v>15</v>
      </c>
      <c r="H236" s="1" t="s">
        <v>1565</v>
      </c>
      <c r="I236" t="s">
        <v>1610</v>
      </c>
      <c r="J236" s="2">
        <v>1977286</v>
      </c>
      <c r="K236" t="s">
        <v>121</v>
      </c>
      <c r="L236" t="s">
        <v>1649</v>
      </c>
    </row>
    <row r="237" spans="1:12" x14ac:dyDescent="0.3">
      <c r="A237">
        <v>236</v>
      </c>
      <c r="B237" t="s">
        <v>247</v>
      </c>
      <c r="C237">
        <v>44035.409722222219</v>
      </c>
      <c r="D237">
        <v>2020</v>
      </c>
      <c r="E237" t="s">
        <v>10</v>
      </c>
      <c r="F237" t="s">
        <v>1553</v>
      </c>
      <c r="G237" t="s">
        <v>67</v>
      </c>
      <c r="H237" s="1" t="s">
        <v>1565</v>
      </c>
      <c r="I237" t="s">
        <v>1609</v>
      </c>
      <c r="J237" s="2">
        <v>1112933</v>
      </c>
      <c r="K237" t="s">
        <v>16</v>
      </c>
      <c r="L237" t="s">
        <v>1648</v>
      </c>
    </row>
    <row r="238" spans="1:12" x14ac:dyDescent="0.3">
      <c r="A238">
        <v>237</v>
      </c>
      <c r="B238" t="s">
        <v>185</v>
      </c>
      <c r="C238">
        <v>44035.611111111109</v>
      </c>
      <c r="D238">
        <v>2020</v>
      </c>
      <c r="E238" t="s">
        <v>10</v>
      </c>
      <c r="F238" t="s">
        <v>1553</v>
      </c>
      <c r="G238" t="s">
        <v>15</v>
      </c>
      <c r="H238" s="1" t="s">
        <v>1571</v>
      </c>
      <c r="I238" t="s">
        <v>1605</v>
      </c>
      <c r="J238" s="2">
        <v>2875440</v>
      </c>
      <c r="K238" t="s">
        <v>16</v>
      </c>
      <c r="L238" t="s">
        <v>1651</v>
      </c>
    </row>
    <row r="239" spans="1:12" x14ac:dyDescent="0.3">
      <c r="A239">
        <v>238</v>
      </c>
      <c r="B239" t="s">
        <v>248</v>
      </c>
      <c r="C239">
        <v>44035.63958333333</v>
      </c>
      <c r="D239">
        <v>2020</v>
      </c>
      <c r="E239" t="s">
        <v>10</v>
      </c>
      <c r="F239" t="s">
        <v>1553</v>
      </c>
      <c r="G239" t="s">
        <v>18</v>
      </c>
      <c r="H239" s="1" t="s">
        <v>1572</v>
      </c>
      <c r="I239" t="s">
        <v>1584</v>
      </c>
      <c r="J239" s="2">
        <v>1895843</v>
      </c>
      <c r="K239" t="s">
        <v>12</v>
      </c>
      <c r="L239" t="s">
        <v>1650</v>
      </c>
    </row>
    <row r="240" spans="1:12" x14ac:dyDescent="0.3">
      <c r="A240">
        <v>239</v>
      </c>
      <c r="B240" t="s">
        <v>249</v>
      </c>
      <c r="C240">
        <v>44036.693055555559</v>
      </c>
      <c r="D240">
        <v>2020</v>
      </c>
      <c r="E240" t="s">
        <v>10</v>
      </c>
      <c r="F240" t="s">
        <v>1553</v>
      </c>
      <c r="G240" t="s">
        <v>67</v>
      </c>
      <c r="H240" s="1" t="s">
        <v>1568</v>
      </c>
      <c r="I240" t="s">
        <v>1609</v>
      </c>
      <c r="J240" s="2">
        <v>1353436</v>
      </c>
      <c r="K240" t="s">
        <v>16</v>
      </c>
      <c r="L240" t="s">
        <v>1651</v>
      </c>
    </row>
    <row r="241" spans="1:12" x14ac:dyDescent="0.3">
      <c r="A241">
        <v>240</v>
      </c>
      <c r="B241" t="s">
        <v>250</v>
      </c>
      <c r="C241">
        <v>44039.37777777778</v>
      </c>
      <c r="D241">
        <v>2020</v>
      </c>
      <c r="E241" t="s">
        <v>10</v>
      </c>
      <c r="F241" t="s">
        <v>1553</v>
      </c>
      <c r="G241" t="s">
        <v>18</v>
      </c>
      <c r="H241" s="1" t="s">
        <v>1574</v>
      </c>
      <c r="I241" t="s">
        <v>1584</v>
      </c>
      <c r="J241" s="2">
        <v>2393059</v>
      </c>
      <c r="K241" t="s">
        <v>12</v>
      </c>
      <c r="L241" t="s">
        <v>1653</v>
      </c>
    </row>
    <row r="242" spans="1:12" x14ac:dyDescent="0.3">
      <c r="A242">
        <v>241</v>
      </c>
      <c r="B242" t="s">
        <v>251</v>
      </c>
      <c r="C242">
        <v>44039.449305555558</v>
      </c>
      <c r="D242">
        <v>2020</v>
      </c>
      <c r="E242" t="s">
        <v>10</v>
      </c>
      <c r="F242" t="s">
        <v>1553</v>
      </c>
      <c r="G242" t="s">
        <v>21</v>
      </c>
      <c r="H242" s="1" t="s">
        <v>1569</v>
      </c>
      <c r="I242" t="s">
        <v>1627</v>
      </c>
      <c r="J242" s="2">
        <v>4662871</v>
      </c>
      <c r="K242" t="s">
        <v>12</v>
      </c>
      <c r="L242" t="s">
        <v>1649</v>
      </c>
    </row>
    <row r="243" spans="1:12" x14ac:dyDescent="0.3">
      <c r="A243">
        <v>242</v>
      </c>
      <c r="B243" t="s">
        <v>252</v>
      </c>
      <c r="C243">
        <v>44039.494444444441</v>
      </c>
      <c r="D243">
        <v>2020</v>
      </c>
      <c r="E243" t="s">
        <v>10</v>
      </c>
      <c r="F243" t="s">
        <v>1553</v>
      </c>
      <c r="G243" t="s">
        <v>18</v>
      </c>
      <c r="H243" s="1" t="s">
        <v>1565</v>
      </c>
      <c r="I243" t="s">
        <v>1609</v>
      </c>
      <c r="J243" s="2">
        <v>3617105</v>
      </c>
      <c r="K243" t="s">
        <v>16</v>
      </c>
      <c r="L243" t="s">
        <v>1649</v>
      </c>
    </row>
    <row r="244" spans="1:12" x14ac:dyDescent="0.3">
      <c r="A244">
        <v>243</v>
      </c>
      <c r="B244" t="s">
        <v>211</v>
      </c>
      <c r="C244">
        <v>44039.518055555556</v>
      </c>
      <c r="D244">
        <v>2020</v>
      </c>
      <c r="E244" t="s">
        <v>10</v>
      </c>
      <c r="F244" t="s">
        <v>1553</v>
      </c>
      <c r="G244" t="s">
        <v>15</v>
      </c>
      <c r="H244" s="1" t="s">
        <v>1565</v>
      </c>
      <c r="I244" t="s">
        <v>1596</v>
      </c>
      <c r="J244" s="2">
        <v>3515319</v>
      </c>
      <c r="K244" t="s">
        <v>16</v>
      </c>
      <c r="L244" t="s">
        <v>1648</v>
      </c>
    </row>
    <row r="245" spans="1:12" x14ac:dyDescent="0.3">
      <c r="A245">
        <v>244</v>
      </c>
      <c r="B245" t="s">
        <v>253</v>
      </c>
      <c r="C245">
        <v>44039.552777777775</v>
      </c>
      <c r="D245">
        <v>2020</v>
      </c>
      <c r="E245" t="s">
        <v>10</v>
      </c>
      <c r="F245" t="s">
        <v>1553</v>
      </c>
      <c r="G245" t="s">
        <v>15</v>
      </c>
      <c r="H245" s="1" t="s">
        <v>1565</v>
      </c>
      <c r="I245" t="s">
        <v>1623</v>
      </c>
      <c r="J245" s="2">
        <v>3840790</v>
      </c>
      <c r="K245" t="s">
        <v>53</v>
      </c>
      <c r="L245" t="s">
        <v>1649</v>
      </c>
    </row>
    <row r="246" spans="1:12" x14ac:dyDescent="0.3">
      <c r="A246">
        <v>245</v>
      </c>
      <c r="B246" t="s">
        <v>91</v>
      </c>
      <c r="C246">
        <v>44039.6</v>
      </c>
      <c r="D246">
        <v>2020</v>
      </c>
      <c r="E246" t="s">
        <v>10</v>
      </c>
      <c r="F246" t="s">
        <v>1553</v>
      </c>
      <c r="G246" t="s">
        <v>18</v>
      </c>
      <c r="H246" s="1" t="s">
        <v>1565</v>
      </c>
      <c r="I246" t="s">
        <v>1626</v>
      </c>
      <c r="J246" s="2">
        <v>2384603</v>
      </c>
      <c r="K246" t="s">
        <v>12</v>
      </c>
      <c r="L246" t="s">
        <v>1652</v>
      </c>
    </row>
    <row r="247" spans="1:12" x14ac:dyDescent="0.3">
      <c r="A247">
        <v>246</v>
      </c>
      <c r="B247" t="s">
        <v>254</v>
      </c>
      <c r="C247">
        <v>44039.636111111111</v>
      </c>
      <c r="D247">
        <v>2020</v>
      </c>
      <c r="E247" t="s">
        <v>10</v>
      </c>
      <c r="F247" t="s">
        <v>1553</v>
      </c>
      <c r="G247" t="s">
        <v>21</v>
      </c>
      <c r="H247" s="1" t="s">
        <v>1565</v>
      </c>
      <c r="I247" t="s">
        <v>1610</v>
      </c>
      <c r="J247" s="2">
        <v>1054405</v>
      </c>
      <c r="K247" t="s">
        <v>121</v>
      </c>
      <c r="L247" t="s">
        <v>1651</v>
      </c>
    </row>
    <row r="248" spans="1:12" x14ac:dyDescent="0.3">
      <c r="A248">
        <v>247</v>
      </c>
      <c r="B248" t="s">
        <v>255</v>
      </c>
      <c r="C248">
        <v>44039.645833333336</v>
      </c>
      <c r="D248">
        <v>2020</v>
      </c>
      <c r="E248" t="s">
        <v>10</v>
      </c>
      <c r="F248" t="s">
        <v>1553</v>
      </c>
      <c r="G248" t="s">
        <v>18</v>
      </c>
      <c r="H248" s="1" t="s">
        <v>1565</v>
      </c>
      <c r="I248" t="s">
        <v>1628</v>
      </c>
      <c r="J248" s="2">
        <v>4716649</v>
      </c>
      <c r="K248" t="s">
        <v>59</v>
      </c>
      <c r="L248" t="s">
        <v>1648</v>
      </c>
    </row>
    <row r="249" spans="1:12" x14ac:dyDescent="0.3">
      <c r="A249">
        <v>248</v>
      </c>
      <c r="B249" t="s">
        <v>256</v>
      </c>
      <c r="C249">
        <v>44039.649305555555</v>
      </c>
      <c r="D249">
        <v>2020</v>
      </c>
      <c r="E249" t="s">
        <v>10</v>
      </c>
      <c r="F249" t="s">
        <v>1553</v>
      </c>
      <c r="G249" t="s">
        <v>21</v>
      </c>
      <c r="H249" s="1" t="s">
        <v>1565</v>
      </c>
      <c r="I249" t="s">
        <v>1613</v>
      </c>
      <c r="J249" s="2">
        <v>1553942</v>
      </c>
      <c r="K249" t="s">
        <v>53</v>
      </c>
      <c r="L249" t="s">
        <v>1652</v>
      </c>
    </row>
    <row r="250" spans="1:12" x14ac:dyDescent="0.3">
      <c r="A250">
        <v>249</v>
      </c>
      <c r="B250" t="s">
        <v>257</v>
      </c>
      <c r="C250">
        <v>44039.650694444441</v>
      </c>
      <c r="D250">
        <v>2020</v>
      </c>
      <c r="E250" t="s">
        <v>10</v>
      </c>
      <c r="F250" t="s">
        <v>1553</v>
      </c>
      <c r="G250" t="s">
        <v>18</v>
      </c>
      <c r="H250" s="1" t="s">
        <v>1565</v>
      </c>
      <c r="I250" t="s">
        <v>1609</v>
      </c>
      <c r="J250" s="2">
        <v>2707521</v>
      </c>
      <c r="K250" t="s">
        <v>16</v>
      </c>
      <c r="L250" t="s">
        <v>1649</v>
      </c>
    </row>
    <row r="251" spans="1:12" x14ac:dyDescent="0.3">
      <c r="A251">
        <v>250</v>
      </c>
      <c r="B251" t="s">
        <v>258</v>
      </c>
      <c r="C251">
        <v>44039.781944444447</v>
      </c>
      <c r="D251">
        <v>2020</v>
      </c>
      <c r="E251" t="s">
        <v>10</v>
      </c>
      <c r="F251" t="s">
        <v>1553</v>
      </c>
      <c r="G251" t="s">
        <v>11</v>
      </c>
      <c r="H251" s="1" t="s">
        <v>1565</v>
      </c>
      <c r="I251" t="s">
        <v>1629</v>
      </c>
      <c r="J251" s="2">
        <v>3857595</v>
      </c>
      <c r="K251" t="s">
        <v>12</v>
      </c>
      <c r="L251" t="s">
        <v>1649</v>
      </c>
    </row>
    <row r="252" spans="1:12" x14ac:dyDescent="0.3">
      <c r="A252">
        <v>251</v>
      </c>
      <c r="B252" t="s">
        <v>259</v>
      </c>
      <c r="C252">
        <v>44040.415277777778</v>
      </c>
      <c r="D252">
        <v>2020</v>
      </c>
      <c r="E252" t="s">
        <v>10</v>
      </c>
      <c r="F252" t="s">
        <v>1553</v>
      </c>
      <c r="G252" t="s">
        <v>23</v>
      </c>
      <c r="H252" s="1" t="s">
        <v>1565</v>
      </c>
      <c r="I252" t="s">
        <v>1578</v>
      </c>
      <c r="J252" s="2">
        <v>4210255</v>
      </c>
      <c r="K252" t="s">
        <v>16</v>
      </c>
      <c r="L252" t="s">
        <v>1652</v>
      </c>
    </row>
    <row r="253" spans="1:12" x14ac:dyDescent="0.3">
      <c r="A253">
        <v>252</v>
      </c>
      <c r="B253" t="s">
        <v>260</v>
      </c>
      <c r="C253">
        <v>44040.426388888889</v>
      </c>
      <c r="D253">
        <v>2020</v>
      </c>
      <c r="E253" t="s">
        <v>10</v>
      </c>
      <c r="F253" t="s">
        <v>1553</v>
      </c>
      <c r="G253" t="s">
        <v>15</v>
      </c>
      <c r="H253" s="1" t="s">
        <v>1565</v>
      </c>
      <c r="I253" t="s">
        <v>1585</v>
      </c>
      <c r="J253" s="2">
        <v>2964651</v>
      </c>
      <c r="K253" t="s">
        <v>12</v>
      </c>
      <c r="L253" t="s">
        <v>1652</v>
      </c>
    </row>
    <row r="254" spans="1:12" x14ac:dyDescent="0.3">
      <c r="A254">
        <v>253</v>
      </c>
      <c r="B254" t="s">
        <v>185</v>
      </c>
      <c r="C254">
        <v>44040.431944444441</v>
      </c>
      <c r="D254">
        <v>2020</v>
      </c>
      <c r="E254" t="s">
        <v>10</v>
      </c>
      <c r="F254" t="s">
        <v>1553</v>
      </c>
      <c r="G254" t="s">
        <v>15</v>
      </c>
      <c r="H254" s="1" t="s">
        <v>1565</v>
      </c>
      <c r="I254" t="s">
        <v>1605</v>
      </c>
      <c r="J254" s="2">
        <v>2989015</v>
      </c>
      <c r="K254" t="s">
        <v>16</v>
      </c>
      <c r="L254" t="s">
        <v>1653</v>
      </c>
    </row>
    <row r="255" spans="1:12" x14ac:dyDescent="0.3">
      <c r="A255">
        <v>254</v>
      </c>
      <c r="B255" t="s">
        <v>261</v>
      </c>
      <c r="C255">
        <v>44041.418749999997</v>
      </c>
      <c r="D255">
        <v>2020</v>
      </c>
      <c r="E255" t="s">
        <v>10</v>
      </c>
      <c r="F255" t="s">
        <v>1555</v>
      </c>
      <c r="G255" t="s">
        <v>23</v>
      </c>
      <c r="H255" s="1" t="s">
        <v>1565</v>
      </c>
      <c r="I255" t="s">
        <v>1605</v>
      </c>
      <c r="J255" s="2">
        <v>3585994</v>
      </c>
      <c r="K255" t="s">
        <v>16</v>
      </c>
      <c r="L255" t="s">
        <v>1651</v>
      </c>
    </row>
    <row r="256" spans="1:12" x14ac:dyDescent="0.3">
      <c r="A256">
        <v>255</v>
      </c>
      <c r="B256" t="s">
        <v>262</v>
      </c>
      <c r="C256">
        <v>44041.45208333333</v>
      </c>
      <c r="D256">
        <v>2020</v>
      </c>
      <c r="E256" t="s">
        <v>10</v>
      </c>
      <c r="F256" t="s">
        <v>20</v>
      </c>
      <c r="G256" t="s">
        <v>21</v>
      </c>
      <c r="H256" s="1" t="s">
        <v>1565</v>
      </c>
      <c r="I256" t="s">
        <v>1583</v>
      </c>
      <c r="J256" s="2">
        <v>4723070</v>
      </c>
      <c r="K256" t="s">
        <v>12</v>
      </c>
      <c r="L256" t="s">
        <v>1651</v>
      </c>
    </row>
    <row r="257" spans="1:12" x14ac:dyDescent="0.3">
      <c r="A257">
        <v>256</v>
      </c>
      <c r="B257" t="s">
        <v>263</v>
      </c>
      <c r="C257">
        <v>44041.59375</v>
      </c>
      <c r="D257">
        <v>2020</v>
      </c>
      <c r="E257" t="s">
        <v>10</v>
      </c>
      <c r="F257" t="s">
        <v>231</v>
      </c>
      <c r="G257" t="s">
        <v>229</v>
      </c>
      <c r="H257" s="1" t="s">
        <v>1565</v>
      </c>
      <c r="I257" t="s">
        <v>1610</v>
      </c>
      <c r="J257" s="2">
        <v>4707494</v>
      </c>
      <c r="K257" t="s">
        <v>121</v>
      </c>
      <c r="L257" t="s">
        <v>1651</v>
      </c>
    </row>
    <row r="258" spans="1:12" x14ac:dyDescent="0.3">
      <c r="A258">
        <v>257</v>
      </c>
      <c r="B258" t="s">
        <v>50</v>
      </c>
      <c r="C258">
        <v>44042.408333333333</v>
      </c>
      <c r="D258">
        <v>2020</v>
      </c>
      <c r="E258" t="s">
        <v>10</v>
      </c>
      <c r="F258" t="s">
        <v>29</v>
      </c>
      <c r="G258" t="s">
        <v>15</v>
      </c>
      <c r="H258" s="1" t="s">
        <v>1565</v>
      </c>
      <c r="I258" t="s">
        <v>1604</v>
      </c>
      <c r="J258" s="2">
        <v>1297164</v>
      </c>
      <c r="K258" t="s">
        <v>12</v>
      </c>
      <c r="L258" t="s">
        <v>1651</v>
      </c>
    </row>
    <row r="259" spans="1:12" x14ac:dyDescent="0.3">
      <c r="A259">
        <v>258</v>
      </c>
      <c r="B259" t="s">
        <v>211</v>
      </c>
      <c r="C259">
        <v>44043.673611111109</v>
      </c>
      <c r="D259">
        <v>2020</v>
      </c>
      <c r="E259" t="s">
        <v>10</v>
      </c>
      <c r="F259" t="s">
        <v>29</v>
      </c>
      <c r="G259" t="s">
        <v>15</v>
      </c>
      <c r="H259" s="1" t="s">
        <v>1565</v>
      </c>
      <c r="I259" t="s">
        <v>1610</v>
      </c>
      <c r="J259" s="2">
        <v>3827103</v>
      </c>
      <c r="K259" t="s">
        <v>121</v>
      </c>
      <c r="L259" t="s">
        <v>1650</v>
      </c>
    </row>
    <row r="260" spans="1:12" x14ac:dyDescent="0.3">
      <c r="A260">
        <v>259</v>
      </c>
      <c r="B260" t="s">
        <v>264</v>
      </c>
      <c r="C260">
        <v>44046.474999999999</v>
      </c>
      <c r="D260">
        <v>2020</v>
      </c>
      <c r="E260" t="s">
        <v>10</v>
      </c>
      <c r="F260" t="s">
        <v>1554</v>
      </c>
      <c r="G260" t="s">
        <v>11</v>
      </c>
      <c r="H260" s="1" t="s">
        <v>1565</v>
      </c>
      <c r="I260" t="s">
        <v>1577</v>
      </c>
      <c r="J260" s="2">
        <v>4050324</v>
      </c>
      <c r="K260" t="s">
        <v>12</v>
      </c>
      <c r="L260" t="s">
        <v>1648</v>
      </c>
    </row>
    <row r="261" spans="1:12" x14ac:dyDescent="0.3">
      <c r="A261">
        <v>260</v>
      </c>
      <c r="B261" t="s">
        <v>265</v>
      </c>
      <c r="C261">
        <v>44046.509027777778</v>
      </c>
      <c r="D261">
        <v>2020</v>
      </c>
      <c r="E261" t="s">
        <v>10</v>
      </c>
      <c r="F261" t="s">
        <v>1554</v>
      </c>
      <c r="G261" t="s">
        <v>11</v>
      </c>
      <c r="H261" s="1" t="s">
        <v>1565</v>
      </c>
      <c r="I261" t="s">
        <v>1593</v>
      </c>
      <c r="J261" s="2">
        <v>2419203</v>
      </c>
      <c r="K261" t="s">
        <v>12</v>
      </c>
      <c r="L261" t="s">
        <v>1650</v>
      </c>
    </row>
    <row r="262" spans="1:12" x14ac:dyDescent="0.3">
      <c r="A262">
        <v>261</v>
      </c>
      <c r="B262" t="s">
        <v>266</v>
      </c>
      <c r="C262">
        <v>44047.443055555559</v>
      </c>
      <c r="D262">
        <v>2020</v>
      </c>
      <c r="E262" t="s">
        <v>10</v>
      </c>
      <c r="F262" t="s">
        <v>1654</v>
      </c>
      <c r="G262" t="s">
        <v>11</v>
      </c>
      <c r="H262" s="1" t="s">
        <v>1565</v>
      </c>
      <c r="I262" t="s">
        <v>1610</v>
      </c>
      <c r="J262" s="2">
        <v>3143237</v>
      </c>
      <c r="K262" t="s">
        <v>121</v>
      </c>
      <c r="L262" t="s">
        <v>1651</v>
      </c>
    </row>
    <row r="263" spans="1:12" x14ac:dyDescent="0.3">
      <c r="A263">
        <v>262</v>
      </c>
      <c r="B263" t="s">
        <v>267</v>
      </c>
      <c r="C263">
        <v>44049.392361111109</v>
      </c>
      <c r="D263">
        <v>2020</v>
      </c>
      <c r="E263" t="s">
        <v>10</v>
      </c>
      <c r="F263" t="s">
        <v>1552</v>
      </c>
      <c r="G263" t="s">
        <v>18</v>
      </c>
      <c r="H263" s="1" t="s">
        <v>1565</v>
      </c>
      <c r="I263" t="s">
        <v>1605</v>
      </c>
      <c r="J263" s="2">
        <v>2162322</v>
      </c>
      <c r="K263" t="s">
        <v>16</v>
      </c>
      <c r="L263" t="s">
        <v>1653</v>
      </c>
    </row>
    <row r="264" spans="1:12" x14ac:dyDescent="0.3">
      <c r="A264">
        <v>263</v>
      </c>
      <c r="B264" t="s">
        <v>50</v>
      </c>
      <c r="C264">
        <v>44049.428472222222</v>
      </c>
      <c r="D264">
        <v>2020</v>
      </c>
      <c r="E264" t="s">
        <v>10</v>
      </c>
      <c r="F264" t="s">
        <v>29</v>
      </c>
      <c r="G264" t="s">
        <v>15</v>
      </c>
      <c r="H264" s="1" t="s">
        <v>1565</v>
      </c>
      <c r="I264" t="s">
        <v>1604</v>
      </c>
      <c r="J264" s="2">
        <v>2862929</v>
      </c>
      <c r="K264" t="s">
        <v>12</v>
      </c>
      <c r="L264" t="s">
        <v>1652</v>
      </c>
    </row>
    <row r="265" spans="1:12" x14ac:dyDescent="0.3">
      <c r="A265">
        <v>264</v>
      </c>
      <c r="B265" t="s">
        <v>268</v>
      </c>
      <c r="C265">
        <v>44049.612500000003</v>
      </c>
      <c r="D265">
        <v>2020</v>
      </c>
      <c r="E265" t="s">
        <v>10</v>
      </c>
      <c r="F265" t="s">
        <v>1555</v>
      </c>
      <c r="G265" t="s">
        <v>23</v>
      </c>
      <c r="H265" s="1" t="s">
        <v>1565</v>
      </c>
      <c r="I265" t="s">
        <v>1614</v>
      </c>
      <c r="J265" s="2">
        <v>1267972</v>
      </c>
      <c r="K265" t="s">
        <v>16</v>
      </c>
      <c r="L265" t="s">
        <v>1653</v>
      </c>
    </row>
    <row r="266" spans="1:12" x14ac:dyDescent="0.3">
      <c r="A266">
        <v>265</v>
      </c>
      <c r="B266" t="s">
        <v>269</v>
      </c>
      <c r="C266">
        <v>44049.613888888889</v>
      </c>
      <c r="D266">
        <v>2020</v>
      </c>
      <c r="E266" t="s">
        <v>10</v>
      </c>
      <c r="F266" t="s">
        <v>1553</v>
      </c>
      <c r="G266" t="s">
        <v>23</v>
      </c>
      <c r="H266" s="1" t="s">
        <v>1565</v>
      </c>
      <c r="I266" t="s">
        <v>1597</v>
      </c>
      <c r="J266" s="2">
        <v>3849547</v>
      </c>
      <c r="K266" t="s">
        <v>12</v>
      </c>
      <c r="L266" t="s">
        <v>1648</v>
      </c>
    </row>
    <row r="267" spans="1:12" x14ac:dyDescent="0.3">
      <c r="A267">
        <v>266</v>
      </c>
      <c r="B267" t="s">
        <v>270</v>
      </c>
      <c r="C267">
        <v>44049.645138888889</v>
      </c>
      <c r="D267">
        <v>2020</v>
      </c>
      <c r="E267" t="s">
        <v>10</v>
      </c>
      <c r="F267" t="s">
        <v>1553</v>
      </c>
      <c r="G267" t="s">
        <v>18</v>
      </c>
      <c r="H267" s="1" t="s">
        <v>1569</v>
      </c>
      <c r="I267" t="s">
        <v>1618</v>
      </c>
      <c r="J267" s="2">
        <v>3229874</v>
      </c>
      <c r="K267" t="s">
        <v>53</v>
      </c>
      <c r="L267" t="s">
        <v>1651</v>
      </c>
    </row>
    <row r="268" spans="1:12" x14ac:dyDescent="0.3">
      <c r="A268">
        <v>267</v>
      </c>
      <c r="B268" t="s">
        <v>271</v>
      </c>
      <c r="C268">
        <v>44049.666666666664</v>
      </c>
      <c r="D268">
        <v>2020</v>
      </c>
      <c r="E268" t="s">
        <v>10</v>
      </c>
      <c r="F268" t="s">
        <v>1553</v>
      </c>
      <c r="G268" t="s">
        <v>11</v>
      </c>
      <c r="H268" s="1" t="s">
        <v>1567</v>
      </c>
      <c r="I268" t="s">
        <v>1630</v>
      </c>
      <c r="J268" s="2">
        <v>4100795</v>
      </c>
      <c r="K268" t="s">
        <v>12</v>
      </c>
      <c r="L268" t="s">
        <v>1650</v>
      </c>
    </row>
    <row r="269" spans="1:12" x14ac:dyDescent="0.3">
      <c r="A269">
        <v>268</v>
      </c>
      <c r="B269" t="s">
        <v>272</v>
      </c>
      <c r="C269">
        <v>44053.344444444447</v>
      </c>
      <c r="D269">
        <v>2020</v>
      </c>
      <c r="E269" t="s">
        <v>10</v>
      </c>
      <c r="F269" t="s">
        <v>1553</v>
      </c>
      <c r="G269" t="s">
        <v>18</v>
      </c>
      <c r="H269" s="1" t="s">
        <v>1569</v>
      </c>
      <c r="I269" t="s">
        <v>1609</v>
      </c>
      <c r="J269" s="2">
        <v>4165558</v>
      </c>
      <c r="K269" t="s">
        <v>16</v>
      </c>
      <c r="L269" t="s">
        <v>1649</v>
      </c>
    </row>
    <row r="270" spans="1:12" x14ac:dyDescent="0.3">
      <c r="A270">
        <v>269</v>
      </c>
      <c r="B270" t="s">
        <v>273</v>
      </c>
      <c r="C270">
        <v>44054.502083333333</v>
      </c>
      <c r="D270">
        <v>2020</v>
      </c>
      <c r="E270" t="s">
        <v>10</v>
      </c>
      <c r="F270" t="s">
        <v>1553</v>
      </c>
      <c r="G270" t="s">
        <v>23</v>
      </c>
      <c r="H270" s="1" t="s">
        <v>1563</v>
      </c>
      <c r="I270" t="s">
        <v>1578</v>
      </c>
      <c r="J270" s="2">
        <v>1496131</v>
      </c>
      <c r="K270" t="s">
        <v>16</v>
      </c>
      <c r="L270" t="s">
        <v>1650</v>
      </c>
    </row>
    <row r="271" spans="1:12" x14ac:dyDescent="0.3">
      <c r="A271">
        <v>270</v>
      </c>
      <c r="B271" t="s">
        <v>274</v>
      </c>
      <c r="C271">
        <v>44054.649305555555</v>
      </c>
      <c r="D271">
        <v>2020</v>
      </c>
      <c r="E271" t="s">
        <v>10</v>
      </c>
      <c r="F271" t="s">
        <v>1553</v>
      </c>
      <c r="G271" t="s">
        <v>11</v>
      </c>
      <c r="H271" s="1" t="s">
        <v>1575</v>
      </c>
      <c r="I271" t="s">
        <v>1577</v>
      </c>
      <c r="J271" s="2">
        <v>2206611</v>
      </c>
      <c r="K271" t="s">
        <v>12</v>
      </c>
      <c r="L271" t="s">
        <v>1651</v>
      </c>
    </row>
    <row r="272" spans="1:12" x14ac:dyDescent="0.3">
      <c r="A272">
        <v>271</v>
      </c>
      <c r="B272" t="s">
        <v>275</v>
      </c>
      <c r="C272">
        <v>44054.658333333333</v>
      </c>
      <c r="D272">
        <v>2020</v>
      </c>
      <c r="E272" t="s">
        <v>10</v>
      </c>
      <c r="F272" t="s">
        <v>1553</v>
      </c>
      <c r="G272" t="s">
        <v>11</v>
      </c>
      <c r="H272" s="1" t="s">
        <v>1575</v>
      </c>
      <c r="I272" t="s">
        <v>1610</v>
      </c>
      <c r="J272" s="2">
        <v>3955655</v>
      </c>
      <c r="K272" t="s">
        <v>121</v>
      </c>
      <c r="L272" t="s">
        <v>1648</v>
      </c>
    </row>
    <row r="273" spans="1:12" x14ac:dyDescent="0.3">
      <c r="A273">
        <v>272</v>
      </c>
      <c r="B273" t="s">
        <v>276</v>
      </c>
      <c r="C273">
        <v>44054.662499999999</v>
      </c>
      <c r="D273">
        <v>2020</v>
      </c>
      <c r="E273" t="s">
        <v>10</v>
      </c>
      <c r="F273" t="s">
        <v>1553</v>
      </c>
      <c r="G273" t="s">
        <v>11</v>
      </c>
      <c r="H273" s="1" t="s">
        <v>1575</v>
      </c>
      <c r="I273" t="s">
        <v>1597</v>
      </c>
      <c r="J273" s="2">
        <v>3710480</v>
      </c>
      <c r="K273" t="s">
        <v>12</v>
      </c>
      <c r="L273" t="s">
        <v>1649</v>
      </c>
    </row>
    <row r="274" spans="1:12" x14ac:dyDescent="0.3">
      <c r="A274">
        <v>273</v>
      </c>
      <c r="B274" t="s">
        <v>277</v>
      </c>
      <c r="C274">
        <v>44054.665972222225</v>
      </c>
      <c r="D274">
        <v>2020</v>
      </c>
      <c r="E274" t="s">
        <v>10</v>
      </c>
      <c r="F274" t="s">
        <v>1553</v>
      </c>
      <c r="G274" t="s">
        <v>11</v>
      </c>
      <c r="H274" s="1" t="s">
        <v>1575</v>
      </c>
      <c r="I274" t="s">
        <v>1577</v>
      </c>
      <c r="J274" s="2">
        <v>1501666</v>
      </c>
      <c r="K274" t="s">
        <v>12</v>
      </c>
      <c r="L274" t="s">
        <v>1648</v>
      </c>
    </row>
    <row r="275" spans="1:12" x14ac:dyDescent="0.3">
      <c r="A275">
        <v>274</v>
      </c>
      <c r="B275" t="s">
        <v>278</v>
      </c>
      <c r="C275">
        <v>44054.672222222223</v>
      </c>
      <c r="D275">
        <v>2020</v>
      </c>
      <c r="E275" t="s">
        <v>10</v>
      </c>
      <c r="F275" t="s">
        <v>1553</v>
      </c>
      <c r="G275" t="s">
        <v>23</v>
      </c>
      <c r="H275" s="1" t="s">
        <v>1575</v>
      </c>
      <c r="I275" t="s">
        <v>1578</v>
      </c>
      <c r="J275" s="2">
        <v>3321824</v>
      </c>
      <c r="K275" t="s">
        <v>16</v>
      </c>
      <c r="L275" t="s">
        <v>1653</v>
      </c>
    </row>
    <row r="276" spans="1:12" x14ac:dyDescent="0.3">
      <c r="A276">
        <v>275</v>
      </c>
      <c r="B276" t="s">
        <v>50</v>
      </c>
      <c r="C276">
        <v>44054.734027777777</v>
      </c>
      <c r="D276">
        <v>2020</v>
      </c>
      <c r="E276" t="s">
        <v>10</v>
      </c>
      <c r="F276" t="s">
        <v>1553</v>
      </c>
      <c r="G276" t="s">
        <v>15</v>
      </c>
      <c r="H276" s="1" t="s">
        <v>1575</v>
      </c>
      <c r="I276" t="s">
        <v>1604</v>
      </c>
      <c r="J276" s="2">
        <v>4684876</v>
      </c>
      <c r="K276" t="s">
        <v>12</v>
      </c>
      <c r="L276" t="s">
        <v>1648</v>
      </c>
    </row>
    <row r="277" spans="1:12" x14ac:dyDescent="0.3">
      <c r="A277">
        <v>276</v>
      </c>
      <c r="B277" t="s">
        <v>279</v>
      </c>
      <c r="C277">
        <v>44054.916666666664</v>
      </c>
      <c r="D277">
        <v>2020</v>
      </c>
      <c r="E277" t="s">
        <v>10</v>
      </c>
      <c r="F277" t="s">
        <v>1553</v>
      </c>
      <c r="G277" t="s">
        <v>62</v>
      </c>
      <c r="H277" s="1" t="s">
        <v>1575</v>
      </c>
      <c r="I277" t="s">
        <v>1625</v>
      </c>
      <c r="J277" s="2">
        <v>1914325</v>
      </c>
      <c r="K277" t="s">
        <v>12</v>
      </c>
      <c r="L277" t="s">
        <v>1653</v>
      </c>
    </row>
    <row r="278" spans="1:12" x14ac:dyDescent="0.3">
      <c r="A278">
        <v>277</v>
      </c>
      <c r="B278" t="s">
        <v>280</v>
      </c>
      <c r="C278">
        <v>44054.922222222223</v>
      </c>
      <c r="D278">
        <v>2020</v>
      </c>
      <c r="E278" t="s">
        <v>10</v>
      </c>
      <c r="F278" t="s">
        <v>1553</v>
      </c>
      <c r="G278" t="s">
        <v>62</v>
      </c>
      <c r="H278" s="1" t="s">
        <v>1575</v>
      </c>
      <c r="I278" t="s">
        <v>1625</v>
      </c>
      <c r="J278" s="2">
        <v>3572007</v>
      </c>
      <c r="K278" t="s">
        <v>12</v>
      </c>
      <c r="L278" t="s">
        <v>1652</v>
      </c>
    </row>
    <row r="279" spans="1:12" x14ac:dyDescent="0.3">
      <c r="A279">
        <v>278</v>
      </c>
      <c r="B279" t="s">
        <v>281</v>
      </c>
      <c r="C279">
        <v>44054.924305555556</v>
      </c>
      <c r="D279">
        <v>2020</v>
      </c>
      <c r="E279" t="s">
        <v>10</v>
      </c>
      <c r="F279" t="s">
        <v>1553</v>
      </c>
      <c r="G279" t="s">
        <v>62</v>
      </c>
      <c r="H279" s="1" t="s">
        <v>1575</v>
      </c>
      <c r="I279" t="s">
        <v>1605</v>
      </c>
      <c r="J279" s="2">
        <v>1320785</v>
      </c>
      <c r="K279" t="s">
        <v>16</v>
      </c>
      <c r="L279" t="s">
        <v>1648</v>
      </c>
    </row>
    <row r="280" spans="1:12" x14ac:dyDescent="0.3">
      <c r="A280">
        <v>279</v>
      </c>
      <c r="B280" t="s">
        <v>282</v>
      </c>
      <c r="C280">
        <v>44055.377083333333</v>
      </c>
      <c r="D280">
        <v>2020</v>
      </c>
      <c r="E280" t="s">
        <v>10</v>
      </c>
      <c r="F280" t="s">
        <v>1553</v>
      </c>
      <c r="G280" t="s">
        <v>11</v>
      </c>
      <c r="H280" s="1" t="s">
        <v>1575</v>
      </c>
      <c r="I280" t="s">
        <v>1630</v>
      </c>
      <c r="J280" s="2">
        <v>2350211</v>
      </c>
      <c r="K280" t="s">
        <v>12</v>
      </c>
      <c r="L280" t="s">
        <v>1653</v>
      </c>
    </row>
    <row r="281" spans="1:12" x14ac:dyDescent="0.3">
      <c r="A281">
        <v>280</v>
      </c>
      <c r="B281" t="s">
        <v>283</v>
      </c>
      <c r="C281">
        <v>44055.861111111109</v>
      </c>
      <c r="D281">
        <v>2020</v>
      </c>
      <c r="E281" t="s">
        <v>10</v>
      </c>
      <c r="F281" t="s">
        <v>1553</v>
      </c>
      <c r="G281" t="s">
        <v>21</v>
      </c>
      <c r="H281" s="1" t="s">
        <v>1575</v>
      </c>
      <c r="I281" t="s">
        <v>1606</v>
      </c>
      <c r="J281" s="2">
        <v>3535990</v>
      </c>
      <c r="K281" t="s">
        <v>12</v>
      </c>
      <c r="L281" t="s">
        <v>1650</v>
      </c>
    </row>
    <row r="282" spans="1:12" x14ac:dyDescent="0.3">
      <c r="A282">
        <v>281</v>
      </c>
      <c r="B282" t="s">
        <v>284</v>
      </c>
      <c r="C282">
        <v>44056.65</v>
      </c>
      <c r="D282">
        <v>2020</v>
      </c>
      <c r="E282" t="s">
        <v>10</v>
      </c>
      <c r="F282" t="s">
        <v>1553</v>
      </c>
      <c r="G282" t="s">
        <v>15</v>
      </c>
      <c r="H282" s="1" t="s">
        <v>1575</v>
      </c>
      <c r="I282" t="s">
        <v>1625</v>
      </c>
      <c r="J282" s="2">
        <v>3790367</v>
      </c>
      <c r="K282" t="s">
        <v>12</v>
      </c>
      <c r="L282" t="s">
        <v>1652</v>
      </c>
    </row>
    <row r="283" spans="1:12" x14ac:dyDescent="0.3">
      <c r="A283">
        <v>282</v>
      </c>
      <c r="B283" t="s">
        <v>285</v>
      </c>
      <c r="C283">
        <v>44056.722222222219</v>
      </c>
      <c r="D283">
        <v>2020</v>
      </c>
      <c r="E283" t="s">
        <v>10</v>
      </c>
      <c r="F283" t="s">
        <v>1553</v>
      </c>
      <c r="G283" t="s">
        <v>65</v>
      </c>
      <c r="H283" s="1" t="s">
        <v>1575</v>
      </c>
      <c r="I283" t="s">
        <v>1631</v>
      </c>
      <c r="J283" s="2">
        <v>1838045</v>
      </c>
      <c r="K283" t="s">
        <v>53</v>
      </c>
      <c r="L283" t="s">
        <v>1653</v>
      </c>
    </row>
    <row r="284" spans="1:12" x14ac:dyDescent="0.3">
      <c r="A284">
        <v>283</v>
      </c>
      <c r="B284" t="s">
        <v>286</v>
      </c>
      <c r="C284">
        <v>44057.629166666666</v>
      </c>
      <c r="D284">
        <v>2020</v>
      </c>
      <c r="E284" t="s">
        <v>10</v>
      </c>
      <c r="F284" t="s">
        <v>1555</v>
      </c>
      <c r="G284" t="s">
        <v>23</v>
      </c>
      <c r="H284" s="1" t="s">
        <v>1575</v>
      </c>
      <c r="I284" t="s">
        <v>1580</v>
      </c>
      <c r="J284" s="2">
        <v>3299199</v>
      </c>
      <c r="K284" t="s">
        <v>16</v>
      </c>
      <c r="L284" t="s">
        <v>1653</v>
      </c>
    </row>
    <row r="285" spans="1:12" x14ac:dyDescent="0.3">
      <c r="A285">
        <v>284</v>
      </c>
      <c r="B285" t="s">
        <v>287</v>
      </c>
      <c r="C285">
        <v>44057.70416666667</v>
      </c>
      <c r="D285">
        <v>2020</v>
      </c>
      <c r="E285" t="s">
        <v>10</v>
      </c>
      <c r="F285" t="s">
        <v>78</v>
      </c>
      <c r="G285" t="s">
        <v>21</v>
      </c>
      <c r="H285" s="1" t="s">
        <v>1575</v>
      </c>
      <c r="I285" t="s">
        <v>1606</v>
      </c>
      <c r="J285" s="2">
        <v>3455590</v>
      </c>
      <c r="K285" t="s">
        <v>12</v>
      </c>
      <c r="L285" t="s">
        <v>1652</v>
      </c>
    </row>
    <row r="286" spans="1:12" x14ac:dyDescent="0.3">
      <c r="A286">
        <v>285</v>
      </c>
      <c r="B286" t="s">
        <v>288</v>
      </c>
      <c r="C286">
        <v>44062.275000000001</v>
      </c>
      <c r="D286">
        <v>2020</v>
      </c>
      <c r="E286" t="s">
        <v>10</v>
      </c>
      <c r="F286" t="s">
        <v>1553</v>
      </c>
      <c r="G286" t="s">
        <v>229</v>
      </c>
      <c r="H286" s="1" t="s">
        <v>1575</v>
      </c>
      <c r="I286" t="s">
        <v>1623</v>
      </c>
      <c r="J286" s="2">
        <v>1551171</v>
      </c>
      <c r="K286" t="s">
        <v>53</v>
      </c>
      <c r="L286" t="s">
        <v>1650</v>
      </c>
    </row>
    <row r="287" spans="1:12" x14ac:dyDescent="0.3">
      <c r="A287">
        <v>286</v>
      </c>
      <c r="B287" t="s">
        <v>289</v>
      </c>
      <c r="C287">
        <v>44062.394444444442</v>
      </c>
      <c r="D287">
        <v>2020</v>
      </c>
      <c r="E287" t="s">
        <v>10</v>
      </c>
      <c r="F287" t="s">
        <v>1553</v>
      </c>
      <c r="G287" t="s">
        <v>290</v>
      </c>
      <c r="H287" s="1" t="s">
        <v>1575</v>
      </c>
      <c r="I287" t="s">
        <v>1587</v>
      </c>
      <c r="J287" s="2">
        <v>4801106</v>
      </c>
      <c r="K287" t="s">
        <v>12</v>
      </c>
      <c r="L287" t="s">
        <v>1652</v>
      </c>
    </row>
    <row r="288" spans="1:12" x14ac:dyDescent="0.3">
      <c r="A288">
        <v>287</v>
      </c>
      <c r="B288" t="s">
        <v>291</v>
      </c>
      <c r="C288">
        <v>44062.416666666664</v>
      </c>
      <c r="D288">
        <v>2020</v>
      </c>
      <c r="E288" t="s">
        <v>10</v>
      </c>
      <c r="F288" t="s">
        <v>1553</v>
      </c>
      <c r="G288" t="s">
        <v>290</v>
      </c>
      <c r="H288" s="1" t="s">
        <v>1575</v>
      </c>
      <c r="I288" t="s">
        <v>1610</v>
      </c>
      <c r="J288" s="2">
        <v>3130070</v>
      </c>
      <c r="K288" t="s">
        <v>121</v>
      </c>
      <c r="L288" t="s">
        <v>1651</v>
      </c>
    </row>
    <row r="289" spans="1:12" x14ac:dyDescent="0.3">
      <c r="A289">
        <v>288</v>
      </c>
      <c r="B289" t="s">
        <v>292</v>
      </c>
      <c r="C289">
        <v>44062.417361111111</v>
      </c>
      <c r="D289">
        <v>2020</v>
      </c>
      <c r="E289" t="s">
        <v>10</v>
      </c>
      <c r="F289" t="s">
        <v>1553</v>
      </c>
      <c r="G289" t="s">
        <v>290</v>
      </c>
      <c r="H289" s="1" t="s">
        <v>1575</v>
      </c>
      <c r="I289" t="s">
        <v>1608</v>
      </c>
      <c r="J289" s="2">
        <v>4385173</v>
      </c>
      <c r="K289" t="s">
        <v>12</v>
      </c>
      <c r="L289" t="s">
        <v>1648</v>
      </c>
    </row>
    <row r="290" spans="1:12" x14ac:dyDescent="0.3">
      <c r="A290">
        <v>289</v>
      </c>
      <c r="B290" t="s">
        <v>292</v>
      </c>
      <c r="C290">
        <v>44062.419444444444</v>
      </c>
      <c r="D290">
        <v>2020</v>
      </c>
      <c r="E290" t="s">
        <v>10</v>
      </c>
      <c r="F290" t="s">
        <v>1553</v>
      </c>
      <c r="G290" t="s">
        <v>290</v>
      </c>
      <c r="H290" s="1" t="s">
        <v>1575</v>
      </c>
      <c r="I290" t="s">
        <v>1614</v>
      </c>
      <c r="J290" s="2">
        <v>2785104</v>
      </c>
      <c r="K290" t="s">
        <v>16</v>
      </c>
      <c r="L290" t="s">
        <v>1650</v>
      </c>
    </row>
    <row r="291" spans="1:12" x14ac:dyDescent="0.3">
      <c r="A291">
        <v>290</v>
      </c>
      <c r="B291" t="s">
        <v>292</v>
      </c>
      <c r="C291">
        <v>44062.420138888891</v>
      </c>
      <c r="D291">
        <v>2020</v>
      </c>
      <c r="E291" t="s">
        <v>10</v>
      </c>
      <c r="F291" t="s">
        <v>1553</v>
      </c>
      <c r="G291" t="s">
        <v>290</v>
      </c>
      <c r="H291" s="1" t="s">
        <v>1575</v>
      </c>
      <c r="I291" t="s">
        <v>1608</v>
      </c>
      <c r="J291" s="2">
        <v>1089725</v>
      </c>
      <c r="K291" t="s">
        <v>12</v>
      </c>
      <c r="L291" t="s">
        <v>1652</v>
      </c>
    </row>
    <row r="292" spans="1:12" x14ac:dyDescent="0.3">
      <c r="A292">
        <v>291</v>
      </c>
      <c r="B292" t="s">
        <v>293</v>
      </c>
      <c r="C292">
        <v>44062.421527777777</v>
      </c>
      <c r="D292">
        <v>2020</v>
      </c>
      <c r="E292" t="s">
        <v>10</v>
      </c>
      <c r="F292" t="s">
        <v>1553</v>
      </c>
      <c r="G292" t="s">
        <v>290</v>
      </c>
      <c r="H292" s="1" t="s">
        <v>1575</v>
      </c>
      <c r="I292" t="s">
        <v>1608</v>
      </c>
      <c r="J292" s="2">
        <v>2970561</v>
      </c>
      <c r="K292" t="s">
        <v>12</v>
      </c>
      <c r="L292" t="s">
        <v>1651</v>
      </c>
    </row>
    <row r="293" spans="1:12" x14ac:dyDescent="0.3">
      <c r="A293">
        <v>292</v>
      </c>
      <c r="B293" t="s">
        <v>293</v>
      </c>
      <c r="C293">
        <v>44062.425000000003</v>
      </c>
      <c r="D293">
        <v>2020</v>
      </c>
      <c r="E293" t="s">
        <v>10</v>
      </c>
      <c r="F293" t="s">
        <v>1553</v>
      </c>
      <c r="G293" t="s">
        <v>290</v>
      </c>
      <c r="H293" s="1" t="s">
        <v>1575</v>
      </c>
      <c r="I293" t="s">
        <v>1608</v>
      </c>
      <c r="J293" s="2">
        <v>4424034</v>
      </c>
      <c r="K293" t="s">
        <v>12</v>
      </c>
      <c r="L293" t="s">
        <v>1649</v>
      </c>
    </row>
    <row r="294" spans="1:12" x14ac:dyDescent="0.3">
      <c r="A294">
        <v>293</v>
      </c>
      <c r="B294" t="s">
        <v>293</v>
      </c>
      <c r="C294">
        <v>44062.435416666667</v>
      </c>
      <c r="D294">
        <v>2020</v>
      </c>
      <c r="E294" t="s">
        <v>10</v>
      </c>
      <c r="F294" t="s">
        <v>1553</v>
      </c>
      <c r="G294" t="s">
        <v>290</v>
      </c>
      <c r="H294" s="1" t="s">
        <v>1575</v>
      </c>
      <c r="I294" t="s">
        <v>1610</v>
      </c>
      <c r="J294" s="2">
        <v>2041771</v>
      </c>
      <c r="K294" t="s">
        <v>121</v>
      </c>
      <c r="L294" t="s">
        <v>1650</v>
      </c>
    </row>
    <row r="295" spans="1:12" x14ac:dyDescent="0.3">
      <c r="A295">
        <v>294</v>
      </c>
      <c r="B295" t="s">
        <v>293</v>
      </c>
      <c r="C295">
        <v>44062.443749999999</v>
      </c>
      <c r="D295">
        <v>2020</v>
      </c>
      <c r="E295" t="s">
        <v>10</v>
      </c>
      <c r="F295" t="s">
        <v>1554</v>
      </c>
      <c r="G295" t="s">
        <v>290</v>
      </c>
      <c r="H295" s="1" t="s">
        <v>1575</v>
      </c>
      <c r="I295" t="s">
        <v>1608</v>
      </c>
      <c r="J295" s="2">
        <v>1396668</v>
      </c>
      <c r="K295" t="s">
        <v>12</v>
      </c>
      <c r="L295" t="s">
        <v>1651</v>
      </c>
    </row>
    <row r="296" spans="1:12" x14ac:dyDescent="0.3">
      <c r="A296">
        <v>295</v>
      </c>
      <c r="B296" t="s">
        <v>294</v>
      </c>
      <c r="C296">
        <v>44062.644444444442</v>
      </c>
      <c r="D296">
        <v>2020</v>
      </c>
      <c r="E296" t="s">
        <v>10</v>
      </c>
      <c r="F296" t="s">
        <v>1554</v>
      </c>
      <c r="G296" t="s">
        <v>18</v>
      </c>
      <c r="H296" s="1" t="s">
        <v>1575</v>
      </c>
      <c r="I296" t="s">
        <v>1608</v>
      </c>
      <c r="J296" s="2">
        <v>4756178</v>
      </c>
      <c r="K296" t="s">
        <v>12</v>
      </c>
      <c r="L296" t="s">
        <v>1648</v>
      </c>
    </row>
    <row r="297" spans="1:12" x14ac:dyDescent="0.3">
      <c r="A297">
        <v>296</v>
      </c>
      <c r="B297" t="s">
        <v>50</v>
      </c>
      <c r="C297">
        <v>44062.675694444442</v>
      </c>
      <c r="D297">
        <v>2020</v>
      </c>
      <c r="E297" t="s">
        <v>10</v>
      </c>
      <c r="F297" t="s">
        <v>1554</v>
      </c>
      <c r="G297" t="s">
        <v>15</v>
      </c>
      <c r="H297" s="1" t="s">
        <v>1575</v>
      </c>
      <c r="I297" t="s">
        <v>1604</v>
      </c>
      <c r="J297" s="2">
        <v>2039708</v>
      </c>
      <c r="K297" t="s">
        <v>12</v>
      </c>
      <c r="L297" t="s">
        <v>1651</v>
      </c>
    </row>
    <row r="298" spans="1:12" x14ac:dyDescent="0.3">
      <c r="A298">
        <v>297</v>
      </c>
      <c r="B298" t="s">
        <v>295</v>
      </c>
      <c r="C298">
        <v>44063.383333333331</v>
      </c>
      <c r="D298">
        <v>2020</v>
      </c>
      <c r="E298" t="s">
        <v>10</v>
      </c>
      <c r="F298" t="s">
        <v>1554</v>
      </c>
      <c r="G298" t="s">
        <v>11</v>
      </c>
      <c r="H298" s="1" t="s">
        <v>1575</v>
      </c>
      <c r="J298" s="2">
        <v>4588986</v>
      </c>
      <c r="L298" t="s">
        <v>1649</v>
      </c>
    </row>
    <row r="299" spans="1:12" x14ac:dyDescent="0.3">
      <c r="A299">
        <v>298</v>
      </c>
      <c r="B299" t="s">
        <v>296</v>
      </c>
      <c r="C299">
        <v>44063.46875</v>
      </c>
      <c r="D299">
        <v>2020</v>
      </c>
      <c r="E299" t="s">
        <v>10</v>
      </c>
      <c r="F299" t="s">
        <v>1554</v>
      </c>
      <c r="G299" t="s">
        <v>15</v>
      </c>
      <c r="H299" s="1" t="s">
        <v>1575</v>
      </c>
      <c r="I299" t="s">
        <v>1612</v>
      </c>
      <c r="J299" s="2">
        <v>3647144</v>
      </c>
      <c r="K299" t="s">
        <v>12</v>
      </c>
      <c r="L299" t="s">
        <v>1653</v>
      </c>
    </row>
    <row r="300" spans="1:12" x14ac:dyDescent="0.3">
      <c r="A300">
        <v>299</v>
      </c>
      <c r="B300" t="s">
        <v>297</v>
      </c>
      <c r="C300">
        <v>44063.479861111111</v>
      </c>
      <c r="D300">
        <v>2020</v>
      </c>
      <c r="E300" t="s">
        <v>10</v>
      </c>
      <c r="F300" t="s">
        <v>1554</v>
      </c>
      <c r="G300" t="s">
        <v>15</v>
      </c>
      <c r="H300" s="1" t="s">
        <v>1575</v>
      </c>
      <c r="I300" t="s">
        <v>1609</v>
      </c>
      <c r="J300" s="2">
        <v>4625340</v>
      </c>
      <c r="K300" t="s">
        <v>16</v>
      </c>
      <c r="L300" t="s">
        <v>1648</v>
      </c>
    </row>
    <row r="301" spans="1:12" x14ac:dyDescent="0.3">
      <c r="A301">
        <v>300</v>
      </c>
      <c r="B301" t="s">
        <v>50</v>
      </c>
      <c r="C301">
        <v>44063.64166666667</v>
      </c>
      <c r="D301">
        <v>2020</v>
      </c>
      <c r="E301" t="s">
        <v>10</v>
      </c>
      <c r="F301" t="s">
        <v>1554</v>
      </c>
      <c r="G301" t="s">
        <v>15</v>
      </c>
      <c r="H301" s="1" t="s">
        <v>1575</v>
      </c>
      <c r="I301" t="s">
        <v>1585</v>
      </c>
      <c r="J301" s="2">
        <v>1379546</v>
      </c>
      <c r="K301" t="s">
        <v>12</v>
      </c>
      <c r="L301" t="s">
        <v>1652</v>
      </c>
    </row>
    <row r="302" spans="1:12" x14ac:dyDescent="0.3">
      <c r="A302">
        <v>301</v>
      </c>
      <c r="B302" t="s">
        <v>298</v>
      </c>
      <c r="C302">
        <v>44064.592361111114</v>
      </c>
      <c r="D302">
        <v>2020</v>
      </c>
      <c r="E302" t="s">
        <v>10</v>
      </c>
      <c r="F302" t="s">
        <v>1554</v>
      </c>
      <c r="G302" t="s">
        <v>290</v>
      </c>
      <c r="H302" s="1" t="s">
        <v>1575</v>
      </c>
      <c r="I302" t="s">
        <v>1608</v>
      </c>
      <c r="J302" s="2">
        <v>3519954</v>
      </c>
      <c r="K302" t="s">
        <v>12</v>
      </c>
      <c r="L302" t="s">
        <v>1653</v>
      </c>
    </row>
    <row r="303" spans="1:12" x14ac:dyDescent="0.3">
      <c r="A303">
        <v>302</v>
      </c>
      <c r="B303" t="s">
        <v>298</v>
      </c>
      <c r="C303">
        <v>44064.594444444447</v>
      </c>
      <c r="D303">
        <v>2020</v>
      </c>
      <c r="E303" t="s">
        <v>10</v>
      </c>
      <c r="F303" t="s">
        <v>1554</v>
      </c>
      <c r="G303" t="s">
        <v>290</v>
      </c>
      <c r="H303" s="1" t="s">
        <v>1575</v>
      </c>
      <c r="I303" t="s">
        <v>1608</v>
      </c>
      <c r="J303" s="2">
        <v>2055120</v>
      </c>
      <c r="K303" t="s">
        <v>12</v>
      </c>
      <c r="L303" t="s">
        <v>1649</v>
      </c>
    </row>
    <row r="304" spans="1:12" x14ac:dyDescent="0.3">
      <c r="A304">
        <v>303</v>
      </c>
      <c r="B304" t="s">
        <v>299</v>
      </c>
      <c r="C304">
        <v>44064.614583333336</v>
      </c>
      <c r="D304">
        <v>2020</v>
      </c>
      <c r="E304" t="s">
        <v>10</v>
      </c>
      <c r="F304" t="s">
        <v>1554</v>
      </c>
      <c r="G304" t="s">
        <v>62</v>
      </c>
      <c r="H304" s="1" t="s">
        <v>1575</v>
      </c>
      <c r="I304" t="s">
        <v>1625</v>
      </c>
      <c r="J304" s="2">
        <v>3295750</v>
      </c>
      <c r="K304" t="s">
        <v>12</v>
      </c>
      <c r="L304" t="s">
        <v>1651</v>
      </c>
    </row>
    <row r="305" spans="1:12" x14ac:dyDescent="0.3">
      <c r="A305">
        <v>304</v>
      </c>
      <c r="B305" t="s">
        <v>300</v>
      </c>
      <c r="C305">
        <v>44064.6875</v>
      </c>
      <c r="D305">
        <v>2020</v>
      </c>
      <c r="E305" t="s">
        <v>10</v>
      </c>
      <c r="F305" t="s">
        <v>1554</v>
      </c>
      <c r="G305" t="s">
        <v>23</v>
      </c>
      <c r="H305" s="1" t="s">
        <v>1575</v>
      </c>
      <c r="I305" t="s">
        <v>1580</v>
      </c>
      <c r="J305" s="2">
        <v>3197663</v>
      </c>
      <c r="K305" t="s">
        <v>16</v>
      </c>
      <c r="L305" t="s">
        <v>1651</v>
      </c>
    </row>
    <row r="306" spans="1:12" x14ac:dyDescent="0.3">
      <c r="A306">
        <v>305</v>
      </c>
      <c r="B306" t="s">
        <v>301</v>
      </c>
      <c r="C306">
        <v>44067.520138888889</v>
      </c>
      <c r="D306">
        <v>2020</v>
      </c>
      <c r="E306" t="s">
        <v>10</v>
      </c>
      <c r="F306" t="s">
        <v>1554</v>
      </c>
      <c r="G306" t="s">
        <v>15</v>
      </c>
      <c r="H306" s="1" t="s">
        <v>1575</v>
      </c>
      <c r="I306" t="s">
        <v>1625</v>
      </c>
      <c r="J306" s="2">
        <v>3063557</v>
      </c>
      <c r="K306" t="s">
        <v>12</v>
      </c>
      <c r="L306" t="s">
        <v>1648</v>
      </c>
    </row>
    <row r="307" spans="1:12" x14ac:dyDescent="0.3">
      <c r="A307">
        <v>306</v>
      </c>
      <c r="B307" t="s">
        <v>302</v>
      </c>
      <c r="C307">
        <v>44067.60833333333</v>
      </c>
      <c r="D307">
        <v>2020</v>
      </c>
      <c r="E307" t="s">
        <v>10</v>
      </c>
      <c r="F307" t="s">
        <v>1554</v>
      </c>
      <c r="G307" t="s">
        <v>18</v>
      </c>
      <c r="H307" s="1" t="s">
        <v>1575</v>
      </c>
      <c r="I307" t="s">
        <v>1609</v>
      </c>
      <c r="J307" s="2">
        <v>4125060</v>
      </c>
      <c r="K307" t="s">
        <v>16</v>
      </c>
      <c r="L307" t="s">
        <v>1648</v>
      </c>
    </row>
    <row r="308" spans="1:12" x14ac:dyDescent="0.3">
      <c r="A308">
        <v>307</v>
      </c>
      <c r="B308" t="s">
        <v>146</v>
      </c>
      <c r="C308">
        <v>44067.781944444447</v>
      </c>
      <c r="D308">
        <v>2020</v>
      </c>
      <c r="E308" t="s">
        <v>10</v>
      </c>
      <c r="F308" t="s">
        <v>1554</v>
      </c>
      <c r="G308" t="s">
        <v>290</v>
      </c>
      <c r="H308" s="1" t="s">
        <v>1575</v>
      </c>
      <c r="I308" t="s">
        <v>1615</v>
      </c>
      <c r="J308" s="2">
        <v>3845140</v>
      </c>
      <c r="K308" t="s">
        <v>16</v>
      </c>
      <c r="L308" t="s">
        <v>1648</v>
      </c>
    </row>
    <row r="309" spans="1:12" x14ac:dyDescent="0.3">
      <c r="A309">
        <v>308</v>
      </c>
      <c r="B309" t="s">
        <v>146</v>
      </c>
      <c r="C309">
        <v>44067.784722222219</v>
      </c>
      <c r="D309">
        <v>2020</v>
      </c>
      <c r="E309" t="s">
        <v>10</v>
      </c>
      <c r="F309" t="s">
        <v>1554</v>
      </c>
      <c r="G309" t="s">
        <v>290</v>
      </c>
      <c r="H309" s="1" t="s">
        <v>1575</v>
      </c>
      <c r="I309" t="s">
        <v>1615</v>
      </c>
      <c r="J309" s="2">
        <v>2378078</v>
      </c>
      <c r="K309" t="s">
        <v>16</v>
      </c>
      <c r="L309" t="s">
        <v>1652</v>
      </c>
    </row>
    <row r="310" spans="1:12" x14ac:dyDescent="0.3">
      <c r="A310">
        <v>309</v>
      </c>
      <c r="B310" t="s">
        <v>303</v>
      </c>
      <c r="C310">
        <v>44068.364583333336</v>
      </c>
      <c r="D310">
        <v>2020</v>
      </c>
      <c r="E310" t="s">
        <v>10</v>
      </c>
      <c r="F310" t="s">
        <v>1554</v>
      </c>
      <c r="G310" t="s">
        <v>18</v>
      </c>
      <c r="H310" s="1" t="s">
        <v>1575</v>
      </c>
      <c r="I310" t="s">
        <v>1609</v>
      </c>
      <c r="J310" s="2">
        <v>2958795</v>
      </c>
      <c r="K310" t="s">
        <v>16</v>
      </c>
      <c r="L310" t="s">
        <v>1649</v>
      </c>
    </row>
    <row r="311" spans="1:12" x14ac:dyDescent="0.3">
      <c r="A311">
        <v>310</v>
      </c>
      <c r="B311" t="s">
        <v>304</v>
      </c>
      <c r="C311">
        <v>44068.372916666667</v>
      </c>
      <c r="D311">
        <v>2020</v>
      </c>
      <c r="E311" t="s">
        <v>10</v>
      </c>
      <c r="F311" t="s">
        <v>1554</v>
      </c>
      <c r="G311" t="s">
        <v>18</v>
      </c>
      <c r="H311" s="1" t="s">
        <v>1575</v>
      </c>
      <c r="I311" t="s">
        <v>1623</v>
      </c>
      <c r="J311" s="2">
        <v>4583305</v>
      </c>
      <c r="K311" t="s">
        <v>53</v>
      </c>
      <c r="L311" t="s">
        <v>1648</v>
      </c>
    </row>
    <row r="312" spans="1:12" x14ac:dyDescent="0.3">
      <c r="A312">
        <v>311</v>
      </c>
      <c r="B312" t="s">
        <v>50</v>
      </c>
      <c r="C312">
        <v>44068.45416666667</v>
      </c>
      <c r="D312">
        <v>2020</v>
      </c>
      <c r="E312" t="s">
        <v>10</v>
      </c>
      <c r="F312" t="s">
        <v>1554</v>
      </c>
      <c r="G312" t="s">
        <v>15</v>
      </c>
      <c r="H312" s="1" t="s">
        <v>1575</v>
      </c>
      <c r="I312" t="s">
        <v>1604</v>
      </c>
      <c r="J312" s="2">
        <v>1581252</v>
      </c>
      <c r="K312" t="s">
        <v>12</v>
      </c>
      <c r="L312" t="s">
        <v>1648</v>
      </c>
    </row>
    <row r="313" spans="1:12" x14ac:dyDescent="0.3">
      <c r="A313">
        <v>312</v>
      </c>
      <c r="B313" t="s">
        <v>305</v>
      </c>
      <c r="C313">
        <v>44068.462500000001</v>
      </c>
      <c r="D313">
        <v>2020</v>
      </c>
      <c r="E313" t="s">
        <v>10</v>
      </c>
      <c r="F313" t="s">
        <v>1554</v>
      </c>
      <c r="G313" t="s">
        <v>49</v>
      </c>
      <c r="H313" s="1" t="s">
        <v>1575</v>
      </c>
      <c r="I313" t="s">
        <v>1618</v>
      </c>
      <c r="J313" s="2">
        <v>4721361</v>
      </c>
      <c r="K313" t="s">
        <v>53</v>
      </c>
      <c r="L313" t="s">
        <v>1649</v>
      </c>
    </row>
    <row r="314" spans="1:12" x14ac:dyDescent="0.3">
      <c r="A314">
        <v>313</v>
      </c>
      <c r="B314" t="s">
        <v>306</v>
      </c>
      <c r="C314">
        <v>44069.419444444444</v>
      </c>
      <c r="D314">
        <v>2020</v>
      </c>
      <c r="E314" t="s">
        <v>10</v>
      </c>
      <c r="F314" t="s">
        <v>1559</v>
      </c>
      <c r="G314" t="s">
        <v>62</v>
      </c>
      <c r="H314" s="1" t="s">
        <v>1575</v>
      </c>
      <c r="I314" t="s">
        <v>1609</v>
      </c>
      <c r="J314" s="2">
        <v>1488925</v>
      </c>
      <c r="K314" t="s">
        <v>16</v>
      </c>
      <c r="L314" t="s">
        <v>1650</v>
      </c>
    </row>
    <row r="315" spans="1:12" x14ac:dyDescent="0.3">
      <c r="A315">
        <v>314</v>
      </c>
      <c r="B315" t="s">
        <v>307</v>
      </c>
      <c r="C315">
        <v>44070.427777777775</v>
      </c>
      <c r="D315">
        <v>2020</v>
      </c>
      <c r="E315" t="s">
        <v>10</v>
      </c>
      <c r="F315" t="s">
        <v>20</v>
      </c>
      <c r="G315" t="s">
        <v>21</v>
      </c>
      <c r="H315" s="1" t="s">
        <v>1575</v>
      </c>
      <c r="I315" t="s">
        <v>1613</v>
      </c>
      <c r="J315" s="2">
        <v>3340152</v>
      </c>
      <c r="K315" t="s">
        <v>53</v>
      </c>
      <c r="L315" t="s">
        <v>1649</v>
      </c>
    </row>
    <row r="316" spans="1:12" x14ac:dyDescent="0.3">
      <c r="A316">
        <v>315</v>
      </c>
      <c r="B316" t="s">
        <v>308</v>
      </c>
      <c r="C316">
        <v>44070.597916666666</v>
      </c>
      <c r="D316">
        <v>2020</v>
      </c>
      <c r="E316" t="s">
        <v>10</v>
      </c>
      <c r="F316" t="s">
        <v>1553</v>
      </c>
      <c r="G316" t="s">
        <v>42</v>
      </c>
      <c r="H316" s="1" t="s">
        <v>1575</v>
      </c>
      <c r="I316" t="s">
        <v>1578</v>
      </c>
      <c r="J316" s="2">
        <v>3451935</v>
      </c>
      <c r="K316" t="s">
        <v>16</v>
      </c>
      <c r="L316" t="s">
        <v>1649</v>
      </c>
    </row>
    <row r="317" spans="1:12" x14ac:dyDescent="0.3">
      <c r="A317">
        <v>316</v>
      </c>
      <c r="B317" t="s">
        <v>309</v>
      </c>
      <c r="C317">
        <v>44070.602777777778</v>
      </c>
      <c r="D317">
        <v>2020</v>
      </c>
      <c r="E317" t="s">
        <v>10</v>
      </c>
      <c r="F317" t="s">
        <v>1553</v>
      </c>
      <c r="G317" t="s">
        <v>42</v>
      </c>
      <c r="H317" s="1" t="s">
        <v>1565</v>
      </c>
      <c r="I317" t="s">
        <v>1587</v>
      </c>
      <c r="J317" s="2">
        <v>2798458</v>
      </c>
      <c r="K317" t="s">
        <v>12</v>
      </c>
      <c r="L317" t="s">
        <v>1653</v>
      </c>
    </row>
    <row r="318" spans="1:12" x14ac:dyDescent="0.3">
      <c r="A318">
        <v>317</v>
      </c>
      <c r="B318" t="s">
        <v>310</v>
      </c>
      <c r="C318">
        <v>44070.611805555556</v>
      </c>
      <c r="D318">
        <v>2020</v>
      </c>
      <c r="E318" t="s">
        <v>10</v>
      </c>
      <c r="F318" t="s">
        <v>1553</v>
      </c>
      <c r="G318" t="s">
        <v>42</v>
      </c>
      <c r="H318" s="1" t="s">
        <v>1565</v>
      </c>
      <c r="I318" t="s">
        <v>1608</v>
      </c>
      <c r="J318" s="2">
        <v>2226608</v>
      </c>
      <c r="K318" t="s">
        <v>12</v>
      </c>
      <c r="L318" t="s">
        <v>1653</v>
      </c>
    </row>
    <row r="319" spans="1:12" x14ac:dyDescent="0.3">
      <c r="A319">
        <v>318</v>
      </c>
      <c r="B319" t="s">
        <v>311</v>
      </c>
      <c r="C319">
        <v>44071.371527777781</v>
      </c>
      <c r="D319">
        <v>2020</v>
      </c>
      <c r="E319" t="s">
        <v>10</v>
      </c>
      <c r="F319" t="s">
        <v>1553</v>
      </c>
      <c r="G319" t="s">
        <v>18</v>
      </c>
      <c r="H319" s="1" t="s">
        <v>1565</v>
      </c>
      <c r="I319" t="s">
        <v>1584</v>
      </c>
      <c r="J319" s="2">
        <v>4065156</v>
      </c>
      <c r="K319" t="s">
        <v>12</v>
      </c>
      <c r="L319" t="s">
        <v>1649</v>
      </c>
    </row>
    <row r="320" spans="1:12" x14ac:dyDescent="0.3">
      <c r="A320">
        <v>319</v>
      </c>
      <c r="B320" t="s">
        <v>312</v>
      </c>
      <c r="C320">
        <v>44071.431944444441</v>
      </c>
      <c r="D320">
        <v>2020</v>
      </c>
      <c r="E320" t="s">
        <v>10</v>
      </c>
      <c r="F320" t="s">
        <v>1553</v>
      </c>
      <c r="G320" t="s">
        <v>11</v>
      </c>
      <c r="H320" s="1" t="s">
        <v>1565</v>
      </c>
      <c r="I320" t="s">
        <v>1577</v>
      </c>
      <c r="J320" s="2">
        <v>4560190</v>
      </c>
      <c r="K320" t="s">
        <v>12</v>
      </c>
      <c r="L320" t="s">
        <v>1649</v>
      </c>
    </row>
    <row r="321" spans="1:12" x14ac:dyDescent="0.3">
      <c r="A321">
        <v>320</v>
      </c>
      <c r="B321" t="s">
        <v>313</v>
      </c>
      <c r="C321">
        <v>44071.515972222223</v>
      </c>
      <c r="D321">
        <v>2020</v>
      </c>
      <c r="E321" t="s">
        <v>10</v>
      </c>
      <c r="F321" t="s">
        <v>1553</v>
      </c>
      <c r="G321" t="s">
        <v>290</v>
      </c>
      <c r="H321" s="1" t="s">
        <v>1565</v>
      </c>
      <c r="I321" t="s">
        <v>1587</v>
      </c>
      <c r="J321" s="2">
        <v>2117021</v>
      </c>
      <c r="K321" t="s">
        <v>12</v>
      </c>
      <c r="L321" t="s">
        <v>1652</v>
      </c>
    </row>
    <row r="322" spans="1:12" x14ac:dyDescent="0.3">
      <c r="A322">
        <v>321</v>
      </c>
      <c r="B322" t="s">
        <v>50</v>
      </c>
      <c r="C322">
        <v>44071.719444444447</v>
      </c>
      <c r="D322">
        <v>2020</v>
      </c>
      <c r="E322" t="s">
        <v>10</v>
      </c>
      <c r="F322" t="s">
        <v>1553</v>
      </c>
      <c r="G322" t="s">
        <v>15</v>
      </c>
      <c r="H322" s="1" t="s">
        <v>1565</v>
      </c>
      <c r="I322" t="s">
        <v>1604</v>
      </c>
      <c r="J322" s="2">
        <v>4398977</v>
      </c>
      <c r="K322" t="s">
        <v>12</v>
      </c>
      <c r="L322" t="s">
        <v>1650</v>
      </c>
    </row>
    <row r="323" spans="1:12" x14ac:dyDescent="0.3">
      <c r="A323">
        <v>322</v>
      </c>
      <c r="B323" t="s">
        <v>314</v>
      </c>
      <c r="C323">
        <v>44072.517361111109</v>
      </c>
      <c r="D323">
        <v>2020</v>
      </c>
      <c r="E323" t="s">
        <v>10</v>
      </c>
      <c r="F323" t="s">
        <v>1553</v>
      </c>
      <c r="G323" t="s">
        <v>21</v>
      </c>
      <c r="H323" s="1" t="s">
        <v>1565</v>
      </c>
      <c r="I323" t="s">
        <v>1583</v>
      </c>
      <c r="J323" s="2">
        <v>1283877</v>
      </c>
      <c r="K323" t="s">
        <v>12</v>
      </c>
      <c r="L323" t="s">
        <v>1650</v>
      </c>
    </row>
    <row r="324" spans="1:12" x14ac:dyDescent="0.3">
      <c r="A324">
        <v>323</v>
      </c>
      <c r="B324" t="s">
        <v>315</v>
      </c>
      <c r="C324">
        <v>44074.591666666667</v>
      </c>
      <c r="D324">
        <v>2020</v>
      </c>
      <c r="E324" t="s">
        <v>10</v>
      </c>
      <c r="F324" t="s">
        <v>1553</v>
      </c>
      <c r="G324" t="s">
        <v>290</v>
      </c>
      <c r="H324" s="1" t="s">
        <v>1565</v>
      </c>
      <c r="I324" t="s">
        <v>1608</v>
      </c>
      <c r="J324" s="2">
        <v>3209703</v>
      </c>
      <c r="K324" t="s">
        <v>12</v>
      </c>
      <c r="L324" t="s">
        <v>1650</v>
      </c>
    </row>
    <row r="325" spans="1:12" x14ac:dyDescent="0.3">
      <c r="A325">
        <v>324</v>
      </c>
      <c r="B325" t="s">
        <v>316</v>
      </c>
      <c r="C325">
        <v>44074.702777777777</v>
      </c>
      <c r="D325">
        <v>2020</v>
      </c>
      <c r="E325" t="s">
        <v>10</v>
      </c>
      <c r="F325" t="s">
        <v>1553</v>
      </c>
      <c r="G325" t="s">
        <v>21</v>
      </c>
      <c r="H325" s="1" t="s">
        <v>1565</v>
      </c>
      <c r="I325" t="s">
        <v>1583</v>
      </c>
      <c r="J325" s="2">
        <v>3332684</v>
      </c>
      <c r="K325" t="s">
        <v>12</v>
      </c>
      <c r="L325" t="s">
        <v>1652</v>
      </c>
    </row>
    <row r="326" spans="1:12" x14ac:dyDescent="0.3">
      <c r="A326">
        <v>325</v>
      </c>
      <c r="B326" t="s">
        <v>317</v>
      </c>
      <c r="C326">
        <v>44075.620833333334</v>
      </c>
      <c r="D326">
        <v>2020</v>
      </c>
      <c r="E326" t="s">
        <v>10</v>
      </c>
      <c r="F326" t="s">
        <v>1553</v>
      </c>
      <c r="G326" t="s">
        <v>42</v>
      </c>
      <c r="H326" s="1" t="s">
        <v>1565</v>
      </c>
      <c r="I326" t="s">
        <v>1587</v>
      </c>
      <c r="J326" s="2">
        <v>1111504</v>
      </c>
      <c r="K326" t="s">
        <v>12</v>
      </c>
      <c r="L326" t="s">
        <v>1648</v>
      </c>
    </row>
    <row r="327" spans="1:12" x14ac:dyDescent="0.3">
      <c r="A327">
        <v>326</v>
      </c>
      <c r="B327" t="s">
        <v>318</v>
      </c>
      <c r="C327">
        <v>44075.631249999999</v>
      </c>
      <c r="D327">
        <v>2020</v>
      </c>
      <c r="E327" t="s">
        <v>10</v>
      </c>
      <c r="F327" t="s">
        <v>1553</v>
      </c>
      <c r="G327" t="s">
        <v>18</v>
      </c>
      <c r="H327" s="1" t="s">
        <v>1565</v>
      </c>
      <c r="I327" t="s">
        <v>1587</v>
      </c>
      <c r="J327" s="2">
        <v>4763001</v>
      </c>
      <c r="K327" t="s">
        <v>12</v>
      </c>
      <c r="L327" t="s">
        <v>1649</v>
      </c>
    </row>
    <row r="328" spans="1:12" x14ac:dyDescent="0.3">
      <c r="A328">
        <v>327</v>
      </c>
      <c r="B328" t="s">
        <v>319</v>
      </c>
      <c r="C328">
        <v>44075.669444444444</v>
      </c>
      <c r="D328">
        <v>2020</v>
      </c>
      <c r="E328" t="s">
        <v>10</v>
      </c>
      <c r="F328" t="s">
        <v>1553</v>
      </c>
      <c r="G328" t="s">
        <v>15</v>
      </c>
      <c r="H328" s="1" t="s">
        <v>1565</v>
      </c>
      <c r="I328" t="s">
        <v>1618</v>
      </c>
      <c r="J328" s="2">
        <v>2808283</v>
      </c>
      <c r="K328" t="s">
        <v>53</v>
      </c>
      <c r="L328" t="s">
        <v>1652</v>
      </c>
    </row>
    <row r="329" spans="1:12" x14ac:dyDescent="0.3">
      <c r="A329">
        <v>328</v>
      </c>
      <c r="B329" t="s">
        <v>320</v>
      </c>
      <c r="C329">
        <v>44075.775694444441</v>
      </c>
      <c r="D329">
        <v>2020</v>
      </c>
      <c r="E329" t="s">
        <v>10</v>
      </c>
      <c r="F329" t="s">
        <v>1553</v>
      </c>
      <c r="G329" t="s">
        <v>62</v>
      </c>
      <c r="H329" s="1" t="s">
        <v>1565</v>
      </c>
      <c r="I329" t="s">
        <v>1587</v>
      </c>
      <c r="J329" s="2">
        <v>4632628</v>
      </c>
      <c r="K329" t="s">
        <v>12</v>
      </c>
      <c r="L329" t="s">
        <v>1650</v>
      </c>
    </row>
    <row r="330" spans="1:12" x14ac:dyDescent="0.3">
      <c r="A330">
        <v>329</v>
      </c>
      <c r="B330" t="s">
        <v>321</v>
      </c>
      <c r="C330">
        <v>44075.792361111111</v>
      </c>
      <c r="D330">
        <v>2020</v>
      </c>
      <c r="E330" t="s">
        <v>10</v>
      </c>
      <c r="F330" t="s">
        <v>1553</v>
      </c>
      <c r="G330" t="s">
        <v>62</v>
      </c>
      <c r="H330" s="1" t="s">
        <v>1565</v>
      </c>
      <c r="I330" t="s">
        <v>1587</v>
      </c>
      <c r="J330" s="2">
        <v>3486189</v>
      </c>
      <c r="K330" t="s">
        <v>12</v>
      </c>
      <c r="L330" t="s">
        <v>1649</v>
      </c>
    </row>
    <row r="331" spans="1:12" x14ac:dyDescent="0.3">
      <c r="A331">
        <v>330</v>
      </c>
      <c r="B331" t="s">
        <v>322</v>
      </c>
      <c r="C331">
        <v>44075.795138888891</v>
      </c>
      <c r="D331">
        <v>2020</v>
      </c>
      <c r="E331" t="s">
        <v>10</v>
      </c>
      <c r="F331" t="s">
        <v>1553</v>
      </c>
      <c r="G331" t="s">
        <v>62</v>
      </c>
      <c r="H331" s="1" t="s">
        <v>1565</v>
      </c>
      <c r="I331" t="s">
        <v>1608</v>
      </c>
      <c r="J331" s="2">
        <v>2709172</v>
      </c>
      <c r="K331" t="s">
        <v>12</v>
      </c>
      <c r="L331" t="s">
        <v>1648</v>
      </c>
    </row>
    <row r="332" spans="1:12" x14ac:dyDescent="0.3">
      <c r="A332">
        <v>331</v>
      </c>
      <c r="B332" t="s">
        <v>50</v>
      </c>
      <c r="C332">
        <v>44076.459027777775</v>
      </c>
      <c r="D332">
        <v>2020</v>
      </c>
      <c r="E332" t="s">
        <v>10</v>
      </c>
      <c r="F332" t="s">
        <v>1554</v>
      </c>
      <c r="G332" t="s">
        <v>15</v>
      </c>
      <c r="H332" s="1" t="s">
        <v>1565</v>
      </c>
      <c r="I332" t="s">
        <v>1604</v>
      </c>
      <c r="J332" s="2">
        <v>1966910</v>
      </c>
      <c r="K332" t="s">
        <v>12</v>
      </c>
      <c r="L332" t="s">
        <v>1650</v>
      </c>
    </row>
    <row r="333" spans="1:12" x14ac:dyDescent="0.3">
      <c r="A333">
        <v>332</v>
      </c>
      <c r="B333" t="s">
        <v>47</v>
      </c>
      <c r="C333">
        <v>44076.492361111108</v>
      </c>
      <c r="D333">
        <v>2020</v>
      </c>
      <c r="E333" t="s">
        <v>10</v>
      </c>
      <c r="F333" t="s">
        <v>1554</v>
      </c>
      <c r="G333" t="s">
        <v>49</v>
      </c>
      <c r="H333" s="1" t="s">
        <v>1565</v>
      </c>
      <c r="I333" t="s">
        <v>1618</v>
      </c>
      <c r="J333" s="2">
        <v>3151861</v>
      </c>
      <c r="K333" t="s">
        <v>53</v>
      </c>
      <c r="L333" t="s">
        <v>1648</v>
      </c>
    </row>
    <row r="334" spans="1:12" x14ac:dyDescent="0.3">
      <c r="A334">
        <v>333</v>
      </c>
      <c r="B334" t="s">
        <v>323</v>
      </c>
      <c r="C334">
        <v>44076.492361111108</v>
      </c>
      <c r="D334">
        <v>2020</v>
      </c>
      <c r="E334" t="s">
        <v>10</v>
      </c>
      <c r="F334" t="s">
        <v>1554</v>
      </c>
      <c r="G334" t="s">
        <v>290</v>
      </c>
      <c r="H334" s="1" t="s">
        <v>1565</v>
      </c>
      <c r="I334" t="s">
        <v>1608</v>
      </c>
      <c r="J334" s="2">
        <v>4624847</v>
      </c>
      <c r="K334" t="s">
        <v>12</v>
      </c>
      <c r="L334" t="s">
        <v>1648</v>
      </c>
    </row>
    <row r="335" spans="1:12" x14ac:dyDescent="0.3">
      <c r="A335">
        <v>334</v>
      </c>
      <c r="B335" t="s">
        <v>324</v>
      </c>
      <c r="C335">
        <v>44076.560416666667</v>
      </c>
      <c r="D335">
        <v>2020</v>
      </c>
      <c r="E335" t="s">
        <v>10</v>
      </c>
      <c r="F335" t="s">
        <v>1554</v>
      </c>
      <c r="G335" t="s">
        <v>21</v>
      </c>
      <c r="H335" s="1" t="s">
        <v>1565</v>
      </c>
      <c r="I335" t="s">
        <v>1610</v>
      </c>
      <c r="J335" s="2">
        <v>4712369</v>
      </c>
      <c r="K335" t="s">
        <v>121</v>
      </c>
      <c r="L335" t="s">
        <v>1653</v>
      </c>
    </row>
    <row r="336" spans="1:12" x14ac:dyDescent="0.3">
      <c r="A336">
        <v>335</v>
      </c>
      <c r="B336" t="s">
        <v>325</v>
      </c>
      <c r="C336">
        <v>44077.693055555559</v>
      </c>
      <c r="D336">
        <v>2020</v>
      </c>
      <c r="E336" t="s">
        <v>10</v>
      </c>
      <c r="F336" t="s">
        <v>1554</v>
      </c>
      <c r="G336" t="s">
        <v>21</v>
      </c>
      <c r="H336" s="1" t="s">
        <v>1565</v>
      </c>
      <c r="I336" t="s">
        <v>1610</v>
      </c>
      <c r="J336" s="2">
        <v>2010067</v>
      </c>
      <c r="K336" t="s">
        <v>121</v>
      </c>
      <c r="L336" t="s">
        <v>1648</v>
      </c>
    </row>
    <row r="337" spans="1:12" x14ac:dyDescent="0.3">
      <c r="A337">
        <v>336</v>
      </c>
      <c r="B337" t="s">
        <v>326</v>
      </c>
      <c r="C337">
        <v>44078.468055555553</v>
      </c>
      <c r="D337">
        <v>2020</v>
      </c>
      <c r="E337" t="s">
        <v>10</v>
      </c>
      <c r="F337" t="s">
        <v>1554</v>
      </c>
      <c r="G337" t="s">
        <v>23</v>
      </c>
      <c r="H337" s="1" t="s">
        <v>1565</v>
      </c>
      <c r="I337" t="s">
        <v>1623</v>
      </c>
      <c r="J337" s="2">
        <v>4362821</v>
      </c>
      <c r="K337" t="s">
        <v>53</v>
      </c>
      <c r="L337" t="s">
        <v>1648</v>
      </c>
    </row>
    <row r="338" spans="1:12" x14ac:dyDescent="0.3">
      <c r="A338">
        <v>337</v>
      </c>
      <c r="B338" t="s">
        <v>327</v>
      </c>
      <c r="C338">
        <v>44078.515972222223</v>
      </c>
      <c r="D338">
        <v>2020</v>
      </c>
      <c r="E338" t="s">
        <v>10</v>
      </c>
      <c r="F338" t="s">
        <v>1554</v>
      </c>
      <c r="G338" t="s">
        <v>290</v>
      </c>
      <c r="H338" s="1" t="s">
        <v>1565</v>
      </c>
      <c r="I338" t="s">
        <v>1608</v>
      </c>
      <c r="J338" s="2">
        <v>1955172</v>
      </c>
      <c r="K338" t="s">
        <v>12</v>
      </c>
      <c r="L338" t="s">
        <v>1653</v>
      </c>
    </row>
    <row r="339" spans="1:12" x14ac:dyDescent="0.3">
      <c r="A339">
        <v>338</v>
      </c>
      <c r="B339" t="s">
        <v>328</v>
      </c>
      <c r="C339">
        <v>44078.617361111108</v>
      </c>
      <c r="D339">
        <v>2020</v>
      </c>
      <c r="E339" t="s">
        <v>10</v>
      </c>
      <c r="F339" t="s">
        <v>1554</v>
      </c>
      <c r="G339" t="s">
        <v>229</v>
      </c>
      <c r="H339" s="1" t="s">
        <v>1565</v>
      </c>
      <c r="I339" t="s">
        <v>1627</v>
      </c>
      <c r="J339" s="2">
        <v>4484321</v>
      </c>
      <c r="K339" t="s">
        <v>12</v>
      </c>
      <c r="L339" t="s">
        <v>1649</v>
      </c>
    </row>
    <row r="340" spans="1:12" x14ac:dyDescent="0.3">
      <c r="A340">
        <v>339</v>
      </c>
      <c r="B340" t="s">
        <v>329</v>
      </c>
      <c r="C340">
        <v>44078.868055555555</v>
      </c>
      <c r="D340">
        <v>2020</v>
      </c>
      <c r="E340" t="s">
        <v>10</v>
      </c>
      <c r="F340" t="s">
        <v>1554</v>
      </c>
      <c r="G340" t="s">
        <v>62</v>
      </c>
      <c r="H340" s="1" t="s">
        <v>1565</v>
      </c>
      <c r="I340" t="s">
        <v>1608</v>
      </c>
      <c r="J340" s="2">
        <v>3560608</v>
      </c>
      <c r="K340" t="s">
        <v>12</v>
      </c>
      <c r="L340" t="s">
        <v>1652</v>
      </c>
    </row>
    <row r="341" spans="1:12" x14ac:dyDescent="0.3">
      <c r="A341">
        <v>340</v>
      </c>
      <c r="B341" t="s">
        <v>329</v>
      </c>
      <c r="C341">
        <v>44078.868055555555</v>
      </c>
      <c r="D341">
        <v>2020</v>
      </c>
      <c r="E341" t="s">
        <v>10</v>
      </c>
      <c r="F341" t="s">
        <v>1554</v>
      </c>
      <c r="G341" t="s">
        <v>62</v>
      </c>
      <c r="H341" s="1" t="s">
        <v>1565</v>
      </c>
      <c r="I341" t="s">
        <v>1608</v>
      </c>
      <c r="J341" s="2">
        <v>2802398</v>
      </c>
      <c r="K341" t="s">
        <v>12</v>
      </c>
      <c r="L341" t="s">
        <v>1649</v>
      </c>
    </row>
    <row r="342" spans="1:12" x14ac:dyDescent="0.3">
      <c r="A342">
        <v>341</v>
      </c>
      <c r="B342" t="s">
        <v>329</v>
      </c>
      <c r="C342">
        <v>44078.869444444441</v>
      </c>
      <c r="D342">
        <v>2020</v>
      </c>
      <c r="E342" t="s">
        <v>10</v>
      </c>
      <c r="F342" t="s">
        <v>1554</v>
      </c>
      <c r="G342" t="s">
        <v>62</v>
      </c>
      <c r="H342" s="1" t="s">
        <v>1574</v>
      </c>
      <c r="I342" t="s">
        <v>1608</v>
      </c>
      <c r="J342" s="2">
        <v>4117535</v>
      </c>
      <c r="K342" t="s">
        <v>12</v>
      </c>
      <c r="L342" t="s">
        <v>1653</v>
      </c>
    </row>
    <row r="343" spans="1:12" x14ac:dyDescent="0.3">
      <c r="A343">
        <v>342</v>
      </c>
      <c r="B343" t="s">
        <v>330</v>
      </c>
      <c r="C343">
        <v>44081.39166666667</v>
      </c>
      <c r="D343">
        <v>2020</v>
      </c>
      <c r="E343" t="s">
        <v>10</v>
      </c>
      <c r="F343" t="s">
        <v>1554</v>
      </c>
      <c r="G343" t="s">
        <v>18</v>
      </c>
      <c r="H343" s="1" t="s">
        <v>1573</v>
      </c>
      <c r="I343" t="s">
        <v>1595</v>
      </c>
      <c r="J343" s="2">
        <v>4129235</v>
      </c>
      <c r="K343" t="s">
        <v>12</v>
      </c>
      <c r="L343" t="s">
        <v>1649</v>
      </c>
    </row>
    <row r="344" spans="1:12" x14ac:dyDescent="0.3">
      <c r="A344">
        <v>343</v>
      </c>
      <c r="B344" t="s">
        <v>331</v>
      </c>
      <c r="C344">
        <v>44081.431250000001</v>
      </c>
      <c r="D344">
        <v>2020</v>
      </c>
      <c r="E344" t="s">
        <v>10</v>
      </c>
      <c r="F344" t="s">
        <v>1554</v>
      </c>
      <c r="G344" t="s">
        <v>11</v>
      </c>
      <c r="H344" s="1" t="s">
        <v>1574</v>
      </c>
      <c r="I344" t="s">
        <v>1577</v>
      </c>
      <c r="J344" s="2">
        <v>3090080</v>
      </c>
      <c r="K344" t="s">
        <v>12</v>
      </c>
      <c r="L344" t="s">
        <v>1650</v>
      </c>
    </row>
    <row r="345" spans="1:12" x14ac:dyDescent="0.3">
      <c r="A345">
        <v>344</v>
      </c>
      <c r="B345" t="s">
        <v>332</v>
      </c>
      <c r="C345">
        <v>44081.438888888886</v>
      </c>
      <c r="D345">
        <v>2020</v>
      </c>
      <c r="E345" t="s">
        <v>10</v>
      </c>
      <c r="F345" t="s">
        <v>1554</v>
      </c>
      <c r="G345" t="s">
        <v>11</v>
      </c>
      <c r="H345" s="1" t="s">
        <v>1569</v>
      </c>
      <c r="I345" t="s">
        <v>1577</v>
      </c>
      <c r="J345" s="2">
        <v>4262255</v>
      </c>
      <c r="K345" t="s">
        <v>12</v>
      </c>
      <c r="L345" t="s">
        <v>1650</v>
      </c>
    </row>
    <row r="346" spans="1:12" x14ac:dyDescent="0.3">
      <c r="A346">
        <v>345</v>
      </c>
      <c r="B346" t="s">
        <v>333</v>
      </c>
      <c r="C346">
        <v>44081.456250000003</v>
      </c>
      <c r="D346">
        <v>2020</v>
      </c>
      <c r="E346" t="s">
        <v>10</v>
      </c>
      <c r="F346" t="s">
        <v>1554</v>
      </c>
      <c r="G346" t="s">
        <v>11</v>
      </c>
      <c r="H346" s="1" t="s">
        <v>1568</v>
      </c>
      <c r="I346" t="s">
        <v>1577</v>
      </c>
      <c r="J346" s="2">
        <v>4117677</v>
      </c>
      <c r="K346" t="s">
        <v>12</v>
      </c>
      <c r="L346" t="s">
        <v>1653</v>
      </c>
    </row>
    <row r="347" spans="1:12" x14ac:dyDescent="0.3">
      <c r="A347">
        <v>346</v>
      </c>
      <c r="B347" t="s">
        <v>334</v>
      </c>
      <c r="C347">
        <v>44081.615972222222</v>
      </c>
      <c r="D347">
        <v>2020</v>
      </c>
      <c r="E347" t="s">
        <v>10</v>
      </c>
      <c r="F347" t="s">
        <v>1554</v>
      </c>
      <c r="G347" t="s">
        <v>15</v>
      </c>
      <c r="H347" s="1" t="s">
        <v>1574</v>
      </c>
      <c r="I347" t="s">
        <v>1585</v>
      </c>
      <c r="J347" s="2">
        <v>3689237</v>
      </c>
      <c r="K347" t="s">
        <v>12</v>
      </c>
      <c r="L347" t="s">
        <v>1648</v>
      </c>
    </row>
    <row r="348" spans="1:12" x14ac:dyDescent="0.3">
      <c r="A348">
        <v>347</v>
      </c>
      <c r="B348" t="s">
        <v>329</v>
      </c>
      <c r="C348">
        <v>44081.620833333334</v>
      </c>
      <c r="D348">
        <v>2020</v>
      </c>
      <c r="E348" t="s">
        <v>10</v>
      </c>
      <c r="F348" t="s">
        <v>1554</v>
      </c>
      <c r="G348" t="s">
        <v>62</v>
      </c>
      <c r="H348" s="1" t="s">
        <v>1563</v>
      </c>
      <c r="I348" t="s">
        <v>1587</v>
      </c>
      <c r="J348" s="2">
        <v>1176589</v>
      </c>
      <c r="K348" t="s">
        <v>12</v>
      </c>
      <c r="L348" t="s">
        <v>1650</v>
      </c>
    </row>
    <row r="349" spans="1:12" x14ac:dyDescent="0.3">
      <c r="A349">
        <v>348</v>
      </c>
      <c r="B349" t="s">
        <v>335</v>
      </c>
      <c r="C349">
        <v>44081.697916666664</v>
      </c>
      <c r="D349">
        <v>2020</v>
      </c>
      <c r="E349" t="s">
        <v>10</v>
      </c>
      <c r="F349" t="s">
        <v>1554</v>
      </c>
      <c r="G349" t="s">
        <v>21</v>
      </c>
      <c r="H349" s="1" t="s">
        <v>1573</v>
      </c>
      <c r="I349" t="s">
        <v>1610</v>
      </c>
      <c r="J349" s="2">
        <v>1414177</v>
      </c>
      <c r="K349" t="s">
        <v>121</v>
      </c>
      <c r="L349" t="s">
        <v>1652</v>
      </c>
    </row>
    <row r="350" spans="1:12" x14ac:dyDescent="0.3">
      <c r="A350">
        <v>349</v>
      </c>
      <c r="B350" t="s">
        <v>336</v>
      </c>
      <c r="C350">
        <v>44081.709027777775</v>
      </c>
      <c r="D350">
        <v>2020</v>
      </c>
      <c r="E350" t="s">
        <v>10</v>
      </c>
      <c r="F350" t="s">
        <v>1554</v>
      </c>
      <c r="G350" t="s">
        <v>21</v>
      </c>
      <c r="H350" s="1" t="s">
        <v>1574</v>
      </c>
      <c r="I350" t="s">
        <v>1610</v>
      </c>
      <c r="J350" s="2">
        <v>4864625</v>
      </c>
      <c r="K350" t="s">
        <v>121</v>
      </c>
      <c r="L350" t="s">
        <v>1652</v>
      </c>
    </row>
    <row r="351" spans="1:12" x14ac:dyDescent="0.3">
      <c r="A351">
        <v>350</v>
      </c>
      <c r="B351" t="s">
        <v>337</v>
      </c>
      <c r="C351">
        <v>44081.771527777775</v>
      </c>
      <c r="D351">
        <v>2020</v>
      </c>
      <c r="E351" t="s">
        <v>10</v>
      </c>
      <c r="F351" t="s">
        <v>1554</v>
      </c>
      <c r="G351" t="s">
        <v>11</v>
      </c>
      <c r="H351" s="1" t="s">
        <v>1567</v>
      </c>
      <c r="I351" t="s">
        <v>1577</v>
      </c>
      <c r="J351" s="2">
        <v>1511312</v>
      </c>
      <c r="K351" t="s">
        <v>12</v>
      </c>
      <c r="L351" t="s">
        <v>1648</v>
      </c>
    </row>
    <row r="352" spans="1:12" x14ac:dyDescent="0.3">
      <c r="A352">
        <v>351</v>
      </c>
      <c r="B352" t="s">
        <v>338</v>
      </c>
      <c r="C352">
        <v>44082.368055555555</v>
      </c>
      <c r="D352">
        <v>2020</v>
      </c>
      <c r="E352" t="s">
        <v>10</v>
      </c>
      <c r="F352" t="s">
        <v>1554</v>
      </c>
      <c r="G352" t="s">
        <v>339</v>
      </c>
      <c r="H352" s="1" t="s">
        <v>1576</v>
      </c>
      <c r="I352" t="s">
        <v>1611</v>
      </c>
      <c r="J352" s="2">
        <v>4649006</v>
      </c>
      <c r="K352" t="s">
        <v>59</v>
      </c>
      <c r="L352" t="s">
        <v>1650</v>
      </c>
    </row>
    <row r="353" spans="1:12" x14ac:dyDescent="0.3">
      <c r="A353">
        <v>352</v>
      </c>
      <c r="B353" t="s">
        <v>302</v>
      </c>
      <c r="C353">
        <v>44082.665277777778</v>
      </c>
      <c r="D353">
        <v>2020</v>
      </c>
      <c r="E353" t="s">
        <v>10</v>
      </c>
      <c r="F353" t="s">
        <v>1554</v>
      </c>
      <c r="G353" t="s">
        <v>18</v>
      </c>
      <c r="H353" s="1" t="s">
        <v>1567</v>
      </c>
      <c r="I353" t="s">
        <v>1609</v>
      </c>
      <c r="J353" s="2">
        <v>3232722</v>
      </c>
      <c r="K353" t="s">
        <v>16</v>
      </c>
      <c r="L353" t="s">
        <v>1651</v>
      </c>
    </row>
    <row r="354" spans="1:12" x14ac:dyDescent="0.3">
      <c r="A354">
        <v>353</v>
      </c>
      <c r="B354" t="s">
        <v>340</v>
      </c>
      <c r="C354">
        <v>44083.397222222222</v>
      </c>
      <c r="D354">
        <v>2020</v>
      </c>
      <c r="E354" t="s">
        <v>10</v>
      </c>
      <c r="F354" t="s">
        <v>1554</v>
      </c>
      <c r="G354" t="s">
        <v>15</v>
      </c>
      <c r="H354" s="1" t="s">
        <v>1568</v>
      </c>
      <c r="I354" t="s">
        <v>1626</v>
      </c>
      <c r="J354" s="2">
        <v>3157030</v>
      </c>
      <c r="K354" t="s">
        <v>12</v>
      </c>
      <c r="L354" t="s">
        <v>1653</v>
      </c>
    </row>
    <row r="355" spans="1:12" x14ac:dyDescent="0.3">
      <c r="A355">
        <v>354</v>
      </c>
      <c r="B355" t="s">
        <v>341</v>
      </c>
      <c r="C355">
        <v>44083.797222222223</v>
      </c>
      <c r="D355">
        <v>2020</v>
      </c>
      <c r="E355" t="s">
        <v>10</v>
      </c>
      <c r="F355" t="s">
        <v>1554</v>
      </c>
      <c r="G355" t="s">
        <v>62</v>
      </c>
      <c r="H355" s="1" t="s">
        <v>1571</v>
      </c>
      <c r="I355" t="s">
        <v>1608</v>
      </c>
      <c r="J355" s="2">
        <v>2485144</v>
      </c>
      <c r="K355" t="s">
        <v>12</v>
      </c>
      <c r="L355" t="s">
        <v>1652</v>
      </c>
    </row>
    <row r="356" spans="1:12" x14ac:dyDescent="0.3">
      <c r="A356">
        <v>355</v>
      </c>
      <c r="B356" t="s">
        <v>342</v>
      </c>
      <c r="C356">
        <v>44083.85</v>
      </c>
      <c r="D356">
        <v>2020</v>
      </c>
      <c r="E356" t="s">
        <v>10</v>
      </c>
      <c r="F356" t="s">
        <v>1554</v>
      </c>
      <c r="G356" t="s">
        <v>21</v>
      </c>
      <c r="H356" s="1" t="s">
        <v>1575</v>
      </c>
      <c r="I356" t="s">
        <v>1610</v>
      </c>
      <c r="J356" s="2">
        <v>3325771</v>
      </c>
      <c r="K356" t="s">
        <v>121</v>
      </c>
      <c r="L356" t="s">
        <v>1653</v>
      </c>
    </row>
    <row r="357" spans="1:12" x14ac:dyDescent="0.3">
      <c r="A357">
        <v>356</v>
      </c>
      <c r="B357" t="s">
        <v>343</v>
      </c>
      <c r="C357">
        <v>44083.865277777775</v>
      </c>
      <c r="D357">
        <v>2020</v>
      </c>
      <c r="E357" t="s">
        <v>10</v>
      </c>
      <c r="F357" t="s">
        <v>1554</v>
      </c>
      <c r="G357" t="s">
        <v>339</v>
      </c>
      <c r="H357" s="1" t="s">
        <v>1575</v>
      </c>
      <c r="I357" t="s">
        <v>1608</v>
      </c>
      <c r="J357" s="2">
        <v>967501</v>
      </c>
      <c r="K357" t="s">
        <v>12</v>
      </c>
      <c r="L357" t="s">
        <v>1649</v>
      </c>
    </row>
    <row r="358" spans="1:12" x14ac:dyDescent="0.3">
      <c r="A358">
        <v>357</v>
      </c>
      <c r="B358" t="s">
        <v>344</v>
      </c>
      <c r="C358">
        <v>44085.54791666667</v>
      </c>
      <c r="D358">
        <v>2020</v>
      </c>
      <c r="E358" t="s">
        <v>10</v>
      </c>
      <c r="F358" t="s">
        <v>1554</v>
      </c>
      <c r="G358" t="s">
        <v>23</v>
      </c>
      <c r="H358" s="1" t="s">
        <v>1574</v>
      </c>
      <c r="I358" t="s">
        <v>1631</v>
      </c>
      <c r="J358" s="2">
        <v>4575946</v>
      </c>
      <c r="K358" t="s">
        <v>53</v>
      </c>
      <c r="L358" t="s">
        <v>1652</v>
      </c>
    </row>
    <row r="359" spans="1:12" x14ac:dyDescent="0.3">
      <c r="A359">
        <v>358</v>
      </c>
      <c r="B359" t="s">
        <v>345</v>
      </c>
      <c r="C359">
        <v>44085.632638888892</v>
      </c>
      <c r="D359">
        <v>2020</v>
      </c>
      <c r="E359" t="s">
        <v>10</v>
      </c>
      <c r="F359" t="s">
        <v>1554</v>
      </c>
      <c r="G359" t="s">
        <v>229</v>
      </c>
      <c r="H359" s="1" t="s">
        <v>1569</v>
      </c>
      <c r="I359" t="s">
        <v>1610</v>
      </c>
      <c r="J359" s="2">
        <v>2496220</v>
      </c>
      <c r="K359" t="s">
        <v>121</v>
      </c>
      <c r="L359" t="s">
        <v>1653</v>
      </c>
    </row>
    <row r="360" spans="1:12" x14ac:dyDescent="0.3">
      <c r="A360">
        <v>359</v>
      </c>
      <c r="B360" t="s">
        <v>328</v>
      </c>
      <c r="C360">
        <v>44085.658333333333</v>
      </c>
      <c r="D360">
        <v>2020</v>
      </c>
      <c r="E360" t="s">
        <v>10</v>
      </c>
      <c r="F360" t="s">
        <v>1554</v>
      </c>
      <c r="G360" t="s">
        <v>229</v>
      </c>
      <c r="H360" s="1" t="s">
        <v>1575</v>
      </c>
      <c r="I360" t="s">
        <v>1610</v>
      </c>
      <c r="J360" s="2">
        <v>1970703</v>
      </c>
      <c r="K360" t="s">
        <v>121</v>
      </c>
      <c r="L360" t="s">
        <v>1649</v>
      </c>
    </row>
    <row r="361" spans="1:12" x14ac:dyDescent="0.3">
      <c r="A361">
        <v>360</v>
      </c>
      <c r="B361" t="s">
        <v>346</v>
      </c>
      <c r="C361">
        <v>44085.76666666667</v>
      </c>
      <c r="D361">
        <v>2020</v>
      </c>
      <c r="E361" t="s">
        <v>10</v>
      </c>
      <c r="F361" t="s">
        <v>1554</v>
      </c>
      <c r="G361" t="s">
        <v>23</v>
      </c>
      <c r="H361" s="1" t="s">
        <v>1571</v>
      </c>
      <c r="I361" t="s">
        <v>1605</v>
      </c>
      <c r="J361" s="2">
        <v>4723562</v>
      </c>
      <c r="K361" t="s">
        <v>16</v>
      </c>
      <c r="L361" t="s">
        <v>1653</v>
      </c>
    </row>
    <row r="362" spans="1:12" x14ac:dyDescent="0.3">
      <c r="A362">
        <v>361</v>
      </c>
      <c r="B362" t="s">
        <v>347</v>
      </c>
      <c r="C362">
        <v>44088.519444444442</v>
      </c>
      <c r="D362">
        <v>2020</v>
      </c>
      <c r="E362" t="s">
        <v>10</v>
      </c>
      <c r="F362" t="s">
        <v>1554</v>
      </c>
      <c r="G362" t="s">
        <v>15</v>
      </c>
      <c r="H362" s="1" t="s">
        <v>1569</v>
      </c>
      <c r="I362" t="s">
        <v>1578</v>
      </c>
      <c r="J362" s="2">
        <v>3598813</v>
      </c>
      <c r="K362" t="s">
        <v>16</v>
      </c>
      <c r="L362" t="s">
        <v>1652</v>
      </c>
    </row>
    <row r="363" spans="1:12" x14ac:dyDescent="0.3">
      <c r="A363">
        <v>362</v>
      </c>
      <c r="B363" t="s">
        <v>348</v>
      </c>
      <c r="C363">
        <v>44089.404861111114</v>
      </c>
      <c r="D363">
        <v>2020</v>
      </c>
      <c r="E363" t="s">
        <v>10</v>
      </c>
      <c r="F363" t="s">
        <v>1554</v>
      </c>
      <c r="G363" t="s">
        <v>21</v>
      </c>
      <c r="H363" s="1" t="s">
        <v>1572</v>
      </c>
      <c r="I363" t="s">
        <v>1610</v>
      </c>
      <c r="J363" s="2">
        <v>2161683</v>
      </c>
      <c r="K363" t="s">
        <v>121</v>
      </c>
      <c r="L363" t="s">
        <v>1649</v>
      </c>
    </row>
    <row r="364" spans="1:12" x14ac:dyDescent="0.3">
      <c r="A364">
        <v>363</v>
      </c>
      <c r="B364" t="s">
        <v>349</v>
      </c>
      <c r="C364">
        <v>44089.504861111112</v>
      </c>
      <c r="D364">
        <v>2020</v>
      </c>
      <c r="E364" t="s">
        <v>10</v>
      </c>
      <c r="F364" t="s">
        <v>1554</v>
      </c>
      <c r="G364" t="s">
        <v>15</v>
      </c>
      <c r="H364" s="1" t="s">
        <v>1571</v>
      </c>
      <c r="I364" t="s">
        <v>1596</v>
      </c>
      <c r="J364" s="2">
        <v>2311573</v>
      </c>
      <c r="K364" t="s">
        <v>16</v>
      </c>
      <c r="L364" t="s">
        <v>1651</v>
      </c>
    </row>
    <row r="365" spans="1:12" x14ac:dyDescent="0.3">
      <c r="A365">
        <v>364</v>
      </c>
      <c r="B365" t="s">
        <v>344</v>
      </c>
      <c r="C365">
        <v>44089.720138888886</v>
      </c>
      <c r="D365">
        <v>2020</v>
      </c>
      <c r="E365" t="s">
        <v>10</v>
      </c>
      <c r="F365" t="s">
        <v>1554</v>
      </c>
      <c r="G365" t="s">
        <v>23</v>
      </c>
      <c r="H365" s="1" t="s">
        <v>1569</v>
      </c>
      <c r="I365" t="s">
        <v>1613</v>
      </c>
      <c r="J365" s="2">
        <v>1466046</v>
      </c>
      <c r="K365" t="s">
        <v>53</v>
      </c>
      <c r="L365" t="s">
        <v>1648</v>
      </c>
    </row>
    <row r="366" spans="1:12" x14ac:dyDescent="0.3">
      <c r="A366">
        <v>365</v>
      </c>
      <c r="B366" t="s">
        <v>350</v>
      </c>
      <c r="C366">
        <v>44090.481944444444</v>
      </c>
      <c r="D366">
        <v>2020</v>
      </c>
      <c r="E366" t="s">
        <v>10</v>
      </c>
      <c r="F366" t="s">
        <v>1554</v>
      </c>
      <c r="G366" t="s">
        <v>42</v>
      </c>
      <c r="H366" s="1" t="s">
        <v>1569</v>
      </c>
      <c r="I366" t="s">
        <v>1585</v>
      </c>
      <c r="J366" s="2">
        <v>1834291</v>
      </c>
      <c r="K366" t="s">
        <v>12</v>
      </c>
      <c r="L366" t="s">
        <v>1650</v>
      </c>
    </row>
    <row r="367" spans="1:12" x14ac:dyDescent="0.3">
      <c r="A367">
        <v>366</v>
      </c>
      <c r="B367" t="s">
        <v>351</v>
      </c>
      <c r="C367">
        <v>44090.709722222222</v>
      </c>
      <c r="D367">
        <v>2020</v>
      </c>
      <c r="E367" t="s">
        <v>10</v>
      </c>
      <c r="F367" t="s">
        <v>1554</v>
      </c>
      <c r="G367" t="s">
        <v>23</v>
      </c>
      <c r="H367" s="1" t="s">
        <v>1565</v>
      </c>
      <c r="I367" t="s">
        <v>1605</v>
      </c>
      <c r="J367" s="2">
        <v>4361684</v>
      </c>
      <c r="K367" t="s">
        <v>16</v>
      </c>
      <c r="L367" t="s">
        <v>1648</v>
      </c>
    </row>
    <row r="368" spans="1:12" x14ac:dyDescent="0.3">
      <c r="A368">
        <v>367</v>
      </c>
      <c r="B368" t="s">
        <v>352</v>
      </c>
      <c r="C368">
        <v>44090.736805555556</v>
      </c>
      <c r="D368">
        <v>2020</v>
      </c>
      <c r="E368" t="s">
        <v>10</v>
      </c>
      <c r="F368" t="s">
        <v>1554</v>
      </c>
      <c r="G368" t="s">
        <v>15</v>
      </c>
      <c r="H368" s="1" t="s">
        <v>1568</v>
      </c>
      <c r="I368" t="s">
        <v>1585</v>
      </c>
      <c r="J368" s="2">
        <v>4505953</v>
      </c>
      <c r="K368" t="s">
        <v>12</v>
      </c>
      <c r="L368" t="s">
        <v>1649</v>
      </c>
    </row>
    <row r="369" spans="1:12" x14ac:dyDescent="0.3">
      <c r="A369">
        <v>368</v>
      </c>
      <c r="B369" t="s">
        <v>353</v>
      </c>
      <c r="C369">
        <v>44091.351388888892</v>
      </c>
      <c r="D369">
        <v>2020</v>
      </c>
      <c r="E369" t="s">
        <v>10</v>
      </c>
      <c r="F369" t="s">
        <v>1554</v>
      </c>
      <c r="G369" t="s">
        <v>11</v>
      </c>
      <c r="H369" s="1" t="s">
        <v>1568</v>
      </c>
      <c r="I369" t="s">
        <v>1577</v>
      </c>
      <c r="J369" s="2">
        <v>1778047</v>
      </c>
      <c r="K369" t="s">
        <v>12</v>
      </c>
      <c r="L369" t="s">
        <v>1652</v>
      </c>
    </row>
    <row r="370" spans="1:12" x14ac:dyDescent="0.3">
      <c r="A370">
        <v>369</v>
      </c>
      <c r="B370" t="s">
        <v>354</v>
      </c>
      <c r="C370">
        <v>44091.354861111111</v>
      </c>
      <c r="D370">
        <v>2020</v>
      </c>
      <c r="E370" t="s">
        <v>10</v>
      </c>
      <c r="F370" t="s">
        <v>1554</v>
      </c>
      <c r="G370" t="s">
        <v>11</v>
      </c>
      <c r="H370" s="1" t="s">
        <v>1570</v>
      </c>
      <c r="I370" t="s">
        <v>1597</v>
      </c>
      <c r="J370" s="2">
        <v>3746185</v>
      </c>
      <c r="K370" t="s">
        <v>12</v>
      </c>
      <c r="L370" t="s">
        <v>1652</v>
      </c>
    </row>
    <row r="371" spans="1:12" x14ac:dyDescent="0.3">
      <c r="A371">
        <v>370</v>
      </c>
      <c r="B371" t="s">
        <v>355</v>
      </c>
      <c r="C371">
        <v>44091.363888888889</v>
      </c>
      <c r="D371">
        <v>2020</v>
      </c>
      <c r="E371" t="s">
        <v>10</v>
      </c>
      <c r="F371" t="s">
        <v>1554</v>
      </c>
      <c r="G371" t="s">
        <v>11</v>
      </c>
      <c r="H371" s="1" t="s">
        <v>1565</v>
      </c>
      <c r="I371" t="s">
        <v>1577</v>
      </c>
      <c r="J371" s="2">
        <v>4736678</v>
      </c>
      <c r="K371" t="s">
        <v>12</v>
      </c>
      <c r="L371" t="s">
        <v>1649</v>
      </c>
    </row>
    <row r="372" spans="1:12" x14ac:dyDescent="0.3">
      <c r="A372">
        <v>371</v>
      </c>
      <c r="B372" t="s">
        <v>356</v>
      </c>
      <c r="C372">
        <v>44091.468055555553</v>
      </c>
      <c r="D372">
        <v>2020</v>
      </c>
      <c r="E372" t="s">
        <v>10</v>
      </c>
      <c r="F372" t="s">
        <v>1553</v>
      </c>
      <c r="G372" t="s">
        <v>11</v>
      </c>
      <c r="H372" s="1" t="s">
        <v>1571</v>
      </c>
      <c r="I372" t="s">
        <v>1597</v>
      </c>
      <c r="J372" s="2">
        <v>1295304</v>
      </c>
      <c r="K372" t="s">
        <v>12</v>
      </c>
      <c r="L372" t="s">
        <v>1650</v>
      </c>
    </row>
    <row r="373" spans="1:12" x14ac:dyDescent="0.3">
      <c r="A373">
        <v>372</v>
      </c>
      <c r="B373" t="s">
        <v>357</v>
      </c>
      <c r="C373">
        <v>44091.479861111111</v>
      </c>
      <c r="D373">
        <v>2020</v>
      </c>
      <c r="E373" t="s">
        <v>10</v>
      </c>
      <c r="F373" t="s">
        <v>1553</v>
      </c>
      <c r="G373" t="s">
        <v>358</v>
      </c>
      <c r="H373" s="1" t="s">
        <v>1563</v>
      </c>
      <c r="I373" t="s">
        <v>1578</v>
      </c>
      <c r="J373" s="2">
        <v>4676960</v>
      </c>
      <c r="K373" t="s">
        <v>16</v>
      </c>
      <c r="L373" t="s">
        <v>1651</v>
      </c>
    </row>
    <row r="374" spans="1:12" x14ac:dyDescent="0.3">
      <c r="A374">
        <v>373</v>
      </c>
      <c r="B374" t="s">
        <v>359</v>
      </c>
      <c r="C374">
        <v>44091.539583333331</v>
      </c>
      <c r="D374">
        <v>2020</v>
      </c>
      <c r="E374" t="s">
        <v>10</v>
      </c>
      <c r="F374" t="s">
        <v>1553</v>
      </c>
      <c r="G374" t="s">
        <v>21</v>
      </c>
      <c r="H374" s="1" t="s">
        <v>1566</v>
      </c>
      <c r="I374" t="s">
        <v>1613</v>
      </c>
      <c r="J374" s="2">
        <v>4414914</v>
      </c>
      <c r="K374" t="s">
        <v>53</v>
      </c>
      <c r="L374" t="s">
        <v>1651</v>
      </c>
    </row>
    <row r="375" spans="1:12" x14ac:dyDescent="0.3">
      <c r="A375">
        <v>374</v>
      </c>
      <c r="B375" t="s">
        <v>360</v>
      </c>
      <c r="C375">
        <v>44091.699305555558</v>
      </c>
      <c r="D375">
        <v>2020</v>
      </c>
      <c r="E375" t="s">
        <v>10</v>
      </c>
      <c r="F375" t="s">
        <v>1553</v>
      </c>
      <c r="G375" t="s">
        <v>15</v>
      </c>
      <c r="H375" s="1" t="s">
        <v>1563</v>
      </c>
      <c r="I375" t="s">
        <v>1585</v>
      </c>
      <c r="J375" s="2">
        <v>4379165</v>
      </c>
      <c r="K375" t="s">
        <v>12</v>
      </c>
      <c r="L375" t="s">
        <v>1651</v>
      </c>
    </row>
    <row r="376" spans="1:12" x14ac:dyDescent="0.3">
      <c r="A376">
        <v>375</v>
      </c>
      <c r="B376" t="s">
        <v>50</v>
      </c>
      <c r="C376">
        <v>44092.478472222225</v>
      </c>
      <c r="D376">
        <v>2020</v>
      </c>
      <c r="E376" t="s">
        <v>10</v>
      </c>
      <c r="F376" t="s">
        <v>1553</v>
      </c>
      <c r="G376" t="s">
        <v>44</v>
      </c>
      <c r="H376" s="1" t="s">
        <v>1576</v>
      </c>
      <c r="I376" t="s">
        <v>1604</v>
      </c>
      <c r="J376" s="2">
        <v>1180005</v>
      </c>
      <c r="K376" t="s">
        <v>12</v>
      </c>
      <c r="L376" t="s">
        <v>1650</v>
      </c>
    </row>
    <row r="377" spans="1:12" x14ac:dyDescent="0.3">
      <c r="A377">
        <v>376</v>
      </c>
      <c r="B377" t="s">
        <v>360</v>
      </c>
      <c r="C377">
        <v>44092.647222222222</v>
      </c>
      <c r="D377">
        <v>2020</v>
      </c>
      <c r="E377" t="s">
        <v>10</v>
      </c>
      <c r="F377" t="s">
        <v>1553</v>
      </c>
      <c r="G377" t="s">
        <v>15</v>
      </c>
      <c r="H377" s="1" t="s">
        <v>1564</v>
      </c>
      <c r="I377" t="s">
        <v>1609</v>
      </c>
      <c r="J377" s="2">
        <v>1532652</v>
      </c>
      <c r="K377" t="s">
        <v>16</v>
      </c>
      <c r="L377" t="s">
        <v>1650</v>
      </c>
    </row>
    <row r="378" spans="1:12" x14ac:dyDescent="0.3">
      <c r="A378">
        <v>377</v>
      </c>
      <c r="B378" t="s">
        <v>361</v>
      </c>
      <c r="C378">
        <v>44095.3</v>
      </c>
      <c r="D378">
        <v>2020</v>
      </c>
      <c r="E378" t="s">
        <v>10</v>
      </c>
      <c r="F378" t="s">
        <v>1553</v>
      </c>
      <c r="G378" t="s">
        <v>11</v>
      </c>
      <c r="H378" s="1" t="s">
        <v>1572</v>
      </c>
      <c r="I378" t="s">
        <v>1577</v>
      </c>
      <c r="J378" s="2">
        <v>4444417</v>
      </c>
      <c r="K378" t="s">
        <v>12</v>
      </c>
      <c r="L378" t="s">
        <v>1648</v>
      </c>
    </row>
    <row r="379" spans="1:12" x14ac:dyDescent="0.3">
      <c r="A379">
        <v>378</v>
      </c>
      <c r="B379" t="s">
        <v>362</v>
      </c>
      <c r="C379">
        <v>44095.311111111114</v>
      </c>
      <c r="D379">
        <v>2020</v>
      </c>
      <c r="E379" t="s">
        <v>10</v>
      </c>
      <c r="F379" t="s">
        <v>1553</v>
      </c>
      <c r="G379" t="s">
        <v>11</v>
      </c>
      <c r="H379" s="1" t="s">
        <v>1565</v>
      </c>
      <c r="I379" t="s">
        <v>1577</v>
      </c>
      <c r="J379" s="2">
        <v>4769496</v>
      </c>
      <c r="K379" t="s">
        <v>12</v>
      </c>
      <c r="L379" t="s">
        <v>1649</v>
      </c>
    </row>
    <row r="380" spans="1:12" x14ac:dyDescent="0.3">
      <c r="A380">
        <v>379</v>
      </c>
      <c r="B380" t="s">
        <v>363</v>
      </c>
      <c r="C380">
        <v>44096.445833333331</v>
      </c>
      <c r="D380">
        <v>2020</v>
      </c>
      <c r="E380" t="s">
        <v>10</v>
      </c>
      <c r="F380" t="s">
        <v>1553</v>
      </c>
      <c r="G380" t="s">
        <v>15</v>
      </c>
      <c r="H380" s="1" t="s">
        <v>1576</v>
      </c>
      <c r="I380" t="s">
        <v>1623</v>
      </c>
      <c r="J380" s="2">
        <v>3500553</v>
      </c>
      <c r="K380" t="s">
        <v>53</v>
      </c>
      <c r="L380" t="s">
        <v>1652</v>
      </c>
    </row>
    <row r="381" spans="1:12" x14ac:dyDescent="0.3">
      <c r="A381">
        <v>380</v>
      </c>
      <c r="B381" t="s">
        <v>319</v>
      </c>
      <c r="C381">
        <v>44096.472222222219</v>
      </c>
      <c r="D381">
        <v>2020</v>
      </c>
      <c r="E381" t="s">
        <v>10</v>
      </c>
      <c r="F381" t="s">
        <v>1553</v>
      </c>
      <c r="G381" t="s">
        <v>15</v>
      </c>
      <c r="H381" s="1" t="s">
        <v>1576</v>
      </c>
      <c r="I381" t="s">
        <v>1596</v>
      </c>
      <c r="J381" s="2">
        <v>2394061</v>
      </c>
      <c r="K381" t="s">
        <v>16</v>
      </c>
      <c r="L381" t="s">
        <v>1648</v>
      </c>
    </row>
    <row r="382" spans="1:12" x14ac:dyDescent="0.3">
      <c r="A382">
        <v>381</v>
      </c>
      <c r="B382" t="s">
        <v>364</v>
      </c>
      <c r="C382">
        <v>44096.472916666666</v>
      </c>
      <c r="D382">
        <v>2020</v>
      </c>
      <c r="E382" t="s">
        <v>10</v>
      </c>
      <c r="F382" t="s">
        <v>1553</v>
      </c>
      <c r="G382" t="s">
        <v>23</v>
      </c>
      <c r="H382" s="1" t="s">
        <v>1565</v>
      </c>
      <c r="I382" t="s">
        <v>1623</v>
      </c>
      <c r="J382" s="2">
        <v>4442212</v>
      </c>
      <c r="K382" t="s">
        <v>53</v>
      </c>
      <c r="L382" t="s">
        <v>1648</v>
      </c>
    </row>
    <row r="383" spans="1:12" x14ac:dyDescent="0.3">
      <c r="A383">
        <v>382</v>
      </c>
      <c r="B383" t="s">
        <v>365</v>
      </c>
      <c r="C383">
        <v>44096.691666666666</v>
      </c>
      <c r="D383">
        <v>2020</v>
      </c>
      <c r="E383" t="s">
        <v>10</v>
      </c>
      <c r="F383" t="s">
        <v>1553</v>
      </c>
      <c r="G383" t="s">
        <v>62</v>
      </c>
      <c r="H383" s="1" t="s">
        <v>1574</v>
      </c>
      <c r="I383" t="s">
        <v>1587</v>
      </c>
      <c r="J383" s="2">
        <v>1346884</v>
      </c>
      <c r="K383" t="s">
        <v>12</v>
      </c>
      <c r="L383" t="s">
        <v>1649</v>
      </c>
    </row>
    <row r="384" spans="1:12" x14ac:dyDescent="0.3">
      <c r="A384">
        <v>383</v>
      </c>
      <c r="B384" t="s">
        <v>366</v>
      </c>
      <c r="C384">
        <v>44096.73333333333</v>
      </c>
      <c r="D384">
        <v>2020</v>
      </c>
      <c r="E384" t="s">
        <v>10</v>
      </c>
      <c r="F384" t="s">
        <v>1553</v>
      </c>
      <c r="G384" t="s">
        <v>62</v>
      </c>
      <c r="H384" s="1" t="s">
        <v>1568</v>
      </c>
      <c r="I384" t="s">
        <v>1587</v>
      </c>
      <c r="J384" s="2">
        <v>1024804</v>
      </c>
      <c r="K384" t="s">
        <v>12</v>
      </c>
      <c r="L384" t="s">
        <v>1653</v>
      </c>
    </row>
    <row r="385" spans="1:12" x14ac:dyDescent="0.3">
      <c r="A385">
        <v>384</v>
      </c>
      <c r="B385" t="s">
        <v>367</v>
      </c>
      <c r="C385">
        <v>44097.355555555558</v>
      </c>
      <c r="D385">
        <v>2020</v>
      </c>
      <c r="E385" t="s">
        <v>10</v>
      </c>
      <c r="F385" t="s">
        <v>1553</v>
      </c>
      <c r="G385" t="s">
        <v>229</v>
      </c>
      <c r="H385" s="1" t="s">
        <v>1569</v>
      </c>
      <c r="I385" t="s">
        <v>1610</v>
      </c>
      <c r="J385" s="2">
        <v>3247716</v>
      </c>
      <c r="K385" t="s">
        <v>121</v>
      </c>
      <c r="L385" t="s">
        <v>1651</v>
      </c>
    </row>
    <row r="386" spans="1:12" x14ac:dyDescent="0.3">
      <c r="A386">
        <v>385</v>
      </c>
      <c r="B386" t="s">
        <v>368</v>
      </c>
      <c r="C386">
        <v>44097.393055555556</v>
      </c>
      <c r="D386">
        <v>2020</v>
      </c>
      <c r="E386" t="s">
        <v>10</v>
      </c>
      <c r="F386" t="s">
        <v>1553</v>
      </c>
      <c r="G386" t="s">
        <v>62</v>
      </c>
      <c r="H386" s="1" t="s">
        <v>1574</v>
      </c>
      <c r="I386" t="s">
        <v>1587</v>
      </c>
      <c r="J386" s="2">
        <v>2642054</v>
      </c>
      <c r="K386" t="s">
        <v>12</v>
      </c>
      <c r="L386" t="s">
        <v>1653</v>
      </c>
    </row>
    <row r="387" spans="1:12" x14ac:dyDescent="0.3">
      <c r="A387">
        <v>386</v>
      </c>
      <c r="B387" t="s">
        <v>369</v>
      </c>
      <c r="C387">
        <v>44097.619444444441</v>
      </c>
      <c r="D387">
        <v>2020</v>
      </c>
      <c r="E387" t="s">
        <v>10</v>
      </c>
      <c r="F387" t="s">
        <v>1553</v>
      </c>
      <c r="G387" t="s">
        <v>18</v>
      </c>
      <c r="H387" s="1" t="s">
        <v>1566</v>
      </c>
      <c r="I387" t="s">
        <v>1587</v>
      </c>
      <c r="J387" s="2">
        <v>4527407</v>
      </c>
      <c r="K387" t="s">
        <v>12</v>
      </c>
      <c r="L387" t="s">
        <v>1649</v>
      </c>
    </row>
    <row r="388" spans="1:12" x14ac:dyDescent="0.3">
      <c r="A388">
        <v>387</v>
      </c>
      <c r="B388" t="s">
        <v>370</v>
      </c>
      <c r="C388">
        <v>44098.665277777778</v>
      </c>
      <c r="D388">
        <v>2020</v>
      </c>
      <c r="E388" t="s">
        <v>10</v>
      </c>
      <c r="F388" t="s">
        <v>1553</v>
      </c>
      <c r="G388" t="s">
        <v>15</v>
      </c>
      <c r="H388" s="1" t="s">
        <v>1573</v>
      </c>
      <c r="I388" t="s">
        <v>1587</v>
      </c>
      <c r="J388" s="2">
        <v>972754</v>
      </c>
      <c r="K388" t="s">
        <v>12</v>
      </c>
      <c r="L388" t="s">
        <v>1649</v>
      </c>
    </row>
    <row r="389" spans="1:12" x14ac:dyDescent="0.3">
      <c r="A389">
        <v>388</v>
      </c>
      <c r="B389" t="s">
        <v>371</v>
      </c>
      <c r="C389">
        <v>44099.470833333333</v>
      </c>
      <c r="D389">
        <v>2020</v>
      </c>
      <c r="E389" t="s">
        <v>10</v>
      </c>
      <c r="F389" t="s">
        <v>1553</v>
      </c>
      <c r="G389" t="s">
        <v>18</v>
      </c>
      <c r="H389" s="1" t="s">
        <v>1576</v>
      </c>
      <c r="I389" t="s">
        <v>1596</v>
      </c>
      <c r="J389" s="2">
        <v>1119649</v>
      </c>
      <c r="K389" t="s">
        <v>16</v>
      </c>
      <c r="L389" t="s">
        <v>1649</v>
      </c>
    </row>
    <row r="390" spans="1:12" x14ac:dyDescent="0.3">
      <c r="A390">
        <v>389</v>
      </c>
      <c r="B390" t="s">
        <v>372</v>
      </c>
      <c r="C390">
        <v>44099.59375</v>
      </c>
      <c r="D390">
        <v>2020</v>
      </c>
      <c r="E390" t="s">
        <v>10</v>
      </c>
      <c r="F390" t="s">
        <v>1553</v>
      </c>
      <c r="G390" t="s">
        <v>49</v>
      </c>
      <c r="H390" s="1" t="s">
        <v>1575</v>
      </c>
      <c r="I390" t="s">
        <v>1578</v>
      </c>
      <c r="J390" s="2">
        <v>2854811</v>
      </c>
      <c r="K390" t="s">
        <v>16</v>
      </c>
      <c r="L390" t="s">
        <v>1651</v>
      </c>
    </row>
    <row r="391" spans="1:12" x14ac:dyDescent="0.3">
      <c r="A391">
        <v>390</v>
      </c>
      <c r="B391" t="s">
        <v>373</v>
      </c>
      <c r="C391">
        <v>44099.624305555553</v>
      </c>
      <c r="D391">
        <v>2020</v>
      </c>
      <c r="E391" t="s">
        <v>10</v>
      </c>
      <c r="F391" t="s">
        <v>1553</v>
      </c>
      <c r="G391" t="s">
        <v>290</v>
      </c>
      <c r="H391" s="1" t="s">
        <v>1567</v>
      </c>
      <c r="I391" t="s">
        <v>1614</v>
      </c>
      <c r="J391" s="2">
        <v>1698113</v>
      </c>
      <c r="K391" t="s">
        <v>16</v>
      </c>
      <c r="L391" t="s">
        <v>1652</v>
      </c>
    </row>
    <row r="392" spans="1:12" x14ac:dyDescent="0.3">
      <c r="A392">
        <v>391</v>
      </c>
      <c r="B392" t="s">
        <v>374</v>
      </c>
      <c r="C392">
        <v>44099.638888888891</v>
      </c>
      <c r="D392">
        <v>2020</v>
      </c>
      <c r="E392" t="s">
        <v>10</v>
      </c>
      <c r="F392" t="s">
        <v>1553</v>
      </c>
      <c r="G392" t="s">
        <v>18</v>
      </c>
      <c r="H392" s="1" t="s">
        <v>1566</v>
      </c>
      <c r="I392" t="s">
        <v>1587</v>
      </c>
      <c r="J392" s="2">
        <v>1456459</v>
      </c>
      <c r="K392" t="s">
        <v>12</v>
      </c>
      <c r="L392" t="s">
        <v>1648</v>
      </c>
    </row>
    <row r="393" spans="1:12" x14ac:dyDescent="0.3">
      <c r="A393">
        <v>392</v>
      </c>
      <c r="B393" t="s">
        <v>375</v>
      </c>
      <c r="C393">
        <v>44099.652777777781</v>
      </c>
      <c r="D393">
        <v>2020</v>
      </c>
      <c r="E393" t="s">
        <v>10</v>
      </c>
      <c r="F393" t="s">
        <v>1553</v>
      </c>
      <c r="G393" t="s">
        <v>18</v>
      </c>
      <c r="H393" s="1" t="s">
        <v>1563</v>
      </c>
      <c r="I393" t="s">
        <v>1587</v>
      </c>
      <c r="J393" s="2">
        <v>1778112</v>
      </c>
      <c r="K393" t="s">
        <v>12</v>
      </c>
      <c r="L393" t="s">
        <v>1651</v>
      </c>
    </row>
    <row r="394" spans="1:12" x14ac:dyDescent="0.3">
      <c r="A394">
        <v>393</v>
      </c>
      <c r="B394" t="s">
        <v>376</v>
      </c>
      <c r="C394">
        <v>44102.468055555553</v>
      </c>
      <c r="D394">
        <v>2020</v>
      </c>
      <c r="E394" t="s">
        <v>10</v>
      </c>
      <c r="F394" t="s">
        <v>1553</v>
      </c>
      <c r="G394" t="s">
        <v>11</v>
      </c>
      <c r="H394" s="1" t="s">
        <v>1576</v>
      </c>
      <c r="I394" t="s">
        <v>1590</v>
      </c>
      <c r="J394" s="2">
        <v>1294752</v>
      </c>
      <c r="K394" t="s">
        <v>12</v>
      </c>
      <c r="L394" t="s">
        <v>1648</v>
      </c>
    </row>
    <row r="395" spans="1:12" x14ac:dyDescent="0.3">
      <c r="A395">
        <v>394</v>
      </c>
      <c r="B395" t="s">
        <v>377</v>
      </c>
      <c r="C395">
        <v>44103.415277777778</v>
      </c>
      <c r="D395">
        <v>2020</v>
      </c>
      <c r="E395" t="s">
        <v>10</v>
      </c>
      <c r="F395" t="s">
        <v>1553</v>
      </c>
      <c r="G395" t="s">
        <v>67</v>
      </c>
      <c r="H395" s="1" t="s">
        <v>1571</v>
      </c>
      <c r="I395" t="s">
        <v>1590</v>
      </c>
      <c r="J395" s="2">
        <v>1119146</v>
      </c>
      <c r="K395" t="s">
        <v>12</v>
      </c>
      <c r="L395" t="s">
        <v>1649</v>
      </c>
    </row>
    <row r="396" spans="1:12" x14ac:dyDescent="0.3">
      <c r="A396">
        <v>395</v>
      </c>
      <c r="B396" t="s">
        <v>378</v>
      </c>
      <c r="C396">
        <v>44103.459722222222</v>
      </c>
      <c r="D396">
        <v>2020</v>
      </c>
      <c r="E396" t="s">
        <v>10</v>
      </c>
      <c r="F396" t="s">
        <v>1553</v>
      </c>
      <c r="G396" t="s">
        <v>11</v>
      </c>
      <c r="H396" s="1" t="s">
        <v>1571</v>
      </c>
      <c r="I396" t="s">
        <v>1632</v>
      </c>
      <c r="J396" s="2">
        <v>1833640</v>
      </c>
      <c r="L396" t="s">
        <v>1649</v>
      </c>
    </row>
    <row r="397" spans="1:12" x14ac:dyDescent="0.3">
      <c r="A397">
        <v>396</v>
      </c>
      <c r="B397" t="s">
        <v>379</v>
      </c>
      <c r="C397">
        <v>44103.511111111111</v>
      </c>
      <c r="D397">
        <v>2020</v>
      </c>
      <c r="E397" t="s">
        <v>10</v>
      </c>
      <c r="F397" t="s">
        <v>1553</v>
      </c>
      <c r="G397" t="s">
        <v>11</v>
      </c>
      <c r="H397" s="1" t="s">
        <v>1562</v>
      </c>
      <c r="I397" t="s">
        <v>1577</v>
      </c>
      <c r="J397" s="2">
        <v>2708786</v>
      </c>
      <c r="K397" t="s">
        <v>12</v>
      </c>
      <c r="L397" t="s">
        <v>1650</v>
      </c>
    </row>
    <row r="398" spans="1:12" x14ac:dyDescent="0.3">
      <c r="A398">
        <v>397</v>
      </c>
      <c r="B398" t="s">
        <v>380</v>
      </c>
      <c r="C398">
        <v>44103.613194444442</v>
      </c>
      <c r="D398">
        <v>2020</v>
      </c>
      <c r="E398" t="s">
        <v>10</v>
      </c>
      <c r="F398" t="s">
        <v>1553</v>
      </c>
      <c r="G398" t="s">
        <v>23</v>
      </c>
      <c r="H398" s="1" t="s">
        <v>1564</v>
      </c>
      <c r="I398" t="s">
        <v>1593</v>
      </c>
      <c r="J398" s="2">
        <v>4160932</v>
      </c>
      <c r="K398" t="s">
        <v>12</v>
      </c>
      <c r="L398" t="s">
        <v>1648</v>
      </c>
    </row>
    <row r="399" spans="1:12" x14ac:dyDescent="0.3">
      <c r="A399">
        <v>398</v>
      </c>
      <c r="B399" t="s">
        <v>381</v>
      </c>
      <c r="C399">
        <v>44104.506249999999</v>
      </c>
      <c r="D399">
        <v>2020</v>
      </c>
      <c r="E399" t="s">
        <v>10</v>
      </c>
      <c r="F399" t="s">
        <v>1553</v>
      </c>
      <c r="G399" t="s">
        <v>18</v>
      </c>
      <c r="H399" s="1" t="s">
        <v>1562</v>
      </c>
      <c r="I399" t="s">
        <v>1633</v>
      </c>
      <c r="J399" s="2">
        <v>3084856</v>
      </c>
      <c r="K399" t="s">
        <v>53</v>
      </c>
      <c r="L399" t="s">
        <v>1651</v>
      </c>
    </row>
    <row r="400" spans="1:12" x14ac:dyDescent="0.3">
      <c r="A400">
        <v>399</v>
      </c>
      <c r="B400" t="s">
        <v>382</v>
      </c>
      <c r="C400">
        <v>44104.689583333333</v>
      </c>
      <c r="D400">
        <v>2020</v>
      </c>
      <c r="E400" t="s">
        <v>10</v>
      </c>
      <c r="F400" t="s">
        <v>1553</v>
      </c>
      <c r="G400" t="s">
        <v>15</v>
      </c>
      <c r="H400" s="1" t="s">
        <v>1573</v>
      </c>
      <c r="I400" t="s">
        <v>1609</v>
      </c>
      <c r="J400" s="2">
        <v>4634144</v>
      </c>
      <c r="K400" t="s">
        <v>16</v>
      </c>
      <c r="L400" t="s">
        <v>1648</v>
      </c>
    </row>
    <row r="401" spans="1:12" x14ac:dyDescent="0.3">
      <c r="A401">
        <v>400</v>
      </c>
      <c r="B401" t="s">
        <v>383</v>
      </c>
      <c r="C401">
        <v>44104.697222222225</v>
      </c>
      <c r="D401">
        <v>2020</v>
      </c>
      <c r="E401" t="s">
        <v>10</v>
      </c>
      <c r="F401" t="s">
        <v>1553</v>
      </c>
      <c r="G401" t="s">
        <v>23</v>
      </c>
      <c r="H401" s="1" t="s">
        <v>1575</v>
      </c>
      <c r="I401" t="s">
        <v>1605</v>
      </c>
      <c r="J401" s="2">
        <v>2566372</v>
      </c>
      <c r="K401" t="s">
        <v>16</v>
      </c>
      <c r="L401" t="s">
        <v>1653</v>
      </c>
    </row>
    <row r="402" spans="1:12" x14ac:dyDescent="0.3">
      <c r="A402">
        <v>401</v>
      </c>
      <c r="B402" t="s">
        <v>50</v>
      </c>
      <c r="C402">
        <v>44105.380555555559</v>
      </c>
      <c r="D402">
        <v>2020</v>
      </c>
      <c r="E402" t="s">
        <v>10</v>
      </c>
      <c r="F402" t="s">
        <v>1553</v>
      </c>
      <c r="G402" t="s">
        <v>49</v>
      </c>
      <c r="H402" s="1" t="s">
        <v>1574</v>
      </c>
      <c r="I402" t="s">
        <v>1617</v>
      </c>
      <c r="J402" s="2">
        <v>3809134</v>
      </c>
      <c r="K402" t="s">
        <v>16</v>
      </c>
      <c r="L402" t="s">
        <v>1653</v>
      </c>
    </row>
    <row r="403" spans="1:12" x14ac:dyDescent="0.3">
      <c r="A403">
        <v>402</v>
      </c>
      <c r="B403" t="s">
        <v>384</v>
      </c>
      <c r="C403">
        <v>44105.390277777777</v>
      </c>
      <c r="D403">
        <v>2020</v>
      </c>
      <c r="E403" t="s">
        <v>10</v>
      </c>
      <c r="F403" t="s">
        <v>1553</v>
      </c>
      <c r="G403" t="s">
        <v>49</v>
      </c>
      <c r="H403" s="1" t="s">
        <v>1576</v>
      </c>
      <c r="I403" t="s">
        <v>1587</v>
      </c>
      <c r="J403" s="2">
        <v>2686744</v>
      </c>
      <c r="K403" t="s">
        <v>12</v>
      </c>
      <c r="L403" t="s">
        <v>1651</v>
      </c>
    </row>
    <row r="404" spans="1:12" x14ac:dyDescent="0.3">
      <c r="A404">
        <v>403</v>
      </c>
      <c r="B404" t="s">
        <v>319</v>
      </c>
      <c r="C404">
        <v>44105.394444444442</v>
      </c>
      <c r="D404">
        <v>2020</v>
      </c>
      <c r="E404" t="s">
        <v>10</v>
      </c>
      <c r="F404" t="s">
        <v>1553</v>
      </c>
      <c r="G404" t="s">
        <v>15</v>
      </c>
      <c r="H404" s="1" t="s">
        <v>1567</v>
      </c>
      <c r="I404" t="s">
        <v>1579</v>
      </c>
      <c r="J404" s="2">
        <v>1072444</v>
      </c>
      <c r="L404" t="s">
        <v>1650</v>
      </c>
    </row>
    <row r="405" spans="1:12" x14ac:dyDescent="0.3">
      <c r="A405">
        <v>404</v>
      </c>
      <c r="B405" t="s">
        <v>385</v>
      </c>
      <c r="C405">
        <v>44105.425000000003</v>
      </c>
      <c r="D405">
        <v>2020</v>
      </c>
      <c r="E405" t="s">
        <v>10</v>
      </c>
      <c r="F405" t="s">
        <v>1553</v>
      </c>
      <c r="G405" t="s">
        <v>18</v>
      </c>
      <c r="H405" s="1" t="s">
        <v>1565</v>
      </c>
      <c r="I405" t="s">
        <v>1579</v>
      </c>
      <c r="J405" s="2">
        <v>3091227</v>
      </c>
      <c r="L405" t="s">
        <v>1650</v>
      </c>
    </row>
    <row r="406" spans="1:12" x14ac:dyDescent="0.3">
      <c r="A406">
        <v>405</v>
      </c>
      <c r="B406" t="s">
        <v>50</v>
      </c>
      <c r="C406">
        <v>44110.405555555553</v>
      </c>
      <c r="D406">
        <v>2020</v>
      </c>
      <c r="E406" t="s">
        <v>10</v>
      </c>
      <c r="F406" t="s">
        <v>1553</v>
      </c>
      <c r="G406" t="s">
        <v>15</v>
      </c>
      <c r="H406" s="1" t="s">
        <v>1574</v>
      </c>
      <c r="I406" t="s">
        <v>1454</v>
      </c>
      <c r="J406" s="2">
        <v>3355945</v>
      </c>
      <c r="L406" t="s">
        <v>1649</v>
      </c>
    </row>
    <row r="407" spans="1:12" x14ac:dyDescent="0.3">
      <c r="A407">
        <v>406</v>
      </c>
      <c r="B407" t="s">
        <v>386</v>
      </c>
      <c r="C407">
        <v>44110.438888888886</v>
      </c>
      <c r="D407">
        <v>2020</v>
      </c>
      <c r="E407" t="s">
        <v>10</v>
      </c>
      <c r="F407" t="s">
        <v>1553</v>
      </c>
      <c r="G407" t="s">
        <v>15</v>
      </c>
      <c r="H407" s="1" t="s">
        <v>1565</v>
      </c>
      <c r="I407" t="s">
        <v>1579</v>
      </c>
      <c r="J407" s="2">
        <v>3414284</v>
      </c>
      <c r="L407" t="s">
        <v>1653</v>
      </c>
    </row>
    <row r="408" spans="1:12" x14ac:dyDescent="0.3">
      <c r="A408">
        <v>407</v>
      </c>
      <c r="B408" t="s">
        <v>387</v>
      </c>
      <c r="C408">
        <v>44110.507638888892</v>
      </c>
      <c r="D408">
        <v>2020</v>
      </c>
      <c r="E408" t="s">
        <v>10</v>
      </c>
      <c r="F408" t="s">
        <v>1553</v>
      </c>
      <c r="G408" t="s">
        <v>290</v>
      </c>
      <c r="H408" s="1" t="s">
        <v>1570</v>
      </c>
      <c r="I408" t="s">
        <v>1579</v>
      </c>
      <c r="J408" s="2">
        <v>3677428</v>
      </c>
      <c r="L408" t="s">
        <v>1651</v>
      </c>
    </row>
    <row r="409" spans="1:12" x14ac:dyDescent="0.3">
      <c r="A409">
        <v>408</v>
      </c>
      <c r="B409" t="s">
        <v>388</v>
      </c>
      <c r="C409">
        <v>44111.365277777775</v>
      </c>
      <c r="D409">
        <v>2020</v>
      </c>
      <c r="E409" t="s">
        <v>10</v>
      </c>
      <c r="F409" t="s">
        <v>1553</v>
      </c>
      <c r="G409" t="s">
        <v>23</v>
      </c>
      <c r="H409" s="1" t="s">
        <v>1574</v>
      </c>
      <c r="I409" t="s">
        <v>1579</v>
      </c>
      <c r="J409" s="2">
        <v>964098</v>
      </c>
      <c r="L409" t="s">
        <v>1652</v>
      </c>
    </row>
    <row r="410" spans="1:12" x14ac:dyDescent="0.3">
      <c r="A410">
        <v>409</v>
      </c>
      <c r="B410" t="s">
        <v>389</v>
      </c>
      <c r="C410">
        <v>44111.40625</v>
      </c>
      <c r="D410">
        <v>2020</v>
      </c>
      <c r="E410" t="s">
        <v>10</v>
      </c>
      <c r="F410" t="s">
        <v>1553</v>
      </c>
      <c r="G410" t="s">
        <v>290</v>
      </c>
      <c r="H410" s="1" t="s">
        <v>1564</v>
      </c>
      <c r="I410" t="s">
        <v>1579</v>
      </c>
      <c r="J410" s="2">
        <v>2685198</v>
      </c>
      <c r="L410" t="s">
        <v>1652</v>
      </c>
    </row>
    <row r="411" spans="1:12" x14ac:dyDescent="0.3">
      <c r="A411">
        <v>410</v>
      </c>
      <c r="B411" t="s">
        <v>390</v>
      </c>
      <c r="C411">
        <v>44111.424305555556</v>
      </c>
      <c r="D411">
        <v>2020</v>
      </c>
      <c r="E411" t="s">
        <v>10</v>
      </c>
      <c r="F411" t="s">
        <v>1553</v>
      </c>
      <c r="G411" t="s">
        <v>290</v>
      </c>
      <c r="H411" s="1" t="s">
        <v>1574</v>
      </c>
      <c r="I411" t="s">
        <v>1579</v>
      </c>
      <c r="J411" s="2">
        <v>2207887</v>
      </c>
      <c r="L411" t="s">
        <v>1648</v>
      </c>
    </row>
    <row r="412" spans="1:12" x14ac:dyDescent="0.3">
      <c r="A412">
        <v>411</v>
      </c>
      <c r="B412" t="s">
        <v>50</v>
      </c>
      <c r="C412">
        <v>44111.704861111109</v>
      </c>
      <c r="D412">
        <v>2020</v>
      </c>
      <c r="E412" t="s">
        <v>10</v>
      </c>
      <c r="F412" t="s">
        <v>1553</v>
      </c>
      <c r="G412" t="s">
        <v>11</v>
      </c>
      <c r="H412" s="1" t="s">
        <v>1572</v>
      </c>
      <c r="I412" t="s">
        <v>1591</v>
      </c>
      <c r="J412" s="2">
        <v>4504905</v>
      </c>
      <c r="L412" t="s">
        <v>1650</v>
      </c>
    </row>
    <row r="413" spans="1:12" x14ac:dyDescent="0.3">
      <c r="A413">
        <v>412</v>
      </c>
      <c r="B413" t="s">
        <v>50</v>
      </c>
      <c r="C413">
        <v>44111.707638888889</v>
      </c>
      <c r="D413">
        <v>2020</v>
      </c>
      <c r="E413" t="s">
        <v>10</v>
      </c>
      <c r="F413" t="s">
        <v>1553</v>
      </c>
      <c r="G413" t="s">
        <v>11</v>
      </c>
      <c r="H413" s="1" t="s">
        <v>1564</v>
      </c>
      <c r="I413" t="s">
        <v>1591</v>
      </c>
      <c r="J413" s="2">
        <v>4289787</v>
      </c>
      <c r="L413" t="s">
        <v>1648</v>
      </c>
    </row>
    <row r="414" spans="1:12" x14ac:dyDescent="0.3">
      <c r="A414">
        <v>413</v>
      </c>
      <c r="B414" t="s">
        <v>392</v>
      </c>
      <c r="C414">
        <v>44111.722916666666</v>
      </c>
      <c r="D414">
        <v>2020</v>
      </c>
      <c r="E414" t="s">
        <v>10</v>
      </c>
      <c r="F414" t="s">
        <v>1553</v>
      </c>
      <c r="G414" t="s">
        <v>11</v>
      </c>
      <c r="H414" s="1" t="s">
        <v>1564</v>
      </c>
      <c r="I414" t="s">
        <v>1577</v>
      </c>
      <c r="J414" s="2">
        <v>1247157</v>
      </c>
      <c r="K414" t="s">
        <v>12</v>
      </c>
      <c r="L414" t="s">
        <v>1653</v>
      </c>
    </row>
    <row r="415" spans="1:12" x14ac:dyDescent="0.3">
      <c r="A415">
        <v>414</v>
      </c>
      <c r="B415" t="s">
        <v>393</v>
      </c>
      <c r="C415">
        <v>44112.424305555556</v>
      </c>
      <c r="D415">
        <v>2020</v>
      </c>
      <c r="E415" t="s">
        <v>10</v>
      </c>
      <c r="F415" t="s">
        <v>1553</v>
      </c>
      <c r="G415" t="s">
        <v>290</v>
      </c>
      <c r="H415" s="1" t="s">
        <v>1570</v>
      </c>
      <c r="I415" t="s">
        <v>1579</v>
      </c>
      <c r="J415" s="2">
        <v>2313828</v>
      </c>
      <c r="L415" t="s">
        <v>1649</v>
      </c>
    </row>
    <row r="416" spans="1:12" x14ac:dyDescent="0.3">
      <c r="A416">
        <v>415</v>
      </c>
      <c r="B416" t="s">
        <v>394</v>
      </c>
      <c r="C416">
        <v>44112.540972222225</v>
      </c>
      <c r="D416">
        <v>2020</v>
      </c>
      <c r="E416" t="s">
        <v>10</v>
      </c>
      <c r="F416" t="s">
        <v>1553</v>
      </c>
      <c r="G416" t="s">
        <v>23</v>
      </c>
      <c r="H416" s="1" t="s">
        <v>1571</v>
      </c>
      <c r="I416" t="s">
        <v>1579</v>
      </c>
      <c r="J416" s="2">
        <v>2895996</v>
      </c>
      <c r="L416" t="s">
        <v>1651</v>
      </c>
    </row>
    <row r="417" spans="1:12" x14ac:dyDescent="0.3">
      <c r="A417">
        <v>416</v>
      </c>
      <c r="B417" t="s">
        <v>395</v>
      </c>
      <c r="C417">
        <v>44112.65</v>
      </c>
      <c r="D417">
        <v>2020</v>
      </c>
      <c r="E417" t="s">
        <v>10</v>
      </c>
      <c r="F417" t="s">
        <v>1553</v>
      </c>
      <c r="G417" t="s">
        <v>15</v>
      </c>
      <c r="H417" s="1" t="s">
        <v>1562</v>
      </c>
      <c r="I417" t="s">
        <v>1579</v>
      </c>
      <c r="J417" s="2">
        <v>1976457</v>
      </c>
      <c r="L417" t="s">
        <v>1648</v>
      </c>
    </row>
    <row r="418" spans="1:12" x14ac:dyDescent="0.3">
      <c r="A418">
        <v>417</v>
      </c>
      <c r="B418" t="s">
        <v>396</v>
      </c>
      <c r="C418">
        <v>44113.414583333331</v>
      </c>
      <c r="D418">
        <v>2020</v>
      </c>
      <c r="E418" t="s">
        <v>10</v>
      </c>
      <c r="F418" t="s">
        <v>1553</v>
      </c>
      <c r="G418" t="s">
        <v>62</v>
      </c>
      <c r="H418" s="1" t="s">
        <v>1564</v>
      </c>
      <c r="I418" t="s">
        <v>1634</v>
      </c>
      <c r="J418" s="2">
        <v>1280672</v>
      </c>
      <c r="L418" t="s">
        <v>1649</v>
      </c>
    </row>
    <row r="419" spans="1:12" x14ac:dyDescent="0.3">
      <c r="A419">
        <v>418</v>
      </c>
      <c r="B419" t="s">
        <v>397</v>
      </c>
      <c r="C419">
        <v>44113.549305555556</v>
      </c>
      <c r="D419">
        <v>2020</v>
      </c>
      <c r="E419" t="s">
        <v>10</v>
      </c>
      <c r="F419" t="s">
        <v>1553</v>
      </c>
      <c r="G419" t="s">
        <v>49</v>
      </c>
      <c r="H419" s="1" t="s">
        <v>1575</v>
      </c>
      <c r="I419" t="s">
        <v>1579</v>
      </c>
      <c r="J419" s="2">
        <v>1979178</v>
      </c>
      <c r="L419" t="s">
        <v>1653</v>
      </c>
    </row>
    <row r="420" spans="1:12" x14ac:dyDescent="0.3">
      <c r="A420">
        <v>419</v>
      </c>
      <c r="B420" t="s">
        <v>398</v>
      </c>
      <c r="C420">
        <v>44113.671527777777</v>
      </c>
      <c r="D420">
        <v>2020</v>
      </c>
      <c r="E420" t="s">
        <v>10</v>
      </c>
      <c r="F420" t="s">
        <v>1553</v>
      </c>
      <c r="G420" t="s">
        <v>15</v>
      </c>
      <c r="H420" s="1" t="s">
        <v>1575</v>
      </c>
      <c r="I420" t="s">
        <v>1579</v>
      </c>
      <c r="J420" s="2">
        <v>4818644</v>
      </c>
      <c r="L420" t="s">
        <v>1651</v>
      </c>
    </row>
    <row r="421" spans="1:12" x14ac:dyDescent="0.3">
      <c r="A421">
        <v>420</v>
      </c>
      <c r="B421" t="s">
        <v>399</v>
      </c>
      <c r="C421">
        <v>44117.426388888889</v>
      </c>
      <c r="D421">
        <v>2020</v>
      </c>
      <c r="E421" t="s">
        <v>10</v>
      </c>
      <c r="F421" t="s">
        <v>1553</v>
      </c>
      <c r="G421" t="s">
        <v>15</v>
      </c>
      <c r="H421" s="1" t="s">
        <v>1575</v>
      </c>
      <c r="I421" t="s">
        <v>1579</v>
      </c>
      <c r="J421" s="2">
        <v>4639938</v>
      </c>
      <c r="L421" t="s">
        <v>1652</v>
      </c>
    </row>
    <row r="422" spans="1:12" x14ac:dyDescent="0.3">
      <c r="A422">
        <v>421</v>
      </c>
      <c r="B422" t="s">
        <v>400</v>
      </c>
      <c r="C422">
        <v>44117.45208333333</v>
      </c>
      <c r="D422">
        <v>2020</v>
      </c>
      <c r="E422" t="s">
        <v>10</v>
      </c>
      <c r="F422" t="s">
        <v>1553</v>
      </c>
      <c r="G422" t="s">
        <v>21</v>
      </c>
      <c r="H422" s="1" t="s">
        <v>1575</v>
      </c>
      <c r="I422" t="s">
        <v>1616</v>
      </c>
      <c r="J422" s="2">
        <v>2121984</v>
      </c>
      <c r="L422" t="s">
        <v>1652</v>
      </c>
    </row>
    <row r="423" spans="1:12" x14ac:dyDescent="0.3">
      <c r="A423">
        <v>422</v>
      </c>
      <c r="B423" t="s">
        <v>401</v>
      </c>
      <c r="C423">
        <v>44117.496527777781</v>
      </c>
      <c r="D423">
        <v>2020</v>
      </c>
      <c r="E423" t="s">
        <v>10</v>
      </c>
      <c r="F423" t="s">
        <v>1553</v>
      </c>
      <c r="G423" t="s">
        <v>11</v>
      </c>
      <c r="H423" s="1" t="s">
        <v>1575</v>
      </c>
      <c r="I423" t="s">
        <v>1577</v>
      </c>
      <c r="J423" s="2">
        <v>2998151</v>
      </c>
      <c r="K423" t="s">
        <v>12</v>
      </c>
      <c r="L423" t="s">
        <v>1652</v>
      </c>
    </row>
    <row r="424" spans="1:12" x14ac:dyDescent="0.3">
      <c r="A424">
        <v>423</v>
      </c>
      <c r="B424" t="s">
        <v>50</v>
      </c>
      <c r="C424">
        <v>44117.635416666664</v>
      </c>
      <c r="D424">
        <v>2020</v>
      </c>
      <c r="E424" t="s">
        <v>10</v>
      </c>
      <c r="F424" t="s">
        <v>1553</v>
      </c>
      <c r="G424" t="s">
        <v>11</v>
      </c>
      <c r="H424" s="1" t="s">
        <v>1575</v>
      </c>
      <c r="I424" t="s">
        <v>1591</v>
      </c>
      <c r="J424" s="2">
        <v>3129884</v>
      </c>
      <c r="L424" t="s">
        <v>1648</v>
      </c>
    </row>
    <row r="425" spans="1:12" x14ac:dyDescent="0.3">
      <c r="A425">
        <v>424</v>
      </c>
      <c r="B425" t="s">
        <v>402</v>
      </c>
      <c r="C425">
        <v>44117.657638888886</v>
      </c>
      <c r="D425">
        <v>2020</v>
      </c>
      <c r="E425" t="s">
        <v>10</v>
      </c>
      <c r="F425" t="s">
        <v>1553</v>
      </c>
      <c r="G425" t="s">
        <v>21</v>
      </c>
      <c r="H425" s="1" t="s">
        <v>1575</v>
      </c>
      <c r="I425" t="s">
        <v>1616</v>
      </c>
      <c r="J425" s="2">
        <v>4599917</v>
      </c>
      <c r="L425" t="s">
        <v>1653</v>
      </c>
    </row>
    <row r="426" spans="1:12" x14ac:dyDescent="0.3">
      <c r="A426">
        <v>425</v>
      </c>
      <c r="B426" t="s">
        <v>403</v>
      </c>
      <c r="C426">
        <v>44118.419444444444</v>
      </c>
      <c r="D426">
        <v>2020</v>
      </c>
      <c r="E426" t="s">
        <v>10</v>
      </c>
      <c r="F426" t="s">
        <v>1553</v>
      </c>
      <c r="G426" t="s">
        <v>18</v>
      </c>
      <c r="H426" s="1" t="s">
        <v>1575</v>
      </c>
      <c r="I426" t="s">
        <v>1579</v>
      </c>
      <c r="J426" s="2">
        <v>4629619</v>
      </c>
      <c r="L426" t="s">
        <v>1648</v>
      </c>
    </row>
    <row r="427" spans="1:12" x14ac:dyDescent="0.3">
      <c r="A427">
        <v>426</v>
      </c>
      <c r="B427" t="s">
        <v>404</v>
      </c>
      <c r="C427">
        <v>44118.456250000003</v>
      </c>
      <c r="D427">
        <v>2020</v>
      </c>
      <c r="E427" t="s">
        <v>10</v>
      </c>
      <c r="F427" t="s">
        <v>1553</v>
      </c>
      <c r="G427" t="s">
        <v>18</v>
      </c>
      <c r="H427" s="1" t="s">
        <v>1575</v>
      </c>
      <c r="I427" t="s">
        <v>1579</v>
      </c>
      <c r="J427" s="2">
        <v>1190127</v>
      </c>
      <c r="L427" t="s">
        <v>1650</v>
      </c>
    </row>
    <row r="428" spans="1:12" x14ac:dyDescent="0.3">
      <c r="A428">
        <v>427</v>
      </c>
      <c r="B428" t="s">
        <v>405</v>
      </c>
      <c r="C428">
        <v>44118.511111111111</v>
      </c>
      <c r="D428">
        <v>2020</v>
      </c>
      <c r="E428" t="s">
        <v>10</v>
      </c>
      <c r="F428" t="s">
        <v>1553</v>
      </c>
      <c r="G428" t="s">
        <v>18</v>
      </c>
      <c r="H428" s="1" t="s">
        <v>1575</v>
      </c>
      <c r="I428" t="s">
        <v>1579</v>
      </c>
      <c r="J428" s="2">
        <v>1890336</v>
      </c>
      <c r="L428" t="s">
        <v>1652</v>
      </c>
    </row>
    <row r="429" spans="1:12" x14ac:dyDescent="0.3">
      <c r="A429">
        <v>428</v>
      </c>
      <c r="B429" t="s">
        <v>406</v>
      </c>
      <c r="C429">
        <v>44120.406944444447</v>
      </c>
      <c r="D429">
        <v>2020</v>
      </c>
      <c r="E429" t="s">
        <v>10</v>
      </c>
      <c r="F429" t="s">
        <v>1553</v>
      </c>
      <c r="G429" t="s">
        <v>42</v>
      </c>
      <c r="H429" s="1" t="s">
        <v>1575</v>
      </c>
      <c r="I429" t="s">
        <v>1603</v>
      </c>
      <c r="J429" s="2">
        <v>1135801</v>
      </c>
      <c r="L429" t="s">
        <v>1650</v>
      </c>
    </row>
    <row r="430" spans="1:12" x14ac:dyDescent="0.3">
      <c r="A430">
        <v>429</v>
      </c>
      <c r="B430" t="s">
        <v>407</v>
      </c>
      <c r="C430">
        <v>44120.415277777778</v>
      </c>
      <c r="D430">
        <v>2020</v>
      </c>
      <c r="E430" t="s">
        <v>10</v>
      </c>
      <c r="F430" t="s">
        <v>1553</v>
      </c>
      <c r="G430" t="s">
        <v>15</v>
      </c>
      <c r="H430" s="1" t="s">
        <v>1575</v>
      </c>
      <c r="I430" t="s">
        <v>1587</v>
      </c>
      <c r="J430" s="2">
        <v>1868586</v>
      </c>
      <c r="K430" t="s">
        <v>12</v>
      </c>
      <c r="L430" t="s">
        <v>1651</v>
      </c>
    </row>
    <row r="431" spans="1:12" x14ac:dyDescent="0.3">
      <c r="A431">
        <v>430</v>
      </c>
      <c r="B431" t="s">
        <v>408</v>
      </c>
      <c r="C431">
        <v>44120.466666666667</v>
      </c>
      <c r="D431">
        <v>2020</v>
      </c>
      <c r="E431" t="s">
        <v>10</v>
      </c>
      <c r="F431" t="s">
        <v>1553</v>
      </c>
      <c r="G431" t="s">
        <v>23</v>
      </c>
      <c r="H431" s="1" t="s">
        <v>1575</v>
      </c>
      <c r="I431" t="s">
        <v>1579</v>
      </c>
      <c r="J431" s="2">
        <v>2796239</v>
      </c>
      <c r="L431" t="s">
        <v>1651</v>
      </c>
    </row>
    <row r="432" spans="1:12" x14ac:dyDescent="0.3">
      <c r="A432">
        <v>431</v>
      </c>
      <c r="B432" t="s">
        <v>50</v>
      </c>
      <c r="C432">
        <v>44120.470138888886</v>
      </c>
      <c r="D432">
        <v>2020</v>
      </c>
      <c r="E432" t="s">
        <v>10</v>
      </c>
      <c r="F432" t="s">
        <v>1553</v>
      </c>
      <c r="G432" t="s">
        <v>11</v>
      </c>
      <c r="H432" s="1" t="s">
        <v>1575</v>
      </c>
      <c r="I432" t="s">
        <v>1591</v>
      </c>
      <c r="J432" s="2">
        <v>1067639</v>
      </c>
      <c r="L432" t="s">
        <v>1652</v>
      </c>
    </row>
    <row r="433" spans="1:12" x14ac:dyDescent="0.3">
      <c r="A433">
        <v>432</v>
      </c>
      <c r="B433" t="s">
        <v>401</v>
      </c>
      <c r="C433">
        <v>44120.477777777778</v>
      </c>
      <c r="D433">
        <v>2020</v>
      </c>
      <c r="E433" t="s">
        <v>10</v>
      </c>
      <c r="F433" t="s">
        <v>1553</v>
      </c>
      <c r="G433" t="s">
        <v>11</v>
      </c>
      <c r="H433" s="1" t="s">
        <v>1575</v>
      </c>
      <c r="I433" t="s">
        <v>1577</v>
      </c>
      <c r="J433" s="2">
        <v>1044222</v>
      </c>
      <c r="K433" t="s">
        <v>12</v>
      </c>
      <c r="L433" t="s">
        <v>1648</v>
      </c>
    </row>
    <row r="434" spans="1:12" x14ac:dyDescent="0.3">
      <c r="A434">
        <v>433</v>
      </c>
      <c r="B434" t="s">
        <v>409</v>
      </c>
      <c r="C434">
        <v>44120.527777777781</v>
      </c>
      <c r="D434">
        <v>2020</v>
      </c>
      <c r="E434" t="s">
        <v>10</v>
      </c>
      <c r="F434" t="s">
        <v>1553</v>
      </c>
      <c r="G434" t="s">
        <v>11</v>
      </c>
      <c r="H434" s="1" t="s">
        <v>1575</v>
      </c>
      <c r="I434" t="s">
        <v>1577</v>
      </c>
      <c r="J434" s="2">
        <v>2984403</v>
      </c>
      <c r="K434" t="s">
        <v>12</v>
      </c>
      <c r="L434" t="s">
        <v>1653</v>
      </c>
    </row>
    <row r="435" spans="1:12" x14ac:dyDescent="0.3">
      <c r="A435">
        <v>434</v>
      </c>
      <c r="B435" t="s">
        <v>410</v>
      </c>
      <c r="C435">
        <v>44120.586805555555</v>
      </c>
      <c r="D435">
        <v>2020</v>
      </c>
      <c r="E435" t="s">
        <v>10</v>
      </c>
      <c r="F435" t="s">
        <v>1553</v>
      </c>
      <c r="G435" t="s">
        <v>11</v>
      </c>
      <c r="H435" s="1" t="s">
        <v>1575</v>
      </c>
      <c r="I435" t="s">
        <v>1577</v>
      </c>
      <c r="J435" s="2">
        <v>2085856</v>
      </c>
      <c r="K435" t="s">
        <v>12</v>
      </c>
      <c r="L435" t="s">
        <v>1651</v>
      </c>
    </row>
    <row r="436" spans="1:12" x14ac:dyDescent="0.3">
      <c r="A436">
        <v>435</v>
      </c>
      <c r="B436" t="s">
        <v>411</v>
      </c>
      <c r="C436">
        <v>44120.636805555558</v>
      </c>
      <c r="D436">
        <v>2020</v>
      </c>
      <c r="E436" t="s">
        <v>10</v>
      </c>
      <c r="F436" t="s">
        <v>1553</v>
      </c>
      <c r="G436" t="s">
        <v>18</v>
      </c>
      <c r="H436" s="1" t="s">
        <v>1575</v>
      </c>
      <c r="I436" t="s">
        <v>1579</v>
      </c>
      <c r="J436" s="2">
        <v>4644245</v>
      </c>
      <c r="L436" t="s">
        <v>1648</v>
      </c>
    </row>
    <row r="437" spans="1:12" x14ac:dyDescent="0.3">
      <c r="A437">
        <v>436</v>
      </c>
      <c r="B437" t="s">
        <v>412</v>
      </c>
      <c r="C437">
        <v>44120.790277777778</v>
      </c>
      <c r="D437">
        <v>2020</v>
      </c>
      <c r="E437" t="s">
        <v>10</v>
      </c>
      <c r="F437" t="s">
        <v>1553</v>
      </c>
      <c r="G437" t="s">
        <v>21</v>
      </c>
      <c r="H437" s="1" t="s">
        <v>1575</v>
      </c>
      <c r="I437" t="s">
        <v>1616</v>
      </c>
      <c r="J437" s="2">
        <v>2823515</v>
      </c>
      <c r="L437" t="s">
        <v>1653</v>
      </c>
    </row>
    <row r="438" spans="1:12" x14ac:dyDescent="0.3">
      <c r="A438">
        <v>437</v>
      </c>
      <c r="B438" t="s">
        <v>413</v>
      </c>
      <c r="C438">
        <v>44123.46597222222</v>
      </c>
      <c r="D438">
        <v>2020</v>
      </c>
      <c r="E438" t="s">
        <v>10</v>
      </c>
      <c r="F438" t="s">
        <v>1553</v>
      </c>
      <c r="G438" t="s">
        <v>15</v>
      </c>
      <c r="H438" s="1" t="s">
        <v>1575</v>
      </c>
      <c r="I438" t="s">
        <v>1579</v>
      </c>
      <c r="J438" s="2">
        <v>4414446</v>
      </c>
      <c r="L438" t="s">
        <v>1653</v>
      </c>
    </row>
    <row r="439" spans="1:12" x14ac:dyDescent="0.3">
      <c r="A439">
        <v>438</v>
      </c>
      <c r="B439" t="s">
        <v>415</v>
      </c>
      <c r="C439">
        <v>44123.616666666669</v>
      </c>
      <c r="D439">
        <v>2020</v>
      </c>
      <c r="E439" t="s">
        <v>10</v>
      </c>
      <c r="F439" t="s">
        <v>1553</v>
      </c>
      <c r="G439" t="s">
        <v>18</v>
      </c>
      <c r="H439" s="1" t="s">
        <v>1575</v>
      </c>
      <c r="I439" t="s">
        <v>1579</v>
      </c>
      <c r="J439" s="2">
        <v>1584496</v>
      </c>
      <c r="L439" t="s">
        <v>1651</v>
      </c>
    </row>
    <row r="440" spans="1:12" x14ac:dyDescent="0.3">
      <c r="A440">
        <v>439</v>
      </c>
      <c r="B440" t="s">
        <v>416</v>
      </c>
      <c r="C440">
        <v>44123.743750000001</v>
      </c>
      <c r="D440">
        <v>2020</v>
      </c>
      <c r="E440" t="s">
        <v>10</v>
      </c>
      <c r="F440" t="s">
        <v>1553</v>
      </c>
      <c r="G440" t="s">
        <v>21</v>
      </c>
      <c r="H440" s="1" t="s">
        <v>1575</v>
      </c>
      <c r="I440" t="s">
        <v>1616</v>
      </c>
      <c r="J440" s="2">
        <v>1745647</v>
      </c>
      <c r="L440" t="s">
        <v>1648</v>
      </c>
    </row>
    <row r="441" spans="1:12" x14ac:dyDescent="0.3">
      <c r="A441">
        <v>440</v>
      </c>
      <c r="B441" t="s">
        <v>417</v>
      </c>
      <c r="C441">
        <v>44124.406944444447</v>
      </c>
      <c r="D441">
        <v>2020</v>
      </c>
      <c r="E441" t="s">
        <v>10</v>
      </c>
      <c r="F441" t="s">
        <v>1553</v>
      </c>
      <c r="G441" t="s">
        <v>23</v>
      </c>
      <c r="H441" s="1" t="s">
        <v>1565</v>
      </c>
      <c r="I441" t="s">
        <v>1579</v>
      </c>
      <c r="J441" s="2">
        <v>2965283</v>
      </c>
      <c r="L441" t="s">
        <v>1649</v>
      </c>
    </row>
    <row r="442" spans="1:12" x14ac:dyDescent="0.3">
      <c r="A442">
        <v>441</v>
      </c>
      <c r="B442" t="s">
        <v>418</v>
      </c>
      <c r="C442">
        <v>44124.410416666666</v>
      </c>
      <c r="D442">
        <v>2020</v>
      </c>
      <c r="E442" t="s">
        <v>10</v>
      </c>
      <c r="F442" t="s">
        <v>1553</v>
      </c>
      <c r="G442" t="s">
        <v>23</v>
      </c>
      <c r="H442" s="1" t="s">
        <v>1565</v>
      </c>
      <c r="I442" t="s">
        <v>1579</v>
      </c>
      <c r="J442" s="2">
        <v>2646483</v>
      </c>
      <c r="L442" t="s">
        <v>1650</v>
      </c>
    </row>
    <row r="443" spans="1:12" x14ac:dyDescent="0.3">
      <c r="A443">
        <v>442</v>
      </c>
      <c r="B443" t="s">
        <v>419</v>
      </c>
      <c r="C443">
        <v>44124.429166666669</v>
      </c>
      <c r="D443">
        <v>2020</v>
      </c>
      <c r="E443" t="s">
        <v>10</v>
      </c>
      <c r="F443" t="s">
        <v>1553</v>
      </c>
      <c r="G443" t="s">
        <v>15</v>
      </c>
      <c r="H443" s="1" t="s">
        <v>1565</v>
      </c>
      <c r="I443" t="s">
        <v>1579</v>
      </c>
      <c r="J443" s="2">
        <v>1182976</v>
      </c>
      <c r="L443" t="s">
        <v>1648</v>
      </c>
    </row>
    <row r="444" spans="1:12" x14ac:dyDescent="0.3">
      <c r="A444">
        <v>443</v>
      </c>
      <c r="B444" t="s">
        <v>50</v>
      </c>
      <c r="C444">
        <v>44124.458333333336</v>
      </c>
      <c r="D444">
        <v>2020</v>
      </c>
      <c r="E444" t="s">
        <v>10</v>
      </c>
      <c r="F444" t="s">
        <v>1553</v>
      </c>
      <c r="G444" t="s">
        <v>15</v>
      </c>
      <c r="H444" s="1" t="s">
        <v>1565</v>
      </c>
      <c r="I444" t="s">
        <v>1454</v>
      </c>
      <c r="J444" s="2">
        <v>1257045</v>
      </c>
      <c r="L444" t="s">
        <v>1648</v>
      </c>
    </row>
    <row r="445" spans="1:12" x14ac:dyDescent="0.3">
      <c r="A445">
        <v>444</v>
      </c>
      <c r="B445" t="s">
        <v>420</v>
      </c>
      <c r="C445">
        <v>44124.476388888892</v>
      </c>
      <c r="D445">
        <v>2020</v>
      </c>
      <c r="E445" t="s">
        <v>10</v>
      </c>
      <c r="F445" t="s">
        <v>1553</v>
      </c>
      <c r="G445" t="s">
        <v>11</v>
      </c>
      <c r="H445" s="1" t="s">
        <v>1565</v>
      </c>
      <c r="I445" t="s">
        <v>1577</v>
      </c>
      <c r="J445" s="2">
        <v>4271229</v>
      </c>
      <c r="K445" t="s">
        <v>12</v>
      </c>
      <c r="L445" t="s">
        <v>1653</v>
      </c>
    </row>
    <row r="446" spans="1:12" x14ac:dyDescent="0.3">
      <c r="A446">
        <v>445</v>
      </c>
      <c r="B446" t="s">
        <v>421</v>
      </c>
      <c r="C446">
        <v>44124.493750000001</v>
      </c>
      <c r="D446">
        <v>2020</v>
      </c>
      <c r="E446" t="s">
        <v>10</v>
      </c>
      <c r="F446" t="s">
        <v>1553</v>
      </c>
      <c r="G446" t="s">
        <v>18</v>
      </c>
      <c r="H446" s="1" t="s">
        <v>1565</v>
      </c>
      <c r="I446" t="s">
        <v>1579</v>
      </c>
      <c r="J446" s="2">
        <v>1189664</v>
      </c>
      <c r="L446" t="s">
        <v>1653</v>
      </c>
    </row>
    <row r="447" spans="1:12" x14ac:dyDescent="0.3">
      <c r="A447">
        <v>446</v>
      </c>
      <c r="B447" t="s">
        <v>422</v>
      </c>
      <c r="C447">
        <v>44124.503472222219</v>
      </c>
      <c r="D447">
        <v>2020</v>
      </c>
      <c r="E447" t="s">
        <v>10</v>
      </c>
      <c r="F447" t="s">
        <v>1553</v>
      </c>
      <c r="G447" t="s">
        <v>15</v>
      </c>
      <c r="H447" s="1" t="s">
        <v>1565</v>
      </c>
      <c r="I447" t="s">
        <v>1579</v>
      </c>
      <c r="J447" s="2">
        <v>1880838</v>
      </c>
      <c r="L447" t="s">
        <v>1653</v>
      </c>
    </row>
    <row r="448" spans="1:12" x14ac:dyDescent="0.3">
      <c r="A448">
        <v>447</v>
      </c>
      <c r="B448" t="s">
        <v>423</v>
      </c>
      <c r="C448">
        <v>44124.508333333331</v>
      </c>
      <c r="D448">
        <v>2020</v>
      </c>
      <c r="E448" t="s">
        <v>10</v>
      </c>
      <c r="F448" t="s">
        <v>1553</v>
      </c>
      <c r="G448" t="s">
        <v>15</v>
      </c>
      <c r="H448" s="1" t="s">
        <v>1565</v>
      </c>
      <c r="I448" t="s">
        <v>1579</v>
      </c>
      <c r="J448" s="2">
        <v>3062665</v>
      </c>
      <c r="L448" t="s">
        <v>1653</v>
      </c>
    </row>
    <row r="449" spans="1:12" x14ac:dyDescent="0.3">
      <c r="A449">
        <v>448</v>
      </c>
      <c r="B449" t="s">
        <v>424</v>
      </c>
      <c r="C449">
        <v>44124.606249999997</v>
      </c>
      <c r="D449">
        <v>2020</v>
      </c>
      <c r="E449" t="s">
        <v>10</v>
      </c>
      <c r="F449" t="s">
        <v>391</v>
      </c>
      <c r="G449" t="s">
        <v>11</v>
      </c>
      <c r="H449" s="1" t="s">
        <v>1565</v>
      </c>
      <c r="I449" t="s">
        <v>1577</v>
      </c>
      <c r="J449" s="2">
        <v>1816897</v>
      </c>
      <c r="K449" t="s">
        <v>12</v>
      </c>
      <c r="L449" t="s">
        <v>1648</v>
      </c>
    </row>
    <row r="450" spans="1:12" x14ac:dyDescent="0.3">
      <c r="A450">
        <v>449</v>
      </c>
      <c r="B450" t="s">
        <v>425</v>
      </c>
      <c r="C450">
        <v>44124.617361111108</v>
      </c>
      <c r="D450">
        <v>2020</v>
      </c>
      <c r="E450" t="s">
        <v>10</v>
      </c>
      <c r="F450" t="s">
        <v>29</v>
      </c>
      <c r="G450" t="s">
        <v>15</v>
      </c>
      <c r="H450" s="1" t="s">
        <v>1566</v>
      </c>
      <c r="I450" t="s">
        <v>1579</v>
      </c>
      <c r="J450" s="2">
        <v>2903494</v>
      </c>
      <c r="L450" t="s">
        <v>1650</v>
      </c>
    </row>
    <row r="451" spans="1:12" x14ac:dyDescent="0.3">
      <c r="A451">
        <v>450</v>
      </c>
      <c r="B451" t="s">
        <v>426</v>
      </c>
      <c r="C451">
        <v>44124.631944444445</v>
      </c>
      <c r="D451">
        <v>2020</v>
      </c>
      <c r="E451" t="s">
        <v>10</v>
      </c>
      <c r="F451" t="s">
        <v>29</v>
      </c>
      <c r="G451" t="s">
        <v>15</v>
      </c>
      <c r="H451" s="1" t="s">
        <v>1571</v>
      </c>
      <c r="I451" t="s">
        <v>1579</v>
      </c>
      <c r="J451" s="2">
        <v>3681482</v>
      </c>
      <c r="L451" t="s">
        <v>1652</v>
      </c>
    </row>
    <row r="452" spans="1:12" x14ac:dyDescent="0.3">
      <c r="A452">
        <v>451</v>
      </c>
      <c r="B452" t="s">
        <v>427</v>
      </c>
      <c r="C452">
        <v>44124.640277777777</v>
      </c>
      <c r="D452">
        <v>2020</v>
      </c>
      <c r="E452" t="s">
        <v>10</v>
      </c>
      <c r="F452" t="s">
        <v>29</v>
      </c>
      <c r="G452" t="s">
        <v>15</v>
      </c>
      <c r="H452" s="1" t="s">
        <v>1572</v>
      </c>
      <c r="I452" t="s">
        <v>1579</v>
      </c>
      <c r="J452" s="2">
        <v>1815576</v>
      </c>
      <c r="L452" t="s">
        <v>1653</v>
      </c>
    </row>
    <row r="453" spans="1:12" x14ac:dyDescent="0.3">
      <c r="A453">
        <v>452</v>
      </c>
      <c r="B453" t="s">
        <v>428</v>
      </c>
      <c r="C453">
        <v>44124.646527777775</v>
      </c>
      <c r="D453">
        <v>2020</v>
      </c>
      <c r="E453" t="s">
        <v>10</v>
      </c>
      <c r="F453" t="s">
        <v>29</v>
      </c>
      <c r="G453" t="s">
        <v>15</v>
      </c>
      <c r="H453" s="1" t="s">
        <v>1566</v>
      </c>
      <c r="I453" t="s">
        <v>1579</v>
      </c>
      <c r="J453" s="2">
        <v>4400230</v>
      </c>
      <c r="L453" t="s">
        <v>1649</v>
      </c>
    </row>
    <row r="454" spans="1:12" x14ac:dyDescent="0.3">
      <c r="A454">
        <v>453</v>
      </c>
      <c r="B454" t="s">
        <v>429</v>
      </c>
      <c r="C454">
        <v>44125.412499999999</v>
      </c>
      <c r="D454">
        <v>2020</v>
      </c>
      <c r="E454" t="s">
        <v>10</v>
      </c>
      <c r="F454" t="s">
        <v>29</v>
      </c>
      <c r="G454" t="s">
        <v>15</v>
      </c>
      <c r="H454" s="1" t="s">
        <v>1568</v>
      </c>
      <c r="I454" t="s">
        <v>1579</v>
      </c>
      <c r="J454" s="2">
        <v>1915085</v>
      </c>
      <c r="L454" t="s">
        <v>1648</v>
      </c>
    </row>
    <row r="455" spans="1:12" x14ac:dyDescent="0.3">
      <c r="A455">
        <v>454</v>
      </c>
      <c r="B455" t="s">
        <v>430</v>
      </c>
      <c r="C455">
        <v>44125.464583333334</v>
      </c>
      <c r="D455">
        <v>2020</v>
      </c>
      <c r="E455" t="s">
        <v>10</v>
      </c>
      <c r="F455" t="s">
        <v>1553</v>
      </c>
      <c r="G455" t="s">
        <v>290</v>
      </c>
      <c r="H455" s="1" t="s">
        <v>1568</v>
      </c>
      <c r="I455" t="s">
        <v>1579</v>
      </c>
      <c r="J455" s="2">
        <v>1620426</v>
      </c>
      <c r="L455" t="s">
        <v>1653</v>
      </c>
    </row>
    <row r="456" spans="1:12" x14ac:dyDescent="0.3">
      <c r="A456">
        <v>455</v>
      </c>
      <c r="B456" t="s">
        <v>431</v>
      </c>
      <c r="C456">
        <v>44125.593055555553</v>
      </c>
      <c r="D456">
        <v>2020</v>
      </c>
      <c r="E456" t="s">
        <v>10</v>
      </c>
      <c r="F456" t="s">
        <v>1553</v>
      </c>
      <c r="G456" t="s">
        <v>62</v>
      </c>
      <c r="H456" s="1" t="s">
        <v>1570</v>
      </c>
      <c r="I456" t="s">
        <v>1579</v>
      </c>
      <c r="J456" s="2">
        <v>1287410</v>
      </c>
      <c r="L456" t="s">
        <v>1648</v>
      </c>
    </row>
    <row r="457" spans="1:12" x14ac:dyDescent="0.3">
      <c r="A457">
        <v>456</v>
      </c>
      <c r="B457" t="s">
        <v>432</v>
      </c>
      <c r="C457">
        <v>44125.65902777778</v>
      </c>
      <c r="D457">
        <v>2020</v>
      </c>
      <c r="E457" t="s">
        <v>10</v>
      </c>
      <c r="F457" t="s">
        <v>1553</v>
      </c>
      <c r="G457" t="s">
        <v>57</v>
      </c>
      <c r="H457" s="1" t="s">
        <v>1573</v>
      </c>
      <c r="I457" t="s">
        <v>1622</v>
      </c>
      <c r="J457" s="2">
        <v>2298319</v>
      </c>
      <c r="L457" t="s">
        <v>1652</v>
      </c>
    </row>
    <row r="458" spans="1:12" x14ac:dyDescent="0.3">
      <c r="A458">
        <v>457</v>
      </c>
      <c r="B458" t="s">
        <v>433</v>
      </c>
      <c r="C458">
        <v>44126.674305555556</v>
      </c>
      <c r="D458">
        <v>2020</v>
      </c>
      <c r="E458" t="s">
        <v>10</v>
      </c>
      <c r="F458" t="s">
        <v>1553</v>
      </c>
      <c r="G458" t="s">
        <v>15</v>
      </c>
      <c r="H458" s="1" t="s">
        <v>1563</v>
      </c>
      <c r="I458" t="s">
        <v>1579</v>
      </c>
      <c r="J458" s="2">
        <v>2858748</v>
      </c>
      <c r="L458" t="s">
        <v>1653</v>
      </c>
    </row>
    <row r="459" spans="1:12" x14ac:dyDescent="0.3">
      <c r="A459">
        <v>458</v>
      </c>
      <c r="B459" t="s">
        <v>434</v>
      </c>
      <c r="C459">
        <v>44126.708333333336</v>
      </c>
      <c r="D459">
        <v>2020</v>
      </c>
      <c r="E459" t="s">
        <v>10</v>
      </c>
      <c r="F459" t="s">
        <v>1553</v>
      </c>
      <c r="G459" t="s">
        <v>15</v>
      </c>
      <c r="H459" s="1" t="s">
        <v>1572</v>
      </c>
      <c r="I459" t="s">
        <v>1579</v>
      </c>
      <c r="J459" s="2">
        <v>2524121</v>
      </c>
      <c r="L459" t="s">
        <v>1650</v>
      </c>
    </row>
    <row r="460" spans="1:12" x14ac:dyDescent="0.3">
      <c r="A460">
        <v>459</v>
      </c>
      <c r="B460" t="s">
        <v>435</v>
      </c>
      <c r="C460">
        <v>44127.476388888892</v>
      </c>
      <c r="D460">
        <v>2020</v>
      </c>
      <c r="E460" t="s">
        <v>10</v>
      </c>
      <c r="F460" t="s">
        <v>1553</v>
      </c>
      <c r="G460" t="s">
        <v>18</v>
      </c>
      <c r="H460" s="1" t="s">
        <v>1575</v>
      </c>
      <c r="I460" t="s">
        <v>1579</v>
      </c>
      <c r="J460" s="2">
        <v>4370325</v>
      </c>
      <c r="L460" t="s">
        <v>1649</v>
      </c>
    </row>
    <row r="461" spans="1:12" x14ac:dyDescent="0.3">
      <c r="A461">
        <v>460</v>
      </c>
      <c r="B461" t="s">
        <v>436</v>
      </c>
      <c r="C461">
        <v>44127.662499999999</v>
      </c>
      <c r="D461">
        <v>2020</v>
      </c>
      <c r="E461" t="s">
        <v>10</v>
      </c>
      <c r="F461" t="s">
        <v>1553</v>
      </c>
      <c r="G461" t="s">
        <v>18</v>
      </c>
      <c r="H461" s="1" t="s">
        <v>1575</v>
      </c>
      <c r="I461" t="s">
        <v>1579</v>
      </c>
      <c r="J461" s="2">
        <v>1742870</v>
      </c>
      <c r="L461" t="s">
        <v>1649</v>
      </c>
    </row>
    <row r="462" spans="1:12" x14ac:dyDescent="0.3">
      <c r="A462">
        <v>461</v>
      </c>
      <c r="B462" t="s">
        <v>437</v>
      </c>
      <c r="C462">
        <v>44130.506249999999</v>
      </c>
      <c r="D462">
        <v>2020</v>
      </c>
      <c r="E462" t="s">
        <v>10</v>
      </c>
      <c r="F462" t="s">
        <v>1553</v>
      </c>
      <c r="G462" t="s">
        <v>229</v>
      </c>
      <c r="H462" s="1" t="s">
        <v>1575</v>
      </c>
      <c r="I462" t="s">
        <v>1635</v>
      </c>
      <c r="J462" s="2">
        <v>3515339</v>
      </c>
      <c r="L462" t="s">
        <v>1649</v>
      </c>
    </row>
    <row r="463" spans="1:12" x14ac:dyDescent="0.3">
      <c r="A463">
        <v>462</v>
      </c>
      <c r="B463" t="s">
        <v>438</v>
      </c>
      <c r="C463">
        <v>44130.626388888886</v>
      </c>
      <c r="D463">
        <v>2020</v>
      </c>
      <c r="E463" t="s">
        <v>10</v>
      </c>
      <c r="F463" t="s">
        <v>1553</v>
      </c>
      <c r="G463" t="s">
        <v>221</v>
      </c>
      <c r="H463" s="1" t="s">
        <v>1565</v>
      </c>
      <c r="I463" t="s">
        <v>1579</v>
      </c>
      <c r="J463" s="2">
        <v>3922899</v>
      </c>
      <c r="L463" t="s">
        <v>1651</v>
      </c>
    </row>
    <row r="464" spans="1:12" x14ac:dyDescent="0.3">
      <c r="A464">
        <v>463</v>
      </c>
      <c r="B464" t="s">
        <v>439</v>
      </c>
      <c r="C464">
        <v>44131.378472222219</v>
      </c>
      <c r="D464">
        <v>2020</v>
      </c>
      <c r="E464" t="s">
        <v>10</v>
      </c>
      <c r="F464" t="s">
        <v>1553</v>
      </c>
      <c r="G464" t="s">
        <v>290</v>
      </c>
      <c r="H464" s="1" t="s">
        <v>1565</v>
      </c>
      <c r="I464" t="s">
        <v>1579</v>
      </c>
      <c r="J464" s="2">
        <v>4250078</v>
      </c>
      <c r="L464" t="s">
        <v>1648</v>
      </c>
    </row>
    <row r="465" spans="1:12" x14ac:dyDescent="0.3">
      <c r="A465">
        <v>464</v>
      </c>
      <c r="B465" t="s">
        <v>50</v>
      </c>
      <c r="C465">
        <v>44131.413194444445</v>
      </c>
      <c r="D465">
        <v>2020</v>
      </c>
      <c r="E465" t="s">
        <v>10</v>
      </c>
      <c r="F465" t="s">
        <v>29</v>
      </c>
      <c r="G465" t="s">
        <v>15</v>
      </c>
      <c r="H465" s="1" t="s">
        <v>1565</v>
      </c>
      <c r="I465" t="s">
        <v>1454</v>
      </c>
      <c r="J465" s="2">
        <v>1850271</v>
      </c>
      <c r="L465" t="s">
        <v>1649</v>
      </c>
    </row>
    <row r="466" spans="1:12" x14ac:dyDescent="0.3">
      <c r="A466">
        <v>465</v>
      </c>
      <c r="B466" t="s">
        <v>440</v>
      </c>
      <c r="C466">
        <v>44131.536805555559</v>
      </c>
      <c r="D466">
        <v>2020</v>
      </c>
      <c r="E466" t="s">
        <v>10</v>
      </c>
      <c r="F466" t="s">
        <v>29</v>
      </c>
      <c r="G466" t="s">
        <v>15</v>
      </c>
      <c r="H466" s="1" t="s">
        <v>1565</v>
      </c>
      <c r="I466" t="s">
        <v>1579</v>
      </c>
      <c r="J466" s="2">
        <v>2303470</v>
      </c>
      <c r="L466" t="s">
        <v>1648</v>
      </c>
    </row>
    <row r="467" spans="1:12" x14ac:dyDescent="0.3">
      <c r="A467">
        <v>466</v>
      </c>
      <c r="B467" t="s">
        <v>349</v>
      </c>
      <c r="C467">
        <v>44131.673611111109</v>
      </c>
      <c r="D467">
        <v>2020</v>
      </c>
      <c r="E467" t="s">
        <v>10</v>
      </c>
      <c r="F467" t="s">
        <v>29</v>
      </c>
      <c r="G467" t="s">
        <v>15</v>
      </c>
      <c r="H467" s="1" t="s">
        <v>1565</v>
      </c>
      <c r="I467" t="s">
        <v>1579</v>
      </c>
      <c r="J467" s="2">
        <v>1499705</v>
      </c>
      <c r="L467" t="s">
        <v>1649</v>
      </c>
    </row>
    <row r="468" spans="1:12" x14ac:dyDescent="0.3">
      <c r="A468">
        <v>467</v>
      </c>
      <c r="B468" t="s">
        <v>441</v>
      </c>
      <c r="C468">
        <v>44131.694444444445</v>
      </c>
      <c r="D468">
        <v>2020</v>
      </c>
      <c r="E468" t="s">
        <v>10</v>
      </c>
      <c r="F468" t="s">
        <v>20</v>
      </c>
      <c r="G468" t="s">
        <v>21</v>
      </c>
      <c r="H468" s="1" t="s">
        <v>1565</v>
      </c>
      <c r="I468" t="s">
        <v>1616</v>
      </c>
      <c r="J468" s="2">
        <v>3228448</v>
      </c>
      <c r="L468" t="s">
        <v>1651</v>
      </c>
    </row>
    <row r="469" spans="1:12" x14ac:dyDescent="0.3">
      <c r="A469">
        <v>468</v>
      </c>
      <c r="B469" t="s">
        <v>442</v>
      </c>
      <c r="C469">
        <v>44131.847916666666</v>
      </c>
      <c r="D469">
        <v>2020</v>
      </c>
      <c r="E469" t="s">
        <v>10</v>
      </c>
      <c r="F469" t="s">
        <v>20</v>
      </c>
      <c r="G469" t="s">
        <v>21</v>
      </c>
      <c r="H469" s="1" t="s">
        <v>1565</v>
      </c>
      <c r="I469" t="s">
        <v>1616</v>
      </c>
      <c r="J469" s="2">
        <v>1106766</v>
      </c>
      <c r="L469" t="s">
        <v>1651</v>
      </c>
    </row>
    <row r="470" spans="1:12" x14ac:dyDescent="0.3">
      <c r="A470">
        <v>469</v>
      </c>
      <c r="B470" t="s">
        <v>443</v>
      </c>
      <c r="C470">
        <v>44131.855555555558</v>
      </c>
      <c r="D470">
        <v>2020</v>
      </c>
      <c r="E470" t="s">
        <v>10</v>
      </c>
      <c r="F470" t="s">
        <v>1554</v>
      </c>
      <c r="G470" t="s">
        <v>21</v>
      </c>
      <c r="H470" s="1" t="s">
        <v>1565</v>
      </c>
      <c r="I470" t="s">
        <v>1616</v>
      </c>
      <c r="J470" s="2">
        <v>4402047</v>
      </c>
      <c r="L470" t="s">
        <v>1650</v>
      </c>
    </row>
    <row r="471" spans="1:12" x14ac:dyDescent="0.3">
      <c r="A471">
        <v>470</v>
      </c>
      <c r="B471" t="s">
        <v>444</v>
      </c>
      <c r="C471">
        <v>44131.85833333333</v>
      </c>
      <c r="D471">
        <v>2020</v>
      </c>
      <c r="E471" t="s">
        <v>10</v>
      </c>
      <c r="F471" t="s">
        <v>1554</v>
      </c>
      <c r="G471" t="s">
        <v>21</v>
      </c>
      <c r="H471" s="1" t="s">
        <v>1565</v>
      </c>
      <c r="I471" t="s">
        <v>1616</v>
      </c>
      <c r="J471" s="2">
        <v>4511057</v>
      </c>
      <c r="L471" t="s">
        <v>1652</v>
      </c>
    </row>
    <row r="472" spans="1:12" x14ac:dyDescent="0.3">
      <c r="A472">
        <v>471</v>
      </c>
      <c r="B472" t="s">
        <v>445</v>
      </c>
      <c r="C472">
        <v>44132.484027777777</v>
      </c>
      <c r="D472">
        <v>2020</v>
      </c>
      <c r="E472" t="s">
        <v>10</v>
      </c>
      <c r="F472" t="s">
        <v>1554</v>
      </c>
      <c r="G472" t="s">
        <v>67</v>
      </c>
      <c r="H472" s="1" t="s">
        <v>1565</v>
      </c>
      <c r="I472" t="s">
        <v>1616</v>
      </c>
      <c r="J472" s="2">
        <v>3547190</v>
      </c>
      <c r="L472" t="s">
        <v>1653</v>
      </c>
    </row>
    <row r="473" spans="1:12" x14ac:dyDescent="0.3">
      <c r="A473">
        <v>472</v>
      </c>
      <c r="B473" t="s">
        <v>446</v>
      </c>
      <c r="C473">
        <v>44132.504166666666</v>
      </c>
      <c r="D473">
        <v>2020</v>
      </c>
      <c r="E473" t="s">
        <v>10</v>
      </c>
      <c r="F473" t="s">
        <v>1554</v>
      </c>
      <c r="G473" t="s">
        <v>15</v>
      </c>
      <c r="H473" s="1" t="s">
        <v>1565</v>
      </c>
      <c r="I473" t="s">
        <v>1579</v>
      </c>
      <c r="J473" s="2">
        <v>1050753</v>
      </c>
      <c r="L473" t="s">
        <v>1650</v>
      </c>
    </row>
    <row r="474" spans="1:12" x14ac:dyDescent="0.3">
      <c r="A474">
        <v>473</v>
      </c>
      <c r="B474" t="s">
        <v>447</v>
      </c>
      <c r="C474">
        <v>44132.618750000001</v>
      </c>
      <c r="D474">
        <v>2020</v>
      </c>
      <c r="E474" t="s">
        <v>10</v>
      </c>
      <c r="F474" t="s">
        <v>1554</v>
      </c>
      <c r="G474" t="s">
        <v>11</v>
      </c>
      <c r="H474" s="1" t="s">
        <v>1565</v>
      </c>
      <c r="I474" t="s">
        <v>1577</v>
      </c>
      <c r="J474" s="2">
        <v>1062392</v>
      </c>
      <c r="K474" t="s">
        <v>12</v>
      </c>
      <c r="L474" t="s">
        <v>1649</v>
      </c>
    </row>
    <row r="475" spans="1:12" x14ac:dyDescent="0.3">
      <c r="A475">
        <v>474</v>
      </c>
      <c r="B475" t="s">
        <v>448</v>
      </c>
      <c r="C475">
        <v>44132.656944444447</v>
      </c>
      <c r="D475">
        <v>2020</v>
      </c>
      <c r="E475" t="s">
        <v>10</v>
      </c>
      <c r="F475" t="s">
        <v>1554</v>
      </c>
      <c r="G475" t="s">
        <v>15</v>
      </c>
      <c r="H475" s="1" t="s">
        <v>1565</v>
      </c>
      <c r="I475" t="s">
        <v>1579</v>
      </c>
      <c r="J475" s="2">
        <v>4623216</v>
      </c>
      <c r="L475" t="s">
        <v>1651</v>
      </c>
    </row>
    <row r="476" spans="1:12" x14ac:dyDescent="0.3">
      <c r="A476">
        <v>475</v>
      </c>
      <c r="B476" t="s">
        <v>449</v>
      </c>
      <c r="C476">
        <v>44133.472916666666</v>
      </c>
      <c r="D476">
        <v>2020</v>
      </c>
      <c r="E476" t="s">
        <v>10</v>
      </c>
      <c r="F476" t="s">
        <v>1554</v>
      </c>
      <c r="G476" t="s">
        <v>44</v>
      </c>
      <c r="H476" s="1" t="s">
        <v>1565</v>
      </c>
      <c r="I476" t="s">
        <v>1636</v>
      </c>
      <c r="J476" s="2">
        <v>3961297</v>
      </c>
      <c r="L476" t="s">
        <v>1649</v>
      </c>
    </row>
    <row r="477" spans="1:12" x14ac:dyDescent="0.3">
      <c r="A477">
        <v>476</v>
      </c>
      <c r="B477" t="s">
        <v>450</v>
      </c>
      <c r="C477">
        <v>44133.533333333333</v>
      </c>
      <c r="D477">
        <v>2020</v>
      </c>
      <c r="E477" t="s">
        <v>10</v>
      </c>
      <c r="F477" t="s">
        <v>1554</v>
      </c>
      <c r="G477" t="s">
        <v>290</v>
      </c>
      <c r="H477" s="1" t="s">
        <v>1565</v>
      </c>
      <c r="I477" t="s">
        <v>1579</v>
      </c>
      <c r="J477" s="2">
        <v>4494961</v>
      </c>
      <c r="L477" t="s">
        <v>1648</v>
      </c>
    </row>
    <row r="478" spans="1:12" x14ac:dyDescent="0.3">
      <c r="A478">
        <v>477</v>
      </c>
      <c r="B478" t="s">
        <v>451</v>
      </c>
      <c r="C478">
        <v>44134.499305555553</v>
      </c>
      <c r="D478">
        <v>2020</v>
      </c>
      <c r="E478" t="s">
        <v>10</v>
      </c>
      <c r="F478" t="s">
        <v>1554</v>
      </c>
      <c r="G478" t="s">
        <v>62</v>
      </c>
      <c r="H478" s="1" t="s">
        <v>1565</v>
      </c>
      <c r="I478" t="s">
        <v>1579</v>
      </c>
      <c r="J478" s="2">
        <v>2026357</v>
      </c>
      <c r="L478" t="s">
        <v>1653</v>
      </c>
    </row>
    <row r="479" spans="1:12" x14ac:dyDescent="0.3">
      <c r="A479">
        <v>478</v>
      </c>
      <c r="B479" t="s">
        <v>452</v>
      </c>
      <c r="C479">
        <v>44134.645138888889</v>
      </c>
      <c r="D479">
        <v>2020</v>
      </c>
      <c r="E479" t="s">
        <v>10</v>
      </c>
      <c r="F479" t="s">
        <v>1554</v>
      </c>
      <c r="G479" t="s">
        <v>290</v>
      </c>
      <c r="H479" s="1" t="s">
        <v>1565</v>
      </c>
      <c r="I479" t="s">
        <v>1579</v>
      </c>
      <c r="J479" s="2">
        <v>4636589</v>
      </c>
      <c r="L479" t="s">
        <v>1651</v>
      </c>
    </row>
    <row r="480" spans="1:12" x14ac:dyDescent="0.3">
      <c r="A480">
        <v>479</v>
      </c>
      <c r="B480" t="s">
        <v>453</v>
      </c>
      <c r="C480">
        <v>44134.754166666666</v>
      </c>
      <c r="D480">
        <v>2020</v>
      </c>
      <c r="E480" t="s">
        <v>10</v>
      </c>
      <c r="F480" t="s">
        <v>1554</v>
      </c>
      <c r="G480" t="s">
        <v>15</v>
      </c>
      <c r="H480" s="1" t="s">
        <v>1565</v>
      </c>
      <c r="I480" t="s">
        <v>1579</v>
      </c>
      <c r="J480" s="2">
        <v>2880734</v>
      </c>
      <c r="L480" t="s">
        <v>1649</v>
      </c>
    </row>
    <row r="481" spans="1:12" x14ac:dyDescent="0.3">
      <c r="A481">
        <v>480</v>
      </c>
      <c r="B481" t="s">
        <v>454</v>
      </c>
      <c r="C481">
        <v>44138.469444444447</v>
      </c>
      <c r="D481">
        <v>2020</v>
      </c>
      <c r="E481" t="s">
        <v>10</v>
      </c>
      <c r="F481" t="s">
        <v>1554</v>
      </c>
      <c r="G481" t="s">
        <v>11</v>
      </c>
      <c r="H481" s="1" t="s">
        <v>1565</v>
      </c>
      <c r="I481" t="s">
        <v>1577</v>
      </c>
      <c r="J481" s="2">
        <v>3738249</v>
      </c>
      <c r="K481" t="s">
        <v>12</v>
      </c>
      <c r="L481" t="s">
        <v>1653</v>
      </c>
    </row>
    <row r="482" spans="1:12" x14ac:dyDescent="0.3">
      <c r="A482">
        <v>481</v>
      </c>
      <c r="B482" t="s">
        <v>455</v>
      </c>
      <c r="C482">
        <v>44138.543055555558</v>
      </c>
      <c r="D482">
        <v>2020</v>
      </c>
      <c r="E482" t="s">
        <v>10</v>
      </c>
      <c r="F482" t="s">
        <v>1554</v>
      </c>
      <c r="G482" t="s">
        <v>15</v>
      </c>
      <c r="H482" s="1" t="s">
        <v>1565</v>
      </c>
      <c r="I482" t="s">
        <v>1579</v>
      </c>
      <c r="J482" s="2">
        <v>2944418</v>
      </c>
      <c r="L482" t="s">
        <v>1653</v>
      </c>
    </row>
    <row r="483" spans="1:12" x14ac:dyDescent="0.3">
      <c r="A483">
        <v>482</v>
      </c>
      <c r="B483" t="s">
        <v>420</v>
      </c>
      <c r="C483">
        <v>44138.646527777775</v>
      </c>
      <c r="D483">
        <v>2020</v>
      </c>
      <c r="E483" t="s">
        <v>10</v>
      </c>
      <c r="F483" t="s">
        <v>1554</v>
      </c>
      <c r="G483" t="s">
        <v>11</v>
      </c>
      <c r="H483" s="1" t="s">
        <v>1565</v>
      </c>
      <c r="I483" t="s">
        <v>1577</v>
      </c>
      <c r="J483" s="2">
        <v>3528307</v>
      </c>
      <c r="K483" t="s">
        <v>12</v>
      </c>
      <c r="L483" t="s">
        <v>1648</v>
      </c>
    </row>
    <row r="484" spans="1:12" x14ac:dyDescent="0.3">
      <c r="A484">
        <v>483</v>
      </c>
      <c r="B484" t="s">
        <v>456</v>
      </c>
      <c r="C484">
        <v>44140.357638888891</v>
      </c>
      <c r="D484">
        <v>2020</v>
      </c>
      <c r="E484" t="s">
        <v>10</v>
      </c>
      <c r="F484" t="s">
        <v>1554</v>
      </c>
      <c r="G484" t="s">
        <v>18</v>
      </c>
      <c r="H484" s="1" t="s">
        <v>1565</v>
      </c>
      <c r="I484" t="s">
        <v>1579</v>
      </c>
      <c r="J484" s="2">
        <v>2738381</v>
      </c>
      <c r="L484" t="s">
        <v>1650</v>
      </c>
    </row>
    <row r="485" spans="1:12" x14ac:dyDescent="0.3">
      <c r="A485">
        <v>484</v>
      </c>
      <c r="B485" t="s">
        <v>457</v>
      </c>
      <c r="C485">
        <v>44140.392361111109</v>
      </c>
      <c r="D485">
        <v>2020</v>
      </c>
      <c r="E485" t="s">
        <v>10</v>
      </c>
      <c r="F485" t="s">
        <v>1554</v>
      </c>
      <c r="G485" t="s">
        <v>18</v>
      </c>
      <c r="H485" s="1" t="s">
        <v>1565</v>
      </c>
      <c r="I485" t="s">
        <v>1582</v>
      </c>
      <c r="J485" s="2">
        <v>2381627</v>
      </c>
      <c r="K485" t="s">
        <v>16</v>
      </c>
      <c r="L485" t="s">
        <v>1651</v>
      </c>
    </row>
    <row r="486" spans="1:12" x14ac:dyDescent="0.3">
      <c r="A486">
        <v>485</v>
      </c>
      <c r="B486" t="s">
        <v>458</v>
      </c>
      <c r="C486">
        <v>44140.604166666664</v>
      </c>
      <c r="D486">
        <v>2020</v>
      </c>
      <c r="E486" t="s">
        <v>10</v>
      </c>
      <c r="F486" t="s">
        <v>1554</v>
      </c>
      <c r="G486" t="s">
        <v>11</v>
      </c>
      <c r="H486" s="1" t="s">
        <v>1565</v>
      </c>
      <c r="I486" t="s">
        <v>1577</v>
      </c>
      <c r="J486" s="2">
        <v>1755592</v>
      </c>
      <c r="K486" t="s">
        <v>12</v>
      </c>
      <c r="L486" t="s">
        <v>1648</v>
      </c>
    </row>
    <row r="487" spans="1:12" x14ac:dyDescent="0.3">
      <c r="A487">
        <v>486</v>
      </c>
      <c r="B487" t="s">
        <v>459</v>
      </c>
      <c r="C487">
        <v>44140.606249999997</v>
      </c>
      <c r="D487">
        <v>2020</v>
      </c>
      <c r="E487" t="s">
        <v>10</v>
      </c>
      <c r="F487" t="s">
        <v>1554</v>
      </c>
      <c r="G487" t="s">
        <v>11</v>
      </c>
      <c r="H487" s="1" t="s">
        <v>1565</v>
      </c>
      <c r="I487" t="s">
        <v>1577</v>
      </c>
      <c r="J487" s="2">
        <v>1444884</v>
      </c>
      <c r="K487" t="s">
        <v>12</v>
      </c>
      <c r="L487" t="s">
        <v>1652</v>
      </c>
    </row>
    <row r="488" spans="1:12" x14ac:dyDescent="0.3">
      <c r="A488">
        <v>487</v>
      </c>
      <c r="B488" t="s">
        <v>460</v>
      </c>
      <c r="C488">
        <v>44140.607638888891</v>
      </c>
      <c r="D488">
        <v>2020</v>
      </c>
      <c r="E488" t="s">
        <v>10</v>
      </c>
      <c r="F488" t="s">
        <v>1554</v>
      </c>
      <c r="G488" t="s">
        <v>11</v>
      </c>
      <c r="H488" s="1" t="s">
        <v>1565</v>
      </c>
      <c r="I488" t="s">
        <v>1577</v>
      </c>
      <c r="J488" s="2">
        <v>2335669</v>
      </c>
      <c r="K488" t="s">
        <v>12</v>
      </c>
      <c r="L488" t="s">
        <v>1653</v>
      </c>
    </row>
    <row r="489" spans="1:12" x14ac:dyDescent="0.3">
      <c r="A489">
        <v>488</v>
      </c>
      <c r="B489" t="s">
        <v>410</v>
      </c>
      <c r="C489">
        <v>44140.609027777777</v>
      </c>
      <c r="D489">
        <v>2020</v>
      </c>
      <c r="E489" t="s">
        <v>10</v>
      </c>
      <c r="F489" t="s">
        <v>1554</v>
      </c>
      <c r="G489" t="s">
        <v>11</v>
      </c>
      <c r="H489" s="1" t="s">
        <v>1563</v>
      </c>
      <c r="I489" t="s">
        <v>1577</v>
      </c>
      <c r="J489" s="2">
        <v>4204311</v>
      </c>
      <c r="K489" t="s">
        <v>12</v>
      </c>
      <c r="L489" t="s">
        <v>1651</v>
      </c>
    </row>
    <row r="490" spans="1:12" x14ac:dyDescent="0.3">
      <c r="A490">
        <v>489</v>
      </c>
      <c r="B490" t="s">
        <v>461</v>
      </c>
      <c r="C490">
        <v>44140.619444444441</v>
      </c>
      <c r="D490">
        <v>2020</v>
      </c>
      <c r="E490" t="s">
        <v>10</v>
      </c>
      <c r="F490" t="s">
        <v>1554</v>
      </c>
      <c r="G490" t="s">
        <v>11</v>
      </c>
      <c r="H490" s="1" t="s">
        <v>1564</v>
      </c>
      <c r="I490" t="s">
        <v>1577</v>
      </c>
      <c r="J490" s="2">
        <v>3351495</v>
      </c>
      <c r="K490" t="s">
        <v>12</v>
      </c>
      <c r="L490" t="s">
        <v>1651</v>
      </c>
    </row>
    <row r="491" spans="1:12" x14ac:dyDescent="0.3">
      <c r="A491">
        <v>490</v>
      </c>
      <c r="B491" t="s">
        <v>461</v>
      </c>
      <c r="C491">
        <v>44140.620138888888</v>
      </c>
      <c r="D491">
        <v>2020</v>
      </c>
      <c r="E491" t="s">
        <v>10</v>
      </c>
      <c r="F491" t="s">
        <v>1554</v>
      </c>
      <c r="G491" t="s">
        <v>11</v>
      </c>
      <c r="H491" s="1" t="s">
        <v>1574</v>
      </c>
      <c r="I491" t="s">
        <v>1577</v>
      </c>
      <c r="J491" s="2">
        <v>2350395</v>
      </c>
      <c r="K491" t="s">
        <v>12</v>
      </c>
      <c r="L491" t="s">
        <v>1649</v>
      </c>
    </row>
    <row r="492" spans="1:12" x14ac:dyDescent="0.3">
      <c r="A492">
        <v>491</v>
      </c>
      <c r="B492" t="s">
        <v>462</v>
      </c>
      <c r="C492">
        <v>44140.640277777777</v>
      </c>
      <c r="D492">
        <v>2020</v>
      </c>
      <c r="E492" t="s">
        <v>10</v>
      </c>
      <c r="F492" t="s">
        <v>1554</v>
      </c>
      <c r="G492" t="s">
        <v>57</v>
      </c>
      <c r="H492" s="1" t="s">
        <v>1570</v>
      </c>
      <c r="I492" t="s">
        <v>1636</v>
      </c>
      <c r="J492" s="2">
        <v>3784528</v>
      </c>
      <c r="L492" t="s">
        <v>1650</v>
      </c>
    </row>
    <row r="493" spans="1:12" x14ac:dyDescent="0.3">
      <c r="A493">
        <v>492</v>
      </c>
      <c r="B493" t="s">
        <v>463</v>
      </c>
      <c r="C493">
        <v>44141.440972222219</v>
      </c>
      <c r="D493">
        <v>2020</v>
      </c>
      <c r="E493" t="s">
        <v>10</v>
      </c>
      <c r="F493" t="s">
        <v>1554</v>
      </c>
      <c r="G493" t="s">
        <v>18</v>
      </c>
      <c r="H493" s="1" t="s">
        <v>1573</v>
      </c>
      <c r="I493" t="s">
        <v>1579</v>
      </c>
      <c r="J493" s="2">
        <v>1387851</v>
      </c>
      <c r="L493" t="s">
        <v>1651</v>
      </c>
    </row>
    <row r="494" spans="1:12" x14ac:dyDescent="0.3">
      <c r="A494">
        <v>493</v>
      </c>
      <c r="B494" t="s">
        <v>464</v>
      </c>
      <c r="C494">
        <v>44141.489583333336</v>
      </c>
      <c r="D494">
        <v>2020</v>
      </c>
      <c r="E494" t="s">
        <v>10</v>
      </c>
      <c r="F494" t="s">
        <v>1554</v>
      </c>
      <c r="G494" t="s">
        <v>18</v>
      </c>
      <c r="H494" s="1" t="s">
        <v>1575</v>
      </c>
      <c r="I494" t="s">
        <v>1579</v>
      </c>
      <c r="J494" s="2">
        <v>4369700</v>
      </c>
      <c r="L494" t="s">
        <v>1650</v>
      </c>
    </row>
    <row r="495" spans="1:12" x14ac:dyDescent="0.3">
      <c r="A495">
        <v>494</v>
      </c>
      <c r="B495" t="s">
        <v>465</v>
      </c>
      <c r="C495">
        <v>44141.681944444441</v>
      </c>
      <c r="D495">
        <v>2020</v>
      </c>
      <c r="E495" t="s">
        <v>10</v>
      </c>
      <c r="F495" t="s">
        <v>1554</v>
      </c>
      <c r="G495" t="s">
        <v>229</v>
      </c>
      <c r="H495" s="1" t="s">
        <v>1565</v>
      </c>
      <c r="I495" t="s">
        <v>1635</v>
      </c>
      <c r="J495" s="2">
        <v>1636877</v>
      </c>
      <c r="L495" t="s">
        <v>1651</v>
      </c>
    </row>
    <row r="496" spans="1:12" x14ac:dyDescent="0.3">
      <c r="A496">
        <v>495</v>
      </c>
      <c r="B496" t="s">
        <v>466</v>
      </c>
      <c r="C496">
        <v>44141.685416666667</v>
      </c>
      <c r="D496">
        <v>2020</v>
      </c>
      <c r="E496" t="s">
        <v>10</v>
      </c>
      <c r="F496" t="s">
        <v>1554</v>
      </c>
      <c r="G496" t="s">
        <v>15</v>
      </c>
      <c r="H496" s="1" t="s">
        <v>1573</v>
      </c>
      <c r="I496" t="s">
        <v>1579</v>
      </c>
      <c r="J496" s="2">
        <v>3841007</v>
      </c>
      <c r="L496" t="s">
        <v>1653</v>
      </c>
    </row>
    <row r="497" spans="1:12" x14ac:dyDescent="0.3">
      <c r="A497">
        <v>496</v>
      </c>
      <c r="B497" t="s">
        <v>467</v>
      </c>
      <c r="C497">
        <v>44141.695138888892</v>
      </c>
      <c r="D497">
        <v>2020</v>
      </c>
      <c r="E497" t="s">
        <v>10</v>
      </c>
      <c r="F497" t="s">
        <v>1554</v>
      </c>
      <c r="G497" t="s">
        <v>15</v>
      </c>
      <c r="H497" s="1" t="s">
        <v>1571</v>
      </c>
      <c r="I497" t="s">
        <v>1579</v>
      </c>
      <c r="J497" s="2">
        <v>2742205</v>
      </c>
      <c r="L497" t="s">
        <v>1653</v>
      </c>
    </row>
    <row r="498" spans="1:12" x14ac:dyDescent="0.3">
      <c r="A498">
        <v>497</v>
      </c>
      <c r="B498" t="s">
        <v>468</v>
      </c>
      <c r="C498">
        <v>44141.713194444441</v>
      </c>
      <c r="D498">
        <v>2020</v>
      </c>
      <c r="E498" t="s">
        <v>10</v>
      </c>
      <c r="F498" t="s">
        <v>1554</v>
      </c>
      <c r="G498" t="s">
        <v>15</v>
      </c>
      <c r="H498" s="1" t="s">
        <v>1574</v>
      </c>
      <c r="I498" t="s">
        <v>1579</v>
      </c>
      <c r="J498" s="2">
        <v>4642191</v>
      </c>
      <c r="L498" t="s">
        <v>1648</v>
      </c>
    </row>
    <row r="499" spans="1:12" x14ac:dyDescent="0.3">
      <c r="A499">
        <v>498</v>
      </c>
      <c r="B499" t="s">
        <v>50</v>
      </c>
      <c r="C499">
        <v>44141.724305555559</v>
      </c>
      <c r="D499">
        <v>2020</v>
      </c>
      <c r="E499" t="s">
        <v>10</v>
      </c>
      <c r="F499" t="s">
        <v>1554</v>
      </c>
      <c r="G499" t="s">
        <v>15</v>
      </c>
      <c r="H499" s="1" t="s">
        <v>1563</v>
      </c>
      <c r="I499" t="s">
        <v>1454</v>
      </c>
      <c r="J499" s="2">
        <v>2247301</v>
      </c>
      <c r="L499" t="s">
        <v>1649</v>
      </c>
    </row>
    <row r="500" spans="1:12" x14ac:dyDescent="0.3">
      <c r="A500">
        <v>499</v>
      </c>
      <c r="B500" t="s">
        <v>50</v>
      </c>
      <c r="C500">
        <v>44141.731249999997</v>
      </c>
      <c r="D500">
        <v>2020</v>
      </c>
      <c r="E500" t="s">
        <v>10</v>
      </c>
      <c r="F500" t="s">
        <v>1554</v>
      </c>
      <c r="G500" t="s">
        <v>15</v>
      </c>
      <c r="H500" s="1" t="s">
        <v>1562</v>
      </c>
      <c r="I500" t="s">
        <v>1454</v>
      </c>
      <c r="J500" s="2">
        <v>2154696</v>
      </c>
      <c r="L500" t="s">
        <v>1650</v>
      </c>
    </row>
    <row r="501" spans="1:12" x14ac:dyDescent="0.3">
      <c r="A501">
        <v>500</v>
      </c>
      <c r="B501" t="s">
        <v>50</v>
      </c>
      <c r="C501">
        <v>44141.736111111109</v>
      </c>
      <c r="D501">
        <v>2020</v>
      </c>
      <c r="E501" t="s">
        <v>10</v>
      </c>
      <c r="F501" t="s">
        <v>1554</v>
      </c>
      <c r="G501" t="s">
        <v>15</v>
      </c>
      <c r="H501" s="1" t="s">
        <v>1564</v>
      </c>
      <c r="I501" t="s">
        <v>1454</v>
      </c>
      <c r="J501" s="2">
        <v>3456690</v>
      </c>
      <c r="L501" t="s">
        <v>1648</v>
      </c>
    </row>
    <row r="502" spans="1:12" x14ac:dyDescent="0.3">
      <c r="A502">
        <v>501</v>
      </c>
      <c r="B502" t="s">
        <v>50</v>
      </c>
      <c r="C502">
        <v>44141.740972222222</v>
      </c>
      <c r="D502">
        <v>2020</v>
      </c>
      <c r="E502" t="s">
        <v>10</v>
      </c>
      <c r="F502" t="s">
        <v>1554</v>
      </c>
      <c r="G502" t="s">
        <v>15</v>
      </c>
      <c r="H502" s="1" t="s">
        <v>1569</v>
      </c>
      <c r="I502" t="s">
        <v>1454</v>
      </c>
      <c r="J502" s="2">
        <v>3067120</v>
      </c>
      <c r="L502" t="s">
        <v>1651</v>
      </c>
    </row>
    <row r="503" spans="1:12" x14ac:dyDescent="0.3">
      <c r="A503">
        <v>502</v>
      </c>
      <c r="B503" t="s">
        <v>469</v>
      </c>
      <c r="C503">
        <v>44141.743750000001</v>
      </c>
      <c r="D503">
        <v>2020</v>
      </c>
      <c r="E503" t="s">
        <v>10</v>
      </c>
      <c r="F503" t="s">
        <v>29</v>
      </c>
      <c r="G503" t="s">
        <v>15</v>
      </c>
      <c r="H503" s="1" t="s">
        <v>1566</v>
      </c>
      <c r="I503" t="s">
        <v>1579</v>
      </c>
      <c r="J503" s="2">
        <v>3798788</v>
      </c>
      <c r="L503" t="s">
        <v>1648</v>
      </c>
    </row>
    <row r="504" spans="1:12" x14ac:dyDescent="0.3">
      <c r="A504">
        <v>503</v>
      </c>
      <c r="B504" t="s">
        <v>470</v>
      </c>
      <c r="C504">
        <v>44141.752083333333</v>
      </c>
      <c r="D504">
        <v>2020</v>
      </c>
      <c r="E504" t="s">
        <v>10</v>
      </c>
      <c r="F504" t="s">
        <v>29</v>
      </c>
      <c r="G504" t="s">
        <v>15</v>
      </c>
      <c r="H504" s="1" t="s">
        <v>1567</v>
      </c>
      <c r="I504" t="s">
        <v>1579</v>
      </c>
      <c r="J504" s="2">
        <v>3568087</v>
      </c>
      <c r="L504" t="s">
        <v>1651</v>
      </c>
    </row>
    <row r="505" spans="1:12" x14ac:dyDescent="0.3">
      <c r="A505">
        <v>504</v>
      </c>
      <c r="B505" t="s">
        <v>471</v>
      </c>
      <c r="C505">
        <v>44144.616666666669</v>
      </c>
      <c r="D505">
        <v>2020</v>
      </c>
      <c r="E505" t="s">
        <v>10</v>
      </c>
      <c r="F505" t="s">
        <v>391</v>
      </c>
      <c r="G505" t="s">
        <v>11</v>
      </c>
      <c r="H505" s="1" t="s">
        <v>1567</v>
      </c>
      <c r="I505" t="s">
        <v>1577</v>
      </c>
      <c r="J505" s="2">
        <v>2676099</v>
      </c>
      <c r="K505" t="s">
        <v>12</v>
      </c>
      <c r="L505" t="s">
        <v>1649</v>
      </c>
    </row>
    <row r="506" spans="1:12" x14ac:dyDescent="0.3">
      <c r="A506">
        <v>505</v>
      </c>
      <c r="B506" t="s">
        <v>472</v>
      </c>
      <c r="C506">
        <v>44144.624305555553</v>
      </c>
      <c r="D506">
        <v>2020</v>
      </c>
      <c r="E506" t="s">
        <v>10</v>
      </c>
      <c r="F506" t="s">
        <v>391</v>
      </c>
      <c r="G506" t="s">
        <v>11</v>
      </c>
      <c r="H506" s="1" t="s">
        <v>1568</v>
      </c>
      <c r="I506" t="s">
        <v>1577</v>
      </c>
      <c r="J506" s="2">
        <v>4794298</v>
      </c>
      <c r="K506" t="s">
        <v>12</v>
      </c>
      <c r="L506" t="s">
        <v>1651</v>
      </c>
    </row>
    <row r="507" spans="1:12" x14ac:dyDescent="0.3">
      <c r="A507">
        <v>506</v>
      </c>
      <c r="B507" t="s">
        <v>349</v>
      </c>
      <c r="C507">
        <v>44145.625694444447</v>
      </c>
      <c r="D507">
        <v>2020</v>
      </c>
      <c r="E507" t="s">
        <v>10</v>
      </c>
      <c r="F507" t="s">
        <v>29</v>
      </c>
      <c r="G507" t="s">
        <v>15</v>
      </c>
      <c r="H507" s="1" t="s">
        <v>1564</v>
      </c>
      <c r="I507" t="s">
        <v>1579</v>
      </c>
      <c r="J507" s="2">
        <v>4221326</v>
      </c>
      <c r="L507" t="s">
        <v>1650</v>
      </c>
    </row>
    <row r="508" spans="1:12" x14ac:dyDescent="0.3">
      <c r="A508">
        <v>507</v>
      </c>
      <c r="B508" t="s">
        <v>473</v>
      </c>
      <c r="C508">
        <v>44145.64166666667</v>
      </c>
      <c r="D508">
        <v>2020</v>
      </c>
      <c r="E508" t="s">
        <v>10</v>
      </c>
      <c r="F508" t="s">
        <v>29</v>
      </c>
      <c r="G508" t="s">
        <v>15</v>
      </c>
      <c r="H508" s="1" t="s">
        <v>1568</v>
      </c>
      <c r="I508" t="s">
        <v>1579</v>
      </c>
      <c r="J508" s="2">
        <v>1602584</v>
      </c>
      <c r="L508" t="s">
        <v>1652</v>
      </c>
    </row>
    <row r="509" spans="1:12" x14ac:dyDescent="0.3">
      <c r="A509">
        <v>508</v>
      </c>
      <c r="B509" t="s">
        <v>474</v>
      </c>
      <c r="C509">
        <v>44145.652083333334</v>
      </c>
      <c r="D509">
        <v>2020</v>
      </c>
      <c r="E509" t="s">
        <v>10</v>
      </c>
      <c r="F509" t="s">
        <v>391</v>
      </c>
      <c r="G509" t="s">
        <v>11</v>
      </c>
      <c r="H509" s="1" t="s">
        <v>1575</v>
      </c>
      <c r="I509" t="s">
        <v>1577</v>
      </c>
      <c r="J509" s="2">
        <v>2659787</v>
      </c>
      <c r="K509" t="s">
        <v>12</v>
      </c>
      <c r="L509" t="s">
        <v>1650</v>
      </c>
    </row>
    <row r="510" spans="1:12" x14ac:dyDescent="0.3">
      <c r="A510">
        <v>509</v>
      </c>
      <c r="B510" t="s">
        <v>475</v>
      </c>
      <c r="C510">
        <v>44145.65625</v>
      </c>
      <c r="D510">
        <v>2020</v>
      </c>
      <c r="E510" t="s">
        <v>10</v>
      </c>
      <c r="F510" t="s">
        <v>1561</v>
      </c>
      <c r="G510" t="s">
        <v>11</v>
      </c>
      <c r="H510" s="1" t="s">
        <v>1567</v>
      </c>
      <c r="I510" t="s">
        <v>1577</v>
      </c>
      <c r="J510" s="2">
        <v>3307241</v>
      </c>
      <c r="K510" t="s">
        <v>12</v>
      </c>
      <c r="L510" t="s">
        <v>1651</v>
      </c>
    </row>
    <row r="511" spans="1:12" x14ac:dyDescent="0.3">
      <c r="A511">
        <v>510</v>
      </c>
      <c r="B511" t="s">
        <v>476</v>
      </c>
      <c r="C511">
        <v>44146.426388888889</v>
      </c>
      <c r="D511">
        <v>2020</v>
      </c>
      <c r="E511" t="s">
        <v>10</v>
      </c>
      <c r="F511" t="s">
        <v>1561</v>
      </c>
      <c r="G511" t="s">
        <v>18</v>
      </c>
      <c r="H511" s="1" t="s">
        <v>1573</v>
      </c>
      <c r="I511" t="s">
        <v>1579</v>
      </c>
      <c r="J511" s="2">
        <v>4741349</v>
      </c>
      <c r="L511" t="s">
        <v>1648</v>
      </c>
    </row>
    <row r="512" spans="1:12" x14ac:dyDescent="0.3">
      <c r="A512">
        <v>511</v>
      </c>
      <c r="B512" t="s">
        <v>477</v>
      </c>
      <c r="C512">
        <v>44146.447916666664</v>
      </c>
      <c r="D512">
        <v>2020</v>
      </c>
      <c r="E512" t="s">
        <v>10</v>
      </c>
      <c r="F512" t="s">
        <v>1561</v>
      </c>
      <c r="G512" t="s">
        <v>18</v>
      </c>
      <c r="H512" s="1" t="s">
        <v>1563</v>
      </c>
      <c r="I512" t="s">
        <v>1579</v>
      </c>
      <c r="J512" s="2">
        <v>3099313</v>
      </c>
      <c r="L512" t="s">
        <v>1653</v>
      </c>
    </row>
    <row r="513" spans="1:12" x14ac:dyDescent="0.3">
      <c r="A513">
        <v>512</v>
      </c>
      <c r="B513" t="s">
        <v>478</v>
      </c>
      <c r="C513">
        <v>44146.493055555555</v>
      </c>
      <c r="D513">
        <v>2020</v>
      </c>
      <c r="E513" t="s">
        <v>10</v>
      </c>
      <c r="F513" t="s">
        <v>1561</v>
      </c>
      <c r="G513" t="s">
        <v>15</v>
      </c>
      <c r="H513" s="1" t="s">
        <v>1564</v>
      </c>
      <c r="I513" t="s">
        <v>1579</v>
      </c>
      <c r="J513" s="2">
        <v>4125011</v>
      </c>
      <c r="L513" t="s">
        <v>1653</v>
      </c>
    </row>
    <row r="514" spans="1:12" x14ac:dyDescent="0.3">
      <c r="A514">
        <v>513</v>
      </c>
      <c r="B514" t="s">
        <v>309</v>
      </c>
      <c r="C514">
        <v>44146.67083333333</v>
      </c>
      <c r="D514">
        <v>2020</v>
      </c>
      <c r="E514" t="s">
        <v>10</v>
      </c>
      <c r="F514" t="s">
        <v>1558</v>
      </c>
      <c r="G514" t="s">
        <v>42</v>
      </c>
      <c r="H514" s="1" t="s">
        <v>1562</v>
      </c>
      <c r="I514" t="s">
        <v>1579</v>
      </c>
      <c r="J514" s="2">
        <v>1968806</v>
      </c>
      <c r="L514" t="s">
        <v>1651</v>
      </c>
    </row>
    <row r="515" spans="1:12" x14ac:dyDescent="0.3">
      <c r="A515">
        <v>514</v>
      </c>
      <c r="B515" t="s">
        <v>479</v>
      </c>
      <c r="C515">
        <v>44147.53125</v>
      </c>
      <c r="D515">
        <v>2020</v>
      </c>
      <c r="E515" t="s">
        <v>10</v>
      </c>
      <c r="F515" t="s">
        <v>29</v>
      </c>
      <c r="G515" t="s">
        <v>15</v>
      </c>
      <c r="H515" s="1" t="s">
        <v>1572</v>
      </c>
      <c r="I515" t="s">
        <v>1579</v>
      </c>
      <c r="J515" s="2">
        <v>3975846</v>
      </c>
      <c r="L515" t="s">
        <v>1652</v>
      </c>
    </row>
    <row r="516" spans="1:12" x14ac:dyDescent="0.3">
      <c r="A516">
        <v>515</v>
      </c>
      <c r="B516" t="s">
        <v>50</v>
      </c>
      <c r="C516">
        <v>44147.588888888888</v>
      </c>
      <c r="D516">
        <v>2020</v>
      </c>
      <c r="E516" t="s">
        <v>10</v>
      </c>
      <c r="F516" t="s">
        <v>1558</v>
      </c>
      <c r="G516" t="s">
        <v>42</v>
      </c>
      <c r="H516" s="1" t="s">
        <v>1564</v>
      </c>
      <c r="I516" t="s">
        <v>1591</v>
      </c>
      <c r="J516" s="2">
        <v>2557303</v>
      </c>
      <c r="L516" t="s">
        <v>1648</v>
      </c>
    </row>
    <row r="517" spans="1:12" x14ac:dyDescent="0.3">
      <c r="A517">
        <v>516</v>
      </c>
      <c r="B517" t="s">
        <v>480</v>
      </c>
      <c r="C517">
        <v>44147.613194444442</v>
      </c>
      <c r="D517">
        <v>2020</v>
      </c>
      <c r="E517" t="s">
        <v>10</v>
      </c>
      <c r="F517" t="s">
        <v>1552</v>
      </c>
      <c r="G517" t="s">
        <v>18</v>
      </c>
      <c r="H517" s="1" t="s">
        <v>1566</v>
      </c>
      <c r="I517" t="s">
        <v>1579</v>
      </c>
      <c r="J517" s="2">
        <v>2197337</v>
      </c>
      <c r="L517" t="s">
        <v>1648</v>
      </c>
    </row>
    <row r="518" spans="1:12" x14ac:dyDescent="0.3">
      <c r="A518">
        <v>517</v>
      </c>
      <c r="B518" t="s">
        <v>481</v>
      </c>
      <c r="C518">
        <v>44148.434027777781</v>
      </c>
      <c r="D518">
        <v>2020</v>
      </c>
      <c r="E518" t="s">
        <v>10</v>
      </c>
      <c r="F518" t="s">
        <v>1553</v>
      </c>
      <c r="G518" t="s">
        <v>290</v>
      </c>
      <c r="H518" s="1" t="s">
        <v>1570</v>
      </c>
      <c r="I518" t="s">
        <v>1579</v>
      </c>
      <c r="J518" s="2">
        <v>3554337</v>
      </c>
      <c r="L518" t="s">
        <v>1653</v>
      </c>
    </row>
    <row r="519" spans="1:12" x14ac:dyDescent="0.3">
      <c r="A519">
        <v>518</v>
      </c>
      <c r="B519" t="s">
        <v>482</v>
      </c>
      <c r="C519">
        <v>44148.654166666667</v>
      </c>
      <c r="D519">
        <v>2020</v>
      </c>
      <c r="E519" t="s">
        <v>10</v>
      </c>
      <c r="F519" t="s">
        <v>1553</v>
      </c>
      <c r="G519" t="s">
        <v>15</v>
      </c>
      <c r="H519" s="1" t="s">
        <v>1571</v>
      </c>
      <c r="I519" t="s">
        <v>1579</v>
      </c>
      <c r="J519" s="2">
        <v>1683728</v>
      </c>
      <c r="L519" t="s">
        <v>1652</v>
      </c>
    </row>
    <row r="520" spans="1:12" x14ac:dyDescent="0.3">
      <c r="A520">
        <v>519</v>
      </c>
      <c r="B520" t="s">
        <v>483</v>
      </c>
      <c r="C520">
        <v>44152.463194444441</v>
      </c>
      <c r="D520">
        <v>2020</v>
      </c>
      <c r="E520" t="s">
        <v>10</v>
      </c>
      <c r="F520" t="s">
        <v>1553</v>
      </c>
      <c r="G520" t="s">
        <v>15</v>
      </c>
      <c r="H520" s="1" t="s">
        <v>1563</v>
      </c>
      <c r="I520" t="s">
        <v>1579</v>
      </c>
      <c r="J520" s="2">
        <v>3166867</v>
      </c>
      <c r="L520" t="s">
        <v>1650</v>
      </c>
    </row>
    <row r="521" spans="1:12" x14ac:dyDescent="0.3">
      <c r="A521">
        <v>520</v>
      </c>
      <c r="B521" t="s">
        <v>484</v>
      </c>
      <c r="C521">
        <v>44152.463888888888</v>
      </c>
      <c r="D521">
        <v>2020</v>
      </c>
      <c r="E521" t="s">
        <v>10</v>
      </c>
      <c r="F521" t="s">
        <v>1553</v>
      </c>
      <c r="G521" t="s">
        <v>18</v>
      </c>
      <c r="H521" s="1" t="s">
        <v>1574</v>
      </c>
      <c r="I521" t="s">
        <v>1579</v>
      </c>
      <c r="J521" s="2">
        <v>1046043</v>
      </c>
      <c r="L521" t="s">
        <v>1652</v>
      </c>
    </row>
    <row r="522" spans="1:12" x14ac:dyDescent="0.3">
      <c r="A522">
        <v>521</v>
      </c>
      <c r="B522" t="s">
        <v>485</v>
      </c>
      <c r="C522">
        <v>44152.472222222219</v>
      </c>
      <c r="D522">
        <v>2020</v>
      </c>
      <c r="E522" t="s">
        <v>10</v>
      </c>
      <c r="F522" t="s">
        <v>1553</v>
      </c>
      <c r="G522" t="s">
        <v>15</v>
      </c>
      <c r="H522" s="1" t="s">
        <v>1566</v>
      </c>
      <c r="I522" t="s">
        <v>1579</v>
      </c>
      <c r="J522" s="2">
        <v>963746</v>
      </c>
      <c r="L522" t="s">
        <v>1648</v>
      </c>
    </row>
    <row r="523" spans="1:12" x14ac:dyDescent="0.3">
      <c r="A523">
        <v>522</v>
      </c>
      <c r="B523" t="s">
        <v>486</v>
      </c>
      <c r="C523">
        <v>44152.474999999999</v>
      </c>
      <c r="D523">
        <v>2020</v>
      </c>
      <c r="E523" t="s">
        <v>10</v>
      </c>
      <c r="F523" t="s">
        <v>1553</v>
      </c>
      <c r="G523" t="s">
        <v>15</v>
      </c>
      <c r="H523" s="1" t="s">
        <v>1563</v>
      </c>
      <c r="I523" t="s">
        <v>1579</v>
      </c>
      <c r="J523" s="2">
        <v>1105380</v>
      </c>
      <c r="L523" t="s">
        <v>1653</v>
      </c>
    </row>
    <row r="524" spans="1:12" x14ac:dyDescent="0.3">
      <c r="A524">
        <v>523</v>
      </c>
      <c r="B524" t="s">
        <v>487</v>
      </c>
      <c r="C524">
        <v>44152.478472222225</v>
      </c>
      <c r="D524">
        <v>2020</v>
      </c>
      <c r="E524" t="s">
        <v>10</v>
      </c>
      <c r="F524" t="s">
        <v>1553</v>
      </c>
      <c r="G524" t="s">
        <v>15</v>
      </c>
      <c r="H524" s="1" t="s">
        <v>1565</v>
      </c>
      <c r="I524" t="s">
        <v>1598</v>
      </c>
      <c r="J524" s="2">
        <v>3809437</v>
      </c>
      <c r="K524" t="s">
        <v>53</v>
      </c>
      <c r="L524" t="s">
        <v>1653</v>
      </c>
    </row>
    <row r="525" spans="1:12" x14ac:dyDescent="0.3">
      <c r="A525">
        <v>524</v>
      </c>
      <c r="B525" t="s">
        <v>488</v>
      </c>
      <c r="C525">
        <v>44152.522222222222</v>
      </c>
      <c r="D525">
        <v>2020</v>
      </c>
      <c r="E525" t="s">
        <v>10</v>
      </c>
      <c r="F525" t="s">
        <v>1553</v>
      </c>
      <c r="G525" t="s">
        <v>290</v>
      </c>
      <c r="H525" s="1" t="s">
        <v>1565</v>
      </c>
      <c r="I525" t="s">
        <v>1579</v>
      </c>
      <c r="J525" s="2">
        <v>3500455</v>
      </c>
      <c r="L525" t="s">
        <v>1653</v>
      </c>
    </row>
    <row r="526" spans="1:12" x14ac:dyDescent="0.3">
      <c r="A526">
        <v>525</v>
      </c>
      <c r="B526" t="s">
        <v>489</v>
      </c>
      <c r="C526">
        <v>44152.627083333333</v>
      </c>
      <c r="D526">
        <v>2020</v>
      </c>
      <c r="E526" t="s">
        <v>10</v>
      </c>
      <c r="F526" t="s">
        <v>1553</v>
      </c>
      <c r="G526" t="s">
        <v>15</v>
      </c>
      <c r="H526" s="1" t="s">
        <v>1565</v>
      </c>
      <c r="I526" t="s">
        <v>1579</v>
      </c>
      <c r="J526" s="2">
        <v>2937812</v>
      </c>
      <c r="L526" t="s">
        <v>1653</v>
      </c>
    </row>
    <row r="527" spans="1:12" x14ac:dyDescent="0.3">
      <c r="A527">
        <v>526</v>
      </c>
      <c r="B527" t="s">
        <v>490</v>
      </c>
      <c r="C527">
        <v>44152.634027777778</v>
      </c>
      <c r="D527">
        <v>2020</v>
      </c>
      <c r="E527" t="s">
        <v>10</v>
      </c>
      <c r="F527" t="s">
        <v>1553</v>
      </c>
      <c r="G527" t="s">
        <v>15</v>
      </c>
      <c r="H527" s="1" t="s">
        <v>1565</v>
      </c>
      <c r="I527" t="s">
        <v>1579</v>
      </c>
      <c r="J527" s="2">
        <v>1526687</v>
      </c>
      <c r="L527" t="s">
        <v>1651</v>
      </c>
    </row>
    <row r="528" spans="1:12" x14ac:dyDescent="0.3">
      <c r="A528">
        <v>527</v>
      </c>
      <c r="B528" t="s">
        <v>491</v>
      </c>
      <c r="C528">
        <v>44152.634722222225</v>
      </c>
      <c r="D528">
        <v>2020</v>
      </c>
      <c r="E528" t="s">
        <v>10</v>
      </c>
      <c r="F528" t="s">
        <v>1553</v>
      </c>
      <c r="G528" t="s">
        <v>67</v>
      </c>
      <c r="H528" s="1" t="s">
        <v>1565</v>
      </c>
      <c r="I528" t="s">
        <v>1637</v>
      </c>
      <c r="J528" s="2">
        <v>2476539</v>
      </c>
      <c r="L528" t="s">
        <v>1653</v>
      </c>
    </row>
    <row r="529" spans="1:12" x14ac:dyDescent="0.3">
      <c r="A529">
        <v>528</v>
      </c>
      <c r="B529" t="s">
        <v>492</v>
      </c>
      <c r="C529">
        <v>44152.64166666667</v>
      </c>
      <c r="D529">
        <v>2020</v>
      </c>
      <c r="E529" t="s">
        <v>10</v>
      </c>
      <c r="F529" t="s">
        <v>1553</v>
      </c>
      <c r="G529" t="s">
        <v>15</v>
      </c>
      <c r="H529" s="1" t="s">
        <v>1565</v>
      </c>
      <c r="I529" t="s">
        <v>1579</v>
      </c>
      <c r="J529" s="2">
        <v>1806744</v>
      </c>
      <c r="L529" t="s">
        <v>1649</v>
      </c>
    </row>
    <row r="530" spans="1:12" x14ac:dyDescent="0.3">
      <c r="A530">
        <v>529</v>
      </c>
      <c r="B530" t="s">
        <v>493</v>
      </c>
      <c r="C530">
        <v>44152.654861111114</v>
      </c>
      <c r="D530">
        <v>2020</v>
      </c>
      <c r="E530" t="s">
        <v>10</v>
      </c>
      <c r="F530" t="s">
        <v>1553</v>
      </c>
      <c r="G530" t="s">
        <v>67</v>
      </c>
      <c r="H530" s="1" t="s">
        <v>1565</v>
      </c>
      <c r="I530" t="s">
        <v>1637</v>
      </c>
      <c r="J530" s="2">
        <v>2094324</v>
      </c>
      <c r="L530" t="s">
        <v>1652</v>
      </c>
    </row>
    <row r="531" spans="1:12" x14ac:dyDescent="0.3">
      <c r="A531">
        <v>530</v>
      </c>
      <c r="B531" t="s">
        <v>494</v>
      </c>
      <c r="C531">
        <v>44152.697916666664</v>
      </c>
      <c r="D531">
        <v>2020</v>
      </c>
      <c r="E531" t="s">
        <v>10</v>
      </c>
      <c r="F531" t="s">
        <v>1553</v>
      </c>
      <c r="G531" t="s">
        <v>15</v>
      </c>
      <c r="H531" s="1" t="s">
        <v>1565</v>
      </c>
      <c r="I531" t="s">
        <v>1579</v>
      </c>
      <c r="J531" s="2">
        <v>4257027</v>
      </c>
      <c r="L531" t="s">
        <v>1653</v>
      </c>
    </row>
    <row r="532" spans="1:12" x14ac:dyDescent="0.3">
      <c r="A532">
        <v>531</v>
      </c>
      <c r="B532" t="s">
        <v>495</v>
      </c>
      <c r="C532">
        <v>44152.701388888891</v>
      </c>
      <c r="D532">
        <v>2020</v>
      </c>
      <c r="E532" t="s">
        <v>10</v>
      </c>
      <c r="F532" t="s">
        <v>1553</v>
      </c>
      <c r="G532" t="s">
        <v>15</v>
      </c>
      <c r="H532" s="1" t="s">
        <v>1565</v>
      </c>
      <c r="I532" t="s">
        <v>1579</v>
      </c>
      <c r="J532" s="2">
        <v>2620172</v>
      </c>
      <c r="L532" t="s">
        <v>1648</v>
      </c>
    </row>
    <row r="533" spans="1:12" x14ac:dyDescent="0.3">
      <c r="A533">
        <v>532</v>
      </c>
      <c r="B533" t="s">
        <v>496</v>
      </c>
      <c r="C533">
        <v>44152.70416666667</v>
      </c>
      <c r="D533">
        <v>2020</v>
      </c>
      <c r="E533" t="s">
        <v>10</v>
      </c>
      <c r="F533" t="s">
        <v>1553</v>
      </c>
      <c r="G533" t="s">
        <v>15</v>
      </c>
      <c r="H533" s="1" t="s">
        <v>1565</v>
      </c>
      <c r="I533" t="s">
        <v>1579</v>
      </c>
      <c r="J533" s="2">
        <v>2585371</v>
      </c>
      <c r="L533" t="s">
        <v>1652</v>
      </c>
    </row>
    <row r="534" spans="1:12" x14ac:dyDescent="0.3">
      <c r="A534">
        <v>533</v>
      </c>
      <c r="B534" t="s">
        <v>497</v>
      </c>
      <c r="C534">
        <v>44153.44027777778</v>
      </c>
      <c r="D534">
        <v>2020</v>
      </c>
      <c r="E534" t="s">
        <v>10</v>
      </c>
      <c r="F534" t="s">
        <v>1553</v>
      </c>
      <c r="G534" t="s">
        <v>23</v>
      </c>
      <c r="H534" s="1" t="s">
        <v>1565</v>
      </c>
      <c r="I534" t="s">
        <v>1579</v>
      </c>
      <c r="J534" s="2">
        <v>3563211</v>
      </c>
      <c r="L534" t="s">
        <v>1651</v>
      </c>
    </row>
    <row r="535" spans="1:12" x14ac:dyDescent="0.3">
      <c r="A535">
        <v>534</v>
      </c>
      <c r="B535" t="s">
        <v>498</v>
      </c>
      <c r="C535">
        <v>44153.558333333334</v>
      </c>
      <c r="D535">
        <v>2020</v>
      </c>
      <c r="E535" t="s">
        <v>10</v>
      </c>
      <c r="F535" t="s">
        <v>1553</v>
      </c>
      <c r="G535" t="s">
        <v>15</v>
      </c>
      <c r="H535" s="1" t="s">
        <v>1565</v>
      </c>
      <c r="I535" t="s">
        <v>1579</v>
      </c>
      <c r="J535" s="2">
        <v>2902009</v>
      </c>
      <c r="L535" t="s">
        <v>1648</v>
      </c>
    </row>
    <row r="536" spans="1:12" x14ac:dyDescent="0.3">
      <c r="A536">
        <v>535</v>
      </c>
      <c r="B536" t="s">
        <v>499</v>
      </c>
      <c r="C536">
        <v>44153.732638888891</v>
      </c>
      <c r="D536">
        <v>2020</v>
      </c>
      <c r="E536" t="s">
        <v>10</v>
      </c>
      <c r="F536" t="s">
        <v>1553</v>
      </c>
      <c r="G536" t="s">
        <v>15</v>
      </c>
      <c r="H536" s="1" t="s">
        <v>1565</v>
      </c>
      <c r="I536" t="s">
        <v>1579</v>
      </c>
      <c r="J536" s="2">
        <v>4275759</v>
      </c>
      <c r="L536" t="s">
        <v>1652</v>
      </c>
    </row>
    <row r="537" spans="1:12" x14ac:dyDescent="0.3">
      <c r="A537">
        <v>536</v>
      </c>
      <c r="B537" t="s">
        <v>500</v>
      </c>
      <c r="C537">
        <v>44154.479861111111</v>
      </c>
      <c r="D537">
        <v>2020</v>
      </c>
      <c r="E537" t="s">
        <v>10</v>
      </c>
      <c r="F537" t="s">
        <v>1553</v>
      </c>
      <c r="G537" t="s">
        <v>15</v>
      </c>
      <c r="H537" s="1" t="s">
        <v>1565</v>
      </c>
      <c r="I537" t="s">
        <v>1579</v>
      </c>
      <c r="J537" s="2">
        <v>4423996</v>
      </c>
      <c r="L537" t="s">
        <v>1650</v>
      </c>
    </row>
    <row r="538" spans="1:12" x14ac:dyDescent="0.3">
      <c r="A538">
        <v>537</v>
      </c>
      <c r="B538" t="s">
        <v>501</v>
      </c>
      <c r="C538">
        <v>44154.498611111114</v>
      </c>
      <c r="D538">
        <v>2020</v>
      </c>
      <c r="E538" t="s">
        <v>10</v>
      </c>
      <c r="F538" t="s">
        <v>1553</v>
      </c>
      <c r="G538" t="s">
        <v>21</v>
      </c>
      <c r="H538" s="1" t="s">
        <v>1565</v>
      </c>
      <c r="I538" t="s">
        <v>1616</v>
      </c>
      <c r="J538" s="2">
        <v>3887025</v>
      </c>
      <c r="L538" t="s">
        <v>1649</v>
      </c>
    </row>
    <row r="539" spans="1:12" x14ac:dyDescent="0.3">
      <c r="A539">
        <v>538</v>
      </c>
      <c r="B539" t="s">
        <v>502</v>
      </c>
      <c r="C539">
        <v>44154.513194444444</v>
      </c>
      <c r="D539">
        <v>2020</v>
      </c>
      <c r="E539" t="s">
        <v>10</v>
      </c>
      <c r="F539" t="s">
        <v>1553</v>
      </c>
      <c r="G539" t="s">
        <v>290</v>
      </c>
      <c r="H539" s="1" t="s">
        <v>1565</v>
      </c>
      <c r="I539" t="s">
        <v>1579</v>
      </c>
      <c r="J539" s="2">
        <v>3814690</v>
      </c>
      <c r="L539" t="s">
        <v>1650</v>
      </c>
    </row>
    <row r="540" spans="1:12" x14ac:dyDescent="0.3">
      <c r="A540">
        <v>539</v>
      </c>
      <c r="B540" t="s">
        <v>503</v>
      </c>
      <c r="C540">
        <v>44154.625</v>
      </c>
      <c r="D540">
        <v>2020</v>
      </c>
      <c r="E540" t="s">
        <v>10</v>
      </c>
      <c r="F540" t="s">
        <v>1553</v>
      </c>
      <c r="G540" t="s">
        <v>15</v>
      </c>
      <c r="H540" s="1" t="s">
        <v>1565</v>
      </c>
      <c r="I540" t="s">
        <v>1579</v>
      </c>
      <c r="J540" s="2">
        <v>2611487</v>
      </c>
      <c r="L540" t="s">
        <v>1651</v>
      </c>
    </row>
    <row r="541" spans="1:12" x14ac:dyDescent="0.3">
      <c r="A541">
        <v>540</v>
      </c>
      <c r="B541" t="s">
        <v>504</v>
      </c>
      <c r="C541">
        <v>44154.669444444444</v>
      </c>
      <c r="D541">
        <v>2020</v>
      </c>
      <c r="E541" t="s">
        <v>10</v>
      </c>
      <c r="F541" t="s">
        <v>1553</v>
      </c>
      <c r="G541" t="s">
        <v>18</v>
      </c>
      <c r="H541" s="1" t="s">
        <v>1565</v>
      </c>
      <c r="I541" t="s">
        <v>1579</v>
      </c>
      <c r="J541" s="2">
        <v>3864359</v>
      </c>
      <c r="L541" t="s">
        <v>1651</v>
      </c>
    </row>
    <row r="542" spans="1:12" x14ac:dyDescent="0.3">
      <c r="A542">
        <v>541</v>
      </c>
      <c r="B542" t="s">
        <v>505</v>
      </c>
      <c r="C542">
        <v>44154.671527777777</v>
      </c>
      <c r="D542">
        <v>2020</v>
      </c>
      <c r="E542" t="s">
        <v>10</v>
      </c>
      <c r="F542" t="s">
        <v>1553</v>
      </c>
      <c r="G542" t="s">
        <v>18</v>
      </c>
      <c r="H542" s="1" t="s">
        <v>1565</v>
      </c>
      <c r="I542" t="s">
        <v>1579</v>
      </c>
      <c r="J542" s="2">
        <v>3156267</v>
      </c>
      <c r="L542" t="s">
        <v>1649</v>
      </c>
    </row>
    <row r="543" spans="1:12" x14ac:dyDescent="0.3">
      <c r="A543">
        <v>542</v>
      </c>
      <c r="B543" t="s">
        <v>506</v>
      </c>
      <c r="C543">
        <v>44155.44027777778</v>
      </c>
      <c r="D543">
        <v>2020</v>
      </c>
      <c r="E543" t="s">
        <v>10</v>
      </c>
      <c r="F543" t="s">
        <v>1553</v>
      </c>
      <c r="G543" t="s">
        <v>21</v>
      </c>
      <c r="H543" s="1" t="s">
        <v>1565</v>
      </c>
      <c r="I543" t="s">
        <v>1616</v>
      </c>
      <c r="J543" s="2">
        <v>2627714</v>
      </c>
      <c r="L543" t="s">
        <v>1653</v>
      </c>
    </row>
    <row r="544" spans="1:12" x14ac:dyDescent="0.3">
      <c r="A544">
        <v>543</v>
      </c>
      <c r="B544" t="s">
        <v>507</v>
      </c>
      <c r="C544">
        <v>44155.449305555558</v>
      </c>
      <c r="D544">
        <v>2020</v>
      </c>
      <c r="E544" t="s">
        <v>10</v>
      </c>
      <c r="F544" t="s">
        <v>1553</v>
      </c>
      <c r="G544" t="s">
        <v>21</v>
      </c>
      <c r="H544" s="1" t="s">
        <v>1565</v>
      </c>
      <c r="I544" t="s">
        <v>1616</v>
      </c>
      <c r="J544" s="2">
        <v>2935687</v>
      </c>
      <c r="L544" t="s">
        <v>1651</v>
      </c>
    </row>
    <row r="545" spans="1:12" x14ac:dyDescent="0.3">
      <c r="A545">
        <v>544</v>
      </c>
      <c r="B545" t="s">
        <v>50</v>
      </c>
      <c r="C545">
        <v>44155.477083333331</v>
      </c>
      <c r="D545">
        <v>2020</v>
      </c>
      <c r="E545" t="s">
        <v>10</v>
      </c>
      <c r="F545" t="s">
        <v>1553</v>
      </c>
      <c r="G545" t="s">
        <v>15</v>
      </c>
      <c r="H545" s="1" t="s">
        <v>1565</v>
      </c>
      <c r="I545" t="s">
        <v>1454</v>
      </c>
      <c r="J545" s="2">
        <v>1893338</v>
      </c>
      <c r="L545" t="s">
        <v>1648</v>
      </c>
    </row>
    <row r="546" spans="1:12" x14ac:dyDescent="0.3">
      <c r="A546">
        <v>545</v>
      </c>
      <c r="B546" t="s">
        <v>508</v>
      </c>
      <c r="C546">
        <v>44155.693749999999</v>
      </c>
      <c r="D546">
        <v>2020</v>
      </c>
      <c r="E546" t="s">
        <v>10</v>
      </c>
      <c r="F546" t="s">
        <v>1553</v>
      </c>
      <c r="G546" t="s">
        <v>11</v>
      </c>
      <c r="H546" s="1" t="s">
        <v>1565</v>
      </c>
      <c r="I546" t="s">
        <v>1577</v>
      </c>
      <c r="J546" s="2">
        <v>2152086</v>
      </c>
      <c r="K546" t="s">
        <v>12</v>
      </c>
      <c r="L546" t="s">
        <v>1653</v>
      </c>
    </row>
    <row r="547" spans="1:12" x14ac:dyDescent="0.3">
      <c r="A547">
        <v>546</v>
      </c>
      <c r="B547" t="s">
        <v>509</v>
      </c>
      <c r="C547">
        <v>44158.551388888889</v>
      </c>
      <c r="D547">
        <v>2020</v>
      </c>
      <c r="E547" t="s">
        <v>10</v>
      </c>
      <c r="F547" t="s">
        <v>1553</v>
      </c>
      <c r="G547" t="s">
        <v>49</v>
      </c>
      <c r="H547" s="1" t="s">
        <v>1565</v>
      </c>
      <c r="I547" t="s">
        <v>1579</v>
      </c>
      <c r="J547" s="2">
        <v>1821072</v>
      </c>
      <c r="L547" t="s">
        <v>1651</v>
      </c>
    </row>
    <row r="548" spans="1:12" x14ac:dyDescent="0.3">
      <c r="A548">
        <v>547</v>
      </c>
      <c r="B548" t="s">
        <v>510</v>
      </c>
      <c r="C548">
        <v>44158.646527777775</v>
      </c>
      <c r="D548">
        <v>2020</v>
      </c>
      <c r="E548" t="s">
        <v>10</v>
      </c>
      <c r="F548" t="s">
        <v>1553</v>
      </c>
      <c r="G548" t="s">
        <v>15</v>
      </c>
      <c r="H548" s="1" t="s">
        <v>1564</v>
      </c>
      <c r="I548" t="s">
        <v>1619</v>
      </c>
      <c r="J548" s="2">
        <v>3210990</v>
      </c>
      <c r="K548" t="s">
        <v>12</v>
      </c>
      <c r="L548" t="s">
        <v>1653</v>
      </c>
    </row>
    <row r="549" spans="1:12" x14ac:dyDescent="0.3">
      <c r="A549">
        <v>548</v>
      </c>
      <c r="B549" t="s">
        <v>511</v>
      </c>
      <c r="C549">
        <v>44159.657638888886</v>
      </c>
      <c r="D549">
        <v>2020</v>
      </c>
      <c r="E549" t="s">
        <v>10</v>
      </c>
      <c r="F549" t="s">
        <v>1553</v>
      </c>
      <c r="G549" t="s">
        <v>18</v>
      </c>
      <c r="H549" s="1" t="s">
        <v>1564</v>
      </c>
      <c r="I549" t="s">
        <v>1579</v>
      </c>
      <c r="J549" s="2">
        <v>3544396</v>
      </c>
      <c r="L549" t="s">
        <v>1653</v>
      </c>
    </row>
    <row r="550" spans="1:12" x14ac:dyDescent="0.3">
      <c r="A550">
        <v>549</v>
      </c>
      <c r="B550" t="s">
        <v>512</v>
      </c>
      <c r="C550">
        <v>44159.668749999997</v>
      </c>
      <c r="D550">
        <v>2020</v>
      </c>
      <c r="E550" t="s">
        <v>10</v>
      </c>
      <c r="F550" t="s">
        <v>1553</v>
      </c>
      <c r="G550" t="s">
        <v>290</v>
      </c>
      <c r="H550" s="1" t="s">
        <v>1565</v>
      </c>
      <c r="I550" t="s">
        <v>1579</v>
      </c>
      <c r="J550" s="2">
        <v>1139263</v>
      </c>
      <c r="L550" t="s">
        <v>1648</v>
      </c>
    </row>
    <row r="551" spans="1:12" x14ac:dyDescent="0.3">
      <c r="A551">
        <v>550</v>
      </c>
      <c r="B551" t="s">
        <v>513</v>
      </c>
      <c r="C551">
        <v>44160.451388888891</v>
      </c>
      <c r="D551">
        <v>2020</v>
      </c>
      <c r="E551" t="s">
        <v>10</v>
      </c>
      <c r="F551" t="s">
        <v>1553</v>
      </c>
      <c r="G551" t="s">
        <v>339</v>
      </c>
      <c r="H551" s="1" t="s">
        <v>1562</v>
      </c>
      <c r="I551" t="s">
        <v>1579</v>
      </c>
      <c r="J551" s="2">
        <v>1546490</v>
      </c>
      <c r="K551" t="s">
        <v>16</v>
      </c>
      <c r="L551" t="s">
        <v>1649</v>
      </c>
    </row>
    <row r="552" spans="1:12" x14ac:dyDescent="0.3">
      <c r="A552">
        <v>551</v>
      </c>
      <c r="B552" t="s">
        <v>349</v>
      </c>
      <c r="C552">
        <v>44160.650694444441</v>
      </c>
      <c r="D552">
        <v>2020</v>
      </c>
      <c r="E552" t="s">
        <v>10</v>
      </c>
      <c r="F552" t="s">
        <v>1553</v>
      </c>
      <c r="G552" t="s">
        <v>15</v>
      </c>
      <c r="H552" s="1" t="s">
        <v>1566</v>
      </c>
      <c r="I552" t="s">
        <v>1579</v>
      </c>
      <c r="J552" s="2">
        <v>4311481</v>
      </c>
      <c r="L552" t="s">
        <v>1650</v>
      </c>
    </row>
    <row r="553" spans="1:12" x14ac:dyDescent="0.3">
      <c r="A553">
        <v>552</v>
      </c>
      <c r="B553" t="s">
        <v>514</v>
      </c>
      <c r="C553">
        <v>44160.725694444445</v>
      </c>
      <c r="D553">
        <v>2020</v>
      </c>
      <c r="E553" t="s">
        <v>10</v>
      </c>
      <c r="F553" t="s">
        <v>1553</v>
      </c>
      <c r="G553" t="s">
        <v>15</v>
      </c>
      <c r="H553" s="1" t="s">
        <v>1566</v>
      </c>
      <c r="I553" t="s">
        <v>1579</v>
      </c>
      <c r="J553" s="2">
        <v>4778120</v>
      </c>
      <c r="L553" t="s">
        <v>1649</v>
      </c>
    </row>
    <row r="554" spans="1:12" x14ac:dyDescent="0.3">
      <c r="A554">
        <v>553</v>
      </c>
      <c r="B554" t="s">
        <v>515</v>
      </c>
      <c r="C554">
        <v>44160.786111111112</v>
      </c>
      <c r="D554">
        <v>2020</v>
      </c>
      <c r="E554" t="s">
        <v>10</v>
      </c>
      <c r="F554" t="s">
        <v>1553</v>
      </c>
      <c r="G554" t="s">
        <v>15</v>
      </c>
      <c r="H554" s="1" t="s">
        <v>1565</v>
      </c>
      <c r="I554" t="s">
        <v>1579</v>
      </c>
      <c r="J554" s="2">
        <v>2276889</v>
      </c>
      <c r="L554" t="s">
        <v>1650</v>
      </c>
    </row>
    <row r="555" spans="1:12" x14ac:dyDescent="0.3">
      <c r="A555">
        <v>554</v>
      </c>
      <c r="B555" t="s">
        <v>516</v>
      </c>
      <c r="C555">
        <v>44161.506944444445</v>
      </c>
      <c r="D555">
        <v>2020</v>
      </c>
      <c r="E555" t="s">
        <v>10</v>
      </c>
      <c r="F555" t="s">
        <v>1554</v>
      </c>
      <c r="G555" t="s">
        <v>11</v>
      </c>
      <c r="H555" s="1" t="s">
        <v>1576</v>
      </c>
      <c r="I555" t="s">
        <v>1577</v>
      </c>
      <c r="J555" s="2">
        <v>2511842</v>
      </c>
      <c r="K555" t="s">
        <v>12</v>
      </c>
      <c r="L555" t="s">
        <v>1652</v>
      </c>
    </row>
    <row r="556" spans="1:12" x14ac:dyDescent="0.3">
      <c r="A556">
        <v>555</v>
      </c>
      <c r="B556" t="s">
        <v>517</v>
      </c>
      <c r="C556">
        <v>44161.663194444445</v>
      </c>
      <c r="D556">
        <v>2020</v>
      </c>
      <c r="E556" t="s">
        <v>10</v>
      </c>
      <c r="F556" t="s">
        <v>1554</v>
      </c>
      <c r="G556" t="s">
        <v>11</v>
      </c>
      <c r="H556" s="1" t="s">
        <v>1567</v>
      </c>
      <c r="I556" t="s">
        <v>1577</v>
      </c>
      <c r="J556" s="2">
        <v>3541721</v>
      </c>
      <c r="K556" t="s">
        <v>12</v>
      </c>
      <c r="L556" t="s">
        <v>1651</v>
      </c>
    </row>
    <row r="557" spans="1:12" x14ac:dyDescent="0.3">
      <c r="A557">
        <v>556</v>
      </c>
      <c r="B557" t="s">
        <v>518</v>
      </c>
      <c r="C557">
        <v>44161.669444444444</v>
      </c>
      <c r="D557">
        <v>2020</v>
      </c>
      <c r="E557" t="s">
        <v>10</v>
      </c>
      <c r="F557" t="s">
        <v>1554</v>
      </c>
      <c r="G557" t="s">
        <v>11</v>
      </c>
      <c r="H557" s="1" t="s">
        <v>1571</v>
      </c>
      <c r="I557" t="s">
        <v>1577</v>
      </c>
      <c r="J557" s="2">
        <v>3592952</v>
      </c>
      <c r="K557" t="s">
        <v>12</v>
      </c>
      <c r="L557" t="s">
        <v>1652</v>
      </c>
    </row>
    <row r="558" spans="1:12" x14ac:dyDescent="0.3">
      <c r="A558">
        <v>557</v>
      </c>
      <c r="B558" t="s">
        <v>519</v>
      </c>
      <c r="C558">
        <v>44162.527777777781</v>
      </c>
      <c r="D558">
        <v>2020</v>
      </c>
      <c r="E558" t="s">
        <v>10</v>
      </c>
      <c r="F558" t="s">
        <v>1554</v>
      </c>
      <c r="G558" t="s">
        <v>11</v>
      </c>
      <c r="H558" s="1" t="s">
        <v>1568</v>
      </c>
      <c r="I558" t="s">
        <v>1577</v>
      </c>
      <c r="J558" s="2">
        <v>2333304</v>
      </c>
      <c r="K558" t="s">
        <v>12</v>
      </c>
      <c r="L558" t="s">
        <v>1648</v>
      </c>
    </row>
    <row r="559" spans="1:12" x14ac:dyDescent="0.3">
      <c r="A559">
        <v>558</v>
      </c>
      <c r="B559" t="s">
        <v>520</v>
      </c>
      <c r="C559">
        <v>44209.613888888889</v>
      </c>
      <c r="D559">
        <v>2021</v>
      </c>
      <c r="E559" t="s">
        <v>10</v>
      </c>
      <c r="F559" t="s">
        <v>1554</v>
      </c>
      <c r="G559" t="s">
        <v>18</v>
      </c>
      <c r="H559" s="1" t="s">
        <v>1566</v>
      </c>
      <c r="I559" t="s">
        <v>1605</v>
      </c>
      <c r="J559" s="2">
        <v>3996912</v>
      </c>
      <c r="K559" t="s">
        <v>16</v>
      </c>
      <c r="L559" t="s">
        <v>1653</v>
      </c>
    </row>
    <row r="560" spans="1:12" x14ac:dyDescent="0.3">
      <c r="A560">
        <v>559</v>
      </c>
      <c r="B560" t="s">
        <v>521</v>
      </c>
      <c r="C560">
        <v>44209.620833333334</v>
      </c>
      <c r="D560">
        <v>2021</v>
      </c>
      <c r="E560" t="s">
        <v>10</v>
      </c>
      <c r="F560" t="s">
        <v>1554</v>
      </c>
      <c r="G560" t="s">
        <v>18</v>
      </c>
      <c r="H560" s="1" t="s">
        <v>1573</v>
      </c>
      <c r="I560" t="s">
        <v>1579</v>
      </c>
      <c r="J560" s="2">
        <v>4611776</v>
      </c>
      <c r="K560" t="s">
        <v>16</v>
      </c>
      <c r="L560" t="s">
        <v>1648</v>
      </c>
    </row>
    <row r="561" spans="1:12" x14ac:dyDescent="0.3">
      <c r="A561">
        <v>560</v>
      </c>
      <c r="B561" t="s">
        <v>522</v>
      </c>
      <c r="C561">
        <v>44209.622916666667</v>
      </c>
      <c r="D561">
        <v>2021</v>
      </c>
      <c r="E561" t="s">
        <v>10</v>
      </c>
      <c r="F561" t="s">
        <v>1554</v>
      </c>
      <c r="G561" t="s">
        <v>18</v>
      </c>
      <c r="H561" s="1" t="s">
        <v>1563</v>
      </c>
      <c r="I561" t="s">
        <v>1587</v>
      </c>
      <c r="J561" s="2">
        <v>3662661</v>
      </c>
      <c r="K561" t="s">
        <v>12</v>
      </c>
      <c r="L561" t="s">
        <v>1651</v>
      </c>
    </row>
    <row r="562" spans="1:12" x14ac:dyDescent="0.3">
      <c r="A562">
        <v>561</v>
      </c>
      <c r="B562" t="s">
        <v>523</v>
      </c>
      <c r="C562">
        <v>44211.506249999999</v>
      </c>
      <c r="D562">
        <v>2021</v>
      </c>
      <c r="E562" t="s">
        <v>10</v>
      </c>
      <c r="F562" t="s">
        <v>1554</v>
      </c>
      <c r="G562" t="s">
        <v>18</v>
      </c>
      <c r="H562" s="1" t="s">
        <v>1567</v>
      </c>
      <c r="I562" t="s">
        <v>1598</v>
      </c>
      <c r="J562" s="2">
        <v>4673574</v>
      </c>
      <c r="K562" t="s">
        <v>53</v>
      </c>
      <c r="L562" t="s">
        <v>1653</v>
      </c>
    </row>
    <row r="563" spans="1:12" x14ac:dyDescent="0.3">
      <c r="A563">
        <v>562</v>
      </c>
      <c r="B563" t="s">
        <v>524</v>
      </c>
      <c r="C563">
        <v>44214.601388888892</v>
      </c>
      <c r="D563">
        <v>2021</v>
      </c>
      <c r="E563" t="s">
        <v>10</v>
      </c>
      <c r="F563" t="s">
        <v>1554</v>
      </c>
      <c r="G563" t="s">
        <v>23</v>
      </c>
      <c r="H563" s="1" t="s">
        <v>1575</v>
      </c>
      <c r="I563" t="s">
        <v>1631</v>
      </c>
      <c r="J563" s="2">
        <v>1680885</v>
      </c>
      <c r="K563" t="s">
        <v>53</v>
      </c>
      <c r="L563" t="s">
        <v>1650</v>
      </c>
    </row>
    <row r="564" spans="1:12" x14ac:dyDescent="0.3">
      <c r="A564">
        <v>563</v>
      </c>
      <c r="B564" t="s">
        <v>525</v>
      </c>
      <c r="C564">
        <v>44215.375694444447</v>
      </c>
      <c r="D564">
        <v>2021</v>
      </c>
      <c r="E564" t="s">
        <v>10</v>
      </c>
      <c r="F564" t="s">
        <v>1554</v>
      </c>
      <c r="G564" t="s">
        <v>18</v>
      </c>
      <c r="H564" s="1" t="s">
        <v>1576</v>
      </c>
      <c r="I564" t="s">
        <v>1626</v>
      </c>
      <c r="J564" s="2">
        <v>2997199</v>
      </c>
      <c r="K564" t="s">
        <v>12</v>
      </c>
      <c r="L564" t="s">
        <v>1651</v>
      </c>
    </row>
    <row r="565" spans="1:12" x14ac:dyDescent="0.3">
      <c r="A565">
        <v>564</v>
      </c>
      <c r="B565" t="s">
        <v>526</v>
      </c>
      <c r="C565">
        <v>44215.618055555555</v>
      </c>
      <c r="D565">
        <v>2021</v>
      </c>
      <c r="E565" t="s">
        <v>10</v>
      </c>
      <c r="F565" t="s">
        <v>1554</v>
      </c>
      <c r="G565" t="s">
        <v>18</v>
      </c>
      <c r="H565" s="1" t="s">
        <v>1574</v>
      </c>
      <c r="I565" t="s">
        <v>1595</v>
      </c>
      <c r="J565" s="2">
        <v>3548597</v>
      </c>
      <c r="K565" t="s">
        <v>12</v>
      </c>
      <c r="L565" t="s">
        <v>1648</v>
      </c>
    </row>
    <row r="566" spans="1:12" x14ac:dyDescent="0.3">
      <c r="A566">
        <v>565</v>
      </c>
      <c r="B566" t="s">
        <v>527</v>
      </c>
      <c r="C566">
        <v>44216.291666666664</v>
      </c>
      <c r="D566">
        <v>2021</v>
      </c>
      <c r="E566" t="s">
        <v>10</v>
      </c>
      <c r="F566" t="s">
        <v>1554</v>
      </c>
      <c r="G566" t="s">
        <v>18</v>
      </c>
      <c r="H566" s="1" t="s">
        <v>1567</v>
      </c>
      <c r="I566" t="s">
        <v>1638</v>
      </c>
      <c r="J566" s="2">
        <v>2174831</v>
      </c>
      <c r="K566" t="s">
        <v>16</v>
      </c>
      <c r="L566" t="s">
        <v>1653</v>
      </c>
    </row>
    <row r="567" spans="1:12" x14ac:dyDescent="0.3">
      <c r="A567">
        <v>566</v>
      </c>
      <c r="B567" t="s">
        <v>528</v>
      </c>
      <c r="C567">
        <v>44217.431250000001</v>
      </c>
      <c r="D567">
        <v>2021</v>
      </c>
      <c r="E567" t="s">
        <v>10</v>
      </c>
      <c r="F567" t="s">
        <v>1554</v>
      </c>
      <c r="G567" t="s">
        <v>15</v>
      </c>
      <c r="H567" s="1" t="s">
        <v>1573</v>
      </c>
      <c r="I567" t="s">
        <v>1579</v>
      </c>
      <c r="J567" s="2">
        <v>1137103</v>
      </c>
      <c r="K567" t="s">
        <v>12</v>
      </c>
      <c r="L567" t="s">
        <v>1648</v>
      </c>
    </row>
    <row r="568" spans="1:12" x14ac:dyDescent="0.3">
      <c r="A568">
        <v>567</v>
      </c>
      <c r="B568" t="s">
        <v>529</v>
      </c>
      <c r="C568">
        <v>44217.542361111111</v>
      </c>
      <c r="D568">
        <v>2021</v>
      </c>
      <c r="E568" t="s">
        <v>10</v>
      </c>
      <c r="F568" t="s">
        <v>1554</v>
      </c>
      <c r="G568" t="s">
        <v>15</v>
      </c>
      <c r="H568" s="1" t="s">
        <v>1568</v>
      </c>
      <c r="I568" t="s">
        <v>1632</v>
      </c>
      <c r="J568" s="2">
        <v>1988041</v>
      </c>
      <c r="K568" t="s">
        <v>12</v>
      </c>
      <c r="L568" t="s">
        <v>1651</v>
      </c>
    </row>
    <row r="569" spans="1:12" x14ac:dyDescent="0.3">
      <c r="A569">
        <v>568</v>
      </c>
      <c r="B569" t="s">
        <v>530</v>
      </c>
      <c r="C569">
        <v>44217.615277777775</v>
      </c>
      <c r="D569">
        <v>2021</v>
      </c>
      <c r="E569" t="s">
        <v>10</v>
      </c>
      <c r="F569" t="s">
        <v>1554</v>
      </c>
      <c r="G569" t="s">
        <v>18</v>
      </c>
      <c r="H569" s="1" t="s">
        <v>1563</v>
      </c>
      <c r="I569" t="s">
        <v>1579</v>
      </c>
      <c r="J569" s="2">
        <v>1470070</v>
      </c>
      <c r="K569" t="s">
        <v>12</v>
      </c>
      <c r="L569" t="s">
        <v>1651</v>
      </c>
    </row>
    <row r="570" spans="1:12" x14ac:dyDescent="0.3">
      <c r="A570">
        <v>569</v>
      </c>
      <c r="B570" t="s">
        <v>531</v>
      </c>
      <c r="C570">
        <v>44217.694444444445</v>
      </c>
      <c r="D570">
        <v>2021</v>
      </c>
      <c r="E570" t="s">
        <v>10</v>
      </c>
      <c r="F570" t="s">
        <v>1554</v>
      </c>
      <c r="G570" t="s">
        <v>21</v>
      </c>
      <c r="H570" s="1" t="s">
        <v>1571</v>
      </c>
      <c r="I570" t="s">
        <v>1616</v>
      </c>
      <c r="J570" s="2">
        <v>4452950</v>
      </c>
      <c r="K570" t="s">
        <v>12</v>
      </c>
      <c r="L570" t="s">
        <v>1653</v>
      </c>
    </row>
    <row r="571" spans="1:12" x14ac:dyDescent="0.3">
      <c r="A571">
        <v>570</v>
      </c>
      <c r="B571" t="s">
        <v>532</v>
      </c>
      <c r="C571">
        <v>44217.729861111111</v>
      </c>
      <c r="D571">
        <v>2021</v>
      </c>
      <c r="E571" t="s">
        <v>10</v>
      </c>
      <c r="F571" t="s">
        <v>1554</v>
      </c>
      <c r="G571" t="s">
        <v>62</v>
      </c>
      <c r="H571" s="1" t="s">
        <v>1566</v>
      </c>
      <c r="I571" t="s">
        <v>1639</v>
      </c>
      <c r="J571" s="2">
        <v>2222727</v>
      </c>
      <c r="K571" t="s">
        <v>12</v>
      </c>
      <c r="L571" t="s">
        <v>1651</v>
      </c>
    </row>
    <row r="572" spans="1:12" x14ac:dyDescent="0.3">
      <c r="A572">
        <v>571</v>
      </c>
      <c r="B572" t="s">
        <v>533</v>
      </c>
      <c r="C572">
        <v>44218.343055555553</v>
      </c>
      <c r="D572">
        <v>2021</v>
      </c>
      <c r="E572" t="s">
        <v>10</v>
      </c>
      <c r="F572" t="s">
        <v>1554</v>
      </c>
      <c r="G572" t="s">
        <v>18</v>
      </c>
      <c r="H572" s="1" t="s">
        <v>1568</v>
      </c>
      <c r="I572" t="s">
        <v>1584</v>
      </c>
      <c r="J572" s="2">
        <v>4513590</v>
      </c>
      <c r="K572" t="s">
        <v>12</v>
      </c>
      <c r="L572" t="s">
        <v>1650</v>
      </c>
    </row>
    <row r="573" spans="1:12" x14ac:dyDescent="0.3">
      <c r="A573">
        <v>572</v>
      </c>
      <c r="B573" t="s">
        <v>534</v>
      </c>
      <c r="C573">
        <v>44218.497916666667</v>
      </c>
      <c r="D573">
        <v>2021</v>
      </c>
      <c r="E573" t="s">
        <v>10</v>
      </c>
      <c r="F573" t="s">
        <v>1554</v>
      </c>
      <c r="G573" t="s">
        <v>15</v>
      </c>
      <c r="H573" s="1" t="s">
        <v>1571</v>
      </c>
      <c r="I573" t="s">
        <v>1579</v>
      </c>
      <c r="J573" s="2">
        <v>2003538</v>
      </c>
      <c r="K573" t="s">
        <v>12</v>
      </c>
      <c r="L573" t="s">
        <v>1652</v>
      </c>
    </row>
    <row r="574" spans="1:12" x14ac:dyDescent="0.3">
      <c r="A574">
        <v>573</v>
      </c>
      <c r="B574" t="s">
        <v>512</v>
      </c>
      <c r="C574">
        <v>44222.616666666669</v>
      </c>
      <c r="D574">
        <v>2021</v>
      </c>
      <c r="E574" t="s">
        <v>10</v>
      </c>
      <c r="F574" t="s">
        <v>1554</v>
      </c>
      <c r="G574" t="s">
        <v>290</v>
      </c>
      <c r="H574" s="1" t="s">
        <v>1563</v>
      </c>
      <c r="I574" t="s">
        <v>1579</v>
      </c>
      <c r="J574" s="2">
        <v>2937771</v>
      </c>
      <c r="K574" t="s">
        <v>12</v>
      </c>
      <c r="L574" t="s">
        <v>1648</v>
      </c>
    </row>
    <row r="575" spans="1:12" x14ac:dyDescent="0.3">
      <c r="A575">
        <v>574</v>
      </c>
      <c r="B575" t="s">
        <v>535</v>
      </c>
      <c r="C575">
        <v>44218.657638888886</v>
      </c>
      <c r="D575">
        <v>2021</v>
      </c>
      <c r="E575" t="s">
        <v>10</v>
      </c>
      <c r="F575" t="s">
        <v>1552</v>
      </c>
      <c r="G575" t="s">
        <v>18</v>
      </c>
      <c r="H575" s="1" t="s">
        <v>1565</v>
      </c>
      <c r="I575" t="s">
        <v>1636</v>
      </c>
      <c r="J575" s="2">
        <v>4810300</v>
      </c>
      <c r="K575" t="s">
        <v>16</v>
      </c>
      <c r="L575" t="s">
        <v>1653</v>
      </c>
    </row>
    <row r="576" spans="1:12" x14ac:dyDescent="0.3">
      <c r="A576">
        <v>575</v>
      </c>
      <c r="B576" t="s">
        <v>536</v>
      </c>
      <c r="C576">
        <v>44221.378472222219</v>
      </c>
      <c r="D576">
        <v>2021</v>
      </c>
      <c r="E576" t="s">
        <v>10</v>
      </c>
      <c r="F576" t="s">
        <v>1552</v>
      </c>
      <c r="G576" t="s">
        <v>18</v>
      </c>
      <c r="H576" s="1" t="s">
        <v>1576</v>
      </c>
      <c r="I576" t="s">
        <v>1579</v>
      </c>
      <c r="J576" s="2">
        <v>2484475</v>
      </c>
      <c r="K576" t="s">
        <v>12</v>
      </c>
      <c r="L576" t="s">
        <v>1653</v>
      </c>
    </row>
    <row r="577" spans="1:12" x14ac:dyDescent="0.3">
      <c r="A577">
        <v>576</v>
      </c>
      <c r="B577" t="s">
        <v>537</v>
      </c>
      <c r="C577">
        <v>44221.45416666667</v>
      </c>
      <c r="D577">
        <v>2021</v>
      </c>
      <c r="E577" t="s">
        <v>10</v>
      </c>
      <c r="F577" t="s">
        <v>391</v>
      </c>
      <c r="G577" t="s">
        <v>11</v>
      </c>
      <c r="H577" s="1" t="s">
        <v>1572</v>
      </c>
      <c r="I577" t="s">
        <v>1577</v>
      </c>
      <c r="J577" s="2">
        <v>1726937</v>
      </c>
      <c r="K577" t="s">
        <v>121</v>
      </c>
      <c r="L577" t="s">
        <v>1648</v>
      </c>
    </row>
    <row r="578" spans="1:12" x14ac:dyDescent="0.3">
      <c r="A578">
        <v>577</v>
      </c>
      <c r="B578" t="s">
        <v>538</v>
      </c>
      <c r="C578">
        <v>44221.457638888889</v>
      </c>
      <c r="D578">
        <v>2021</v>
      </c>
      <c r="E578" t="s">
        <v>10</v>
      </c>
      <c r="F578" t="s">
        <v>391</v>
      </c>
      <c r="G578" t="s">
        <v>11</v>
      </c>
      <c r="H578" s="1" t="s">
        <v>1572</v>
      </c>
      <c r="I578" t="s">
        <v>1577</v>
      </c>
      <c r="J578" s="2">
        <v>4304013</v>
      </c>
      <c r="K578" t="s">
        <v>121</v>
      </c>
      <c r="L578" t="s">
        <v>1650</v>
      </c>
    </row>
    <row r="579" spans="1:12" x14ac:dyDescent="0.3">
      <c r="A579">
        <v>578</v>
      </c>
      <c r="B579" t="s">
        <v>539</v>
      </c>
      <c r="C579">
        <v>44221.461805555555</v>
      </c>
      <c r="D579">
        <v>2021</v>
      </c>
      <c r="E579" t="s">
        <v>10</v>
      </c>
      <c r="F579" t="s">
        <v>1553</v>
      </c>
      <c r="G579" t="s">
        <v>67</v>
      </c>
      <c r="H579" s="1" t="s">
        <v>1568</v>
      </c>
      <c r="I579" t="s">
        <v>1637</v>
      </c>
      <c r="J579" s="2">
        <v>1859146</v>
      </c>
      <c r="K579" t="s">
        <v>12</v>
      </c>
      <c r="L579" t="s">
        <v>1653</v>
      </c>
    </row>
    <row r="580" spans="1:12" x14ac:dyDescent="0.3">
      <c r="A580">
        <v>579</v>
      </c>
      <c r="B580" t="s">
        <v>540</v>
      </c>
      <c r="C580">
        <v>44221.46597222222</v>
      </c>
      <c r="D580">
        <v>2021</v>
      </c>
      <c r="E580" t="s">
        <v>10</v>
      </c>
      <c r="F580" t="s">
        <v>1553</v>
      </c>
      <c r="G580" t="s">
        <v>11</v>
      </c>
      <c r="H580" s="1" t="s">
        <v>1570</v>
      </c>
      <c r="I580" t="s">
        <v>1577</v>
      </c>
      <c r="J580" s="2">
        <v>2840546</v>
      </c>
      <c r="K580" t="s">
        <v>121</v>
      </c>
      <c r="L580" t="s">
        <v>1650</v>
      </c>
    </row>
    <row r="581" spans="1:12" x14ac:dyDescent="0.3">
      <c r="A581">
        <v>580</v>
      </c>
      <c r="B581" t="s">
        <v>541</v>
      </c>
      <c r="C581">
        <v>44221.470833333333</v>
      </c>
      <c r="D581">
        <v>2021</v>
      </c>
      <c r="E581" t="s">
        <v>10</v>
      </c>
      <c r="F581" t="s">
        <v>1553</v>
      </c>
      <c r="G581" t="s">
        <v>11</v>
      </c>
      <c r="H581" s="1" t="s">
        <v>1572</v>
      </c>
      <c r="I581" t="s">
        <v>1577</v>
      </c>
      <c r="J581" s="2">
        <v>3966506</v>
      </c>
      <c r="K581" t="s">
        <v>121</v>
      </c>
      <c r="L581" t="s">
        <v>1649</v>
      </c>
    </row>
    <row r="582" spans="1:12" x14ac:dyDescent="0.3">
      <c r="A582">
        <v>581</v>
      </c>
      <c r="B582" t="s">
        <v>542</v>
      </c>
      <c r="C582">
        <v>44221.486805555556</v>
      </c>
      <c r="D582">
        <v>2021</v>
      </c>
      <c r="E582" t="s">
        <v>10</v>
      </c>
      <c r="F582" t="s">
        <v>1553</v>
      </c>
      <c r="G582" t="s">
        <v>15</v>
      </c>
      <c r="H582" s="1" t="s">
        <v>1572</v>
      </c>
      <c r="I582" t="s">
        <v>1579</v>
      </c>
      <c r="J582" s="2">
        <v>1154076</v>
      </c>
      <c r="K582" t="s">
        <v>12</v>
      </c>
      <c r="L582" t="s">
        <v>1650</v>
      </c>
    </row>
    <row r="583" spans="1:12" x14ac:dyDescent="0.3">
      <c r="A583">
        <v>582</v>
      </c>
      <c r="B583" t="s">
        <v>543</v>
      </c>
      <c r="C583">
        <v>44221.50277777778</v>
      </c>
      <c r="D583">
        <v>2021</v>
      </c>
      <c r="E583" t="s">
        <v>10</v>
      </c>
      <c r="F583" t="s">
        <v>1553</v>
      </c>
      <c r="G583" t="s">
        <v>358</v>
      </c>
      <c r="H583" s="1" t="s">
        <v>1563</v>
      </c>
      <c r="I583" t="s">
        <v>1595</v>
      </c>
      <c r="J583" s="2">
        <v>1263141</v>
      </c>
      <c r="K583" t="s">
        <v>12</v>
      </c>
      <c r="L583" t="s">
        <v>1651</v>
      </c>
    </row>
    <row r="584" spans="1:12" x14ac:dyDescent="0.3">
      <c r="A584">
        <v>583</v>
      </c>
      <c r="B584" t="s">
        <v>544</v>
      </c>
      <c r="C584">
        <v>44221.53402777778</v>
      </c>
      <c r="D584">
        <v>2021</v>
      </c>
      <c r="E584" t="s">
        <v>10</v>
      </c>
      <c r="F584" t="s">
        <v>1553</v>
      </c>
      <c r="G584" t="s">
        <v>11</v>
      </c>
      <c r="H584" s="1" t="s">
        <v>1565</v>
      </c>
      <c r="I584" t="s">
        <v>1577</v>
      </c>
      <c r="J584" s="2">
        <v>2478612</v>
      </c>
      <c r="K584" t="s">
        <v>121</v>
      </c>
      <c r="L584" t="s">
        <v>1653</v>
      </c>
    </row>
    <row r="585" spans="1:12" x14ac:dyDescent="0.3">
      <c r="A585">
        <v>584</v>
      </c>
      <c r="B585" t="s">
        <v>545</v>
      </c>
      <c r="C585">
        <v>44221.636111111111</v>
      </c>
      <c r="D585">
        <v>2021</v>
      </c>
      <c r="E585" t="s">
        <v>10</v>
      </c>
      <c r="F585" t="s">
        <v>1553</v>
      </c>
      <c r="G585" t="s">
        <v>18</v>
      </c>
      <c r="H585" s="1" t="s">
        <v>1574</v>
      </c>
      <c r="I585" t="s">
        <v>1579</v>
      </c>
      <c r="J585" s="2">
        <v>2088999</v>
      </c>
      <c r="K585" t="s">
        <v>12</v>
      </c>
      <c r="L585" t="s">
        <v>1649</v>
      </c>
    </row>
    <row r="586" spans="1:12" x14ac:dyDescent="0.3">
      <c r="A586">
        <v>585</v>
      </c>
      <c r="B586" t="s">
        <v>546</v>
      </c>
      <c r="C586">
        <v>44221.664583333331</v>
      </c>
      <c r="D586">
        <v>2021</v>
      </c>
      <c r="E586" t="s">
        <v>10</v>
      </c>
      <c r="F586" t="s">
        <v>20</v>
      </c>
      <c r="G586" t="s">
        <v>21</v>
      </c>
      <c r="H586" s="1" t="s">
        <v>1563</v>
      </c>
      <c r="I586" t="s">
        <v>1616</v>
      </c>
      <c r="J586" s="2">
        <v>1276262</v>
      </c>
      <c r="K586" t="s">
        <v>12</v>
      </c>
      <c r="L586" t="s">
        <v>1652</v>
      </c>
    </row>
    <row r="587" spans="1:12" x14ac:dyDescent="0.3">
      <c r="A587">
        <v>586</v>
      </c>
      <c r="B587" t="s">
        <v>547</v>
      </c>
      <c r="C587">
        <v>44221.695833333331</v>
      </c>
      <c r="D587">
        <v>2021</v>
      </c>
      <c r="E587" t="s">
        <v>10</v>
      </c>
      <c r="F587" t="s">
        <v>29</v>
      </c>
      <c r="G587" t="s">
        <v>15</v>
      </c>
      <c r="H587" s="1" t="s">
        <v>1570</v>
      </c>
      <c r="I587" t="s">
        <v>1579</v>
      </c>
      <c r="J587" s="2">
        <v>3228601</v>
      </c>
      <c r="K587" t="s">
        <v>12</v>
      </c>
      <c r="L587" t="s">
        <v>1653</v>
      </c>
    </row>
    <row r="588" spans="1:12" x14ac:dyDescent="0.3">
      <c r="A588">
        <v>587</v>
      </c>
      <c r="B588" t="s">
        <v>548</v>
      </c>
      <c r="C588">
        <v>44222.332638888889</v>
      </c>
      <c r="D588">
        <v>2021</v>
      </c>
      <c r="E588" t="s">
        <v>10</v>
      </c>
      <c r="F588" t="s">
        <v>231</v>
      </c>
      <c r="G588" t="s">
        <v>229</v>
      </c>
      <c r="H588" s="1" t="s">
        <v>1569</v>
      </c>
      <c r="I588" t="s">
        <v>1634</v>
      </c>
      <c r="J588" s="2">
        <v>4219813</v>
      </c>
      <c r="K588" t="s">
        <v>121</v>
      </c>
      <c r="L588" t="s">
        <v>1648</v>
      </c>
    </row>
    <row r="589" spans="1:12" x14ac:dyDescent="0.3">
      <c r="A589">
        <v>588</v>
      </c>
      <c r="B589" t="s">
        <v>549</v>
      </c>
      <c r="C589">
        <v>44222.375</v>
      </c>
      <c r="D589">
        <v>2021</v>
      </c>
      <c r="E589" t="s">
        <v>10</v>
      </c>
      <c r="F589" t="s">
        <v>1554</v>
      </c>
      <c r="G589" t="s">
        <v>67</v>
      </c>
      <c r="H589" s="1" t="s">
        <v>1566</v>
      </c>
      <c r="I589" t="s">
        <v>1637</v>
      </c>
      <c r="J589" s="2">
        <v>3090759</v>
      </c>
      <c r="K589" t="s">
        <v>12</v>
      </c>
      <c r="L589" t="s">
        <v>1649</v>
      </c>
    </row>
    <row r="590" spans="1:12" x14ac:dyDescent="0.3">
      <c r="A590">
        <v>589</v>
      </c>
      <c r="B590" t="s">
        <v>550</v>
      </c>
      <c r="C590">
        <v>44222.385416666664</v>
      </c>
      <c r="D590">
        <v>2021</v>
      </c>
      <c r="E590" t="s">
        <v>10</v>
      </c>
      <c r="F590" t="s">
        <v>1554</v>
      </c>
      <c r="G590" t="s">
        <v>44</v>
      </c>
      <c r="H590" s="1" t="s">
        <v>1572</v>
      </c>
      <c r="I590" t="s">
        <v>1636</v>
      </c>
      <c r="J590" s="2">
        <v>3533852</v>
      </c>
      <c r="K590" t="s">
        <v>16</v>
      </c>
      <c r="L590" t="s">
        <v>1648</v>
      </c>
    </row>
    <row r="591" spans="1:12" x14ac:dyDescent="0.3">
      <c r="A591">
        <v>590</v>
      </c>
      <c r="B591" t="s">
        <v>551</v>
      </c>
      <c r="C591">
        <v>44222.45208333333</v>
      </c>
      <c r="D591">
        <v>2021</v>
      </c>
      <c r="E591" t="s">
        <v>10</v>
      </c>
      <c r="F591" t="s">
        <v>1554</v>
      </c>
      <c r="G591" t="s">
        <v>11</v>
      </c>
      <c r="H591" s="1" t="s">
        <v>1571</v>
      </c>
      <c r="I591" t="s">
        <v>1577</v>
      </c>
      <c r="J591" s="2">
        <v>4023800</v>
      </c>
      <c r="K591" t="s">
        <v>121</v>
      </c>
      <c r="L591" t="s">
        <v>1653</v>
      </c>
    </row>
    <row r="592" spans="1:12" x14ac:dyDescent="0.3">
      <c r="A592">
        <v>591</v>
      </c>
      <c r="B592" t="s">
        <v>552</v>
      </c>
      <c r="C592">
        <v>44222.457638888889</v>
      </c>
      <c r="D592">
        <v>2021</v>
      </c>
      <c r="E592" t="s">
        <v>10</v>
      </c>
      <c r="F592" t="s">
        <v>1554</v>
      </c>
      <c r="G592" t="s">
        <v>229</v>
      </c>
      <c r="H592" s="1" t="s">
        <v>1573</v>
      </c>
      <c r="I592" t="s">
        <v>1586</v>
      </c>
      <c r="J592" s="2">
        <v>1723474</v>
      </c>
      <c r="K592" t="s">
        <v>59</v>
      </c>
      <c r="L592" t="s">
        <v>1649</v>
      </c>
    </row>
    <row r="593" spans="1:12" x14ac:dyDescent="0.3">
      <c r="A593">
        <v>592</v>
      </c>
      <c r="B593" t="s">
        <v>435</v>
      </c>
      <c r="C593">
        <v>44222.515277777777</v>
      </c>
      <c r="D593">
        <v>2021</v>
      </c>
      <c r="E593" t="s">
        <v>10</v>
      </c>
      <c r="F593" t="s">
        <v>1554</v>
      </c>
      <c r="G593" t="s">
        <v>18</v>
      </c>
      <c r="H593" s="1" t="s">
        <v>1565</v>
      </c>
      <c r="I593" t="s">
        <v>1579</v>
      </c>
      <c r="J593" s="2">
        <v>4125770</v>
      </c>
      <c r="K593" t="s">
        <v>12</v>
      </c>
      <c r="L593" t="s">
        <v>1650</v>
      </c>
    </row>
    <row r="594" spans="1:12" x14ac:dyDescent="0.3">
      <c r="A594">
        <v>593</v>
      </c>
      <c r="B594" t="s">
        <v>553</v>
      </c>
      <c r="C594">
        <v>44222.597222222219</v>
      </c>
      <c r="D594">
        <v>2021</v>
      </c>
      <c r="E594" t="s">
        <v>10</v>
      </c>
      <c r="F594" t="s">
        <v>1554</v>
      </c>
      <c r="G594" t="s">
        <v>18</v>
      </c>
      <c r="H594" s="1" t="s">
        <v>1565</v>
      </c>
      <c r="I594" t="s">
        <v>1579</v>
      </c>
      <c r="J594" s="2">
        <v>3696539</v>
      </c>
      <c r="K594" t="s">
        <v>12</v>
      </c>
      <c r="L594" t="s">
        <v>1648</v>
      </c>
    </row>
    <row r="595" spans="1:12" x14ac:dyDescent="0.3">
      <c r="A595">
        <v>594</v>
      </c>
      <c r="B595" t="s">
        <v>554</v>
      </c>
      <c r="C595">
        <v>44222.603472222225</v>
      </c>
      <c r="D595">
        <v>2021</v>
      </c>
      <c r="E595" t="s">
        <v>10</v>
      </c>
      <c r="F595" t="s">
        <v>1554</v>
      </c>
      <c r="G595" t="s">
        <v>18</v>
      </c>
      <c r="H595" s="1" t="s">
        <v>1565</v>
      </c>
      <c r="I595" t="s">
        <v>1579</v>
      </c>
      <c r="J595" s="2">
        <v>1342203</v>
      </c>
      <c r="K595" t="s">
        <v>12</v>
      </c>
      <c r="L595" t="s">
        <v>1651</v>
      </c>
    </row>
    <row r="596" spans="1:12" x14ac:dyDescent="0.3">
      <c r="A596">
        <v>595</v>
      </c>
      <c r="B596" t="s">
        <v>50</v>
      </c>
      <c r="C596">
        <v>44223.345138888886</v>
      </c>
      <c r="D596">
        <v>2021</v>
      </c>
      <c r="E596" t="s">
        <v>10</v>
      </c>
      <c r="F596" t="s">
        <v>1554</v>
      </c>
      <c r="G596" t="s">
        <v>18</v>
      </c>
      <c r="H596" s="1" t="s">
        <v>1565</v>
      </c>
      <c r="I596" t="s">
        <v>1591</v>
      </c>
      <c r="J596" s="2">
        <v>1833423</v>
      </c>
      <c r="K596" t="s">
        <v>12</v>
      </c>
      <c r="L596" t="s">
        <v>1649</v>
      </c>
    </row>
    <row r="597" spans="1:12" x14ac:dyDescent="0.3">
      <c r="A597">
        <v>596</v>
      </c>
      <c r="B597" t="s">
        <v>555</v>
      </c>
      <c r="C597">
        <v>44223.370138888888</v>
      </c>
      <c r="D597">
        <v>2021</v>
      </c>
      <c r="E597" t="s">
        <v>10</v>
      </c>
      <c r="F597" t="s">
        <v>1554</v>
      </c>
      <c r="G597" t="s">
        <v>15</v>
      </c>
      <c r="H597" s="1" t="s">
        <v>1565</v>
      </c>
      <c r="I597" t="s">
        <v>1579</v>
      </c>
      <c r="J597" s="2">
        <v>4100801</v>
      </c>
      <c r="K597" t="s">
        <v>12</v>
      </c>
      <c r="L597" t="s">
        <v>1650</v>
      </c>
    </row>
    <row r="598" spans="1:12" x14ac:dyDescent="0.3">
      <c r="A598">
        <v>597</v>
      </c>
      <c r="B598" t="s">
        <v>556</v>
      </c>
      <c r="C598">
        <v>44223.538194444445</v>
      </c>
      <c r="D598">
        <v>2021</v>
      </c>
      <c r="E598" t="s">
        <v>10</v>
      </c>
      <c r="F598" t="s">
        <v>1554</v>
      </c>
      <c r="G598" t="s">
        <v>290</v>
      </c>
      <c r="H598" s="1" t="s">
        <v>1565</v>
      </c>
      <c r="I598" t="s">
        <v>1579</v>
      </c>
      <c r="J598" s="2">
        <v>2792574</v>
      </c>
      <c r="K598" t="s">
        <v>12</v>
      </c>
      <c r="L598" t="s">
        <v>1652</v>
      </c>
    </row>
    <row r="599" spans="1:12" x14ac:dyDescent="0.3">
      <c r="A599">
        <v>598</v>
      </c>
      <c r="B599" t="s">
        <v>488</v>
      </c>
      <c r="C599">
        <v>44223.59097222222</v>
      </c>
      <c r="D599">
        <v>2021</v>
      </c>
      <c r="E599" t="s">
        <v>10</v>
      </c>
      <c r="F599" t="s">
        <v>1554</v>
      </c>
      <c r="G599" t="s">
        <v>290</v>
      </c>
      <c r="H599" s="1" t="s">
        <v>1565</v>
      </c>
      <c r="I599" t="s">
        <v>1579</v>
      </c>
      <c r="J599" s="2">
        <v>1772962</v>
      </c>
      <c r="K599" t="s">
        <v>12</v>
      </c>
      <c r="L599" t="s">
        <v>1651</v>
      </c>
    </row>
    <row r="600" spans="1:12" x14ac:dyDescent="0.3">
      <c r="A600">
        <v>599</v>
      </c>
      <c r="B600" t="s">
        <v>557</v>
      </c>
      <c r="C600">
        <v>44224.365972222222</v>
      </c>
      <c r="D600">
        <v>2021</v>
      </c>
      <c r="E600" t="s">
        <v>10</v>
      </c>
      <c r="F600" t="s">
        <v>1554</v>
      </c>
      <c r="G600" t="s">
        <v>11</v>
      </c>
      <c r="H600" s="1" t="s">
        <v>1565</v>
      </c>
      <c r="I600" t="s">
        <v>1577</v>
      </c>
      <c r="J600" s="2">
        <v>4363239</v>
      </c>
      <c r="K600" t="s">
        <v>121</v>
      </c>
      <c r="L600" t="s">
        <v>1651</v>
      </c>
    </row>
    <row r="601" spans="1:12" x14ac:dyDescent="0.3">
      <c r="A601">
        <v>600</v>
      </c>
      <c r="B601" t="s">
        <v>558</v>
      </c>
      <c r="C601">
        <v>44224.469444444447</v>
      </c>
      <c r="D601">
        <v>2021</v>
      </c>
      <c r="E601" t="s">
        <v>10</v>
      </c>
      <c r="F601" t="s">
        <v>1554</v>
      </c>
      <c r="G601" t="s">
        <v>18</v>
      </c>
      <c r="H601" s="1" t="s">
        <v>1565</v>
      </c>
      <c r="I601" t="s">
        <v>1579</v>
      </c>
      <c r="J601" s="2">
        <v>2939056</v>
      </c>
      <c r="K601" t="s">
        <v>12</v>
      </c>
      <c r="L601" t="s">
        <v>1650</v>
      </c>
    </row>
    <row r="602" spans="1:12" x14ac:dyDescent="0.3">
      <c r="A602">
        <v>601</v>
      </c>
      <c r="B602" t="s">
        <v>559</v>
      </c>
      <c r="C602">
        <v>44224.493750000001</v>
      </c>
      <c r="D602">
        <v>2021</v>
      </c>
      <c r="E602" t="s">
        <v>10</v>
      </c>
      <c r="F602" t="s">
        <v>1554</v>
      </c>
      <c r="G602" t="s">
        <v>62</v>
      </c>
      <c r="H602" s="1" t="s">
        <v>1565</v>
      </c>
      <c r="I602" t="s">
        <v>1639</v>
      </c>
      <c r="J602" s="2">
        <v>2930416</v>
      </c>
      <c r="K602" t="s">
        <v>12</v>
      </c>
      <c r="L602" t="s">
        <v>1651</v>
      </c>
    </row>
    <row r="603" spans="1:12" x14ac:dyDescent="0.3">
      <c r="A603">
        <v>602</v>
      </c>
      <c r="B603" t="s">
        <v>560</v>
      </c>
      <c r="C603">
        <v>44224.510416666664</v>
      </c>
      <c r="D603">
        <v>2021</v>
      </c>
      <c r="E603" t="s">
        <v>10</v>
      </c>
      <c r="F603" t="s">
        <v>1554</v>
      </c>
      <c r="G603" t="s">
        <v>15</v>
      </c>
      <c r="H603" s="1" t="s">
        <v>1565</v>
      </c>
      <c r="I603" t="s">
        <v>1579</v>
      </c>
      <c r="J603" s="2">
        <v>1945011</v>
      </c>
      <c r="K603" t="s">
        <v>12</v>
      </c>
      <c r="L603" t="s">
        <v>1648</v>
      </c>
    </row>
    <row r="604" spans="1:12" x14ac:dyDescent="0.3">
      <c r="A604">
        <v>603</v>
      </c>
      <c r="B604" t="s">
        <v>561</v>
      </c>
      <c r="C604">
        <v>44224.513194444444</v>
      </c>
      <c r="D604">
        <v>2021</v>
      </c>
      <c r="E604" t="s">
        <v>10</v>
      </c>
      <c r="F604" t="s">
        <v>1554</v>
      </c>
      <c r="G604" t="s">
        <v>11</v>
      </c>
      <c r="H604" s="1" t="s">
        <v>1565</v>
      </c>
      <c r="I604" t="s">
        <v>1577</v>
      </c>
      <c r="J604" s="2">
        <v>1222779</v>
      </c>
      <c r="K604" t="s">
        <v>121</v>
      </c>
      <c r="L604" t="s">
        <v>1649</v>
      </c>
    </row>
    <row r="605" spans="1:12" x14ac:dyDescent="0.3">
      <c r="A605">
        <v>604</v>
      </c>
      <c r="B605" t="s">
        <v>562</v>
      </c>
      <c r="C605">
        <v>44224.533333333333</v>
      </c>
      <c r="D605">
        <v>2021</v>
      </c>
      <c r="E605" t="s">
        <v>10</v>
      </c>
      <c r="F605" t="s">
        <v>1554</v>
      </c>
      <c r="G605" t="s">
        <v>23</v>
      </c>
      <c r="H605" s="1" t="s">
        <v>1565</v>
      </c>
      <c r="I605" t="s">
        <v>1579</v>
      </c>
      <c r="J605" s="2">
        <v>1477509</v>
      </c>
      <c r="K605" t="s">
        <v>12</v>
      </c>
      <c r="L605" t="s">
        <v>1650</v>
      </c>
    </row>
    <row r="606" spans="1:12" x14ac:dyDescent="0.3">
      <c r="A606">
        <v>605</v>
      </c>
      <c r="B606" t="s">
        <v>563</v>
      </c>
      <c r="C606">
        <v>44224.541666666664</v>
      </c>
      <c r="D606">
        <v>2021</v>
      </c>
      <c r="E606" t="s">
        <v>10</v>
      </c>
      <c r="F606" t="s">
        <v>1552</v>
      </c>
      <c r="G606" t="s">
        <v>23</v>
      </c>
      <c r="H606" s="1" t="s">
        <v>1565</v>
      </c>
      <c r="I606" t="s">
        <v>1579</v>
      </c>
      <c r="J606" s="2">
        <v>2484486</v>
      </c>
      <c r="K606" t="s">
        <v>12</v>
      </c>
      <c r="L606" t="s">
        <v>1651</v>
      </c>
    </row>
    <row r="607" spans="1:12" x14ac:dyDescent="0.3">
      <c r="A607">
        <v>606</v>
      </c>
      <c r="B607" t="s">
        <v>564</v>
      </c>
      <c r="C607">
        <v>44225.600694444445</v>
      </c>
      <c r="D607">
        <v>2021</v>
      </c>
      <c r="E607" t="s">
        <v>10</v>
      </c>
      <c r="F607" t="s">
        <v>20</v>
      </c>
      <c r="G607" t="s">
        <v>18</v>
      </c>
      <c r="H607" s="1" t="s">
        <v>1565</v>
      </c>
      <c r="I607" t="s">
        <v>1640</v>
      </c>
      <c r="J607" s="2">
        <v>1913748</v>
      </c>
      <c r="K607" t="s">
        <v>16</v>
      </c>
      <c r="L607" t="s">
        <v>1649</v>
      </c>
    </row>
    <row r="608" spans="1:12" x14ac:dyDescent="0.3">
      <c r="A608">
        <v>607</v>
      </c>
      <c r="B608" t="s">
        <v>565</v>
      </c>
      <c r="C608">
        <v>44225.636805555558</v>
      </c>
      <c r="D608">
        <v>2021</v>
      </c>
      <c r="E608" t="s">
        <v>10</v>
      </c>
      <c r="F608" t="s">
        <v>1555</v>
      </c>
      <c r="G608" t="s">
        <v>21</v>
      </c>
      <c r="H608" s="1" t="s">
        <v>1565</v>
      </c>
      <c r="I608" t="s">
        <v>1616</v>
      </c>
      <c r="J608" s="2">
        <v>3143417</v>
      </c>
      <c r="K608" t="s">
        <v>12</v>
      </c>
      <c r="L608" t="s">
        <v>1648</v>
      </c>
    </row>
    <row r="609" spans="1:12" x14ac:dyDescent="0.3">
      <c r="A609">
        <v>608</v>
      </c>
      <c r="B609" t="s">
        <v>565</v>
      </c>
      <c r="C609">
        <v>44225.637499999997</v>
      </c>
      <c r="D609">
        <v>2021</v>
      </c>
      <c r="E609" t="s">
        <v>10</v>
      </c>
      <c r="F609" t="s">
        <v>1553</v>
      </c>
      <c r="G609" t="s">
        <v>21</v>
      </c>
      <c r="H609" s="1" t="s">
        <v>1565</v>
      </c>
      <c r="I609" t="s">
        <v>1613</v>
      </c>
      <c r="J609" s="2">
        <v>4289586</v>
      </c>
      <c r="K609" t="s">
        <v>53</v>
      </c>
      <c r="L609" t="s">
        <v>1651</v>
      </c>
    </row>
    <row r="610" spans="1:12" x14ac:dyDescent="0.3">
      <c r="A610">
        <v>609</v>
      </c>
      <c r="B610" t="s">
        <v>566</v>
      </c>
      <c r="C610">
        <v>44225.663888888892</v>
      </c>
      <c r="D610">
        <v>2021</v>
      </c>
      <c r="E610" t="s">
        <v>10</v>
      </c>
      <c r="F610" t="s">
        <v>1556</v>
      </c>
      <c r="G610" t="s">
        <v>67</v>
      </c>
      <c r="H610" s="1" t="s">
        <v>1565</v>
      </c>
      <c r="I610" t="s">
        <v>1634</v>
      </c>
      <c r="J610" s="2">
        <v>4005751</v>
      </c>
      <c r="K610" t="s">
        <v>121</v>
      </c>
      <c r="L610" t="s">
        <v>1651</v>
      </c>
    </row>
    <row r="611" spans="1:12" x14ac:dyDescent="0.3">
      <c r="A611">
        <v>610</v>
      </c>
      <c r="B611" t="s">
        <v>567</v>
      </c>
      <c r="C611">
        <v>44225.669444444444</v>
      </c>
      <c r="D611">
        <v>2021</v>
      </c>
      <c r="E611" t="s">
        <v>10</v>
      </c>
      <c r="F611" t="s">
        <v>1552</v>
      </c>
      <c r="G611" t="s">
        <v>67</v>
      </c>
      <c r="H611" s="1" t="s">
        <v>1575</v>
      </c>
      <c r="I611" t="s">
        <v>1634</v>
      </c>
      <c r="J611" s="2">
        <v>3641241</v>
      </c>
      <c r="K611" t="s">
        <v>121</v>
      </c>
      <c r="L611" t="s">
        <v>1651</v>
      </c>
    </row>
    <row r="612" spans="1:12" x14ac:dyDescent="0.3">
      <c r="A612">
        <v>611</v>
      </c>
      <c r="B612" t="s">
        <v>568</v>
      </c>
      <c r="C612">
        <v>44225.67291666667</v>
      </c>
      <c r="D612">
        <v>2021</v>
      </c>
      <c r="E612" t="s">
        <v>10</v>
      </c>
      <c r="F612" t="s">
        <v>20</v>
      </c>
      <c r="G612" t="s">
        <v>67</v>
      </c>
      <c r="H612" s="1" t="s">
        <v>1575</v>
      </c>
      <c r="I612" t="s">
        <v>1634</v>
      </c>
      <c r="J612" s="2">
        <v>4083047</v>
      </c>
      <c r="K612" t="s">
        <v>121</v>
      </c>
      <c r="L612" t="s">
        <v>1652</v>
      </c>
    </row>
    <row r="613" spans="1:12" x14ac:dyDescent="0.3">
      <c r="A613">
        <v>612</v>
      </c>
      <c r="B613" t="s">
        <v>569</v>
      </c>
      <c r="C613">
        <v>44228.35</v>
      </c>
      <c r="D613">
        <v>2021</v>
      </c>
      <c r="E613" t="s">
        <v>10</v>
      </c>
      <c r="F613" t="s">
        <v>1555</v>
      </c>
      <c r="G613" t="s">
        <v>67</v>
      </c>
      <c r="H613" s="1" t="s">
        <v>1575</v>
      </c>
      <c r="I613" t="s">
        <v>1637</v>
      </c>
      <c r="J613" s="2">
        <v>2810126</v>
      </c>
      <c r="K613" t="s">
        <v>12</v>
      </c>
      <c r="L613" t="s">
        <v>1648</v>
      </c>
    </row>
    <row r="614" spans="1:12" x14ac:dyDescent="0.3">
      <c r="A614">
        <v>613</v>
      </c>
      <c r="B614" t="s">
        <v>570</v>
      </c>
      <c r="C614">
        <v>44228.433333333334</v>
      </c>
      <c r="D614">
        <v>2021</v>
      </c>
      <c r="E614" t="s">
        <v>10</v>
      </c>
      <c r="F614" t="s">
        <v>1553</v>
      </c>
      <c r="G614" t="s">
        <v>18</v>
      </c>
      <c r="H614" s="1" t="s">
        <v>1575</v>
      </c>
      <c r="I614" t="s">
        <v>1600</v>
      </c>
      <c r="J614" s="2">
        <v>1599080</v>
      </c>
      <c r="K614" t="s">
        <v>121</v>
      </c>
      <c r="L614" t="s">
        <v>1653</v>
      </c>
    </row>
    <row r="615" spans="1:12" x14ac:dyDescent="0.3">
      <c r="A615">
        <v>614</v>
      </c>
      <c r="B615" t="s">
        <v>571</v>
      </c>
      <c r="C615">
        <v>44229.459027777775</v>
      </c>
      <c r="D615">
        <v>2021</v>
      </c>
      <c r="E615" t="s">
        <v>10</v>
      </c>
      <c r="F615" t="s">
        <v>1556</v>
      </c>
      <c r="G615" t="s">
        <v>67</v>
      </c>
      <c r="H615" s="1" t="s">
        <v>1575</v>
      </c>
      <c r="I615" t="s">
        <v>1637</v>
      </c>
      <c r="J615" s="2">
        <v>4683504</v>
      </c>
      <c r="K615" t="s">
        <v>12</v>
      </c>
      <c r="L615" t="s">
        <v>1651</v>
      </c>
    </row>
    <row r="616" spans="1:12" x14ac:dyDescent="0.3">
      <c r="A616">
        <v>615</v>
      </c>
      <c r="B616" t="s">
        <v>572</v>
      </c>
      <c r="C616">
        <v>44229.469444444447</v>
      </c>
      <c r="D616">
        <v>2021</v>
      </c>
      <c r="E616" t="s">
        <v>10</v>
      </c>
      <c r="F616" t="s">
        <v>1552</v>
      </c>
      <c r="G616" t="s">
        <v>15</v>
      </c>
      <c r="H616" s="1" t="s">
        <v>1575</v>
      </c>
      <c r="I616" t="s">
        <v>1579</v>
      </c>
      <c r="J616" s="2">
        <v>2654293</v>
      </c>
      <c r="K616" t="s">
        <v>12</v>
      </c>
      <c r="L616" t="s">
        <v>1651</v>
      </c>
    </row>
    <row r="617" spans="1:12" x14ac:dyDescent="0.3">
      <c r="A617">
        <v>616</v>
      </c>
      <c r="B617" t="s">
        <v>564</v>
      </c>
      <c r="C617">
        <v>44229.652777777781</v>
      </c>
      <c r="D617">
        <v>2021</v>
      </c>
      <c r="E617" t="s">
        <v>10</v>
      </c>
      <c r="F617" t="s">
        <v>20</v>
      </c>
      <c r="G617" t="s">
        <v>18</v>
      </c>
      <c r="H617" s="1" t="s">
        <v>1575</v>
      </c>
      <c r="I617" t="s">
        <v>1640</v>
      </c>
      <c r="J617" s="2">
        <v>1857448</v>
      </c>
      <c r="K617" t="s">
        <v>16</v>
      </c>
      <c r="L617" t="s">
        <v>1653</v>
      </c>
    </row>
    <row r="618" spans="1:12" x14ac:dyDescent="0.3">
      <c r="A618">
        <v>617</v>
      </c>
      <c r="B618" t="s">
        <v>573</v>
      </c>
      <c r="C618">
        <v>44229.65625</v>
      </c>
      <c r="D618">
        <v>2021</v>
      </c>
      <c r="E618" t="s">
        <v>10</v>
      </c>
      <c r="F618" t="s">
        <v>1555</v>
      </c>
      <c r="G618" t="s">
        <v>11</v>
      </c>
      <c r="H618" s="1" t="s">
        <v>1575</v>
      </c>
      <c r="I618" t="s">
        <v>1577</v>
      </c>
      <c r="J618" s="2">
        <v>2934865</v>
      </c>
      <c r="K618" t="s">
        <v>121</v>
      </c>
      <c r="L618" t="s">
        <v>1652</v>
      </c>
    </row>
    <row r="619" spans="1:12" x14ac:dyDescent="0.3">
      <c r="A619">
        <v>618</v>
      </c>
      <c r="B619" t="s">
        <v>574</v>
      </c>
      <c r="C619">
        <v>44229.667361111111</v>
      </c>
      <c r="D619">
        <v>2021</v>
      </c>
      <c r="E619" t="s">
        <v>10</v>
      </c>
      <c r="F619" t="s">
        <v>1553</v>
      </c>
      <c r="G619" t="s">
        <v>21</v>
      </c>
      <c r="H619" s="1" t="s">
        <v>1575</v>
      </c>
      <c r="I619" t="s">
        <v>1616</v>
      </c>
      <c r="J619" s="2">
        <v>4690587</v>
      </c>
      <c r="K619" t="s">
        <v>12</v>
      </c>
      <c r="L619" t="s">
        <v>1652</v>
      </c>
    </row>
    <row r="620" spans="1:12" x14ac:dyDescent="0.3">
      <c r="A620">
        <v>619</v>
      </c>
      <c r="B620" t="s">
        <v>573</v>
      </c>
      <c r="C620">
        <v>44229.680555555555</v>
      </c>
      <c r="D620">
        <v>2021</v>
      </c>
      <c r="E620" t="s">
        <v>10</v>
      </c>
      <c r="F620" t="s">
        <v>1556</v>
      </c>
      <c r="G620" t="s">
        <v>11</v>
      </c>
      <c r="H620" s="1" t="s">
        <v>1575</v>
      </c>
      <c r="I620" t="s">
        <v>1577</v>
      </c>
      <c r="J620" s="2">
        <v>1492665</v>
      </c>
      <c r="K620" t="s">
        <v>121</v>
      </c>
      <c r="L620" t="s">
        <v>1650</v>
      </c>
    </row>
    <row r="621" spans="1:12" x14ac:dyDescent="0.3">
      <c r="A621">
        <v>620</v>
      </c>
      <c r="B621" t="s">
        <v>575</v>
      </c>
      <c r="C621">
        <v>44229.684027777781</v>
      </c>
      <c r="D621">
        <v>2021</v>
      </c>
      <c r="E621" t="s">
        <v>10</v>
      </c>
      <c r="F621" t="s">
        <v>1553</v>
      </c>
      <c r="G621" t="s">
        <v>11</v>
      </c>
      <c r="H621" s="1" t="s">
        <v>1575</v>
      </c>
      <c r="I621" t="s">
        <v>1577</v>
      </c>
      <c r="J621" s="2">
        <v>4680122</v>
      </c>
      <c r="K621" t="s">
        <v>121</v>
      </c>
      <c r="L621" t="s">
        <v>1650</v>
      </c>
    </row>
    <row r="622" spans="1:12" x14ac:dyDescent="0.3">
      <c r="A622">
        <v>621</v>
      </c>
      <c r="B622" t="s">
        <v>576</v>
      </c>
      <c r="C622">
        <v>44229.704861111109</v>
      </c>
      <c r="D622">
        <v>2021</v>
      </c>
      <c r="E622" t="s">
        <v>10</v>
      </c>
      <c r="F622" t="s">
        <v>1553</v>
      </c>
      <c r="G622" t="s">
        <v>11</v>
      </c>
      <c r="H622" s="1" t="s">
        <v>1575</v>
      </c>
      <c r="I622" t="s">
        <v>1577</v>
      </c>
      <c r="J622" s="2">
        <v>3280964</v>
      </c>
      <c r="K622" t="s">
        <v>121</v>
      </c>
      <c r="L622" t="s">
        <v>1650</v>
      </c>
    </row>
    <row r="623" spans="1:12" x14ac:dyDescent="0.3">
      <c r="A623">
        <v>622</v>
      </c>
      <c r="B623" t="s">
        <v>577</v>
      </c>
      <c r="C623">
        <v>44229.705555555556</v>
      </c>
      <c r="D623">
        <v>2021</v>
      </c>
      <c r="E623" t="s">
        <v>10</v>
      </c>
      <c r="F623" t="s">
        <v>1553</v>
      </c>
      <c r="G623" t="s">
        <v>11</v>
      </c>
      <c r="H623" s="1" t="s">
        <v>1575</v>
      </c>
      <c r="I623" t="s">
        <v>1577</v>
      </c>
      <c r="J623" s="2">
        <v>2917189</v>
      </c>
      <c r="K623" t="s">
        <v>121</v>
      </c>
      <c r="L623" t="s">
        <v>1653</v>
      </c>
    </row>
    <row r="624" spans="1:12" x14ac:dyDescent="0.3">
      <c r="A624">
        <v>623</v>
      </c>
      <c r="B624" t="s">
        <v>578</v>
      </c>
      <c r="C624">
        <v>44229.711111111108</v>
      </c>
      <c r="D624">
        <v>2021</v>
      </c>
      <c r="E624" t="s">
        <v>10</v>
      </c>
      <c r="F624" t="s">
        <v>1553</v>
      </c>
      <c r="G624" t="s">
        <v>11</v>
      </c>
      <c r="H624" s="1" t="s">
        <v>1575</v>
      </c>
      <c r="I624" t="s">
        <v>1577</v>
      </c>
      <c r="J624" s="2">
        <v>2792193</v>
      </c>
      <c r="K624" t="s">
        <v>121</v>
      </c>
      <c r="L624" t="s">
        <v>1648</v>
      </c>
    </row>
    <row r="625" spans="1:12" x14ac:dyDescent="0.3">
      <c r="A625">
        <v>624</v>
      </c>
      <c r="B625" t="s">
        <v>579</v>
      </c>
      <c r="C625">
        <v>44229.713888888888</v>
      </c>
      <c r="D625">
        <v>2021</v>
      </c>
      <c r="E625" t="s">
        <v>10</v>
      </c>
      <c r="F625" t="s">
        <v>1553</v>
      </c>
      <c r="G625" t="s">
        <v>11</v>
      </c>
      <c r="H625" s="1" t="s">
        <v>1575</v>
      </c>
      <c r="I625" t="s">
        <v>1577</v>
      </c>
      <c r="J625" s="2">
        <v>1168039</v>
      </c>
      <c r="K625" t="s">
        <v>121</v>
      </c>
      <c r="L625" t="s">
        <v>1653</v>
      </c>
    </row>
    <row r="626" spans="1:12" x14ac:dyDescent="0.3">
      <c r="A626">
        <v>625</v>
      </c>
      <c r="B626" t="s">
        <v>580</v>
      </c>
      <c r="C626">
        <v>44230.377083333333</v>
      </c>
      <c r="D626">
        <v>2021</v>
      </c>
      <c r="E626" t="s">
        <v>10</v>
      </c>
      <c r="F626" t="s">
        <v>1553</v>
      </c>
      <c r="G626" t="s">
        <v>11</v>
      </c>
      <c r="H626" s="1" t="s">
        <v>1575</v>
      </c>
      <c r="I626" t="s">
        <v>1577</v>
      </c>
      <c r="J626" s="2">
        <v>3663486</v>
      </c>
      <c r="K626" t="s">
        <v>121</v>
      </c>
      <c r="L626" t="s">
        <v>1649</v>
      </c>
    </row>
    <row r="627" spans="1:12" x14ac:dyDescent="0.3">
      <c r="A627">
        <v>626</v>
      </c>
      <c r="B627" t="s">
        <v>581</v>
      </c>
      <c r="C627">
        <v>44230.404861111114</v>
      </c>
      <c r="D627">
        <v>2021</v>
      </c>
      <c r="E627" t="s">
        <v>10</v>
      </c>
      <c r="F627" t="s">
        <v>1553</v>
      </c>
      <c r="G627" t="s">
        <v>11</v>
      </c>
      <c r="H627" s="1" t="s">
        <v>1575</v>
      </c>
      <c r="I627" t="s">
        <v>1577</v>
      </c>
      <c r="J627" s="2">
        <v>3946898</v>
      </c>
      <c r="K627" t="s">
        <v>121</v>
      </c>
      <c r="L627" t="s">
        <v>1652</v>
      </c>
    </row>
    <row r="628" spans="1:12" x14ac:dyDescent="0.3">
      <c r="A628">
        <v>627</v>
      </c>
      <c r="B628" t="s">
        <v>582</v>
      </c>
      <c r="C628">
        <v>44230.519444444442</v>
      </c>
      <c r="D628">
        <v>2021</v>
      </c>
      <c r="E628" t="s">
        <v>10</v>
      </c>
      <c r="F628" t="s">
        <v>1552</v>
      </c>
      <c r="G628" t="s">
        <v>21</v>
      </c>
      <c r="H628" s="1" t="s">
        <v>1575</v>
      </c>
      <c r="I628" t="s">
        <v>1616</v>
      </c>
      <c r="J628" s="2">
        <v>1577005</v>
      </c>
      <c r="K628" t="s">
        <v>12</v>
      </c>
      <c r="L628" t="s">
        <v>1652</v>
      </c>
    </row>
    <row r="629" spans="1:12" x14ac:dyDescent="0.3">
      <c r="A629">
        <v>628</v>
      </c>
      <c r="B629" t="s">
        <v>583</v>
      </c>
      <c r="C629">
        <v>44230.527083333334</v>
      </c>
      <c r="D629">
        <v>2021</v>
      </c>
      <c r="E629" t="s">
        <v>10</v>
      </c>
      <c r="F629" t="s">
        <v>20</v>
      </c>
      <c r="G629" t="s">
        <v>11</v>
      </c>
      <c r="H629" s="1" t="s">
        <v>1575</v>
      </c>
      <c r="I629" t="s">
        <v>1577</v>
      </c>
      <c r="J629" s="2">
        <v>3079909</v>
      </c>
      <c r="K629" t="s">
        <v>121</v>
      </c>
      <c r="L629" t="s">
        <v>1653</v>
      </c>
    </row>
    <row r="630" spans="1:12" x14ac:dyDescent="0.3">
      <c r="A630">
        <v>629</v>
      </c>
      <c r="B630" t="s">
        <v>584</v>
      </c>
      <c r="C630">
        <v>44230.533333333333</v>
      </c>
      <c r="D630">
        <v>2021</v>
      </c>
      <c r="E630" t="s">
        <v>10</v>
      </c>
      <c r="F630" t="s">
        <v>1555</v>
      </c>
      <c r="G630" t="s">
        <v>15</v>
      </c>
      <c r="H630" s="1" t="s">
        <v>1575</v>
      </c>
      <c r="I630" t="s">
        <v>1579</v>
      </c>
      <c r="J630" s="2">
        <v>2104465</v>
      </c>
      <c r="K630" t="s">
        <v>12</v>
      </c>
      <c r="L630" t="s">
        <v>1652</v>
      </c>
    </row>
    <row r="631" spans="1:12" x14ac:dyDescent="0.3">
      <c r="A631">
        <v>630</v>
      </c>
      <c r="B631" t="s">
        <v>585</v>
      </c>
      <c r="C631">
        <v>44230.551388888889</v>
      </c>
      <c r="D631">
        <v>2021</v>
      </c>
      <c r="E631" t="s">
        <v>10</v>
      </c>
      <c r="F631" t="s">
        <v>1553</v>
      </c>
      <c r="G631" t="s">
        <v>15</v>
      </c>
      <c r="H631" s="1" t="s">
        <v>1575</v>
      </c>
      <c r="I631" t="s">
        <v>1579</v>
      </c>
      <c r="J631" s="2">
        <v>1491050</v>
      </c>
      <c r="K631" t="s">
        <v>12</v>
      </c>
      <c r="L631" t="s">
        <v>1648</v>
      </c>
    </row>
    <row r="632" spans="1:12" x14ac:dyDescent="0.3">
      <c r="A632">
        <v>631</v>
      </c>
      <c r="B632" t="s">
        <v>586</v>
      </c>
      <c r="C632">
        <v>44230.593055555553</v>
      </c>
      <c r="D632">
        <v>2021</v>
      </c>
      <c r="E632" t="s">
        <v>10</v>
      </c>
      <c r="F632" t="s">
        <v>1556</v>
      </c>
      <c r="G632" t="s">
        <v>11</v>
      </c>
      <c r="H632" s="1" t="s">
        <v>1575</v>
      </c>
      <c r="I632" t="s">
        <v>1577</v>
      </c>
      <c r="J632" s="2">
        <v>1941556</v>
      </c>
      <c r="K632" t="s">
        <v>121</v>
      </c>
      <c r="L632" t="s">
        <v>1653</v>
      </c>
    </row>
    <row r="633" spans="1:12" x14ac:dyDescent="0.3">
      <c r="A633">
        <v>632</v>
      </c>
      <c r="B633" t="s">
        <v>587</v>
      </c>
      <c r="C633">
        <v>44230.606944444444</v>
      </c>
      <c r="D633">
        <v>2021</v>
      </c>
      <c r="E633" t="s">
        <v>10</v>
      </c>
      <c r="F633" t="s">
        <v>1552</v>
      </c>
      <c r="G633" t="s">
        <v>290</v>
      </c>
      <c r="H633" s="1" t="s">
        <v>1575</v>
      </c>
      <c r="I633" t="s">
        <v>1579</v>
      </c>
      <c r="J633" s="2">
        <v>1212068</v>
      </c>
      <c r="K633" t="s">
        <v>12</v>
      </c>
      <c r="L633" t="s">
        <v>1653</v>
      </c>
    </row>
    <row r="634" spans="1:12" x14ac:dyDescent="0.3">
      <c r="A634">
        <v>633</v>
      </c>
      <c r="B634" t="s">
        <v>588</v>
      </c>
      <c r="C634">
        <v>44230.60833333333</v>
      </c>
      <c r="D634">
        <v>2021</v>
      </c>
      <c r="E634" t="s">
        <v>10</v>
      </c>
      <c r="F634" t="s">
        <v>20</v>
      </c>
      <c r="G634" t="s">
        <v>11</v>
      </c>
      <c r="H634" s="1" t="s">
        <v>1575</v>
      </c>
      <c r="I634" t="s">
        <v>1577</v>
      </c>
      <c r="J634" s="2">
        <v>3988869</v>
      </c>
      <c r="K634" t="s">
        <v>121</v>
      </c>
      <c r="L634" t="s">
        <v>1652</v>
      </c>
    </row>
    <row r="635" spans="1:12" x14ac:dyDescent="0.3">
      <c r="A635">
        <v>634</v>
      </c>
      <c r="B635" t="s">
        <v>589</v>
      </c>
      <c r="C635">
        <v>44230.63958333333</v>
      </c>
      <c r="D635">
        <v>2021</v>
      </c>
      <c r="E635" t="s">
        <v>10</v>
      </c>
      <c r="F635" t="s">
        <v>1555</v>
      </c>
      <c r="G635" t="s">
        <v>591</v>
      </c>
      <c r="H635" s="1" t="s">
        <v>1575</v>
      </c>
      <c r="I635" t="s">
        <v>1635</v>
      </c>
      <c r="J635" s="2">
        <v>2616453</v>
      </c>
      <c r="K635" t="s">
        <v>12</v>
      </c>
      <c r="L635" t="s">
        <v>1651</v>
      </c>
    </row>
    <row r="636" spans="1:12" x14ac:dyDescent="0.3">
      <c r="A636">
        <v>635</v>
      </c>
      <c r="B636" t="s">
        <v>592</v>
      </c>
      <c r="C636">
        <v>44230.640277777777</v>
      </c>
      <c r="D636">
        <v>2021</v>
      </c>
      <c r="E636" t="s">
        <v>10</v>
      </c>
      <c r="F636" t="s">
        <v>1553</v>
      </c>
      <c r="G636" t="s">
        <v>21</v>
      </c>
      <c r="H636" s="1" t="s">
        <v>1575</v>
      </c>
      <c r="I636" t="s">
        <v>1616</v>
      </c>
      <c r="J636" s="2">
        <v>2321082</v>
      </c>
      <c r="K636" t="s">
        <v>12</v>
      </c>
      <c r="L636" t="s">
        <v>1650</v>
      </c>
    </row>
    <row r="637" spans="1:12" x14ac:dyDescent="0.3">
      <c r="A637">
        <v>636</v>
      </c>
      <c r="B637" t="s">
        <v>593</v>
      </c>
      <c r="C637">
        <v>44230.65347222222</v>
      </c>
      <c r="D637">
        <v>2021</v>
      </c>
      <c r="E637" t="s">
        <v>10</v>
      </c>
      <c r="F637" t="s">
        <v>1556</v>
      </c>
      <c r="G637" t="s">
        <v>15</v>
      </c>
      <c r="H637" s="1" t="s">
        <v>1575</v>
      </c>
      <c r="I637" t="s">
        <v>1579</v>
      </c>
      <c r="J637" s="2">
        <v>1360404</v>
      </c>
      <c r="K637" t="s">
        <v>12</v>
      </c>
      <c r="L637" t="s">
        <v>1650</v>
      </c>
    </row>
    <row r="638" spans="1:12" x14ac:dyDescent="0.3">
      <c r="A638">
        <v>637</v>
      </c>
      <c r="B638" t="s">
        <v>594</v>
      </c>
      <c r="C638">
        <v>44230.681250000001</v>
      </c>
      <c r="D638">
        <v>2021</v>
      </c>
      <c r="E638" t="s">
        <v>10</v>
      </c>
      <c r="F638" t="s">
        <v>1554</v>
      </c>
      <c r="G638" t="s">
        <v>62</v>
      </c>
      <c r="H638" s="1" t="s">
        <v>1575</v>
      </c>
      <c r="I638" t="s">
        <v>1634</v>
      </c>
      <c r="J638" s="2">
        <v>3913380</v>
      </c>
      <c r="K638" t="s">
        <v>121</v>
      </c>
      <c r="L638" t="s">
        <v>1650</v>
      </c>
    </row>
    <row r="639" spans="1:12" x14ac:dyDescent="0.3">
      <c r="A639">
        <v>638</v>
      </c>
      <c r="B639" t="s">
        <v>435</v>
      </c>
      <c r="C639">
        <v>44231.491666666669</v>
      </c>
      <c r="D639">
        <v>2021</v>
      </c>
      <c r="E639" t="s">
        <v>10</v>
      </c>
      <c r="F639" t="s">
        <v>1554</v>
      </c>
      <c r="G639" t="s">
        <v>18</v>
      </c>
      <c r="H639" s="1" t="s">
        <v>1575</v>
      </c>
      <c r="I639" t="s">
        <v>1579</v>
      </c>
      <c r="J639" s="2">
        <v>2616596</v>
      </c>
      <c r="K639" t="s">
        <v>12</v>
      </c>
      <c r="L639" t="s">
        <v>1649</v>
      </c>
    </row>
    <row r="640" spans="1:12" x14ac:dyDescent="0.3">
      <c r="A640">
        <v>639</v>
      </c>
      <c r="B640" t="s">
        <v>595</v>
      </c>
      <c r="C640">
        <v>44231.521527777775</v>
      </c>
      <c r="D640">
        <v>2021</v>
      </c>
      <c r="E640" t="s">
        <v>10</v>
      </c>
      <c r="F640" t="s">
        <v>1554</v>
      </c>
      <c r="G640" t="s">
        <v>11</v>
      </c>
      <c r="H640" s="1" t="s">
        <v>1575</v>
      </c>
      <c r="I640" t="s">
        <v>1577</v>
      </c>
      <c r="J640" s="2">
        <v>3414797</v>
      </c>
      <c r="K640" t="s">
        <v>121</v>
      </c>
      <c r="L640" t="s">
        <v>1651</v>
      </c>
    </row>
    <row r="641" spans="1:12" x14ac:dyDescent="0.3">
      <c r="A641">
        <v>640</v>
      </c>
      <c r="B641" t="s">
        <v>596</v>
      </c>
      <c r="C641">
        <v>44231.529166666667</v>
      </c>
      <c r="D641">
        <v>2021</v>
      </c>
      <c r="E641" t="s">
        <v>10</v>
      </c>
      <c r="F641" t="s">
        <v>1554</v>
      </c>
      <c r="G641" t="s">
        <v>21</v>
      </c>
      <c r="H641" s="1" t="s">
        <v>1575</v>
      </c>
      <c r="I641" t="s">
        <v>1616</v>
      </c>
      <c r="J641" s="2">
        <v>2165477</v>
      </c>
      <c r="K641" t="s">
        <v>12</v>
      </c>
      <c r="L641" t="s">
        <v>1648</v>
      </c>
    </row>
    <row r="642" spans="1:12" x14ac:dyDescent="0.3">
      <c r="A642">
        <v>641</v>
      </c>
      <c r="B642" t="s">
        <v>597</v>
      </c>
      <c r="C642">
        <v>44231.542361111111</v>
      </c>
      <c r="D642">
        <v>2021</v>
      </c>
      <c r="E642" t="s">
        <v>10</v>
      </c>
      <c r="F642" t="s">
        <v>1554</v>
      </c>
      <c r="G642" t="s">
        <v>15</v>
      </c>
      <c r="H642" s="1" t="s">
        <v>1575</v>
      </c>
      <c r="I642" t="s">
        <v>1635</v>
      </c>
      <c r="J642" s="2">
        <v>3510427</v>
      </c>
      <c r="K642" t="s">
        <v>12</v>
      </c>
      <c r="L642" t="s">
        <v>1648</v>
      </c>
    </row>
    <row r="643" spans="1:12" x14ac:dyDescent="0.3">
      <c r="A643">
        <v>642</v>
      </c>
      <c r="B643" t="s">
        <v>598</v>
      </c>
      <c r="C643">
        <v>44231.600694444445</v>
      </c>
      <c r="D643">
        <v>2021</v>
      </c>
      <c r="E643" t="s">
        <v>10</v>
      </c>
      <c r="F643" t="s">
        <v>1554</v>
      </c>
      <c r="G643" t="s">
        <v>62</v>
      </c>
      <c r="H643" s="1" t="s">
        <v>1575</v>
      </c>
      <c r="I643" t="s">
        <v>1579</v>
      </c>
      <c r="J643" s="2">
        <v>4581579</v>
      </c>
      <c r="K643" t="s">
        <v>12</v>
      </c>
      <c r="L643" t="s">
        <v>1652</v>
      </c>
    </row>
    <row r="644" spans="1:12" x14ac:dyDescent="0.3">
      <c r="A644">
        <v>643</v>
      </c>
      <c r="B644" t="s">
        <v>596</v>
      </c>
      <c r="C644">
        <v>44231.600694444445</v>
      </c>
      <c r="D644">
        <v>2021</v>
      </c>
      <c r="E644" t="s">
        <v>10</v>
      </c>
      <c r="F644" t="s">
        <v>1554</v>
      </c>
      <c r="G644" t="s">
        <v>21</v>
      </c>
      <c r="H644" s="1" t="s">
        <v>1575</v>
      </c>
      <c r="I644" t="s">
        <v>1616</v>
      </c>
      <c r="J644" s="2">
        <v>3650875</v>
      </c>
      <c r="K644" t="s">
        <v>12</v>
      </c>
      <c r="L644" t="s">
        <v>1651</v>
      </c>
    </row>
    <row r="645" spans="1:12" x14ac:dyDescent="0.3">
      <c r="A645">
        <v>644</v>
      </c>
      <c r="B645" t="s">
        <v>599</v>
      </c>
      <c r="C645">
        <v>44232.331250000003</v>
      </c>
      <c r="D645">
        <v>2021</v>
      </c>
      <c r="E645" t="s">
        <v>10</v>
      </c>
      <c r="F645" t="s">
        <v>1554</v>
      </c>
      <c r="G645" t="s">
        <v>11</v>
      </c>
      <c r="H645" s="1" t="s">
        <v>1575</v>
      </c>
      <c r="I645" t="s">
        <v>1577</v>
      </c>
      <c r="J645" s="2">
        <v>3308380</v>
      </c>
      <c r="K645" t="s">
        <v>121</v>
      </c>
      <c r="L645" t="s">
        <v>1652</v>
      </c>
    </row>
    <row r="646" spans="1:12" x14ac:dyDescent="0.3">
      <c r="A646">
        <v>645</v>
      </c>
      <c r="B646" t="s">
        <v>600</v>
      </c>
      <c r="C646">
        <v>44232.512499999997</v>
      </c>
      <c r="D646">
        <v>2021</v>
      </c>
      <c r="E646" t="s">
        <v>10</v>
      </c>
      <c r="F646" t="s">
        <v>1554</v>
      </c>
      <c r="G646" t="s">
        <v>23</v>
      </c>
      <c r="H646" s="1" t="s">
        <v>1575</v>
      </c>
      <c r="I646" t="s">
        <v>1579</v>
      </c>
      <c r="J646" s="2">
        <v>4292289</v>
      </c>
      <c r="K646" t="s">
        <v>12</v>
      </c>
      <c r="L646" t="s">
        <v>1651</v>
      </c>
    </row>
    <row r="647" spans="1:12" x14ac:dyDescent="0.3">
      <c r="A647">
        <v>646</v>
      </c>
      <c r="B647" t="s">
        <v>408</v>
      </c>
      <c r="C647">
        <v>44232.67291666667</v>
      </c>
      <c r="D647">
        <v>2021</v>
      </c>
      <c r="E647" t="s">
        <v>10</v>
      </c>
      <c r="F647" t="s">
        <v>1554</v>
      </c>
      <c r="G647" t="s">
        <v>23</v>
      </c>
      <c r="H647" s="1" t="s">
        <v>1575</v>
      </c>
      <c r="I647" t="s">
        <v>1579</v>
      </c>
      <c r="J647" s="2">
        <v>2031172</v>
      </c>
      <c r="K647" t="s">
        <v>12</v>
      </c>
      <c r="L647" t="s">
        <v>1649</v>
      </c>
    </row>
    <row r="648" spans="1:12" x14ac:dyDescent="0.3">
      <c r="A648">
        <v>647</v>
      </c>
      <c r="B648" t="s">
        <v>601</v>
      </c>
      <c r="C648">
        <v>44232.678472222222</v>
      </c>
      <c r="D648">
        <v>2021</v>
      </c>
      <c r="E648" t="s">
        <v>10</v>
      </c>
      <c r="F648" t="s">
        <v>1554</v>
      </c>
      <c r="G648" t="s">
        <v>18</v>
      </c>
      <c r="H648" s="1" t="s">
        <v>1575</v>
      </c>
      <c r="I648" t="s">
        <v>1579</v>
      </c>
      <c r="J648" s="2">
        <v>1059661</v>
      </c>
      <c r="K648" t="s">
        <v>12</v>
      </c>
      <c r="L648" t="s">
        <v>1648</v>
      </c>
    </row>
    <row r="649" spans="1:12" x14ac:dyDescent="0.3">
      <c r="A649">
        <v>648</v>
      </c>
      <c r="B649" t="s">
        <v>602</v>
      </c>
      <c r="C649">
        <v>44235.375</v>
      </c>
      <c r="D649">
        <v>2021</v>
      </c>
      <c r="E649" t="s">
        <v>10</v>
      </c>
      <c r="F649" t="s">
        <v>1554</v>
      </c>
      <c r="G649" t="s">
        <v>21</v>
      </c>
      <c r="H649" s="1" t="s">
        <v>1575</v>
      </c>
      <c r="I649" t="s">
        <v>1610</v>
      </c>
      <c r="J649" s="2">
        <v>2323335</v>
      </c>
      <c r="K649" t="s">
        <v>121</v>
      </c>
      <c r="L649" t="s">
        <v>1651</v>
      </c>
    </row>
    <row r="650" spans="1:12" x14ac:dyDescent="0.3">
      <c r="A650">
        <v>649</v>
      </c>
      <c r="B650" t="s">
        <v>603</v>
      </c>
      <c r="C650">
        <v>44235.378472222219</v>
      </c>
      <c r="D650">
        <v>2021</v>
      </c>
      <c r="E650" t="s">
        <v>10</v>
      </c>
      <c r="F650" t="s">
        <v>1554</v>
      </c>
      <c r="G650" t="s">
        <v>67</v>
      </c>
      <c r="H650" s="1" t="s">
        <v>1575</v>
      </c>
      <c r="I650" t="s">
        <v>1637</v>
      </c>
      <c r="J650" s="2">
        <v>4518440</v>
      </c>
      <c r="K650" t="s">
        <v>12</v>
      </c>
      <c r="L650" t="s">
        <v>1651</v>
      </c>
    </row>
    <row r="651" spans="1:12" x14ac:dyDescent="0.3">
      <c r="A651">
        <v>650</v>
      </c>
      <c r="B651" t="s">
        <v>50</v>
      </c>
      <c r="C651">
        <v>44235.419444444444</v>
      </c>
      <c r="D651">
        <v>2021</v>
      </c>
      <c r="E651" t="s">
        <v>10</v>
      </c>
      <c r="F651" t="s">
        <v>1554</v>
      </c>
      <c r="G651" t="s">
        <v>591</v>
      </c>
      <c r="H651" s="1" t="s">
        <v>1575</v>
      </c>
      <c r="I651" t="s">
        <v>1454</v>
      </c>
      <c r="J651" s="2">
        <v>4300106</v>
      </c>
      <c r="K651" t="s">
        <v>121</v>
      </c>
      <c r="L651" t="s">
        <v>1651</v>
      </c>
    </row>
    <row r="652" spans="1:12" x14ac:dyDescent="0.3">
      <c r="A652">
        <v>651</v>
      </c>
      <c r="B652" t="s">
        <v>604</v>
      </c>
      <c r="C652">
        <v>44235.445833333331</v>
      </c>
      <c r="D652">
        <v>2021</v>
      </c>
      <c r="E652" t="s">
        <v>10</v>
      </c>
      <c r="F652" t="s">
        <v>1552</v>
      </c>
      <c r="G652" t="s">
        <v>62</v>
      </c>
      <c r="H652" s="1" t="s">
        <v>1575</v>
      </c>
      <c r="I652" t="s">
        <v>1639</v>
      </c>
      <c r="J652" s="2">
        <v>2835217</v>
      </c>
      <c r="K652" t="s">
        <v>12</v>
      </c>
      <c r="L652" t="s">
        <v>1651</v>
      </c>
    </row>
    <row r="653" spans="1:12" x14ac:dyDescent="0.3">
      <c r="A653">
        <v>652</v>
      </c>
      <c r="B653" t="s">
        <v>605</v>
      </c>
      <c r="C653">
        <v>44235.451388888891</v>
      </c>
      <c r="D653">
        <v>2021</v>
      </c>
      <c r="E653" t="s">
        <v>10</v>
      </c>
      <c r="F653" t="s">
        <v>20</v>
      </c>
      <c r="G653" t="s">
        <v>62</v>
      </c>
      <c r="H653" s="1" t="s">
        <v>1575</v>
      </c>
      <c r="I653" t="s">
        <v>1639</v>
      </c>
      <c r="J653" s="2">
        <v>4042328</v>
      </c>
      <c r="K653" t="s">
        <v>12</v>
      </c>
      <c r="L653" t="s">
        <v>1652</v>
      </c>
    </row>
    <row r="654" spans="1:12" x14ac:dyDescent="0.3">
      <c r="A654">
        <v>653</v>
      </c>
      <c r="B654" t="s">
        <v>606</v>
      </c>
      <c r="C654">
        <v>44235.597916666666</v>
      </c>
      <c r="D654">
        <v>2021</v>
      </c>
      <c r="E654" t="s">
        <v>10</v>
      </c>
      <c r="F654" t="s">
        <v>1555</v>
      </c>
      <c r="G654" t="s">
        <v>11</v>
      </c>
      <c r="H654" s="1" t="s">
        <v>1575</v>
      </c>
      <c r="I654" t="s">
        <v>1577</v>
      </c>
      <c r="J654" s="2">
        <v>3539500</v>
      </c>
      <c r="K654" t="s">
        <v>121</v>
      </c>
      <c r="L654" t="s">
        <v>1652</v>
      </c>
    </row>
    <row r="655" spans="1:12" x14ac:dyDescent="0.3">
      <c r="A655">
        <v>654</v>
      </c>
      <c r="B655" t="s">
        <v>607</v>
      </c>
      <c r="C655">
        <v>44235.631944444445</v>
      </c>
      <c r="D655">
        <v>2021</v>
      </c>
      <c r="E655" t="s">
        <v>10</v>
      </c>
      <c r="F655" t="s">
        <v>1553</v>
      </c>
      <c r="G655" t="s">
        <v>18</v>
      </c>
      <c r="H655" s="1" t="s">
        <v>1575</v>
      </c>
      <c r="I655" t="s">
        <v>1579</v>
      </c>
      <c r="J655" s="2">
        <v>1750361</v>
      </c>
      <c r="K655" t="s">
        <v>12</v>
      </c>
      <c r="L655" t="s">
        <v>1649</v>
      </c>
    </row>
    <row r="656" spans="1:12" x14ac:dyDescent="0.3">
      <c r="A656">
        <v>655</v>
      </c>
      <c r="B656" t="s">
        <v>608</v>
      </c>
      <c r="C656">
        <v>44235.661111111112</v>
      </c>
      <c r="D656">
        <v>2021</v>
      </c>
      <c r="E656" t="s">
        <v>10</v>
      </c>
      <c r="F656" t="s">
        <v>1556</v>
      </c>
      <c r="G656" t="s">
        <v>18</v>
      </c>
      <c r="H656" s="1" t="s">
        <v>1575</v>
      </c>
      <c r="I656" t="s">
        <v>1579</v>
      </c>
      <c r="J656" s="2">
        <v>3017417</v>
      </c>
      <c r="K656" t="s">
        <v>12</v>
      </c>
      <c r="L656" t="s">
        <v>1648</v>
      </c>
    </row>
    <row r="657" spans="1:12" x14ac:dyDescent="0.3">
      <c r="A657">
        <v>656</v>
      </c>
      <c r="B657" t="s">
        <v>609</v>
      </c>
      <c r="C657">
        <v>44236.334722222222</v>
      </c>
      <c r="D657">
        <v>2021</v>
      </c>
      <c r="E657" t="s">
        <v>10</v>
      </c>
      <c r="F657" t="s">
        <v>1553</v>
      </c>
      <c r="G657" t="s">
        <v>11</v>
      </c>
      <c r="H657" s="1" t="s">
        <v>1575</v>
      </c>
      <c r="I657" t="s">
        <v>1577</v>
      </c>
      <c r="J657" s="2">
        <v>3950715</v>
      </c>
      <c r="K657" t="s">
        <v>121</v>
      </c>
      <c r="L657" t="s">
        <v>1650</v>
      </c>
    </row>
    <row r="658" spans="1:12" x14ac:dyDescent="0.3">
      <c r="A658">
        <v>657</v>
      </c>
      <c r="B658" t="s">
        <v>610</v>
      </c>
      <c r="C658">
        <v>44236.488194444442</v>
      </c>
      <c r="D658">
        <v>2021</v>
      </c>
      <c r="E658" t="s">
        <v>10</v>
      </c>
      <c r="F658" t="s">
        <v>1553</v>
      </c>
      <c r="G658" t="s">
        <v>229</v>
      </c>
      <c r="H658" s="1" t="s">
        <v>1575</v>
      </c>
      <c r="I658" t="s">
        <v>1579</v>
      </c>
      <c r="J658" s="2">
        <v>4302956</v>
      </c>
      <c r="K658" t="s">
        <v>12</v>
      </c>
      <c r="L658" t="s">
        <v>1651</v>
      </c>
    </row>
    <row r="659" spans="1:12" x14ac:dyDescent="0.3">
      <c r="A659">
        <v>658</v>
      </c>
      <c r="B659" t="s">
        <v>611</v>
      </c>
      <c r="C659">
        <v>44236.651388888888</v>
      </c>
      <c r="D659">
        <v>2021</v>
      </c>
      <c r="E659" t="s">
        <v>10</v>
      </c>
      <c r="F659" t="s">
        <v>1553</v>
      </c>
      <c r="G659" t="s">
        <v>67</v>
      </c>
      <c r="H659" s="1" t="s">
        <v>1565</v>
      </c>
      <c r="I659" t="s">
        <v>1637</v>
      </c>
      <c r="J659" s="2">
        <v>2962120</v>
      </c>
      <c r="K659" t="s">
        <v>12</v>
      </c>
      <c r="L659" t="s">
        <v>1652</v>
      </c>
    </row>
    <row r="660" spans="1:12" x14ac:dyDescent="0.3">
      <c r="A660">
        <v>659</v>
      </c>
      <c r="B660" t="s">
        <v>612</v>
      </c>
      <c r="C660">
        <v>44237.332638888889</v>
      </c>
      <c r="D660">
        <v>2021</v>
      </c>
      <c r="E660" t="s">
        <v>10</v>
      </c>
      <c r="F660" t="s">
        <v>1553</v>
      </c>
      <c r="G660" t="s">
        <v>11</v>
      </c>
      <c r="H660" s="1" t="s">
        <v>1565</v>
      </c>
      <c r="I660" t="s">
        <v>1577</v>
      </c>
      <c r="J660" s="2">
        <v>1012540</v>
      </c>
      <c r="K660" t="s">
        <v>121</v>
      </c>
      <c r="L660" t="s">
        <v>1648</v>
      </c>
    </row>
    <row r="661" spans="1:12" x14ac:dyDescent="0.3">
      <c r="A661">
        <v>660</v>
      </c>
      <c r="B661" t="s">
        <v>613</v>
      </c>
      <c r="C661">
        <v>44237.675000000003</v>
      </c>
      <c r="D661">
        <v>2021</v>
      </c>
      <c r="E661" t="s">
        <v>10</v>
      </c>
      <c r="F661" t="s">
        <v>1553</v>
      </c>
      <c r="G661" t="s">
        <v>23</v>
      </c>
      <c r="H661" s="1" t="s">
        <v>1565</v>
      </c>
      <c r="I661" t="s">
        <v>1578</v>
      </c>
      <c r="J661" s="2">
        <v>3009703</v>
      </c>
      <c r="K661" t="s">
        <v>16</v>
      </c>
      <c r="L661" t="s">
        <v>1651</v>
      </c>
    </row>
    <row r="662" spans="1:12" x14ac:dyDescent="0.3">
      <c r="A662">
        <v>661</v>
      </c>
      <c r="B662" t="s">
        <v>614</v>
      </c>
      <c r="C662">
        <v>44238.494444444441</v>
      </c>
      <c r="D662">
        <v>2021</v>
      </c>
      <c r="E662" t="s">
        <v>10</v>
      </c>
      <c r="F662" t="s">
        <v>1553</v>
      </c>
      <c r="G662" t="s">
        <v>15</v>
      </c>
      <c r="H662" s="1" t="s">
        <v>1565</v>
      </c>
      <c r="I662" t="s">
        <v>1579</v>
      </c>
      <c r="J662" s="2">
        <v>2739702</v>
      </c>
      <c r="K662" t="s">
        <v>12</v>
      </c>
      <c r="L662" t="s">
        <v>1651</v>
      </c>
    </row>
    <row r="663" spans="1:12" x14ac:dyDescent="0.3">
      <c r="A663">
        <v>662</v>
      </c>
      <c r="B663" t="s">
        <v>615</v>
      </c>
      <c r="C663">
        <v>44238.534722222219</v>
      </c>
      <c r="D663">
        <v>2021</v>
      </c>
      <c r="E663" t="s">
        <v>10</v>
      </c>
      <c r="F663" t="s">
        <v>1553</v>
      </c>
      <c r="G663" t="s">
        <v>15</v>
      </c>
      <c r="H663" s="1" t="s">
        <v>1565</v>
      </c>
      <c r="I663" t="s">
        <v>1579</v>
      </c>
      <c r="J663" s="2">
        <v>3856511</v>
      </c>
      <c r="K663" t="s">
        <v>12</v>
      </c>
      <c r="L663" t="s">
        <v>1651</v>
      </c>
    </row>
    <row r="664" spans="1:12" x14ac:dyDescent="0.3">
      <c r="A664">
        <v>663</v>
      </c>
      <c r="B664" t="s">
        <v>616</v>
      </c>
      <c r="C664">
        <v>44238.543055555558</v>
      </c>
      <c r="D664">
        <v>2021</v>
      </c>
      <c r="E664" t="s">
        <v>10</v>
      </c>
      <c r="F664" t="s">
        <v>1553</v>
      </c>
      <c r="G664" t="s">
        <v>15</v>
      </c>
      <c r="H664" s="1" t="s">
        <v>1565</v>
      </c>
      <c r="I664" t="s">
        <v>1579</v>
      </c>
      <c r="J664" s="2">
        <v>2429142</v>
      </c>
      <c r="K664" t="s">
        <v>12</v>
      </c>
      <c r="L664" t="s">
        <v>1648</v>
      </c>
    </row>
    <row r="665" spans="1:12" x14ac:dyDescent="0.3">
      <c r="A665">
        <v>664</v>
      </c>
      <c r="B665" t="s">
        <v>617</v>
      </c>
      <c r="C665">
        <v>44238.597916666666</v>
      </c>
      <c r="D665">
        <v>2021</v>
      </c>
      <c r="E665" t="s">
        <v>10</v>
      </c>
      <c r="F665" t="s">
        <v>1553</v>
      </c>
      <c r="G665" t="s">
        <v>591</v>
      </c>
      <c r="H665" s="1" t="s">
        <v>1565</v>
      </c>
      <c r="I665" t="s">
        <v>1579</v>
      </c>
      <c r="J665" s="2">
        <v>3178841</v>
      </c>
      <c r="K665" t="s">
        <v>12</v>
      </c>
      <c r="L665" t="s">
        <v>1651</v>
      </c>
    </row>
    <row r="666" spans="1:12" x14ac:dyDescent="0.3">
      <c r="A666">
        <v>665</v>
      </c>
      <c r="B666" t="s">
        <v>618</v>
      </c>
      <c r="C666">
        <v>44238.604861111111</v>
      </c>
      <c r="D666">
        <v>2021</v>
      </c>
      <c r="E666" t="s">
        <v>10</v>
      </c>
      <c r="F666" t="s">
        <v>1553</v>
      </c>
      <c r="G666" t="s">
        <v>11</v>
      </c>
      <c r="H666" s="1" t="s">
        <v>1565</v>
      </c>
      <c r="I666" t="s">
        <v>1577</v>
      </c>
      <c r="J666" s="2">
        <v>4272028</v>
      </c>
      <c r="K666" t="s">
        <v>121</v>
      </c>
      <c r="L666" t="s">
        <v>1648</v>
      </c>
    </row>
    <row r="667" spans="1:12" x14ac:dyDescent="0.3">
      <c r="A667">
        <v>666</v>
      </c>
      <c r="B667" t="s">
        <v>619</v>
      </c>
      <c r="C667">
        <v>44238.65</v>
      </c>
      <c r="D667">
        <v>2021</v>
      </c>
      <c r="E667" t="s">
        <v>10</v>
      </c>
      <c r="F667" t="s">
        <v>1553</v>
      </c>
      <c r="G667" t="s">
        <v>21</v>
      </c>
      <c r="H667" s="1" t="s">
        <v>1565</v>
      </c>
      <c r="I667" t="s">
        <v>1616</v>
      </c>
      <c r="J667" s="2">
        <v>3149999</v>
      </c>
      <c r="K667" t="s">
        <v>12</v>
      </c>
      <c r="L667" t="s">
        <v>1653</v>
      </c>
    </row>
    <row r="668" spans="1:12" x14ac:dyDescent="0.3">
      <c r="A668">
        <v>667</v>
      </c>
      <c r="B668" t="s">
        <v>620</v>
      </c>
      <c r="C668">
        <v>44239.376388888886</v>
      </c>
      <c r="D668">
        <v>2021</v>
      </c>
      <c r="E668" t="s">
        <v>10</v>
      </c>
      <c r="F668" t="s">
        <v>1553</v>
      </c>
      <c r="G668" t="s">
        <v>18</v>
      </c>
      <c r="H668" s="1" t="s">
        <v>1565</v>
      </c>
      <c r="I668" t="s">
        <v>1579</v>
      </c>
      <c r="J668" s="2">
        <v>4125568</v>
      </c>
      <c r="K668" t="s">
        <v>12</v>
      </c>
      <c r="L668" t="s">
        <v>1651</v>
      </c>
    </row>
    <row r="669" spans="1:12" x14ac:dyDescent="0.3">
      <c r="A669">
        <v>668</v>
      </c>
      <c r="B669" t="s">
        <v>621</v>
      </c>
      <c r="C669">
        <v>44239.382638888892</v>
      </c>
      <c r="D669">
        <v>2021</v>
      </c>
      <c r="E669" t="s">
        <v>10</v>
      </c>
      <c r="F669" t="s">
        <v>1552</v>
      </c>
      <c r="G669" t="s">
        <v>18</v>
      </c>
      <c r="H669" s="1" t="s">
        <v>1565</v>
      </c>
      <c r="I669" t="s">
        <v>1579</v>
      </c>
      <c r="J669" s="2">
        <v>2757924</v>
      </c>
      <c r="K669" t="s">
        <v>12</v>
      </c>
      <c r="L669" t="s">
        <v>1652</v>
      </c>
    </row>
    <row r="670" spans="1:12" x14ac:dyDescent="0.3">
      <c r="A670">
        <v>669</v>
      </c>
      <c r="B670" t="s">
        <v>622</v>
      </c>
      <c r="C670">
        <v>44239.418749999997</v>
      </c>
      <c r="D670">
        <v>2021</v>
      </c>
      <c r="E670" t="s">
        <v>10</v>
      </c>
      <c r="F670" t="s">
        <v>20</v>
      </c>
      <c r="G670" t="s">
        <v>49</v>
      </c>
      <c r="H670" s="1" t="s">
        <v>1565</v>
      </c>
      <c r="I670" t="s">
        <v>1579</v>
      </c>
      <c r="J670" s="2">
        <v>3186195</v>
      </c>
      <c r="K670" t="s">
        <v>12</v>
      </c>
      <c r="L670" t="s">
        <v>1651</v>
      </c>
    </row>
    <row r="671" spans="1:12" x14ac:dyDescent="0.3">
      <c r="A671">
        <v>670</v>
      </c>
      <c r="B671" t="s">
        <v>623</v>
      </c>
      <c r="C671">
        <v>44239.425694444442</v>
      </c>
      <c r="D671">
        <v>2021</v>
      </c>
      <c r="E671" t="s">
        <v>10</v>
      </c>
      <c r="F671" t="s">
        <v>1555</v>
      </c>
      <c r="G671" t="s">
        <v>62</v>
      </c>
      <c r="H671" s="1" t="s">
        <v>1565</v>
      </c>
      <c r="I671" t="s">
        <v>1637</v>
      </c>
      <c r="J671" s="2">
        <v>3544269</v>
      </c>
      <c r="K671" t="s">
        <v>12</v>
      </c>
      <c r="L671" t="s">
        <v>1650</v>
      </c>
    </row>
    <row r="672" spans="1:12" x14ac:dyDescent="0.3">
      <c r="A672">
        <v>671</v>
      </c>
      <c r="B672" t="s">
        <v>624</v>
      </c>
      <c r="C672">
        <v>44239.511805555558</v>
      </c>
      <c r="D672">
        <v>2021</v>
      </c>
      <c r="E672" t="s">
        <v>10</v>
      </c>
      <c r="F672" t="s">
        <v>1553</v>
      </c>
      <c r="G672" t="s">
        <v>21</v>
      </c>
      <c r="H672" s="1" t="s">
        <v>1565</v>
      </c>
      <c r="I672" t="s">
        <v>1616</v>
      </c>
      <c r="J672" s="2">
        <v>3814451</v>
      </c>
      <c r="K672" t="s">
        <v>12</v>
      </c>
      <c r="L672" t="s">
        <v>1651</v>
      </c>
    </row>
    <row r="673" spans="1:12" x14ac:dyDescent="0.3">
      <c r="A673">
        <v>672</v>
      </c>
      <c r="B673" t="s">
        <v>625</v>
      </c>
      <c r="C673">
        <v>44239.631944444445</v>
      </c>
      <c r="D673">
        <v>2021</v>
      </c>
      <c r="E673" t="s">
        <v>10</v>
      </c>
      <c r="F673" t="s">
        <v>1556</v>
      </c>
      <c r="G673" t="s">
        <v>11</v>
      </c>
      <c r="H673" s="1" t="s">
        <v>1565</v>
      </c>
      <c r="I673" t="s">
        <v>1577</v>
      </c>
      <c r="J673" s="2">
        <v>3179348</v>
      </c>
      <c r="K673" t="s">
        <v>121</v>
      </c>
      <c r="L673" t="s">
        <v>1653</v>
      </c>
    </row>
    <row r="674" spans="1:12" x14ac:dyDescent="0.3">
      <c r="A674">
        <v>673</v>
      </c>
      <c r="B674" t="s">
        <v>626</v>
      </c>
      <c r="C674">
        <v>44239.634722222225</v>
      </c>
      <c r="D674">
        <v>2021</v>
      </c>
      <c r="E674" t="s">
        <v>10</v>
      </c>
      <c r="F674" t="s">
        <v>1552</v>
      </c>
      <c r="G674" t="s">
        <v>11</v>
      </c>
      <c r="H674" s="1" t="s">
        <v>1565</v>
      </c>
      <c r="I674" t="s">
        <v>1577</v>
      </c>
      <c r="J674" s="2">
        <v>3255521</v>
      </c>
      <c r="K674" t="s">
        <v>121</v>
      </c>
      <c r="L674" t="s">
        <v>1651</v>
      </c>
    </row>
    <row r="675" spans="1:12" x14ac:dyDescent="0.3">
      <c r="A675">
        <v>674</v>
      </c>
      <c r="B675" t="s">
        <v>627</v>
      </c>
      <c r="C675">
        <v>44239.63958333333</v>
      </c>
      <c r="D675">
        <v>2021</v>
      </c>
      <c r="E675" t="s">
        <v>10</v>
      </c>
      <c r="F675" t="s">
        <v>20</v>
      </c>
      <c r="G675" t="s">
        <v>11</v>
      </c>
      <c r="H675" s="1" t="s">
        <v>1565</v>
      </c>
      <c r="I675" t="s">
        <v>1577</v>
      </c>
      <c r="J675" s="2">
        <v>3732200</v>
      </c>
      <c r="K675" t="s">
        <v>121</v>
      </c>
      <c r="L675" t="s">
        <v>1648</v>
      </c>
    </row>
    <row r="676" spans="1:12" x14ac:dyDescent="0.3">
      <c r="A676">
        <v>675</v>
      </c>
      <c r="B676" t="s">
        <v>628</v>
      </c>
      <c r="C676">
        <v>44239.640972222223</v>
      </c>
      <c r="D676">
        <v>2021</v>
      </c>
      <c r="E676" t="s">
        <v>10</v>
      </c>
      <c r="F676" t="s">
        <v>1555</v>
      </c>
      <c r="G676" t="s">
        <v>11</v>
      </c>
      <c r="H676" s="1" t="s">
        <v>1565</v>
      </c>
      <c r="I676" t="s">
        <v>1577</v>
      </c>
      <c r="J676" s="2">
        <v>4272751</v>
      </c>
      <c r="K676" t="s">
        <v>121</v>
      </c>
      <c r="L676" t="s">
        <v>1652</v>
      </c>
    </row>
    <row r="677" spans="1:12" x14ac:dyDescent="0.3">
      <c r="A677">
        <v>676</v>
      </c>
      <c r="B677" t="s">
        <v>629</v>
      </c>
      <c r="C677">
        <v>44239.646527777775</v>
      </c>
      <c r="D677">
        <v>2021</v>
      </c>
      <c r="E677" t="s">
        <v>10</v>
      </c>
      <c r="F677" t="s">
        <v>1553</v>
      </c>
      <c r="G677" t="s">
        <v>11</v>
      </c>
      <c r="H677" s="1" t="s">
        <v>1565</v>
      </c>
      <c r="I677" t="s">
        <v>1577</v>
      </c>
      <c r="J677" s="2">
        <v>1869446</v>
      </c>
      <c r="K677" t="s">
        <v>121</v>
      </c>
      <c r="L677" t="s">
        <v>1648</v>
      </c>
    </row>
    <row r="678" spans="1:12" x14ac:dyDescent="0.3">
      <c r="A678">
        <v>677</v>
      </c>
      <c r="B678" t="s">
        <v>630</v>
      </c>
      <c r="C678">
        <v>44239.649305555555</v>
      </c>
      <c r="D678">
        <v>2021</v>
      </c>
      <c r="E678" t="s">
        <v>10</v>
      </c>
      <c r="F678" t="s">
        <v>1556</v>
      </c>
      <c r="G678" t="s">
        <v>11</v>
      </c>
      <c r="H678" s="1" t="s">
        <v>1565</v>
      </c>
      <c r="I678" t="s">
        <v>1577</v>
      </c>
      <c r="J678" s="2">
        <v>4640461</v>
      </c>
      <c r="K678" t="s">
        <v>121</v>
      </c>
      <c r="L678" t="s">
        <v>1652</v>
      </c>
    </row>
    <row r="679" spans="1:12" x14ac:dyDescent="0.3">
      <c r="A679">
        <v>678</v>
      </c>
      <c r="B679" t="s">
        <v>631</v>
      </c>
      <c r="C679">
        <v>44239.652777777781</v>
      </c>
      <c r="D679">
        <v>2021</v>
      </c>
      <c r="E679" t="s">
        <v>10</v>
      </c>
      <c r="F679" t="s">
        <v>1554</v>
      </c>
      <c r="G679" t="s">
        <v>11</v>
      </c>
      <c r="H679" s="1" t="s">
        <v>1565</v>
      </c>
      <c r="I679" t="s">
        <v>1577</v>
      </c>
      <c r="J679" s="2">
        <v>1815686</v>
      </c>
      <c r="K679" t="s">
        <v>121</v>
      </c>
      <c r="L679" t="s">
        <v>1648</v>
      </c>
    </row>
    <row r="680" spans="1:12" x14ac:dyDescent="0.3">
      <c r="A680">
        <v>679</v>
      </c>
      <c r="B680" t="s">
        <v>632</v>
      </c>
      <c r="C680">
        <v>44239.658333333333</v>
      </c>
      <c r="D680">
        <v>2021</v>
      </c>
      <c r="E680" t="s">
        <v>10</v>
      </c>
      <c r="F680" t="s">
        <v>1554</v>
      </c>
      <c r="G680" t="s">
        <v>11</v>
      </c>
      <c r="H680" s="1" t="s">
        <v>1565</v>
      </c>
      <c r="I680" t="s">
        <v>1577</v>
      </c>
      <c r="J680" s="2">
        <v>2306246</v>
      </c>
      <c r="K680" t="s">
        <v>121</v>
      </c>
      <c r="L680" t="s">
        <v>1653</v>
      </c>
    </row>
    <row r="681" spans="1:12" x14ac:dyDescent="0.3">
      <c r="A681">
        <v>680</v>
      </c>
      <c r="B681" t="s">
        <v>633</v>
      </c>
      <c r="C681">
        <v>44239.668749999997</v>
      </c>
      <c r="D681">
        <v>2021</v>
      </c>
      <c r="E681" t="s">
        <v>10</v>
      </c>
      <c r="F681" t="s">
        <v>1554</v>
      </c>
      <c r="G681" t="s">
        <v>290</v>
      </c>
      <c r="H681" s="1" t="s">
        <v>1565</v>
      </c>
      <c r="I681" t="s">
        <v>1579</v>
      </c>
      <c r="J681" s="2">
        <v>1679923</v>
      </c>
      <c r="K681" t="s">
        <v>12</v>
      </c>
      <c r="L681" t="s">
        <v>1649</v>
      </c>
    </row>
    <row r="682" spans="1:12" x14ac:dyDescent="0.3">
      <c r="A682">
        <v>681</v>
      </c>
      <c r="B682" t="s">
        <v>634</v>
      </c>
      <c r="C682">
        <v>44239.774305555555</v>
      </c>
      <c r="D682">
        <v>2021</v>
      </c>
      <c r="E682" t="s">
        <v>10</v>
      </c>
      <c r="F682" t="s">
        <v>1554</v>
      </c>
      <c r="G682" t="s">
        <v>21</v>
      </c>
      <c r="H682" s="1" t="s">
        <v>1565</v>
      </c>
      <c r="I682" t="s">
        <v>1616</v>
      </c>
      <c r="J682" s="2">
        <v>3650394</v>
      </c>
      <c r="K682" t="s">
        <v>12</v>
      </c>
      <c r="L682" t="s">
        <v>1651</v>
      </c>
    </row>
    <row r="683" spans="1:12" x14ac:dyDescent="0.3">
      <c r="A683">
        <v>682</v>
      </c>
      <c r="B683" t="s">
        <v>635</v>
      </c>
      <c r="C683">
        <v>44242.361805555556</v>
      </c>
      <c r="D683">
        <v>2021</v>
      </c>
      <c r="E683" t="s">
        <v>10</v>
      </c>
      <c r="F683" t="s">
        <v>1554</v>
      </c>
      <c r="G683" t="s">
        <v>15</v>
      </c>
      <c r="H683" s="1" t="s">
        <v>1565</v>
      </c>
      <c r="I683" t="s">
        <v>1579</v>
      </c>
      <c r="J683" s="2">
        <v>4471382</v>
      </c>
      <c r="K683" t="s">
        <v>12</v>
      </c>
      <c r="L683" t="s">
        <v>1652</v>
      </c>
    </row>
    <row r="684" spans="1:12" x14ac:dyDescent="0.3">
      <c r="A684">
        <v>683</v>
      </c>
      <c r="B684" t="s">
        <v>636</v>
      </c>
      <c r="C684">
        <v>44242.456944444442</v>
      </c>
      <c r="D684">
        <v>2021</v>
      </c>
      <c r="E684" t="s">
        <v>10</v>
      </c>
      <c r="F684" t="s">
        <v>1554</v>
      </c>
      <c r="G684" t="s">
        <v>11</v>
      </c>
      <c r="H684" s="1" t="s">
        <v>1565</v>
      </c>
      <c r="I684" t="s">
        <v>1577</v>
      </c>
      <c r="J684" s="2">
        <v>1908567</v>
      </c>
      <c r="K684" t="s">
        <v>121</v>
      </c>
      <c r="L684" t="s">
        <v>1648</v>
      </c>
    </row>
    <row r="685" spans="1:12" x14ac:dyDescent="0.3">
      <c r="A685">
        <v>684</v>
      </c>
      <c r="B685" t="s">
        <v>637</v>
      </c>
      <c r="C685">
        <v>44242.50277777778</v>
      </c>
      <c r="D685">
        <v>2021</v>
      </c>
      <c r="E685" t="s">
        <v>10</v>
      </c>
      <c r="F685" t="s">
        <v>1554</v>
      </c>
      <c r="G685" t="s">
        <v>21</v>
      </c>
      <c r="H685" s="1" t="s">
        <v>1565</v>
      </c>
      <c r="I685" t="s">
        <v>1616</v>
      </c>
      <c r="J685" s="2">
        <v>3170912</v>
      </c>
      <c r="K685" t="s">
        <v>12</v>
      </c>
      <c r="L685" t="s">
        <v>1650</v>
      </c>
    </row>
    <row r="686" spans="1:12" x14ac:dyDescent="0.3">
      <c r="A686">
        <v>685</v>
      </c>
      <c r="B686" t="s">
        <v>638</v>
      </c>
      <c r="C686">
        <v>44242.595138888886</v>
      </c>
      <c r="D686">
        <v>2021</v>
      </c>
      <c r="E686" t="s">
        <v>10</v>
      </c>
      <c r="F686" t="s">
        <v>1554</v>
      </c>
      <c r="G686" t="s">
        <v>11</v>
      </c>
      <c r="H686" s="1" t="s">
        <v>1565</v>
      </c>
      <c r="I686" t="s">
        <v>1577</v>
      </c>
      <c r="J686" s="2">
        <v>1019507</v>
      </c>
      <c r="K686" t="s">
        <v>121</v>
      </c>
      <c r="L686" t="s">
        <v>1650</v>
      </c>
    </row>
    <row r="687" spans="1:12" x14ac:dyDescent="0.3">
      <c r="A687">
        <v>686</v>
      </c>
      <c r="B687" t="s">
        <v>639</v>
      </c>
      <c r="C687">
        <v>44242.598611111112</v>
      </c>
      <c r="D687">
        <v>2021</v>
      </c>
      <c r="E687" t="s">
        <v>10</v>
      </c>
      <c r="F687" t="s">
        <v>1554</v>
      </c>
      <c r="G687" t="s">
        <v>11</v>
      </c>
      <c r="H687" s="1" t="s">
        <v>1565</v>
      </c>
      <c r="I687" t="s">
        <v>1577</v>
      </c>
      <c r="J687" s="2">
        <v>3584484</v>
      </c>
      <c r="K687" t="s">
        <v>121</v>
      </c>
      <c r="L687" t="s">
        <v>1648</v>
      </c>
    </row>
    <row r="688" spans="1:12" x14ac:dyDescent="0.3">
      <c r="A688">
        <v>687</v>
      </c>
      <c r="B688" t="s">
        <v>640</v>
      </c>
      <c r="C688">
        <v>44243.515277777777</v>
      </c>
      <c r="D688">
        <v>2021</v>
      </c>
      <c r="E688" t="s">
        <v>10</v>
      </c>
      <c r="F688" t="s">
        <v>1554</v>
      </c>
      <c r="G688" t="s">
        <v>11</v>
      </c>
      <c r="H688" s="1" t="s">
        <v>1565</v>
      </c>
      <c r="I688" t="s">
        <v>1577</v>
      </c>
      <c r="J688" s="2">
        <v>3766085</v>
      </c>
      <c r="K688" t="s">
        <v>121</v>
      </c>
      <c r="L688" t="s">
        <v>1651</v>
      </c>
    </row>
    <row r="689" spans="1:12" x14ac:dyDescent="0.3">
      <c r="A689">
        <v>688</v>
      </c>
      <c r="B689" t="s">
        <v>641</v>
      </c>
      <c r="C689">
        <v>44243.618750000001</v>
      </c>
      <c r="D689">
        <v>2021</v>
      </c>
      <c r="E689" t="s">
        <v>10</v>
      </c>
      <c r="F689" t="s">
        <v>1554</v>
      </c>
      <c r="G689" t="s">
        <v>11</v>
      </c>
      <c r="H689" s="1" t="s">
        <v>1565</v>
      </c>
      <c r="I689" t="s">
        <v>1577</v>
      </c>
      <c r="J689" s="2">
        <v>3595705</v>
      </c>
      <c r="K689" t="s">
        <v>121</v>
      </c>
      <c r="L689" t="s">
        <v>1650</v>
      </c>
    </row>
    <row r="690" spans="1:12" x14ac:dyDescent="0.3">
      <c r="A690">
        <v>689</v>
      </c>
      <c r="B690" t="s">
        <v>642</v>
      </c>
      <c r="C690">
        <v>44244.34375</v>
      </c>
      <c r="D690">
        <v>2021</v>
      </c>
      <c r="E690" t="s">
        <v>10</v>
      </c>
      <c r="F690" t="s">
        <v>1554</v>
      </c>
      <c r="G690" t="s">
        <v>23</v>
      </c>
      <c r="H690" s="1" t="s">
        <v>1574</v>
      </c>
      <c r="I690" t="s">
        <v>1579</v>
      </c>
      <c r="J690" s="2">
        <v>4147066</v>
      </c>
      <c r="K690" t="s">
        <v>12</v>
      </c>
      <c r="L690" t="s">
        <v>1651</v>
      </c>
    </row>
    <row r="691" spans="1:12" x14ac:dyDescent="0.3">
      <c r="A691">
        <v>690</v>
      </c>
      <c r="B691" t="s">
        <v>643</v>
      </c>
      <c r="C691">
        <v>44244.395833333336</v>
      </c>
      <c r="D691">
        <v>2021</v>
      </c>
      <c r="E691" t="s">
        <v>10</v>
      </c>
      <c r="F691" t="s">
        <v>1554</v>
      </c>
      <c r="G691" t="s">
        <v>11</v>
      </c>
      <c r="H691" s="1" t="s">
        <v>1570</v>
      </c>
      <c r="I691" t="s">
        <v>1577</v>
      </c>
      <c r="J691" s="2">
        <v>3082665</v>
      </c>
      <c r="K691" t="s">
        <v>121</v>
      </c>
      <c r="L691" t="s">
        <v>1650</v>
      </c>
    </row>
    <row r="692" spans="1:12" x14ac:dyDescent="0.3">
      <c r="A692">
        <v>691</v>
      </c>
      <c r="B692" t="s">
        <v>644</v>
      </c>
      <c r="C692">
        <v>44244.40902777778</v>
      </c>
      <c r="D692">
        <v>2021</v>
      </c>
      <c r="E692" t="s">
        <v>10</v>
      </c>
      <c r="F692" t="s">
        <v>1554</v>
      </c>
      <c r="G692" t="s">
        <v>11</v>
      </c>
      <c r="H692" s="1" t="s">
        <v>1572</v>
      </c>
      <c r="I692" t="s">
        <v>1577</v>
      </c>
      <c r="J692" s="2">
        <v>1450620</v>
      </c>
      <c r="K692" t="s">
        <v>121</v>
      </c>
      <c r="L692" t="s">
        <v>1652</v>
      </c>
    </row>
    <row r="693" spans="1:12" x14ac:dyDescent="0.3">
      <c r="A693">
        <v>692</v>
      </c>
      <c r="B693" t="s">
        <v>543</v>
      </c>
      <c r="C693">
        <v>44244.46597222222</v>
      </c>
      <c r="D693">
        <v>2021</v>
      </c>
      <c r="E693" t="s">
        <v>10</v>
      </c>
      <c r="F693" t="s">
        <v>1554</v>
      </c>
      <c r="G693" t="s">
        <v>358</v>
      </c>
      <c r="H693" s="1" t="s">
        <v>1568</v>
      </c>
      <c r="I693" t="s">
        <v>1637</v>
      </c>
      <c r="J693" s="2">
        <v>4017916</v>
      </c>
      <c r="K693" t="s">
        <v>12</v>
      </c>
      <c r="L693" t="s">
        <v>1651</v>
      </c>
    </row>
    <row r="694" spans="1:12" x14ac:dyDescent="0.3">
      <c r="A694">
        <v>693</v>
      </c>
      <c r="B694" t="s">
        <v>645</v>
      </c>
      <c r="C694">
        <v>44244.609027777777</v>
      </c>
      <c r="D694">
        <v>2021</v>
      </c>
      <c r="E694" t="s">
        <v>10</v>
      </c>
      <c r="F694" t="s">
        <v>29</v>
      </c>
      <c r="G694" t="s">
        <v>15</v>
      </c>
      <c r="H694" s="1" t="s">
        <v>1569</v>
      </c>
      <c r="I694" t="s">
        <v>1579</v>
      </c>
      <c r="J694" s="2">
        <v>4750978</v>
      </c>
      <c r="K694" t="s">
        <v>12</v>
      </c>
      <c r="L694" t="s">
        <v>1651</v>
      </c>
    </row>
    <row r="695" spans="1:12" x14ac:dyDescent="0.3">
      <c r="A695">
        <v>694</v>
      </c>
      <c r="B695" t="s">
        <v>646</v>
      </c>
      <c r="C695">
        <v>44245.404166666667</v>
      </c>
      <c r="D695">
        <v>2021</v>
      </c>
      <c r="E695" t="s">
        <v>10</v>
      </c>
      <c r="F695" t="s">
        <v>29</v>
      </c>
      <c r="G695" t="s">
        <v>15</v>
      </c>
      <c r="H695" s="1" t="s">
        <v>1568</v>
      </c>
      <c r="I695" t="s">
        <v>1579</v>
      </c>
      <c r="J695" s="2">
        <v>2677620</v>
      </c>
      <c r="K695" t="s">
        <v>12</v>
      </c>
      <c r="L695" t="s">
        <v>1648</v>
      </c>
    </row>
    <row r="696" spans="1:12" x14ac:dyDescent="0.3">
      <c r="A696">
        <v>695</v>
      </c>
      <c r="B696" t="s">
        <v>647</v>
      </c>
      <c r="C696">
        <v>44245.443055555559</v>
      </c>
      <c r="D696">
        <v>2021</v>
      </c>
      <c r="E696" t="s">
        <v>10</v>
      </c>
      <c r="F696" t="s">
        <v>1552</v>
      </c>
      <c r="G696" t="s">
        <v>18</v>
      </c>
      <c r="H696" s="1" t="s">
        <v>1571</v>
      </c>
      <c r="I696" t="s">
        <v>1579</v>
      </c>
      <c r="J696" s="2">
        <v>2841697</v>
      </c>
      <c r="K696" t="s">
        <v>12</v>
      </c>
      <c r="L696" t="s">
        <v>1651</v>
      </c>
    </row>
    <row r="697" spans="1:12" x14ac:dyDescent="0.3">
      <c r="A697">
        <v>696</v>
      </c>
      <c r="B697" t="s">
        <v>648</v>
      </c>
      <c r="C697">
        <v>44245.480555555558</v>
      </c>
      <c r="D697">
        <v>2021</v>
      </c>
      <c r="E697" t="s">
        <v>10</v>
      </c>
      <c r="F697" t="s">
        <v>20</v>
      </c>
      <c r="G697" t="s">
        <v>11</v>
      </c>
      <c r="H697" s="1" t="s">
        <v>1571</v>
      </c>
      <c r="I697" t="s">
        <v>1577</v>
      </c>
      <c r="J697" s="2">
        <v>1713864</v>
      </c>
      <c r="K697" t="s">
        <v>121</v>
      </c>
      <c r="L697" t="s">
        <v>1648</v>
      </c>
    </row>
    <row r="698" spans="1:12" x14ac:dyDescent="0.3">
      <c r="A698">
        <v>697</v>
      </c>
      <c r="B698" t="s">
        <v>649</v>
      </c>
      <c r="C698">
        <v>44245.48333333333</v>
      </c>
      <c r="D698">
        <v>2021</v>
      </c>
      <c r="E698" t="s">
        <v>10</v>
      </c>
      <c r="F698" t="s">
        <v>1555</v>
      </c>
      <c r="G698" t="s">
        <v>11</v>
      </c>
      <c r="H698" s="1" t="s">
        <v>1564</v>
      </c>
      <c r="I698" t="s">
        <v>1577</v>
      </c>
      <c r="J698" s="2">
        <v>2729314</v>
      </c>
      <c r="K698" t="s">
        <v>121</v>
      </c>
      <c r="L698" t="s">
        <v>1651</v>
      </c>
    </row>
    <row r="699" spans="1:12" x14ac:dyDescent="0.3">
      <c r="A699">
        <v>698</v>
      </c>
      <c r="B699" t="s">
        <v>269</v>
      </c>
      <c r="C699">
        <v>44245.640972222223</v>
      </c>
      <c r="D699">
        <v>2021</v>
      </c>
      <c r="E699" t="s">
        <v>10</v>
      </c>
      <c r="F699" t="s">
        <v>1553</v>
      </c>
      <c r="G699" t="s">
        <v>23</v>
      </c>
      <c r="H699" s="1" t="s">
        <v>1569</v>
      </c>
      <c r="I699" t="s">
        <v>1579</v>
      </c>
      <c r="J699" s="2">
        <v>3111496</v>
      </c>
      <c r="K699" t="s">
        <v>12</v>
      </c>
      <c r="L699" t="s">
        <v>1648</v>
      </c>
    </row>
    <row r="700" spans="1:12" x14ac:dyDescent="0.3">
      <c r="A700">
        <v>699</v>
      </c>
      <c r="B700" t="s">
        <v>650</v>
      </c>
      <c r="C700">
        <v>44246.323611111111</v>
      </c>
      <c r="D700">
        <v>2021</v>
      </c>
      <c r="E700" t="s">
        <v>10</v>
      </c>
      <c r="F700" t="s">
        <v>1556</v>
      </c>
      <c r="G700" t="s">
        <v>11</v>
      </c>
      <c r="H700" s="1" t="s">
        <v>1574</v>
      </c>
      <c r="I700" t="s">
        <v>1577</v>
      </c>
      <c r="J700" s="2">
        <v>1140576</v>
      </c>
      <c r="K700" t="s">
        <v>121</v>
      </c>
      <c r="L700" t="s">
        <v>1652</v>
      </c>
    </row>
    <row r="701" spans="1:12" x14ac:dyDescent="0.3">
      <c r="A701">
        <v>700</v>
      </c>
      <c r="B701" t="s">
        <v>651</v>
      </c>
      <c r="C701">
        <v>44246.334027777775</v>
      </c>
      <c r="D701">
        <v>2021</v>
      </c>
      <c r="E701" t="s">
        <v>10</v>
      </c>
      <c r="F701" t="s">
        <v>1552</v>
      </c>
      <c r="G701" t="s">
        <v>11</v>
      </c>
      <c r="H701" s="1" t="s">
        <v>1569</v>
      </c>
      <c r="I701" t="s">
        <v>1577</v>
      </c>
      <c r="J701" s="2">
        <v>3549009</v>
      </c>
      <c r="K701" t="s">
        <v>121</v>
      </c>
      <c r="L701" t="s">
        <v>1650</v>
      </c>
    </row>
    <row r="702" spans="1:12" x14ac:dyDescent="0.3">
      <c r="A702">
        <v>701</v>
      </c>
      <c r="B702" t="s">
        <v>652</v>
      </c>
      <c r="C702">
        <v>44246.357638888891</v>
      </c>
      <c r="D702">
        <v>2021</v>
      </c>
      <c r="E702" t="s">
        <v>10</v>
      </c>
      <c r="F702" t="s">
        <v>20</v>
      </c>
      <c r="G702" t="s">
        <v>11</v>
      </c>
      <c r="H702" s="1" t="s">
        <v>1574</v>
      </c>
      <c r="I702" t="s">
        <v>1577</v>
      </c>
      <c r="J702" s="2">
        <v>2173498</v>
      </c>
      <c r="K702" t="s">
        <v>121</v>
      </c>
      <c r="L702" t="s">
        <v>1649</v>
      </c>
    </row>
    <row r="703" spans="1:12" x14ac:dyDescent="0.3">
      <c r="A703">
        <v>702</v>
      </c>
      <c r="B703" t="s">
        <v>653</v>
      </c>
      <c r="C703">
        <v>44246.364583333336</v>
      </c>
      <c r="D703">
        <v>2021</v>
      </c>
      <c r="E703" t="s">
        <v>10</v>
      </c>
      <c r="F703" t="s">
        <v>1555</v>
      </c>
      <c r="G703" t="s">
        <v>62</v>
      </c>
      <c r="H703" s="1" t="s">
        <v>1562</v>
      </c>
      <c r="I703" t="s">
        <v>1637</v>
      </c>
      <c r="J703" s="2">
        <v>4014288</v>
      </c>
      <c r="K703" t="s">
        <v>12</v>
      </c>
      <c r="L703" t="s">
        <v>1650</v>
      </c>
    </row>
    <row r="704" spans="1:12" x14ac:dyDescent="0.3">
      <c r="A704">
        <v>703</v>
      </c>
      <c r="B704" t="s">
        <v>654</v>
      </c>
      <c r="C704">
        <v>44246.372916666667</v>
      </c>
      <c r="D704">
        <v>2021</v>
      </c>
      <c r="E704" t="s">
        <v>10</v>
      </c>
      <c r="F704" t="s">
        <v>1553</v>
      </c>
      <c r="G704" t="s">
        <v>62</v>
      </c>
      <c r="H704" s="1" t="s">
        <v>1573</v>
      </c>
      <c r="I704" t="s">
        <v>1587</v>
      </c>
      <c r="J704" s="2">
        <v>3758249</v>
      </c>
      <c r="K704" t="s">
        <v>12</v>
      </c>
      <c r="L704" t="s">
        <v>1650</v>
      </c>
    </row>
    <row r="705" spans="1:12" x14ac:dyDescent="0.3">
      <c r="A705">
        <v>704</v>
      </c>
      <c r="B705" t="s">
        <v>655</v>
      </c>
      <c r="C705">
        <v>44246.372916666667</v>
      </c>
      <c r="D705">
        <v>2021</v>
      </c>
      <c r="E705" t="s">
        <v>10</v>
      </c>
      <c r="F705" t="s">
        <v>1556</v>
      </c>
      <c r="G705" t="s">
        <v>21</v>
      </c>
      <c r="H705" s="1" t="s">
        <v>1563</v>
      </c>
      <c r="I705" t="s">
        <v>1616</v>
      </c>
      <c r="J705" s="2">
        <v>4312064</v>
      </c>
      <c r="K705" t="s">
        <v>12</v>
      </c>
      <c r="L705" t="s">
        <v>1653</v>
      </c>
    </row>
    <row r="706" spans="1:12" x14ac:dyDescent="0.3">
      <c r="A706">
        <v>705</v>
      </c>
      <c r="B706" t="s">
        <v>656</v>
      </c>
      <c r="C706">
        <v>44246.427777777775</v>
      </c>
      <c r="D706">
        <v>2021</v>
      </c>
      <c r="E706" t="s">
        <v>10</v>
      </c>
      <c r="F706" t="s">
        <v>1553</v>
      </c>
      <c r="G706" t="s">
        <v>11</v>
      </c>
      <c r="H706" s="1" t="s">
        <v>1569</v>
      </c>
      <c r="I706" t="s">
        <v>1577</v>
      </c>
      <c r="J706" s="2">
        <v>1378696</v>
      </c>
      <c r="K706" t="s">
        <v>121</v>
      </c>
      <c r="L706" t="s">
        <v>1653</v>
      </c>
    </row>
    <row r="707" spans="1:12" x14ac:dyDescent="0.3">
      <c r="A707">
        <v>706</v>
      </c>
      <c r="B707" t="s">
        <v>657</v>
      </c>
      <c r="C707">
        <v>44246.455555555556</v>
      </c>
      <c r="D707">
        <v>2021</v>
      </c>
      <c r="E707" t="s">
        <v>10</v>
      </c>
      <c r="F707" t="s">
        <v>1553</v>
      </c>
      <c r="G707" t="s">
        <v>18</v>
      </c>
      <c r="H707" s="1" t="s">
        <v>1565</v>
      </c>
      <c r="I707" t="s">
        <v>1579</v>
      </c>
      <c r="J707" s="2">
        <v>1900188</v>
      </c>
      <c r="K707" t="s">
        <v>12</v>
      </c>
      <c r="L707" t="s">
        <v>1653</v>
      </c>
    </row>
    <row r="708" spans="1:12" x14ac:dyDescent="0.3">
      <c r="A708">
        <v>707</v>
      </c>
      <c r="B708" t="s">
        <v>658</v>
      </c>
      <c r="C708">
        <v>44246.456944444442</v>
      </c>
      <c r="D708">
        <v>2021</v>
      </c>
      <c r="E708" t="s">
        <v>10</v>
      </c>
      <c r="F708" t="s">
        <v>1553</v>
      </c>
      <c r="G708" t="s">
        <v>62</v>
      </c>
      <c r="H708" s="1" t="s">
        <v>1565</v>
      </c>
      <c r="I708" t="s">
        <v>1587</v>
      </c>
      <c r="J708" s="2">
        <v>4654031</v>
      </c>
      <c r="K708" t="s">
        <v>12</v>
      </c>
      <c r="L708" t="s">
        <v>1648</v>
      </c>
    </row>
    <row r="709" spans="1:12" x14ac:dyDescent="0.3">
      <c r="A709">
        <v>708</v>
      </c>
      <c r="B709" t="s">
        <v>659</v>
      </c>
      <c r="C709">
        <v>44246.474999999999</v>
      </c>
      <c r="D709">
        <v>2021</v>
      </c>
      <c r="E709" t="s">
        <v>10</v>
      </c>
      <c r="F709" t="s">
        <v>1553</v>
      </c>
      <c r="G709" t="s">
        <v>11</v>
      </c>
      <c r="H709" s="1" t="s">
        <v>1565</v>
      </c>
      <c r="I709" t="s">
        <v>1577</v>
      </c>
      <c r="J709" s="2">
        <v>2082947</v>
      </c>
      <c r="K709" t="s">
        <v>121</v>
      </c>
      <c r="L709" t="s">
        <v>1652</v>
      </c>
    </row>
    <row r="710" spans="1:12" x14ac:dyDescent="0.3">
      <c r="A710">
        <v>709</v>
      </c>
      <c r="B710" t="s">
        <v>660</v>
      </c>
      <c r="C710">
        <v>44246.615277777775</v>
      </c>
      <c r="D710">
        <v>2021</v>
      </c>
      <c r="E710" t="s">
        <v>10</v>
      </c>
      <c r="F710" t="s">
        <v>1553</v>
      </c>
      <c r="G710" t="s">
        <v>290</v>
      </c>
      <c r="H710" s="1" t="s">
        <v>1565</v>
      </c>
      <c r="I710" t="s">
        <v>1579</v>
      </c>
      <c r="J710" s="2">
        <v>1079241</v>
      </c>
      <c r="K710" t="s">
        <v>12</v>
      </c>
      <c r="L710" t="s">
        <v>1652</v>
      </c>
    </row>
    <row r="711" spans="1:12" x14ac:dyDescent="0.3">
      <c r="A711">
        <v>710</v>
      </c>
      <c r="B711" t="s">
        <v>385</v>
      </c>
      <c r="C711">
        <v>44249.333333333336</v>
      </c>
      <c r="D711">
        <v>2021</v>
      </c>
      <c r="E711" t="s">
        <v>10</v>
      </c>
      <c r="F711" t="s">
        <v>1553</v>
      </c>
      <c r="G711" t="s">
        <v>18</v>
      </c>
      <c r="H711" s="1" t="s">
        <v>1565</v>
      </c>
      <c r="I711" t="s">
        <v>1579</v>
      </c>
      <c r="J711" s="2">
        <v>1201879</v>
      </c>
      <c r="K711" t="s">
        <v>12</v>
      </c>
      <c r="L711" t="s">
        <v>1648</v>
      </c>
    </row>
    <row r="712" spans="1:12" x14ac:dyDescent="0.3">
      <c r="A712">
        <v>711</v>
      </c>
      <c r="B712" t="s">
        <v>661</v>
      </c>
      <c r="C712">
        <v>44249.339583333334</v>
      </c>
      <c r="D712">
        <v>2021</v>
      </c>
      <c r="E712" t="s">
        <v>10</v>
      </c>
      <c r="F712" t="s">
        <v>1553</v>
      </c>
      <c r="G712" t="s">
        <v>18</v>
      </c>
      <c r="H712" s="1" t="s">
        <v>1565</v>
      </c>
      <c r="I712" t="s">
        <v>1622</v>
      </c>
      <c r="J712" s="2">
        <v>2205204</v>
      </c>
      <c r="K712" t="s">
        <v>121</v>
      </c>
      <c r="L712" t="s">
        <v>1648</v>
      </c>
    </row>
    <row r="713" spans="1:12" x14ac:dyDescent="0.3">
      <c r="A713">
        <v>712</v>
      </c>
      <c r="B713" t="s">
        <v>662</v>
      </c>
      <c r="C713">
        <v>44249.345833333333</v>
      </c>
      <c r="D713">
        <v>2021</v>
      </c>
      <c r="E713" t="s">
        <v>10</v>
      </c>
      <c r="F713" t="s">
        <v>1553</v>
      </c>
      <c r="G713" t="s">
        <v>18</v>
      </c>
      <c r="H713" s="1" t="s">
        <v>1565</v>
      </c>
      <c r="I713" t="s">
        <v>1579</v>
      </c>
      <c r="J713" s="2">
        <v>4047878</v>
      </c>
      <c r="K713" t="s">
        <v>12</v>
      </c>
      <c r="L713" t="s">
        <v>1653</v>
      </c>
    </row>
    <row r="714" spans="1:12" x14ac:dyDescent="0.3">
      <c r="A714">
        <v>713</v>
      </c>
      <c r="B714" t="s">
        <v>663</v>
      </c>
      <c r="C714">
        <v>44249.479861111111</v>
      </c>
      <c r="D714">
        <v>2021</v>
      </c>
      <c r="E714" t="s">
        <v>10</v>
      </c>
      <c r="F714" t="s">
        <v>1552</v>
      </c>
      <c r="G714" t="s">
        <v>67</v>
      </c>
      <c r="H714" s="1" t="s">
        <v>1565</v>
      </c>
      <c r="I714" t="s">
        <v>1637</v>
      </c>
      <c r="J714" s="2">
        <v>1065822</v>
      </c>
      <c r="K714" t="s">
        <v>12</v>
      </c>
      <c r="L714" t="s">
        <v>1650</v>
      </c>
    </row>
    <row r="715" spans="1:12" x14ac:dyDescent="0.3">
      <c r="A715">
        <v>714</v>
      </c>
      <c r="B715" t="s">
        <v>664</v>
      </c>
      <c r="C715">
        <v>44249.59097222222</v>
      </c>
      <c r="D715">
        <v>2021</v>
      </c>
      <c r="E715" t="s">
        <v>10</v>
      </c>
      <c r="F715" t="s">
        <v>20</v>
      </c>
      <c r="G715" t="s">
        <v>11</v>
      </c>
      <c r="H715" s="1" t="s">
        <v>1565</v>
      </c>
      <c r="I715" t="s">
        <v>1577</v>
      </c>
      <c r="J715" s="2">
        <v>3896043</v>
      </c>
      <c r="K715" t="s">
        <v>121</v>
      </c>
      <c r="L715" t="s">
        <v>1652</v>
      </c>
    </row>
    <row r="716" spans="1:12" x14ac:dyDescent="0.3">
      <c r="A716">
        <v>715</v>
      </c>
      <c r="B716" t="s">
        <v>665</v>
      </c>
      <c r="C716">
        <v>44250.335416666669</v>
      </c>
      <c r="D716">
        <v>2021</v>
      </c>
      <c r="E716" t="s">
        <v>10</v>
      </c>
      <c r="F716" t="s">
        <v>1555</v>
      </c>
      <c r="G716" t="s">
        <v>11</v>
      </c>
      <c r="H716" s="1" t="s">
        <v>1565</v>
      </c>
      <c r="I716" t="s">
        <v>1577</v>
      </c>
      <c r="J716" s="2">
        <v>1102525</v>
      </c>
      <c r="K716" t="s">
        <v>121</v>
      </c>
      <c r="L716" t="s">
        <v>1649</v>
      </c>
    </row>
    <row r="717" spans="1:12" x14ac:dyDescent="0.3">
      <c r="A717">
        <v>716</v>
      </c>
      <c r="B717" t="s">
        <v>666</v>
      </c>
      <c r="C717">
        <v>44250.356944444444</v>
      </c>
      <c r="D717">
        <v>2021</v>
      </c>
      <c r="E717" t="s">
        <v>10</v>
      </c>
      <c r="F717" t="s">
        <v>1553</v>
      </c>
      <c r="G717" t="s">
        <v>229</v>
      </c>
      <c r="H717" s="1" t="s">
        <v>1565</v>
      </c>
      <c r="I717" t="s">
        <v>1635</v>
      </c>
      <c r="J717" s="2">
        <v>3488774</v>
      </c>
      <c r="K717" t="s">
        <v>12</v>
      </c>
      <c r="L717" t="s">
        <v>1651</v>
      </c>
    </row>
    <row r="718" spans="1:12" x14ac:dyDescent="0.3">
      <c r="A718">
        <v>717</v>
      </c>
      <c r="B718" t="s">
        <v>667</v>
      </c>
      <c r="C718">
        <v>44250.359027777777</v>
      </c>
      <c r="D718">
        <v>2021</v>
      </c>
      <c r="E718" t="s">
        <v>10</v>
      </c>
      <c r="F718" t="s">
        <v>1556</v>
      </c>
      <c r="G718" t="s">
        <v>229</v>
      </c>
      <c r="H718" s="1" t="s">
        <v>1565</v>
      </c>
      <c r="I718" t="s">
        <v>1635</v>
      </c>
      <c r="J718" s="2">
        <v>2291781</v>
      </c>
      <c r="K718" t="s">
        <v>12</v>
      </c>
      <c r="L718" t="s">
        <v>1651</v>
      </c>
    </row>
    <row r="719" spans="1:12" x14ac:dyDescent="0.3">
      <c r="A719">
        <v>718</v>
      </c>
      <c r="B719" t="s">
        <v>668</v>
      </c>
      <c r="C719">
        <v>44250.369444444441</v>
      </c>
      <c r="D719">
        <v>2021</v>
      </c>
      <c r="E719" t="s">
        <v>10</v>
      </c>
      <c r="F719" t="s">
        <v>1552</v>
      </c>
      <c r="G719" t="s">
        <v>23</v>
      </c>
      <c r="H719" s="1" t="s">
        <v>1565</v>
      </c>
      <c r="I719" t="s">
        <v>1579</v>
      </c>
      <c r="J719" s="2">
        <v>4870902</v>
      </c>
      <c r="K719" t="s">
        <v>12</v>
      </c>
      <c r="L719" t="s">
        <v>1652</v>
      </c>
    </row>
    <row r="720" spans="1:12" x14ac:dyDescent="0.3">
      <c r="A720">
        <v>719</v>
      </c>
      <c r="B720" t="s">
        <v>669</v>
      </c>
      <c r="C720">
        <v>44250.454861111109</v>
      </c>
      <c r="D720">
        <v>2021</v>
      </c>
      <c r="E720" t="s">
        <v>10</v>
      </c>
      <c r="F720" t="s">
        <v>20</v>
      </c>
      <c r="G720" t="s">
        <v>15</v>
      </c>
      <c r="H720" s="1" t="s">
        <v>1565</v>
      </c>
      <c r="I720" t="s">
        <v>1579</v>
      </c>
      <c r="J720" s="2">
        <v>3921277</v>
      </c>
      <c r="K720" t="s">
        <v>12</v>
      </c>
      <c r="L720" t="s">
        <v>1653</v>
      </c>
    </row>
    <row r="721" spans="1:12" x14ac:dyDescent="0.3">
      <c r="A721">
        <v>720</v>
      </c>
      <c r="B721" t="s">
        <v>433</v>
      </c>
      <c r="C721">
        <v>44250.466666666667</v>
      </c>
      <c r="D721">
        <v>2021</v>
      </c>
      <c r="E721" t="s">
        <v>10</v>
      </c>
      <c r="F721" t="s">
        <v>1555</v>
      </c>
      <c r="G721" t="s">
        <v>15</v>
      </c>
      <c r="H721" s="1" t="s">
        <v>1565</v>
      </c>
      <c r="I721" t="s">
        <v>1579</v>
      </c>
      <c r="J721" s="2">
        <v>3401594</v>
      </c>
      <c r="K721" t="s">
        <v>12</v>
      </c>
      <c r="L721" t="s">
        <v>1652</v>
      </c>
    </row>
    <row r="722" spans="1:12" x14ac:dyDescent="0.3">
      <c r="A722">
        <v>721</v>
      </c>
      <c r="B722" t="s">
        <v>670</v>
      </c>
      <c r="C722">
        <v>44250.489583333336</v>
      </c>
      <c r="D722">
        <v>2021</v>
      </c>
      <c r="E722" t="s">
        <v>10</v>
      </c>
      <c r="F722" t="s">
        <v>1553</v>
      </c>
      <c r="G722" t="s">
        <v>15</v>
      </c>
      <c r="H722" s="1" t="s">
        <v>1565</v>
      </c>
      <c r="I722" t="s">
        <v>1579</v>
      </c>
      <c r="J722" s="2">
        <v>2747402</v>
      </c>
      <c r="K722" t="s">
        <v>12</v>
      </c>
      <c r="L722" t="s">
        <v>1652</v>
      </c>
    </row>
    <row r="723" spans="1:12" x14ac:dyDescent="0.3">
      <c r="A723">
        <v>722</v>
      </c>
      <c r="B723" t="s">
        <v>671</v>
      </c>
      <c r="C723">
        <v>44251.334027777775</v>
      </c>
      <c r="D723">
        <v>2021</v>
      </c>
      <c r="E723" t="s">
        <v>10</v>
      </c>
      <c r="F723" t="s">
        <v>1556</v>
      </c>
      <c r="G723" t="s">
        <v>11</v>
      </c>
      <c r="H723" s="1" t="s">
        <v>1565</v>
      </c>
      <c r="I723" t="s">
        <v>1577</v>
      </c>
      <c r="J723" s="2">
        <v>3913095</v>
      </c>
      <c r="K723" t="s">
        <v>121</v>
      </c>
      <c r="L723" t="s">
        <v>1651</v>
      </c>
    </row>
    <row r="724" spans="1:12" x14ac:dyDescent="0.3">
      <c r="A724">
        <v>723</v>
      </c>
      <c r="B724" t="s">
        <v>672</v>
      </c>
      <c r="C724">
        <v>44251.344444444447</v>
      </c>
      <c r="D724">
        <v>2021</v>
      </c>
      <c r="E724" t="s">
        <v>10</v>
      </c>
      <c r="F724" t="s">
        <v>1552</v>
      </c>
      <c r="G724" t="s">
        <v>11</v>
      </c>
      <c r="H724" s="1" t="s">
        <v>1565</v>
      </c>
      <c r="I724" t="s">
        <v>1577</v>
      </c>
      <c r="J724" s="2">
        <v>3194827</v>
      </c>
      <c r="K724" t="s">
        <v>121</v>
      </c>
      <c r="L724" t="s">
        <v>1652</v>
      </c>
    </row>
    <row r="725" spans="1:12" x14ac:dyDescent="0.3">
      <c r="A725">
        <v>724</v>
      </c>
      <c r="B725" t="s">
        <v>673</v>
      </c>
      <c r="C725">
        <v>44251.539583333331</v>
      </c>
      <c r="D725">
        <v>2021</v>
      </c>
      <c r="E725" t="s">
        <v>10</v>
      </c>
      <c r="F725" t="s">
        <v>20</v>
      </c>
      <c r="G725" t="s">
        <v>67</v>
      </c>
      <c r="H725" s="1" t="s">
        <v>1565</v>
      </c>
      <c r="I725" t="s">
        <v>1586</v>
      </c>
      <c r="J725" s="2">
        <v>1815270</v>
      </c>
      <c r="K725" t="s">
        <v>59</v>
      </c>
      <c r="L725" t="s">
        <v>1652</v>
      </c>
    </row>
    <row r="726" spans="1:12" x14ac:dyDescent="0.3">
      <c r="A726">
        <v>725</v>
      </c>
      <c r="B726" t="s">
        <v>674</v>
      </c>
      <c r="C726">
        <v>44251.594444444447</v>
      </c>
      <c r="D726">
        <v>2021</v>
      </c>
      <c r="E726" t="s">
        <v>10</v>
      </c>
      <c r="F726" t="s">
        <v>1555</v>
      </c>
      <c r="G726" t="s">
        <v>18</v>
      </c>
      <c r="H726" s="1" t="s">
        <v>1565</v>
      </c>
      <c r="I726" t="s">
        <v>1579</v>
      </c>
      <c r="J726" s="2">
        <v>3684059</v>
      </c>
      <c r="K726" t="s">
        <v>12</v>
      </c>
      <c r="L726" t="s">
        <v>1649</v>
      </c>
    </row>
    <row r="727" spans="1:12" x14ac:dyDescent="0.3">
      <c r="A727">
        <v>726</v>
      </c>
      <c r="B727" t="s">
        <v>675</v>
      </c>
      <c r="C727">
        <v>44251.60833333333</v>
      </c>
      <c r="D727">
        <v>2021</v>
      </c>
      <c r="E727" t="s">
        <v>10</v>
      </c>
      <c r="F727" t="s">
        <v>1553</v>
      </c>
      <c r="G727" t="s">
        <v>18</v>
      </c>
      <c r="H727" s="1" t="s">
        <v>1565</v>
      </c>
      <c r="I727" t="s">
        <v>1579</v>
      </c>
      <c r="J727" s="2">
        <v>4605993</v>
      </c>
      <c r="K727" t="s">
        <v>12</v>
      </c>
      <c r="L727" t="s">
        <v>1650</v>
      </c>
    </row>
    <row r="728" spans="1:12" x14ac:dyDescent="0.3">
      <c r="A728">
        <v>727</v>
      </c>
      <c r="B728" t="s">
        <v>50</v>
      </c>
      <c r="C728">
        <v>44251.707638888889</v>
      </c>
      <c r="D728">
        <v>2021</v>
      </c>
      <c r="E728" t="s">
        <v>10</v>
      </c>
      <c r="F728" t="s">
        <v>1556</v>
      </c>
      <c r="G728" t="s">
        <v>62</v>
      </c>
      <c r="H728" s="1" t="s">
        <v>1565</v>
      </c>
      <c r="I728" t="s">
        <v>1591</v>
      </c>
      <c r="J728" s="2">
        <v>2421658</v>
      </c>
      <c r="K728" t="s">
        <v>12</v>
      </c>
      <c r="L728" t="s">
        <v>1651</v>
      </c>
    </row>
    <row r="729" spans="1:12" x14ac:dyDescent="0.3">
      <c r="A729">
        <v>728</v>
      </c>
      <c r="B729" t="s">
        <v>676</v>
      </c>
      <c r="C729">
        <v>44252.326388888891</v>
      </c>
      <c r="D729">
        <v>2021</v>
      </c>
      <c r="E729" t="s">
        <v>10</v>
      </c>
      <c r="F729" t="s">
        <v>1552</v>
      </c>
      <c r="G729" t="s">
        <v>11</v>
      </c>
      <c r="H729" s="1" t="s">
        <v>1565</v>
      </c>
      <c r="I729" t="s">
        <v>1577</v>
      </c>
      <c r="J729" s="2">
        <v>4586054</v>
      </c>
      <c r="K729" t="s">
        <v>121</v>
      </c>
      <c r="L729" t="s">
        <v>1649</v>
      </c>
    </row>
    <row r="730" spans="1:12" x14ac:dyDescent="0.3">
      <c r="A730">
        <v>729</v>
      </c>
      <c r="B730" t="s">
        <v>677</v>
      </c>
      <c r="C730">
        <v>44252.345833333333</v>
      </c>
      <c r="D730">
        <v>2021</v>
      </c>
      <c r="E730" t="s">
        <v>10</v>
      </c>
      <c r="F730" t="s">
        <v>20</v>
      </c>
      <c r="G730" t="s">
        <v>21</v>
      </c>
      <c r="H730" s="1" t="s">
        <v>1565</v>
      </c>
      <c r="I730" t="s">
        <v>1616</v>
      </c>
      <c r="J730" s="2">
        <v>1537005</v>
      </c>
      <c r="K730" t="s">
        <v>12</v>
      </c>
      <c r="L730" t="s">
        <v>1652</v>
      </c>
    </row>
    <row r="731" spans="1:12" x14ac:dyDescent="0.3">
      <c r="A731">
        <v>730</v>
      </c>
      <c r="B731" t="s">
        <v>678</v>
      </c>
      <c r="C731">
        <v>44252.393750000003</v>
      </c>
      <c r="D731">
        <v>2021</v>
      </c>
      <c r="E731" t="s">
        <v>10</v>
      </c>
      <c r="F731" t="s">
        <v>1555</v>
      </c>
      <c r="G731" t="s">
        <v>23</v>
      </c>
      <c r="H731" s="1" t="s">
        <v>1572</v>
      </c>
      <c r="I731" t="s">
        <v>1579</v>
      </c>
      <c r="J731" s="2">
        <v>4186670</v>
      </c>
      <c r="K731" t="s">
        <v>12</v>
      </c>
      <c r="L731" t="s">
        <v>1652</v>
      </c>
    </row>
    <row r="732" spans="1:12" x14ac:dyDescent="0.3">
      <c r="A732">
        <v>731</v>
      </c>
      <c r="B732" t="s">
        <v>679</v>
      </c>
      <c r="C732">
        <v>44252.451388888891</v>
      </c>
      <c r="D732">
        <v>2021</v>
      </c>
      <c r="E732" t="s">
        <v>10</v>
      </c>
      <c r="F732" t="s">
        <v>1553</v>
      </c>
      <c r="G732" t="s">
        <v>21</v>
      </c>
      <c r="H732" s="1" t="s">
        <v>1565</v>
      </c>
      <c r="I732" t="s">
        <v>1616</v>
      </c>
      <c r="J732" s="2">
        <v>3345681</v>
      </c>
      <c r="K732" t="s">
        <v>12</v>
      </c>
      <c r="L732" t="s">
        <v>1648</v>
      </c>
    </row>
    <row r="733" spans="1:12" x14ac:dyDescent="0.3">
      <c r="A733">
        <v>732</v>
      </c>
      <c r="B733" t="s">
        <v>670</v>
      </c>
      <c r="C733">
        <v>44252.456944444442</v>
      </c>
      <c r="D733">
        <v>2021</v>
      </c>
      <c r="E733" t="s">
        <v>10</v>
      </c>
      <c r="F733" t="s">
        <v>1556</v>
      </c>
      <c r="G733" t="s">
        <v>21</v>
      </c>
      <c r="H733" s="1" t="s">
        <v>1575</v>
      </c>
      <c r="I733" t="s">
        <v>1616</v>
      </c>
      <c r="J733" s="2">
        <v>3149693</v>
      </c>
      <c r="K733" t="s">
        <v>12</v>
      </c>
      <c r="L733" t="s">
        <v>1648</v>
      </c>
    </row>
    <row r="734" spans="1:12" x14ac:dyDescent="0.3">
      <c r="A734">
        <v>733</v>
      </c>
      <c r="B734" t="s">
        <v>680</v>
      </c>
      <c r="C734">
        <v>44252.588194444441</v>
      </c>
      <c r="D734">
        <v>2021</v>
      </c>
      <c r="E734" t="s">
        <v>10</v>
      </c>
      <c r="F734" t="s">
        <v>1554</v>
      </c>
      <c r="G734" t="s">
        <v>21</v>
      </c>
      <c r="H734" s="1" t="s">
        <v>1567</v>
      </c>
      <c r="I734" t="s">
        <v>1616</v>
      </c>
      <c r="J734" s="2">
        <v>3082596</v>
      </c>
      <c r="K734" t="s">
        <v>12</v>
      </c>
      <c r="L734" t="s">
        <v>1648</v>
      </c>
    </row>
    <row r="735" spans="1:12" x14ac:dyDescent="0.3">
      <c r="A735">
        <v>734</v>
      </c>
      <c r="B735" t="s">
        <v>681</v>
      </c>
      <c r="C735">
        <v>44252.690972222219</v>
      </c>
      <c r="D735">
        <v>2021</v>
      </c>
      <c r="E735" t="s">
        <v>10</v>
      </c>
      <c r="F735" t="s">
        <v>1554</v>
      </c>
      <c r="G735" t="s">
        <v>11</v>
      </c>
      <c r="H735" s="1" t="s">
        <v>1565</v>
      </c>
      <c r="I735" t="s">
        <v>1577</v>
      </c>
      <c r="J735" s="2">
        <v>4474190</v>
      </c>
      <c r="K735" t="s">
        <v>121</v>
      </c>
      <c r="L735" t="s">
        <v>1648</v>
      </c>
    </row>
    <row r="736" spans="1:12" x14ac:dyDescent="0.3">
      <c r="A736">
        <v>735</v>
      </c>
      <c r="B736" t="s">
        <v>682</v>
      </c>
      <c r="C736">
        <v>44253.330555555556</v>
      </c>
      <c r="D736">
        <v>2021</v>
      </c>
      <c r="E736" t="s">
        <v>10</v>
      </c>
      <c r="F736" t="s">
        <v>1554</v>
      </c>
      <c r="G736" t="s">
        <v>11</v>
      </c>
      <c r="H736" s="1" t="s">
        <v>1570</v>
      </c>
      <c r="I736" t="s">
        <v>1577</v>
      </c>
      <c r="J736" s="2">
        <v>3935386</v>
      </c>
      <c r="K736" t="s">
        <v>121</v>
      </c>
      <c r="L736" t="s">
        <v>1648</v>
      </c>
    </row>
    <row r="737" spans="1:12" x14ac:dyDescent="0.3">
      <c r="A737">
        <v>736</v>
      </c>
      <c r="B737" t="s">
        <v>683</v>
      </c>
      <c r="C737">
        <v>44253.414583333331</v>
      </c>
      <c r="D737">
        <v>2021</v>
      </c>
      <c r="E737" t="s">
        <v>10</v>
      </c>
      <c r="F737" t="s">
        <v>1554</v>
      </c>
      <c r="G737" t="s">
        <v>11</v>
      </c>
      <c r="H737" s="1" t="s">
        <v>1567</v>
      </c>
      <c r="I737" t="s">
        <v>1577</v>
      </c>
      <c r="J737" s="2">
        <v>1710457</v>
      </c>
      <c r="K737" t="s">
        <v>121</v>
      </c>
      <c r="L737" t="s">
        <v>1650</v>
      </c>
    </row>
    <row r="738" spans="1:12" x14ac:dyDescent="0.3">
      <c r="A738">
        <v>737</v>
      </c>
      <c r="B738" t="s">
        <v>433</v>
      </c>
      <c r="C738">
        <v>44253.495833333334</v>
      </c>
      <c r="D738">
        <v>2021</v>
      </c>
      <c r="E738" t="s">
        <v>10</v>
      </c>
      <c r="F738" t="s">
        <v>1554</v>
      </c>
      <c r="G738" t="s">
        <v>15</v>
      </c>
      <c r="H738" s="1" t="s">
        <v>1569</v>
      </c>
      <c r="I738" t="s">
        <v>1579</v>
      </c>
      <c r="J738" s="2">
        <v>4762134</v>
      </c>
      <c r="K738" t="s">
        <v>12</v>
      </c>
      <c r="L738" t="s">
        <v>1648</v>
      </c>
    </row>
    <row r="739" spans="1:12" x14ac:dyDescent="0.3">
      <c r="A739">
        <v>738</v>
      </c>
      <c r="B739" t="s">
        <v>684</v>
      </c>
      <c r="C739">
        <v>44253.657638888886</v>
      </c>
      <c r="D739">
        <v>2021</v>
      </c>
      <c r="E739" t="s">
        <v>10</v>
      </c>
      <c r="F739" t="s">
        <v>1554</v>
      </c>
      <c r="G739" t="s">
        <v>18</v>
      </c>
      <c r="H739" s="1" t="s">
        <v>1573</v>
      </c>
      <c r="I739" t="s">
        <v>1579</v>
      </c>
      <c r="J739" s="2">
        <v>1836822</v>
      </c>
      <c r="K739" t="s">
        <v>12</v>
      </c>
      <c r="L739" t="s">
        <v>1649</v>
      </c>
    </row>
    <row r="740" spans="1:12" x14ac:dyDescent="0.3">
      <c r="A740">
        <v>739</v>
      </c>
      <c r="B740" t="s">
        <v>685</v>
      </c>
      <c r="C740">
        <v>44256.43472222222</v>
      </c>
      <c r="D740">
        <v>2021</v>
      </c>
      <c r="E740" t="s">
        <v>10</v>
      </c>
      <c r="F740" t="s">
        <v>1554</v>
      </c>
      <c r="G740" t="s">
        <v>18</v>
      </c>
      <c r="H740" s="1" t="s">
        <v>1567</v>
      </c>
      <c r="I740" t="s">
        <v>1610</v>
      </c>
      <c r="J740" s="2">
        <v>4152869</v>
      </c>
      <c r="K740" t="s">
        <v>121</v>
      </c>
      <c r="L740" t="s">
        <v>1650</v>
      </c>
    </row>
    <row r="741" spans="1:12" x14ac:dyDescent="0.3">
      <c r="A741">
        <v>740</v>
      </c>
      <c r="B741" t="s">
        <v>686</v>
      </c>
      <c r="C741">
        <v>44256.438194444447</v>
      </c>
      <c r="D741">
        <v>2021</v>
      </c>
      <c r="E741" t="s">
        <v>10</v>
      </c>
      <c r="F741" t="s">
        <v>1554</v>
      </c>
      <c r="G741" t="s">
        <v>23</v>
      </c>
      <c r="H741" s="1" t="s">
        <v>1569</v>
      </c>
      <c r="I741" t="s">
        <v>1579</v>
      </c>
      <c r="J741" s="2">
        <v>4804006</v>
      </c>
      <c r="K741" t="s">
        <v>12</v>
      </c>
      <c r="L741" t="s">
        <v>1650</v>
      </c>
    </row>
    <row r="742" spans="1:12" x14ac:dyDescent="0.3">
      <c r="A742">
        <v>741</v>
      </c>
      <c r="B742" t="s">
        <v>435</v>
      </c>
      <c r="C742">
        <v>44256.489583333336</v>
      </c>
      <c r="D742">
        <v>2021</v>
      </c>
      <c r="E742" t="s">
        <v>10</v>
      </c>
      <c r="F742" t="s">
        <v>1554</v>
      </c>
      <c r="G742" t="s">
        <v>18</v>
      </c>
      <c r="H742" s="1" t="s">
        <v>1565</v>
      </c>
      <c r="I742" t="s">
        <v>1579</v>
      </c>
      <c r="J742" s="2">
        <v>3468796</v>
      </c>
      <c r="K742" t="s">
        <v>12</v>
      </c>
      <c r="L742" t="s">
        <v>1648</v>
      </c>
    </row>
    <row r="743" spans="1:12" x14ac:dyDescent="0.3">
      <c r="A743">
        <v>742</v>
      </c>
      <c r="B743" t="s">
        <v>687</v>
      </c>
      <c r="C743">
        <v>44256.504861111112</v>
      </c>
      <c r="D743">
        <v>2021</v>
      </c>
      <c r="E743" t="s">
        <v>10</v>
      </c>
      <c r="F743" t="s">
        <v>1554</v>
      </c>
      <c r="G743" t="s">
        <v>15</v>
      </c>
      <c r="H743" s="1" t="s">
        <v>1572</v>
      </c>
      <c r="I743" t="s">
        <v>1635</v>
      </c>
      <c r="J743" s="2">
        <v>4398592</v>
      </c>
      <c r="K743" t="s">
        <v>12</v>
      </c>
      <c r="L743" t="s">
        <v>1652</v>
      </c>
    </row>
    <row r="744" spans="1:12" x14ac:dyDescent="0.3">
      <c r="A744">
        <v>743</v>
      </c>
      <c r="B744" t="s">
        <v>293</v>
      </c>
      <c r="C744">
        <v>44256.643055555556</v>
      </c>
      <c r="D744">
        <v>2021</v>
      </c>
      <c r="E744" t="s">
        <v>10</v>
      </c>
      <c r="F744" t="s">
        <v>1554</v>
      </c>
      <c r="G744" t="s">
        <v>290</v>
      </c>
      <c r="H744" s="1" t="s">
        <v>1563</v>
      </c>
      <c r="I744" t="s">
        <v>1579</v>
      </c>
      <c r="J744" s="2">
        <v>2072501</v>
      </c>
      <c r="K744" t="s">
        <v>12</v>
      </c>
      <c r="L744" t="s">
        <v>1651</v>
      </c>
    </row>
    <row r="745" spans="1:12" x14ac:dyDescent="0.3">
      <c r="A745">
        <v>744</v>
      </c>
      <c r="B745" t="s">
        <v>688</v>
      </c>
      <c r="C745">
        <v>44257.365972222222</v>
      </c>
      <c r="D745">
        <v>2021</v>
      </c>
      <c r="E745" t="s">
        <v>10</v>
      </c>
      <c r="F745" t="s">
        <v>1554</v>
      </c>
      <c r="G745" t="s">
        <v>11</v>
      </c>
      <c r="H745" s="1" t="s">
        <v>1575</v>
      </c>
      <c r="I745" t="s">
        <v>1577</v>
      </c>
      <c r="J745" s="2">
        <v>2492987</v>
      </c>
      <c r="K745" t="s">
        <v>121</v>
      </c>
      <c r="L745" t="s">
        <v>1648</v>
      </c>
    </row>
    <row r="746" spans="1:12" x14ac:dyDescent="0.3">
      <c r="A746">
        <v>745</v>
      </c>
      <c r="B746" t="s">
        <v>689</v>
      </c>
      <c r="C746">
        <v>44257.416666666664</v>
      </c>
      <c r="D746">
        <v>2021</v>
      </c>
      <c r="E746" t="s">
        <v>10</v>
      </c>
      <c r="F746" t="s">
        <v>1554</v>
      </c>
      <c r="G746" t="s">
        <v>15</v>
      </c>
      <c r="H746" s="1" t="s">
        <v>1568</v>
      </c>
      <c r="I746" t="s">
        <v>1579</v>
      </c>
      <c r="J746" s="2">
        <v>2471837</v>
      </c>
      <c r="K746" t="s">
        <v>12</v>
      </c>
      <c r="L746" t="s">
        <v>1653</v>
      </c>
    </row>
    <row r="747" spans="1:12" x14ac:dyDescent="0.3">
      <c r="A747">
        <v>746</v>
      </c>
      <c r="B747" t="s">
        <v>690</v>
      </c>
      <c r="C747">
        <v>44257.416666666664</v>
      </c>
      <c r="D747">
        <v>2021</v>
      </c>
      <c r="E747" t="s">
        <v>10</v>
      </c>
      <c r="F747" t="s">
        <v>1554</v>
      </c>
      <c r="G747" t="s">
        <v>11</v>
      </c>
      <c r="H747" s="1" t="s">
        <v>1568</v>
      </c>
      <c r="I747" t="s">
        <v>1577</v>
      </c>
      <c r="J747" s="2">
        <v>3247165</v>
      </c>
      <c r="K747" t="s">
        <v>121</v>
      </c>
      <c r="L747" t="s">
        <v>1649</v>
      </c>
    </row>
    <row r="748" spans="1:12" x14ac:dyDescent="0.3">
      <c r="A748">
        <v>747</v>
      </c>
      <c r="B748" t="s">
        <v>691</v>
      </c>
      <c r="C748">
        <v>44257.527777777781</v>
      </c>
      <c r="D748">
        <v>2021</v>
      </c>
      <c r="E748" t="s">
        <v>10</v>
      </c>
      <c r="F748" t="s">
        <v>1554</v>
      </c>
      <c r="G748" t="s">
        <v>21</v>
      </c>
      <c r="H748" s="1" t="s">
        <v>1562</v>
      </c>
      <c r="I748" t="s">
        <v>1616</v>
      </c>
      <c r="J748" s="2">
        <v>3526672</v>
      </c>
      <c r="K748" t="s">
        <v>12</v>
      </c>
      <c r="L748" t="s">
        <v>1650</v>
      </c>
    </row>
    <row r="749" spans="1:12" x14ac:dyDescent="0.3">
      <c r="A749">
        <v>748</v>
      </c>
      <c r="B749" t="s">
        <v>691</v>
      </c>
      <c r="C749">
        <v>44257.529166666667</v>
      </c>
      <c r="D749">
        <v>2021</v>
      </c>
      <c r="E749" t="s">
        <v>10</v>
      </c>
      <c r="F749" t="s">
        <v>1552</v>
      </c>
      <c r="G749" t="s">
        <v>21</v>
      </c>
      <c r="H749" s="1" t="s">
        <v>1565</v>
      </c>
      <c r="I749" t="s">
        <v>1616</v>
      </c>
      <c r="J749" s="2">
        <v>1067813</v>
      </c>
      <c r="K749" t="s">
        <v>12</v>
      </c>
      <c r="L749" t="s">
        <v>1650</v>
      </c>
    </row>
    <row r="750" spans="1:12" x14ac:dyDescent="0.3">
      <c r="A750">
        <v>749</v>
      </c>
      <c r="B750" t="s">
        <v>692</v>
      </c>
      <c r="C750">
        <v>44257.59375</v>
      </c>
      <c r="D750">
        <v>2021</v>
      </c>
      <c r="E750" t="s">
        <v>10</v>
      </c>
      <c r="F750" t="s">
        <v>20</v>
      </c>
      <c r="G750" t="s">
        <v>62</v>
      </c>
      <c r="H750" s="1" t="s">
        <v>1565</v>
      </c>
      <c r="I750" t="s">
        <v>1603</v>
      </c>
      <c r="J750" s="2">
        <v>4203964</v>
      </c>
      <c r="K750" t="s">
        <v>121</v>
      </c>
      <c r="L750" t="s">
        <v>1649</v>
      </c>
    </row>
    <row r="751" spans="1:12" x14ac:dyDescent="0.3">
      <c r="A751">
        <v>750</v>
      </c>
      <c r="B751" t="s">
        <v>693</v>
      </c>
      <c r="C751">
        <v>44257.60833333333</v>
      </c>
      <c r="D751">
        <v>2021</v>
      </c>
      <c r="E751" t="s">
        <v>10</v>
      </c>
      <c r="F751" t="s">
        <v>1555</v>
      </c>
      <c r="G751" t="s">
        <v>11</v>
      </c>
      <c r="H751" s="1" t="s">
        <v>1568</v>
      </c>
      <c r="I751" t="s">
        <v>1577</v>
      </c>
      <c r="J751" s="2">
        <v>1507152</v>
      </c>
      <c r="K751" t="s">
        <v>121</v>
      </c>
      <c r="L751" t="s">
        <v>1650</v>
      </c>
    </row>
    <row r="752" spans="1:12" x14ac:dyDescent="0.3">
      <c r="A752">
        <v>751</v>
      </c>
      <c r="B752" t="s">
        <v>694</v>
      </c>
      <c r="C752">
        <v>44257.615277777775</v>
      </c>
      <c r="D752">
        <v>2021</v>
      </c>
      <c r="E752" t="s">
        <v>10</v>
      </c>
      <c r="F752" t="s">
        <v>1553</v>
      </c>
      <c r="G752" t="s">
        <v>18</v>
      </c>
      <c r="H752" s="1" t="s">
        <v>1568</v>
      </c>
      <c r="I752" t="s">
        <v>1584</v>
      </c>
      <c r="J752" s="2">
        <v>3983652</v>
      </c>
      <c r="K752" t="s">
        <v>12</v>
      </c>
      <c r="L752" t="s">
        <v>1648</v>
      </c>
    </row>
    <row r="753" spans="1:12" x14ac:dyDescent="0.3">
      <c r="A753">
        <v>752</v>
      </c>
      <c r="B753" t="s">
        <v>695</v>
      </c>
      <c r="C753">
        <v>44257.619444444441</v>
      </c>
      <c r="D753">
        <v>2021</v>
      </c>
      <c r="E753" t="s">
        <v>10</v>
      </c>
      <c r="F753" t="s">
        <v>1556</v>
      </c>
      <c r="G753" t="s">
        <v>21</v>
      </c>
      <c r="H753" s="1" t="s">
        <v>1569</v>
      </c>
      <c r="I753" t="s">
        <v>1610</v>
      </c>
      <c r="J753" s="2">
        <v>4151104</v>
      </c>
      <c r="K753" t="s">
        <v>121</v>
      </c>
      <c r="L753" t="s">
        <v>1648</v>
      </c>
    </row>
    <row r="754" spans="1:12" x14ac:dyDescent="0.3">
      <c r="A754">
        <v>753</v>
      </c>
      <c r="B754" t="s">
        <v>696</v>
      </c>
      <c r="C754">
        <v>44257.706250000003</v>
      </c>
      <c r="D754">
        <v>2021</v>
      </c>
      <c r="E754" t="s">
        <v>10</v>
      </c>
      <c r="F754" t="s">
        <v>1552</v>
      </c>
      <c r="G754" t="s">
        <v>18</v>
      </c>
      <c r="H754" s="1" t="s">
        <v>1571</v>
      </c>
      <c r="I754" t="s">
        <v>1579</v>
      </c>
      <c r="J754" s="2">
        <v>2942385</v>
      </c>
      <c r="K754" t="s">
        <v>12</v>
      </c>
      <c r="L754" t="s">
        <v>1651</v>
      </c>
    </row>
    <row r="755" spans="1:12" x14ac:dyDescent="0.3">
      <c r="A755">
        <v>754</v>
      </c>
      <c r="B755" t="s">
        <v>697</v>
      </c>
      <c r="C755">
        <v>44257.708333333336</v>
      </c>
      <c r="D755">
        <v>2021</v>
      </c>
      <c r="E755" t="s">
        <v>10</v>
      </c>
      <c r="F755" t="s">
        <v>1552</v>
      </c>
      <c r="G755" t="s">
        <v>18</v>
      </c>
      <c r="H755" s="1" t="s">
        <v>1566</v>
      </c>
      <c r="I755" t="s">
        <v>1579</v>
      </c>
      <c r="J755" s="2">
        <v>2883002</v>
      </c>
      <c r="K755" t="s">
        <v>12</v>
      </c>
      <c r="L755" t="s">
        <v>1652</v>
      </c>
    </row>
    <row r="756" spans="1:12" x14ac:dyDescent="0.3">
      <c r="A756">
        <v>755</v>
      </c>
      <c r="B756" t="s">
        <v>698</v>
      </c>
      <c r="C756">
        <v>44258.356249999997</v>
      </c>
      <c r="D756">
        <v>2021</v>
      </c>
      <c r="E756" t="s">
        <v>10</v>
      </c>
      <c r="F756" t="s">
        <v>29</v>
      </c>
      <c r="G756" t="s">
        <v>15</v>
      </c>
      <c r="H756" s="1" t="s">
        <v>1567</v>
      </c>
      <c r="I756" t="s">
        <v>1586</v>
      </c>
      <c r="J756" s="2">
        <v>3572224</v>
      </c>
      <c r="K756" t="s">
        <v>59</v>
      </c>
      <c r="L756" t="s">
        <v>1649</v>
      </c>
    </row>
    <row r="757" spans="1:12" x14ac:dyDescent="0.3">
      <c r="A757">
        <v>756</v>
      </c>
      <c r="B757" t="s">
        <v>699</v>
      </c>
      <c r="C757">
        <v>44258.493055555555</v>
      </c>
      <c r="D757">
        <v>2021</v>
      </c>
      <c r="E757" t="s">
        <v>10</v>
      </c>
      <c r="F757" t="s">
        <v>1552</v>
      </c>
      <c r="G757" t="s">
        <v>18</v>
      </c>
      <c r="H757" s="1" t="s">
        <v>1573</v>
      </c>
      <c r="I757" t="s">
        <v>1579</v>
      </c>
      <c r="J757" s="2">
        <v>993722</v>
      </c>
      <c r="K757" t="s">
        <v>12</v>
      </c>
      <c r="L757" t="s">
        <v>1653</v>
      </c>
    </row>
    <row r="758" spans="1:12" x14ac:dyDescent="0.3">
      <c r="A758">
        <v>757</v>
      </c>
      <c r="B758" t="s">
        <v>505</v>
      </c>
      <c r="C758">
        <v>44258.497916666667</v>
      </c>
      <c r="D758">
        <v>2021</v>
      </c>
      <c r="E758" t="s">
        <v>10</v>
      </c>
      <c r="F758" t="s">
        <v>1552</v>
      </c>
      <c r="G758" t="s">
        <v>18</v>
      </c>
      <c r="H758" s="1" t="s">
        <v>1567</v>
      </c>
      <c r="I758" t="s">
        <v>1579</v>
      </c>
      <c r="J758" s="2">
        <v>4845951</v>
      </c>
      <c r="K758" t="s">
        <v>12</v>
      </c>
      <c r="L758" t="s">
        <v>1652</v>
      </c>
    </row>
    <row r="759" spans="1:12" x14ac:dyDescent="0.3">
      <c r="A759">
        <v>758</v>
      </c>
      <c r="B759" t="s">
        <v>700</v>
      </c>
      <c r="C759">
        <v>44258.504861111112</v>
      </c>
      <c r="D759">
        <v>2021</v>
      </c>
      <c r="E759" t="s">
        <v>10</v>
      </c>
      <c r="F759" t="s">
        <v>1552</v>
      </c>
      <c r="G759" t="s">
        <v>18</v>
      </c>
      <c r="H759" s="1" t="s">
        <v>1570</v>
      </c>
      <c r="I759" t="s">
        <v>1579</v>
      </c>
      <c r="J759" s="2">
        <v>4231808</v>
      </c>
      <c r="K759" t="s">
        <v>12</v>
      </c>
      <c r="L759" t="s">
        <v>1652</v>
      </c>
    </row>
    <row r="760" spans="1:12" x14ac:dyDescent="0.3">
      <c r="A760">
        <v>759</v>
      </c>
      <c r="B760" t="s">
        <v>701</v>
      </c>
      <c r="C760">
        <v>44258.614583333336</v>
      </c>
      <c r="D760">
        <v>2021</v>
      </c>
      <c r="E760" t="s">
        <v>10</v>
      </c>
      <c r="F760" t="s">
        <v>1552</v>
      </c>
      <c r="G760" t="s">
        <v>290</v>
      </c>
      <c r="H760" s="1" t="s">
        <v>1564</v>
      </c>
      <c r="I760" t="s">
        <v>1579</v>
      </c>
      <c r="J760" s="2">
        <v>2274765</v>
      </c>
      <c r="K760" t="s">
        <v>12</v>
      </c>
      <c r="L760" t="s">
        <v>1651</v>
      </c>
    </row>
    <row r="761" spans="1:12" x14ac:dyDescent="0.3">
      <c r="A761">
        <v>760</v>
      </c>
      <c r="B761" t="s">
        <v>702</v>
      </c>
      <c r="C761">
        <v>44258.620138888888</v>
      </c>
      <c r="D761">
        <v>2021</v>
      </c>
      <c r="E761" t="s">
        <v>10</v>
      </c>
      <c r="F761" t="s">
        <v>20</v>
      </c>
      <c r="G761" t="s">
        <v>290</v>
      </c>
      <c r="H761" s="1" t="s">
        <v>1564</v>
      </c>
      <c r="I761" t="s">
        <v>1579</v>
      </c>
      <c r="J761" s="2">
        <v>1295126</v>
      </c>
      <c r="K761" t="s">
        <v>12</v>
      </c>
      <c r="L761" t="s">
        <v>1653</v>
      </c>
    </row>
    <row r="762" spans="1:12" x14ac:dyDescent="0.3">
      <c r="A762">
        <v>761</v>
      </c>
      <c r="B762" t="s">
        <v>703</v>
      </c>
      <c r="C762">
        <v>44258.706250000003</v>
      </c>
      <c r="D762">
        <v>2021</v>
      </c>
      <c r="E762" t="s">
        <v>10</v>
      </c>
      <c r="F762" t="s">
        <v>1555</v>
      </c>
      <c r="G762" t="s">
        <v>62</v>
      </c>
      <c r="H762" s="1" t="s">
        <v>1562</v>
      </c>
      <c r="I762" t="s">
        <v>1587</v>
      </c>
      <c r="J762" s="2">
        <v>3545019</v>
      </c>
      <c r="K762" t="s">
        <v>12</v>
      </c>
      <c r="L762" t="s">
        <v>1649</v>
      </c>
    </row>
    <row r="763" spans="1:12" x14ac:dyDescent="0.3">
      <c r="A763">
        <v>762</v>
      </c>
      <c r="B763" t="s">
        <v>704</v>
      </c>
      <c r="C763">
        <v>44259.368055555555</v>
      </c>
      <c r="D763">
        <v>2021</v>
      </c>
      <c r="E763" t="s">
        <v>10</v>
      </c>
      <c r="F763" t="s">
        <v>1553</v>
      </c>
      <c r="G763" t="s">
        <v>15</v>
      </c>
      <c r="H763" s="1" t="s">
        <v>1562</v>
      </c>
      <c r="I763" t="s">
        <v>1579</v>
      </c>
      <c r="J763" s="2">
        <v>2740497</v>
      </c>
      <c r="K763" t="s">
        <v>12</v>
      </c>
      <c r="L763" t="s">
        <v>1652</v>
      </c>
    </row>
    <row r="764" spans="1:12" x14ac:dyDescent="0.3">
      <c r="A764">
        <v>763</v>
      </c>
      <c r="B764" t="s">
        <v>705</v>
      </c>
      <c r="C764">
        <v>44259.490277777775</v>
      </c>
      <c r="D764">
        <v>2021</v>
      </c>
      <c r="E764" t="s">
        <v>10</v>
      </c>
      <c r="F764" t="s">
        <v>1556</v>
      </c>
      <c r="G764" t="s">
        <v>67</v>
      </c>
      <c r="H764" s="1" t="s">
        <v>1566</v>
      </c>
      <c r="I764" t="s">
        <v>1579</v>
      </c>
      <c r="J764" s="2">
        <v>1321606</v>
      </c>
      <c r="K764" t="s">
        <v>12</v>
      </c>
      <c r="L764" t="s">
        <v>1650</v>
      </c>
    </row>
    <row r="765" spans="1:12" x14ac:dyDescent="0.3">
      <c r="A765">
        <v>764</v>
      </c>
      <c r="B765" t="s">
        <v>706</v>
      </c>
      <c r="C765">
        <v>44259.495833333334</v>
      </c>
      <c r="D765">
        <v>2021</v>
      </c>
      <c r="E765" t="s">
        <v>10</v>
      </c>
      <c r="F765" t="s">
        <v>1552</v>
      </c>
      <c r="G765" t="s">
        <v>15</v>
      </c>
      <c r="H765" s="1" t="s">
        <v>1564</v>
      </c>
      <c r="I765" t="s">
        <v>1586</v>
      </c>
      <c r="J765" s="2">
        <v>2854035</v>
      </c>
      <c r="K765" t="s">
        <v>59</v>
      </c>
      <c r="L765" t="s">
        <v>1651</v>
      </c>
    </row>
    <row r="766" spans="1:12" x14ac:dyDescent="0.3">
      <c r="A766">
        <v>765</v>
      </c>
      <c r="B766" t="s">
        <v>707</v>
      </c>
      <c r="C766">
        <v>44259.501388888886</v>
      </c>
      <c r="D766">
        <v>2021</v>
      </c>
      <c r="E766" t="s">
        <v>10</v>
      </c>
      <c r="F766" t="s">
        <v>20</v>
      </c>
      <c r="G766" t="s">
        <v>44</v>
      </c>
      <c r="H766" s="1" t="s">
        <v>1562</v>
      </c>
      <c r="I766" t="s">
        <v>1586</v>
      </c>
      <c r="J766" s="2">
        <v>1587468</v>
      </c>
      <c r="K766" t="s">
        <v>59</v>
      </c>
      <c r="L766" t="s">
        <v>1652</v>
      </c>
    </row>
    <row r="767" spans="1:12" x14ac:dyDescent="0.3">
      <c r="A767">
        <v>766</v>
      </c>
      <c r="B767" t="s">
        <v>50</v>
      </c>
      <c r="C767">
        <v>44259.832638888889</v>
      </c>
      <c r="D767">
        <v>2021</v>
      </c>
      <c r="E767" t="s">
        <v>10</v>
      </c>
      <c r="F767" t="s">
        <v>1555</v>
      </c>
      <c r="G767" t="s">
        <v>591</v>
      </c>
      <c r="H767" s="1" t="s">
        <v>1568</v>
      </c>
      <c r="I767" t="s">
        <v>1454</v>
      </c>
      <c r="J767" s="2">
        <v>3783918</v>
      </c>
      <c r="K767" t="s">
        <v>121</v>
      </c>
      <c r="L767" t="s">
        <v>1653</v>
      </c>
    </row>
    <row r="768" spans="1:12" x14ac:dyDescent="0.3">
      <c r="A768">
        <v>767</v>
      </c>
      <c r="B768" t="s">
        <v>708</v>
      </c>
      <c r="C768">
        <v>44259.879861111112</v>
      </c>
      <c r="D768">
        <v>2021</v>
      </c>
      <c r="E768" t="s">
        <v>10</v>
      </c>
      <c r="F768" t="s">
        <v>1553</v>
      </c>
      <c r="G768" t="s">
        <v>49</v>
      </c>
      <c r="H768" s="1" t="s">
        <v>1570</v>
      </c>
      <c r="I768" t="s">
        <v>1610</v>
      </c>
      <c r="J768" s="2">
        <v>4331297</v>
      </c>
      <c r="K768" t="s">
        <v>121</v>
      </c>
      <c r="L768" t="s">
        <v>1651</v>
      </c>
    </row>
    <row r="769" spans="1:12" x14ac:dyDescent="0.3">
      <c r="A769">
        <v>768</v>
      </c>
      <c r="B769" t="s">
        <v>709</v>
      </c>
      <c r="C769">
        <v>44260.479861111111</v>
      </c>
      <c r="D769">
        <v>2021</v>
      </c>
      <c r="E769" t="s">
        <v>10</v>
      </c>
      <c r="F769" t="s">
        <v>1556</v>
      </c>
      <c r="G769" t="s">
        <v>62</v>
      </c>
      <c r="H769" s="1" t="s">
        <v>1566</v>
      </c>
      <c r="I769" t="s">
        <v>1603</v>
      </c>
      <c r="J769" s="2">
        <v>1997288</v>
      </c>
      <c r="K769" t="s">
        <v>121</v>
      </c>
      <c r="L769" t="s">
        <v>1652</v>
      </c>
    </row>
    <row r="770" spans="1:12" x14ac:dyDescent="0.3">
      <c r="A770">
        <v>769</v>
      </c>
      <c r="B770" t="s">
        <v>710</v>
      </c>
      <c r="C770">
        <v>44263.652083333334</v>
      </c>
      <c r="D770">
        <v>2021</v>
      </c>
      <c r="E770" t="s">
        <v>10</v>
      </c>
      <c r="F770" t="s">
        <v>1552</v>
      </c>
      <c r="G770" t="s">
        <v>18</v>
      </c>
      <c r="H770" s="1" t="s">
        <v>1572</v>
      </c>
      <c r="I770" t="s">
        <v>1579</v>
      </c>
      <c r="J770" s="2">
        <v>1208511</v>
      </c>
      <c r="K770" t="s">
        <v>12</v>
      </c>
      <c r="L770" t="s">
        <v>1648</v>
      </c>
    </row>
    <row r="771" spans="1:12" x14ac:dyDescent="0.3">
      <c r="A771">
        <v>770</v>
      </c>
      <c r="B771" t="s">
        <v>711</v>
      </c>
      <c r="C771">
        <v>44263.65347222222</v>
      </c>
      <c r="D771">
        <v>2021</v>
      </c>
      <c r="E771" t="s">
        <v>10</v>
      </c>
      <c r="F771" t="s">
        <v>20</v>
      </c>
      <c r="G771" t="s">
        <v>15</v>
      </c>
      <c r="H771" s="1" t="s">
        <v>1567</v>
      </c>
      <c r="I771" t="s">
        <v>1579</v>
      </c>
      <c r="J771" s="2">
        <v>3225260</v>
      </c>
      <c r="K771" t="s">
        <v>12</v>
      </c>
      <c r="L771" t="s">
        <v>1651</v>
      </c>
    </row>
    <row r="772" spans="1:12" x14ac:dyDescent="0.3">
      <c r="A772">
        <v>771</v>
      </c>
      <c r="B772" t="s">
        <v>712</v>
      </c>
      <c r="C772">
        <v>44263.691666666666</v>
      </c>
      <c r="D772">
        <v>2021</v>
      </c>
      <c r="E772" t="s">
        <v>10</v>
      </c>
      <c r="F772" t="s">
        <v>1555</v>
      </c>
      <c r="G772" t="s">
        <v>11</v>
      </c>
      <c r="H772" s="1" t="s">
        <v>1575</v>
      </c>
      <c r="I772" t="s">
        <v>1577</v>
      </c>
      <c r="J772" s="2">
        <v>4082883</v>
      </c>
      <c r="K772" t="s">
        <v>121</v>
      </c>
      <c r="L772" t="s">
        <v>1650</v>
      </c>
    </row>
    <row r="773" spans="1:12" x14ac:dyDescent="0.3">
      <c r="A773">
        <v>772</v>
      </c>
      <c r="B773" t="s">
        <v>713</v>
      </c>
      <c r="C773">
        <v>44264.332638888889</v>
      </c>
      <c r="D773">
        <v>2021</v>
      </c>
      <c r="E773" t="s">
        <v>10</v>
      </c>
      <c r="F773" t="s">
        <v>1553</v>
      </c>
      <c r="G773" t="s">
        <v>11</v>
      </c>
      <c r="H773" s="1" t="s">
        <v>1575</v>
      </c>
      <c r="I773" t="s">
        <v>1577</v>
      </c>
      <c r="J773" s="2">
        <v>1656585</v>
      </c>
      <c r="K773" t="s">
        <v>121</v>
      </c>
      <c r="L773" t="s">
        <v>1648</v>
      </c>
    </row>
    <row r="774" spans="1:12" x14ac:dyDescent="0.3">
      <c r="A774">
        <v>773</v>
      </c>
      <c r="B774" t="s">
        <v>714</v>
      </c>
      <c r="C774">
        <v>44264.368750000001</v>
      </c>
      <c r="D774">
        <v>2021</v>
      </c>
      <c r="E774" t="s">
        <v>10</v>
      </c>
      <c r="F774" t="s">
        <v>1556</v>
      </c>
      <c r="G774" t="s">
        <v>11</v>
      </c>
      <c r="H774" s="1" t="s">
        <v>1568</v>
      </c>
      <c r="I774" t="s">
        <v>1577</v>
      </c>
      <c r="J774" s="2">
        <v>1753660</v>
      </c>
      <c r="K774" t="s">
        <v>121</v>
      </c>
      <c r="L774" t="s">
        <v>1650</v>
      </c>
    </row>
    <row r="775" spans="1:12" x14ac:dyDescent="0.3">
      <c r="A775">
        <v>774</v>
      </c>
      <c r="B775" t="s">
        <v>715</v>
      </c>
      <c r="C775">
        <v>44264.392361111109</v>
      </c>
      <c r="D775">
        <v>2021</v>
      </c>
      <c r="E775" t="s">
        <v>10</v>
      </c>
      <c r="F775" t="s">
        <v>1552</v>
      </c>
      <c r="G775" t="s">
        <v>11</v>
      </c>
      <c r="H775" s="1" t="s">
        <v>1568</v>
      </c>
      <c r="I775" t="s">
        <v>1577</v>
      </c>
      <c r="J775" s="2">
        <v>3885690</v>
      </c>
      <c r="K775" t="s">
        <v>121</v>
      </c>
      <c r="L775" t="s">
        <v>1650</v>
      </c>
    </row>
    <row r="776" spans="1:12" x14ac:dyDescent="0.3">
      <c r="A776">
        <v>775</v>
      </c>
      <c r="B776" t="s">
        <v>50</v>
      </c>
      <c r="C776">
        <v>44264.446527777778</v>
      </c>
      <c r="D776">
        <v>2021</v>
      </c>
      <c r="E776" t="s">
        <v>10</v>
      </c>
      <c r="F776" t="s">
        <v>20</v>
      </c>
      <c r="G776" t="s">
        <v>44</v>
      </c>
      <c r="H776" s="1" t="s">
        <v>1573</v>
      </c>
      <c r="I776" t="s">
        <v>1454</v>
      </c>
      <c r="J776" s="2">
        <v>4001209</v>
      </c>
      <c r="K776" t="s">
        <v>121</v>
      </c>
      <c r="L776" t="s">
        <v>1652</v>
      </c>
    </row>
    <row r="777" spans="1:12" x14ac:dyDescent="0.3">
      <c r="A777">
        <v>776</v>
      </c>
      <c r="B777" t="s">
        <v>50</v>
      </c>
      <c r="C777">
        <v>44264.502083333333</v>
      </c>
      <c r="D777">
        <v>2021</v>
      </c>
      <c r="E777" t="s">
        <v>10</v>
      </c>
      <c r="F777" t="s">
        <v>1555</v>
      </c>
      <c r="G777" t="s">
        <v>42</v>
      </c>
      <c r="H777" s="1" t="s">
        <v>1572</v>
      </c>
      <c r="I777" t="s">
        <v>1591</v>
      </c>
      <c r="J777" s="2">
        <v>2031914</v>
      </c>
      <c r="K777" t="s">
        <v>12</v>
      </c>
      <c r="L777" t="s">
        <v>1653</v>
      </c>
    </row>
    <row r="778" spans="1:12" x14ac:dyDescent="0.3">
      <c r="A778">
        <v>777</v>
      </c>
      <c r="B778" t="s">
        <v>710</v>
      </c>
      <c r="C778">
        <v>44264.520138888889</v>
      </c>
      <c r="D778">
        <v>2021</v>
      </c>
      <c r="E778" t="s">
        <v>10</v>
      </c>
      <c r="F778" t="s">
        <v>1553</v>
      </c>
      <c r="G778" t="s">
        <v>18</v>
      </c>
      <c r="H778" s="1" t="s">
        <v>1565</v>
      </c>
      <c r="I778" t="s">
        <v>1579</v>
      </c>
      <c r="J778" s="2">
        <v>3597344</v>
      </c>
      <c r="K778" t="s">
        <v>12</v>
      </c>
      <c r="L778" t="s">
        <v>1649</v>
      </c>
    </row>
    <row r="779" spans="1:12" x14ac:dyDescent="0.3">
      <c r="A779">
        <v>778</v>
      </c>
      <c r="B779" t="s">
        <v>716</v>
      </c>
      <c r="C779">
        <v>44265.472916666666</v>
      </c>
      <c r="D779">
        <v>2021</v>
      </c>
      <c r="E779" t="s">
        <v>10</v>
      </c>
      <c r="F779" t="s">
        <v>1556</v>
      </c>
      <c r="G779" t="s">
        <v>21</v>
      </c>
      <c r="H779" s="1" t="s">
        <v>1570</v>
      </c>
      <c r="I779" t="s">
        <v>1616</v>
      </c>
      <c r="J779" s="2">
        <v>1658855</v>
      </c>
      <c r="K779" t="s">
        <v>12</v>
      </c>
      <c r="L779" t="s">
        <v>1650</v>
      </c>
    </row>
    <row r="780" spans="1:12" x14ac:dyDescent="0.3">
      <c r="A780">
        <v>779</v>
      </c>
      <c r="B780" t="s">
        <v>717</v>
      </c>
      <c r="C780">
        <v>44265.533333333333</v>
      </c>
      <c r="D780">
        <v>2021</v>
      </c>
      <c r="E780" t="s">
        <v>10</v>
      </c>
      <c r="F780" t="s">
        <v>1552</v>
      </c>
      <c r="G780" t="s">
        <v>11</v>
      </c>
      <c r="H780" s="1" t="s">
        <v>1568</v>
      </c>
      <c r="I780" t="s">
        <v>1606</v>
      </c>
      <c r="J780" s="2">
        <v>3333874</v>
      </c>
      <c r="K780" t="s">
        <v>12</v>
      </c>
      <c r="L780" t="s">
        <v>1649</v>
      </c>
    </row>
    <row r="781" spans="1:12" x14ac:dyDescent="0.3">
      <c r="A781">
        <v>780</v>
      </c>
      <c r="B781" t="s">
        <v>718</v>
      </c>
      <c r="C781">
        <v>44265.62777777778</v>
      </c>
      <c r="D781">
        <v>2021</v>
      </c>
      <c r="E781" t="s">
        <v>10</v>
      </c>
      <c r="F781" t="s">
        <v>20</v>
      </c>
      <c r="G781" t="s">
        <v>15</v>
      </c>
      <c r="H781" s="1" t="s">
        <v>1573</v>
      </c>
      <c r="I781" t="s">
        <v>1579</v>
      </c>
      <c r="J781" s="2">
        <v>3293579</v>
      </c>
      <c r="K781" t="s">
        <v>12</v>
      </c>
      <c r="L781" t="s">
        <v>1652</v>
      </c>
    </row>
    <row r="782" spans="1:12" x14ac:dyDescent="0.3">
      <c r="A782">
        <v>781</v>
      </c>
      <c r="B782" t="s">
        <v>719</v>
      </c>
      <c r="C782">
        <v>44265.701388888891</v>
      </c>
      <c r="D782">
        <v>2021</v>
      </c>
      <c r="E782" t="s">
        <v>10</v>
      </c>
      <c r="F782" t="s">
        <v>1555</v>
      </c>
      <c r="G782" t="s">
        <v>18</v>
      </c>
      <c r="H782" s="1" t="s">
        <v>1569</v>
      </c>
      <c r="I782" t="s">
        <v>1579</v>
      </c>
      <c r="J782" s="2">
        <v>4150032</v>
      </c>
      <c r="K782" t="s">
        <v>12</v>
      </c>
      <c r="L782" t="s">
        <v>1653</v>
      </c>
    </row>
    <row r="783" spans="1:12" x14ac:dyDescent="0.3">
      <c r="A783">
        <v>782</v>
      </c>
      <c r="B783" t="s">
        <v>720</v>
      </c>
      <c r="C783">
        <v>44266.406944444447</v>
      </c>
      <c r="D783">
        <v>2021</v>
      </c>
      <c r="E783" t="s">
        <v>10</v>
      </c>
      <c r="F783" t="s">
        <v>1553</v>
      </c>
      <c r="G783" t="s">
        <v>290</v>
      </c>
      <c r="H783" s="1" t="s">
        <v>1573</v>
      </c>
      <c r="I783" t="s">
        <v>1579</v>
      </c>
      <c r="J783" s="2">
        <v>3702414</v>
      </c>
      <c r="K783" t="s">
        <v>12</v>
      </c>
      <c r="L783" t="s">
        <v>1649</v>
      </c>
    </row>
    <row r="784" spans="1:12" x14ac:dyDescent="0.3">
      <c r="A784">
        <v>783</v>
      </c>
      <c r="B784" t="s">
        <v>425</v>
      </c>
      <c r="C784">
        <v>44266.45416666667</v>
      </c>
      <c r="D784">
        <v>2021</v>
      </c>
      <c r="E784" t="s">
        <v>10</v>
      </c>
      <c r="F784" t="s">
        <v>1556</v>
      </c>
      <c r="G784" t="s">
        <v>15</v>
      </c>
      <c r="H784" s="1" t="s">
        <v>1574</v>
      </c>
      <c r="I784" t="s">
        <v>1579</v>
      </c>
      <c r="J784" s="2">
        <v>1525675</v>
      </c>
      <c r="K784" t="s">
        <v>12</v>
      </c>
      <c r="L784" t="s">
        <v>1653</v>
      </c>
    </row>
    <row r="785" spans="1:12" x14ac:dyDescent="0.3">
      <c r="A785">
        <v>784</v>
      </c>
      <c r="B785" t="s">
        <v>721</v>
      </c>
      <c r="C785">
        <v>44266.486805555556</v>
      </c>
      <c r="D785">
        <v>2021</v>
      </c>
      <c r="E785" t="s">
        <v>10</v>
      </c>
      <c r="F785" t="s">
        <v>1552</v>
      </c>
      <c r="G785" t="s">
        <v>11</v>
      </c>
      <c r="H785" s="1" t="s">
        <v>1574</v>
      </c>
      <c r="I785" t="s">
        <v>1577</v>
      </c>
      <c r="J785" s="2">
        <v>1012844</v>
      </c>
      <c r="K785" t="s">
        <v>121</v>
      </c>
      <c r="L785" t="s">
        <v>1650</v>
      </c>
    </row>
    <row r="786" spans="1:12" x14ac:dyDescent="0.3">
      <c r="A786">
        <v>785</v>
      </c>
      <c r="B786" t="s">
        <v>722</v>
      </c>
      <c r="C786">
        <v>44266.506249999999</v>
      </c>
      <c r="D786">
        <v>2021</v>
      </c>
      <c r="E786" t="s">
        <v>10</v>
      </c>
      <c r="F786" t="s">
        <v>20</v>
      </c>
      <c r="G786" t="s">
        <v>62</v>
      </c>
      <c r="H786" s="1" t="s">
        <v>1569</v>
      </c>
      <c r="I786" t="s">
        <v>1634</v>
      </c>
      <c r="J786" s="2">
        <v>3770357</v>
      </c>
      <c r="K786" t="s">
        <v>121</v>
      </c>
      <c r="L786" t="s">
        <v>1651</v>
      </c>
    </row>
    <row r="787" spans="1:12" x14ac:dyDescent="0.3">
      <c r="A787">
        <v>786</v>
      </c>
      <c r="B787" t="s">
        <v>723</v>
      </c>
      <c r="C787">
        <v>44266.536111111112</v>
      </c>
      <c r="D787">
        <v>2021</v>
      </c>
      <c r="E787" t="s">
        <v>10</v>
      </c>
      <c r="F787" t="s">
        <v>1555</v>
      </c>
      <c r="G787" t="s">
        <v>62</v>
      </c>
      <c r="H787" s="1" t="s">
        <v>1572</v>
      </c>
      <c r="I787" t="s">
        <v>1579</v>
      </c>
      <c r="J787" s="2">
        <v>2027992</v>
      </c>
      <c r="K787" t="s">
        <v>12</v>
      </c>
      <c r="L787" t="s">
        <v>1652</v>
      </c>
    </row>
    <row r="788" spans="1:12" x14ac:dyDescent="0.3">
      <c r="A788">
        <v>787</v>
      </c>
      <c r="B788" t="s">
        <v>724</v>
      </c>
      <c r="C788">
        <v>44266.598611111112</v>
      </c>
      <c r="D788">
        <v>2021</v>
      </c>
      <c r="E788" t="s">
        <v>10</v>
      </c>
      <c r="F788" t="s">
        <v>1553</v>
      </c>
      <c r="G788" t="s">
        <v>11</v>
      </c>
      <c r="H788" s="1" t="s">
        <v>1570</v>
      </c>
      <c r="I788" t="s">
        <v>1577</v>
      </c>
      <c r="J788" s="2">
        <v>2450791</v>
      </c>
      <c r="K788" t="s">
        <v>121</v>
      </c>
      <c r="L788" t="s">
        <v>1653</v>
      </c>
    </row>
    <row r="789" spans="1:12" x14ac:dyDescent="0.3">
      <c r="A789">
        <v>788</v>
      </c>
      <c r="B789" t="s">
        <v>725</v>
      </c>
      <c r="C789">
        <v>44266.619444444441</v>
      </c>
      <c r="D789">
        <v>2021</v>
      </c>
      <c r="E789" t="s">
        <v>10</v>
      </c>
      <c r="F789" t="s">
        <v>1556</v>
      </c>
      <c r="G789" t="s">
        <v>62</v>
      </c>
      <c r="H789" s="1" t="s">
        <v>1565</v>
      </c>
      <c r="I789" t="s">
        <v>1637</v>
      </c>
      <c r="J789" s="2">
        <v>3315640</v>
      </c>
      <c r="K789" t="s">
        <v>12</v>
      </c>
      <c r="L789" t="s">
        <v>1649</v>
      </c>
    </row>
    <row r="790" spans="1:12" x14ac:dyDescent="0.3">
      <c r="A790">
        <v>789</v>
      </c>
      <c r="B790" t="s">
        <v>726</v>
      </c>
      <c r="C790">
        <v>44267.369444444441</v>
      </c>
      <c r="D790">
        <v>2021</v>
      </c>
      <c r="E790" t="s">
        <v>10</v>
      </c>
      <c r="F790" t="s">
        <v>1554</v>
      </c>
      <c r="G790" t="s">
        <v>11</v>
      </c>
      <c r="H790" s="1" t="s">
        <v>1571</v>
      </c>
      <c r="I790" t="s">
        <v>1577</v>
      </c>
      <c r="J790" s="2">
        <v>2255688</v>
      </c>
      <c r="K790" t="s">
        <v>121</v>
      </c>
      <c r="L790" t="s">
        <v>1651</v>
      </c>
    </row>
    <row r="791" spans="1:12" x14ac:dyDescent="0.3">
      <c r="A791">
        <v>790</v>
      </c>
      <c r="B791" t="s">
        <v>727</v>
      </c>
      <c r="C791">
        <v>44267.53125</v>
      </c>
      <c r="D791">
        <v>2021</v>
      </c>
      <c r="E791" t="s">
        <v>10</v>
      </c>
      <c r="F791" t="s">
        <v>1554</v>
      </c>
      <c r="G791" t="s">
        <v>21</v>
      </c>
      <c r="H791" s="1" t="s">
        <v>1569</v>
      </c>
      <c r="I791" t="s">
        <v>1616</v>
      </c>
      <c r="J791" s="2">
        <v>1934942</v>
      </c>
      <c r="K791" t="s">
        <v>12</v>
      </c>
      <c r="L791" t="s">
        <v>1651</v>
      </c>
    </row>
    <row r="792" spans="1:12" x14ac:dyDescent="0.3">
      <c r="A792">
        <v>791</v>
      </c>
      <c r="B792" t="s">
        <v>728</v>
      </c>
      <c r="C792">
        <v>44270.348611111112</v>
      </c>
      <c r="D792">
        <v>2021</v>
      </c>
      <c r="E792" t="s">
        <v>10</v>
      </c>
      <c r="F792" t="s">
        <v>1554</v>
      </c>
      <c r="G792" t="s">
        <v>11</v>
      </c>
      <c r="H792" s="1" t="s">
        <v>1564</v>
      </c>
      <c r="I792" t="s">
        <v>1577</v>
      </c>
      <c r="J792" s="2">
        <v>1166100</v>
      </c>
      <c r="K792" t="s">
        <v>121</v>
      </c>
      <c r="L792" t="s">
        <v>1653</v>
      </c>
    </row>
    <row r="793" spans="1:12" x14ac:dyDescent="0.3">
      <c r="A793">
        <v>792</v>
      </c>
      <c r="B793" t="s">
        <v>729</v>
      </c>
      <c r="C793">
        <v>44270.356944444444</v>
      </c>
      <c r="D793">
        <v>2021</v>
      </c>
      <c r="E793" t="s">
        <v>10</v>
      </c>
      <c r="F793" t="s">
        <v>1554</v>
      </c>
      <c r="G793" t="s">
        <v>11</v>
      </c>
      <c r="H793" s="1" t="s">
        <v>1572</v>
      </c>
      <c r="I793" t="s">
        <v>1577</v>
      </c>
      <c r="J793" s="2">
        <v>3592817</v>
      </c>
      <c r="K793" t="s">
        <v>121</v>
      </c>
      <c r="L793" t="s">
        <v>1648</v>
      </c>
    </row>
    <row r="794" spans="1:12" x14ac:dyDescent="0.3">
      <c r="A794">
        <v>793</v>
      </c>
      <c r="B794" t="s">
        <v>730</v>
      </c>
      <c r="C794">
        <v>44270.370138888888</v>
      </c>
      <c r="D794">
        <v>2021</v>
      </c>
      <c r="E794" t="s">
        <v>10</v>
      </c>
      <c r="F794" t="s">
        <v>1554</v>
      </c>
      <c r="G794" t="s">
        <v>11</v>
      </c>
      <c r="H794" s="1" t="s">
        <v>1566</v>
      </c>
      <c r="I794" t="s">
        <v>1577</v>
      </c>
      <c r="J794" s="2">
        <v>1887512</v>
      </c>
      <c r="K794" t="s">
        <v>121</v>
      </c>
      <c r="L794" t="s">
        <v>1653</v>
      </c>
    </row>
    <row r="795" spans="1:12" x14ac:dyDescent="0.3">
      <c r="A795">
        <v>794</v>
      </c>
      <c r="B795" t="s">
        <v>731</v>
      </c>
      <c r="C795">
        <v>44270.370833333334</v>
      </c>
      <c r="D795">
        <v>2021</v>
      </c>
      <c r="E795" t="s">
        <v>10</v>
      </c>
      <c r="F795" t="s">
        <v>1554</v>
      </c>
      <c r="G795" t="s">
        <v>67</v>
      </c>
      <c r="H795" s="1" t="s">
        <v>1574</v>
      </c>
      <c r="I795" t="s">
        <v>1637</v>
      </c>
      <c r="J795" s="2">
        <v>2244745</v>
      </c>
      <c r="K795" t="s">
        <v>12</v>
      </c>
      <c r="L795" t="s">
        <v>1653</v>
      </c>
    </row>
    <row r="796" spans="1:12" x14ac:dyDescent="0.3">
      <c r="A796">
        <v>795</v>
      </c>
      <c r="B796" t="s">
        <v>732</v>
      </c>
      <c r="C796">
        <v>44270.371527777781</v>
      </c>
      <c r="D796">
        <v>2021</v>
      </c>
      <c r="E796" t="s">
        <v>10</v>
      </c>
      <c r="F796" t="s">
        <v>1554</v>
      </c>
      <c r="G796" t="s">
        <v>11</v>
      </c>
      <c r="H796" s="1" t="s">
        <v>1570</v>
      </c>
      <c r="I796" t="s">
        <v>1577</v>
      </c>
      <c r="J796" s="2">
        <v>2641232</v>
      </c>
      <c r="K796" t="s">
        <v>121</v>
      </c>
      <c r="L796" t="s">
        <v>1648</v>
      </c>
    </row>
    <row r="797" spans="1:12" x14ac:dyDescent="0.3">
      <c r="A797">
        <v>796</v>
      </c>
      <c r="B797" t="s">
        <v>733</v>
      </c>
      <c r="C797">
        <v>44270.40902777778</v>
      </c>
      <c r="D797">
        <v>2021</v>
      </c>
      <c r="E797" t="s">
        <v>10</v>
      </c>
      <c r="F797" t="s">
        <v>1554</v>
      </c>
      <c r="G797" t="s">
        <v>62</v>
      </c>
      <c r="H797" s="1" t="s">
        <v>1571</v>
      </c>
      <c r="I797" t="s">
        <v>1639</v>
      </c>
      <c r="J797" s="2">
        <v>1354391</v>
      </c>
      <c r="K797" t="s">
        <v>12</v>
      </c>
      <c r="L797" t="s">
        <v>1651</v>
      </c>
    </row>
    <row r="798" spans="1:12" x14ac:dyDescent="0.3">
      <c r="A798">
        <v>797</v>
      </c>
      <c r="B798" t="s">
        <v>734</v>
      </c>
      <c r="C798">
        <v>44270.519444444442</v>
      </c>
      <c r="D798">
        <v>2021</v>
      </c>
      <c r="E798" t="s">
        <v>10</v>
      </c>
      <c r="F798" t="s">
        <v>1554</v>
      </c>
      <c r="G798" t="s">
        <v>44</v>
      </c>
      <c r="H798" s="1" t="s">
        <v>1575</v>
      </c>
      <c r="I798" t="s">
        <v>1586</v>
      </c>
      <c r="J798" s="2">
        <v>3930971</v>
      </c>
      <c r="K798" t="s">
        <v>59</v>
      </c>
      <c r="L798" t="s">
        <v>1649</v>
      </c>
    </row>
    <row r="799" spans="1:12" x14ac:dyDescent="0.3">
      <c r="A799">
        <v>798</v>
      </c>
      <c r="B799" t="s">
        <v>735</v>
      </c>
      <c r="C799">
        <v>44270.628472222219</v>
      </c>
      <c r="D799">
        <v>2021</v>
      </c>
      <c r="E799" t="s">
        <v>10</v>
      </c>
      <c r="F799" t="s">
        <v>1554</v>
      </c>
      <c r="G799" t="s">
        <v>42</v>
      </c>
      <c r="H799" s="1" t="s">
        <v>1575</v>
      </c>
      <c r="I799" t="s">
        <v>1579</v>
      </c>
      <c r="J799" s="2">
        <v>4678803</v>
      </c>
      <c r="K799" t="s">
        <v>12</v>
      </c>
      <c r="L799" t="s">
        <v>1650</v>
      </c>
    </row>
    <row r="800" spans="1:12" x14ac:dyDescent="0.3">
      <c r="A800">
        <v>799</v>
      </c>
      <c r="B800" t="s">
        <v>736</v>
      </c>
      <c r="C800">
        <v>44270.631249999999</v>
      </c>
      <c r="D800">
        <v>2021</v>
      </c>
      <c r="E800" t="s">
        <v>10</v>
      </c>
      <c r="F800" t="s">
        <v>1554</v>
      </c>
      <c r="G800" t="s">
        <v>49</v>
      </c>
      <c r="H800" s="1" t="s">
        <v>1575</v>
      </c>
      <c r="I800" t="s">
        <v>1579</v>
      </c>
      <c r="J800" s="2">
        <v>1230907</v>
      </c>
      <c r="K800" t="s">
        <v>12</v>
      </c>
      <c r="L800" t="s">
        <v>1653</v>
      </c>
    </row>
    <row r="801" spans="1:12" x14ac:dyDescent="0.3">
      <c r="A801">
        <v>800</v>
      </c>
      <c r="B801" t="s">
        <v>737</v>
      </c>
      <c r="C801">
        <v>44270.647916666669</v>
      </c>
      <c r="D801">
        <v>2021</v>
      </c>
      <c r="E801" t="s">
        <v>10</v>
      </c>
      <c r="F801" t="s">
        <v>1554</v>
      </c>
      <c r="G801" t="s">
        <v>23</v>
      </c>
      <c r="H801" s="1" t="s">
        <v>1575</v>
      </c>
      <c r="I801" t="s">
        <v>1579</v>
      </c>
      <c r="J801" s="2">
        <v>2558660</v>
      </c>
      <c r="K801" t="s">
        <v>12</v>
      </c>
      <c r="L801" t="s">
        <v>1650</v>
      </c>
    </row>
    <row r="802" spans="1:12" x14ac:dyDescent="0.3">
      <c r="A802">
        <v>801</v>
      </c>
      <c r="B802" t="s">
        <v>737</v>
      </c>
      <c r="C802">
        <v>44270.648611111108</v>
      </c>
      <c r="D802">
        <v>2021</v>
      </c>
      <c r="E802" t="s">
        <v>10</v>
      </c>
      <c r="F802" t="s">
        <v>1554</v>
      </c>
      <c r="G802" t="s">
        <v>23</v>
      </c>
      <c r="H802" s="1" t="s">
        <v>1575</v>
      </c>
      <c r="I802" t="s">
        <v>1579</v>
      </c>
      <c r="J802" s="2">
        <v>1363458</v>
      </c>
      <c r="K802" t="s">
        <v>12</v>
      </c>
      <c r="L802" t="s">
        <v>1651</v>
      </c>
    </row>
    <row r="803" spans="1:12" x14ac:dyDescent="0.3">
      <c r="A803">
        <v>802</v>
      </c>
      <c r="B803" t="s">
        <v>738</v>
      </c>
      <c r="C803">
        <v>44270.654166666667</v>
      </c>
      <c r="D803">
        <v>2021</v>
      </c>
      <c r="E803" t="s">
        <v>10</v>
      </c>
      <c r="F803" t="s">
        <v>1554</v>
      </c>
      <c r="G803" t="s">
        <v>15</v>
      </c>
      <c r="H803" s="1" t="s">
        <v>1575</v>
      </c>
      <c r="I803" t="s">
        <v>1579</v>
      </c>
      <c r="J803" s="2">
        <v>2351544</v>
      </c>
      <c r="K803" t="s">
        <v>12</v>
      </c>
      <c r="L803" t="s">
        <v>1648</v>
      </c>
    </row>
    <row r="804" spans="1:12" x14ac:dyDescent="0.3">
      <c r="A804">
        <v>803</v>
      </c>
      <c r="B804" t="s">
        <v>739</v>
      </c>
      <c r="C804">
        <v>44270.691666666666</v>
      </c>
      <c r="D804">
        <v>2021</v>
      </c>
      <c r="E804" t="s">
        <v>10</v>
      </c>
      <c r="F804" t="s">
        <v>1554</v>
      </c>
      <c r="G804" t="s">
        <v>11</v>
      </c>
      <c r="H804" s="1" t="s">
        <v>1575</v>
      </c>
      <c r="I804" t="s">
        <v>1577</v>
      </c>
      <c r="J804" s="2">
        <v>2111484</v>
      </c>
      <c r="K804" t="s">
        <v>121</v>
      </c>
      <c r="L804" t="s">
        <v>1652</v>
      </c>
    </row>
    <row r="805" spans="1:12" x14ac:dyDescent="0.3">
      <c r="A805">
        <v>804</v>
      </c>
      <c r="B805" t="s">
        <v>740</v>
      </c>
      <c r="C805">
        <v>44271.449305555558</v>
      </c>
      <c r="D805">
        <v>2021</v>
      </c>
      <c r="E805" t="s">
        <v>10</v>
      </c>
      <c r="F805" t="s">
        <v>1554</v>
      </c>
      <c r="G805" t="s">
        <v>67</v>
      </c>
      <c r="H805" s="1" t="s">
        <v>1575</v>
      </c>
      <c r="I805" t="s">
        <v>1637</v>
      </c>
      <c r="J805" s="2">
        <v>2325629</v>
      </c>
      <c r="K805" t="s">
        <v>12</v>
      </c>
      <c r="L805" t="s">
        <v>1651</v>
      </c>
    </row>
    <row r="806" spans="1:12" x14ac:dyDescent="0.3">
      <c r="A806">
        <v>805</v>
      </c>
      <c r="B806" t="s">
        <v>742</v>
      </c>
      <c r="C806">
        <v>44271.477777777778</v>
      </c>
      <c r="D806">
        <v>2021</v>
      </c>
      <c r="E806" t="s">
        <v>10</v>
      </c>
      <c r="F806" t="s">
        <v>1554</v>
      </c>
      <c r="G806" t="s">
        <v>67</v>
      </c>
      <c r="H806" s="1" t="s">
        <v>1575</v>
      </c>
      <c r="I806" t="s">
        <v>1637</v>
      </c>
      <c r="J806" s="2">
        <v>4176044</v>
      </c>
      <c r="K806" t="s">
        <v>12</v>
      </c>
      <c r="L806" t="s">
        <v>1651</v>
      </c>
    </row>
    <row r="807" spans="1:12" x14ac:dyDescent="0.3">
      <c r="A807">
        <v>806</v>
      </c>
      <c r="B807" t="s">
        <v>743</v>
      </c>
      <c r="C807">
        <v>44271.48333333333</v>
      </c>
      <c r="D807">
        <v>2021</v>
      </c>
      <c r="E807" t="s">
        <v>10</v>
      </c>
      <c r="F807" t="s">
        <v>1554</v>
      </c>
      <c r="G807" t="s">
        <v>67</v>
      </c>
      <c r="H807" s="1" t="s">
        <v>1575</v>
      </c>
      <c r="I807" t="s">
        <v>1600</v>
      </c>
      <c r="J807" s="2">
        <v>4534071</v>
      </c>
      <c r="K807" t="s">
        <v>121</v>
      </c>
      <c r="L807" t="s">
        <v>1653</v>
      </c>
    </row>
    <row r="808" spans="1:12" x14ac:dyDescent="0.3">
      <c r="A808">
        <v>807</v>
      </c>
      <c r="B808" t="s">
        <v>744</v>
      </c>
      <c r="C808">
        <v>44271.488194444442</v>
      </c>
      <c r="D808">
        <v>2021</v>
      </c>
      <c r="E808" t="s">
        <v>10</v>
      </c>
      <c r="F808" t="s">
        <v>1554</v>
      </c>
      <c r="G808" t="s">
        <v>67</v>
      </c>
      <c r="H808" s="1" t="s">
        <v>1575</v>
      </c>
      <c r="I808" t="s">
        <v>1637</v>
      </c>
      <c r="J808" s="2">
        <v>2140972</v>
      </c>
      <c r="K808" t="s">
        <v>12</v>
      </c>
      <c r="L808" t="s">
        <v>1650</v>
      </c>
    </row>
    <row r="809" spans="1:12" x14ac:dyDescent="0.3">
      <c r="A809">
        <v>808</v>
      </c>
      <c r="B809" t="s">
        <v>745</v>
      </c>
      <c r="C809">
        <v>44271.490972222222</v>
      </c>
      <c r="D809">
        <v>2021</v>
      </c>
      <c r="E809" t="s">
        <v>10</v>
      </c>
      <c r="F809" t="s">
        <v>1554</v>
      </c>
      <c r="G809" t="s">
        <v>67</v>
      </c>
      <c r="H809" s="1" t="s">
        <v>1575</v>
      </c>
      <c r="I809" t="s">
        <v>1599</v>
      </c>
      <c r="J809" s="2">
        <v>3786558</v>
      </c>
      <c r="K809" t="s">
        <v>12</v>
      </c>
      <c r="L809" t="s">
        <v>1651</v>
      </c>
    </row>
    <row r="810" spans="1:12" x14ac:dyDescent="0.3">
      <c r="A810">
        <v>809</v>
      </c>
      <c r="B810" t="s">
        <v>746</v>
      </c>
      <c r="C810">
        <v>44271.519444444442</v>
      </c>
      <c r="D810">
        <v>2021</v>
      </c>
      <c r="E810" t="s">
        <v>10</v>
      </c>
      <c r="F810" t="s">
        <v>1554</v>
      </c>
      <c r="G810" t="s">
        <v>15</v>
      </c>
      <c r="H810" s="1" t="s">
        <v>1575</v>
      </c>
      <c r="I810" t="s">
        <v>1579</v>
      </c>
      <c r="J810" s="2">
        <v>3158451</v>
      </c>
      <c r="K810" t="s">
        <v>12</v>
      </c>
      <c r="L810" t="s">
        <v>1650</v>
      </c>
    </row>
    <row r="811" spans="1:12" x14ac:dyDescent="0.3">
      <c r="A811">
        <v>810</v>
      </c>
      <c r="B811" t="s">
        <v>387</v>
      </c>
      <c r="C811">
        <v>44271.535416666666</v>
      </c>
      <c r="D811">
        <v>2021</v>
      </c>
      <c r="E811" t="s">
        <v>10</v>
      </c>
      <c r="F811" t="s">
        <v>1554</v>
      </c>
      <c r="G811" t="s">
        <v>290</v>
      </c>
      <c r="H811" s="1" t="s">
        <v>1575</v>
      </c>
      <c r="I811" t="s">
        <v>1579</v>
      </c>
      <c r="J811" s="2">
        <v>3936292</v>
      </c>
      <c r="K811" t="s">
        <v>12</v>
      </c>
      <c r="L811" t="s">
        <v>1648</v>
      </c>
    </row>
    <row r="812" spans="1:12" x14ac:dyDescent="0.3">
      <c r="A812">
        <v>811</v>
      </c>
      <c r="B812" t="s">
        <v>747</v>
      </c>
      <c r="C812">
        <v>44271.558333333334</v>
      </c>
      <c r="D812">
        <v>2021</v>
      </c>
      <c r="E812" t="s">
        <v>10</v>
      </c>
      <c r="F812" t="s">
        <v>1554</v>
      </c>
      <c r="G812" t="s">
        <v>15</v>
      </c>
      <c r="H812" s="1" t="s">
        <v>1575</v>
      </c>
      <c r="I812" t="s">
        <v>1579</v>
      </c>
      <c r="J812" s="2">
        <v>1887036</v>
      </c>
      <c r="K812" t="s">
        <v>12</v>
      </c>
      <c r="L812" t="s">
        <v>1651</v>
      </c>
    </row>
    <row r="813" spans="1:12" x14ac:dyDescent="0.3">
      <c r="A813">
        <v>812</v>
      </c>
      <c r="B813" t="s">
        <v>748</v>
      </c>
      <c r="C813">
        <v>44272.356944444444</v>
      </c>
      <c r="D813">
        <v>2021</v>
      </c>
      <c r="E813" t="s">
        <v>10</v>
      </c>
      <c r="F813" t="s">
        <v>1554</v>
      </c>
      <c r="G813" t="s">
        <v>62</v>
      </c>
      <c r="H813" s="1" t="s">
        <v>1575</v>
      </c>
      <c r="I813" t="s">
        <v>1586</v>
      </c>
      <c r="J813" s="2">
        <v>4008379</v>
      </c>
      <c r="K813" t="s">
        <v>59</v>
      </c>
      <c r="L813" t="s">
        <v>1648</v>
      </c>
    </row>
    <row r="814" spans="1:12" x14ac:dyDescent="0.3">
      <c r="A814">
        <v>813</v>
      </c>
      <c r="B814" t="s">
        <v>749</v>
      </c>
      <c r="C814">
        <v>44272.362500000003</v>
      </c>
      <c r="D814">
        <v>2021</v>
      </c>
      <c r="E814" t="s">
        <v>10</v>
      </c>
      <c r="F814" t="s">
        <v>1554</v>
      </c>
      <c r="G814" t="s">
        <v>18</v>
      </c>
      <c r="H814" s="1" t="s">
        <v>1575</v>
      </c>
      <c r="I814" t="s">
        <v>1579</v>
      </c>
      <c r="J814" s="2">
        <v>2517700</v>
      </c>
      <c r="K814" t="s">
        <v>12</v>
      </c>
      <c r="L814" t="s">
        <v>1648</v>
      </c>
    </row>
    <row r="815" spans="1:12" x14ac:dyDescent="0.3">
      <c r="A815">
        <v>814</v>
      </c>
      <c r="B815" t="s">
        <v>750</v>
      </c>
      <c r="C815">
        <v>44272.376388888886</v>
      </c>
      <c r="D815">
        <v>2021</v>
      </c>
      <c r="E815" t="s">
        <v>10</v>
      </c>
      <c r="F815" t="s">
        <v>1554</v>
      </c>
      <c r="G815" t="s">
        <v>290</v>
      </c>
      <c r="H815" s="1" t="s">
        <v>1575</v>
      </c>
      <c r="I815" t="s">
        <v>1579</v>
      </c>
      <c r="J815" s="2">
        <v>3620386</v>
      </c>
      <c r="K815" t="s">
        <v>12</v>
      </c>
      <c r="L815" t="s">
        <v>1648</v>
      </c>
    </row>
    <row r="816" spans="1:12" x14ac:dyDescent="0.3">
      <c r="A816">
        <v>815</v>
      </c>
      <c r="B816" t="s">
        <v>751</v>
      </c>
      <c r="C816">
        <v>44272.440972222219</v>
      </c>
      <c r="D816">
        <v>2021</v>
      </c>
      <c r="E816" t="s">
        <v>10</v>
      </c>
      <c r="F816" t="s">
        <v>1554</v>
      </c>
      <c r="G816" t="s">
        <v>15</v>
      </c>
      <c r="H816" s="1" t="s">
        <v>1575</v>
      </c>
      <c r="I816" t="s">
        <v>1579</v>
      </c>
      <c r="J816" s="2">
        <v>2572848</v>
      </c>
      <c r="K816" t="s">
        <v>12</v>
      </c>
      <c r="L816" t="s">
        <v>1651</v>
      </c>
    </row>
    <row r="817" spans="1:12" x14ac:dyDescent="0.3">
      <c r="A817">
        <v>816</v>
      </c>
      <c r="B817" t="s">
        <v>752</v>
      </c>
      <c r="C817">
        <v>44272.476388888892</v>
      </c>
      <c r="D817">
        <v>2021</v>
      </c>
      <c r="E817" t="s">
        <v>10</v>
      </c>
      <c r="F817" t="s">
        <v>1554</v>
      </c>
      <c r="G817" t="s">
        <v>11</v>
      </c>
      <c r="H817" s="1" t="s">
        <v>1575</v>
      </c>
      <c r="I817" t="s">
        <v>1577</v>
      </c>
      <c r="J817" s="2">
        <v>1973432</v>
      </c>
      <c r="K817" t="s">
        <v>121</v>
      </c>
      <c r="L817" t="s">
        <v>1653</v>
      </c>
    </row>
    <row r="818" spans="1:12" x14ac:dyDescent="0.3">
      <c r="A818">
        <v>817</v>
      </c>
      <c r="B818" t="s">
        <v>753</v>
      </c>
      <c r="C818">
        <v>44272.48541666667</v>
      </c>
      <c r="D818">
        <v>2021</v>
      </c>
      <c r="E818" t="s">
        <v>10</v>
      </c>
      <c r="F818" t="s">
        <v>1554</v>
      </c>
      <c r="G818" t="s">
        <v>11</v>
      </c>
      <c r="H818" s="1" t="s">
        <v>1575</v>
      </c>
      <c r="I818" t="s">
        <v>1577</v>
      </c>
      <c r="J818" s="2">
        <v>3383361</v>
      </c>
      <c r="K818" t="s">
        <v>121</v>
      </c>
      <c r="L818" t="s">
        <v>1651</v>
      </c>
    </row>
    <row r="819" spans="1:12" x14ac:dyDescent="0.3">
      <c r="A819">
        <v>818</v>
      </c>
      <c r="B819" t="s">
        <v>707</v>
      </c>
      <c r="C819">
        <v>44272.551388888889</v>
      </c>
      <c r="D819">
        <v>2021</v>
      </c>
      <c r="E819" t="s">
        <v>10</v>
      </c>
      <c r="F819" t="s">
        <v>1554</v>
      </c>
      <c r="G819" t="s">
        <v>44</v>
      </c>
      <c r="H819" s="1" t="s">
        <v>1575</v>
      </c>
      <c r="I819" t="s">
        <v>1586</v>
      </c>
      <c r="J819" s="2">
        <v>1874097</v>
      </c>
      <c r="K819" t="s">
        <v>59</v>
      </c>
      <c r="L819" t="s">
        <v>1649</v>
      </c>
    </row>
    <row r="820" spans="1:12" x14ac:dyDescent="0.3">
      <c r="A820">
        <v>819</v>
      </c>
      <c r="B820" t="s">
        <v>754</v>
      </c>
      <c r="C820">
        <v>44272.634027777778</v>
      </c>
      <c r="D820">
        <v>2021</v>
      </c>
      <c r="E820" t="s">
        <v>10</v>
      </c>
      <c r="F820" t="s">
        <v>1554</v>
      </c>
      <c r="G820" t="s">
        <v>42</v>
      </c>
      <c r="H820" s="1" t="s">
        <v>1575</v>
      </c>
      <c r="I820" t="s">
        <v>1579</v>
      </c>
      <c r="J820" s="2">
        <v>4507915</v>
      </c>
      <c r="K820" t="s">
        <v>12</v>
      </c>
      <c r="L820" t="s">
        <v>1653</v>
      </c>
    </row>
    <row r="821" spans="1:12" x14ac:dyDescent="0.3">
      <c r="A821">
        <v>820</v>
      </c>
      <c r="B821" t="s">
        <v>50</v>
      </c>
      <c r="C821">
        <v>44272.645138888889</v>
      </c>
      <c r="D821">
        <v>2021</v>
      </c>
      <c r="E821" t="s">
        <v>10</v>
      </c>
      <c r="F821" t="s">
        <v>1554</v>
      </c>
      <c r="G821" t="s">
        <v>591</v>
      </c>
      <c r="H821" s="1" t="s">
        <v>1575</v>
      </c>
      <c r="I821" t="s">
        <v>1454</v>
      </c>
      <c r="J821" s="2">
        <v>3234281</v>
      </c>
      <c r="K821" t="s">
        <v>121</v>
      </c>
      <c r="L821" t="s">
        <v>1650</v>
      </c>
    </row>
    <row r="822" spans="1:12" x14ac:dyDescent="0.3">
      <c r="A822">
        <v>821</v>
      </c>
      <c r="B822" t="s">
        <v>755</v>
      </c>
      <c r="C822">
        <v>44272.691666666666</v>
      </c>
      <c r="D822">
        <v>2021</v>
      </c>
      <c r="E822" t="s">
        <v>10</v>
      </c>
      <c r="F822" t="s">
        <v>1554</v>
      </c>
      <c r="G822" t="s">
        <v>18</v>
      </c>
      <c r="H822" s="1" t="s">
        <v>1575</v>
      </c>
      <c r="I822" t="s">
        <v>1579</v>
      </c>
      <c r="J822" s="2">
        <v>2594394</v>
      </c>
      <c r="K822" t="s">
        <v>12</v>
      </c>
      <c r="L822" t="s">
        <v>1649</v>
      </c>
    </row>
    <row r="823" spans="1:12" x14ac:dyDescent="0.3">
      <c r="A823">
        <v>822</v>
      </c>
      <c r="B823" t="s">
        <v>698</v>
      </c>
      <c r="C823">
        <v>44273.438888888886</v>
      </c>
      <c r="D823">
        <v>2021</v>
      </c>
      <c r="E823" t="s">
        <v>10</v>
      </c>
      <c r="F823" t="s">
        <v>1554</v>
      </c>
      <c r="G823" t="s">
        <v>15</v>
      </c>
      <c r="H823" s="1" t="s">
        <v>1575</v>
      </c>
      <c r="I823" t="s">
        <v>1586</v>
      </c>
      <c r="J823" s="2">
        <v>3544751</v>
      </c>
      <c r="K823" t="s">
        <v>59</v>
      </c>
      <c r="L823" t="s">
        <v>1651</v>
      </c>
    </row>
    <row r="824" spans="1:12" x14ac:dyDescent="0.3">
      <c r="A824">
        <v>823</v>
      </c>
      <c r="B824" t="s">
        <v>756</v>
      </c>
      <c r="C824">
        <v>44273.490972222222</v>
      </c>
      <c r="D824">
        <v>2021</v>
      </c>
      <c r="E824" t="s">
        <v>10</v>
      </c>
      <c r="F824" t="s">
        <v>1554</v>
      </c>
      <c r="G824" t="s">
        <v>18</v>
      </c>
      <c r="H824" s="1" t="s">
        <v>1575</v>
      </c>
      <c r="I824" t="s">
        <v>1579</v>
      </c>
      <c r="J824" s="2">
        <v>4163226</v>
      </c>
      <c r="K824" t="s">
        <v>12</v>
      </c>
      <c r="L824" t="s">
        <v>1651</v>
      </c>
    </row>
    <row r="825" spans="1:12" x14ac:dyDescent="0.3">
      <c r="A825">
        <v>824</v>
      </c>
      <c r="B825" t="s">
        <v>757</v>
      </c>
      <c r="C825">
        <v>44273.524305555555</v>
      </c>
      <c r="D825">
        <v>2021</v>
      </c>
      <c r="E825" t="s">
        <v>10</v>
      </c>
      <c r="F825" t="s">
        <v>1552</v>
      </c>
      <c r="G825" t="s">
        <v>15</v>
      </c>
      <c r="H825" s="1" t="s">
        <v>1575</v>
      </c>
      <c r="I825" t="s">
        <v>1579</v>
      </c>
      <c r="J825" s="2">
        <v>970610</v>
      </c>
      <c r="K825" t="s">
        <v>12</v>
      </c>
      <c r="L825" t="s">
        <v>1652</v>
      </c>
    </row>
    <row r="826" spans="1:12" x14ac:dyDescent="0.3">
      <c r="A826">
        <v>825</v>
      </c>
      <c r="B826" t="s">
        <v>758</v>
      </c>
      <c r="C826">
        <v>44273.591666666667</v>
      </c>
      <c r="D826">
        <v>2021</v>
      </c>
      <c r="E826" t="s">
        <v>10</v>
      </c>
      <c r="F826" t="s">
        <v>20</v>
      </c>
      <c r="G826" t="s">
        <v>21</v>
      </c>
      <c r="H826" s="1" t="s">
        <v>1575</v>
      </c>
      <c r="I826" t="s">
        <v>1616</v>
      </c>
      <c r="J826" s="2">
        <v>4842921</v>
      </c>
      <c r="K826" t="s">
        <v>12</v>
      </c>
      <c r="L826" t="s">
        <v>1649</v>
      </c>
    </row>
    <row r="827" spans="1:12" x14ac:dyDescent="0.3">
      <c r="A827">
        <v>826</v>
      </c>
      <c r="B827" t="s">
        <v>759</v>
      </c>
      <c r="C827">
        <v>44273.629861111112</v>
      </c>
      <c r="D827">
        <v>2021</v>
      </c>
      <c r="E827" t="s">
        <v>10</v>
      </c>
      <c r="F827" t="s">
        <v>1555</v>
      </c>
      <c r="G827" t="s">
        <v>11</v>
      </c>
      <c r="H827" s="1" t="s">
        <v>1575</v>
      </c>
      <c r="I827" t="s">
        <v>1577</v>
      </c>
      <c r="J827" s="2">
        <v>2659840</v>
      </c>
      <c r="K827" t="s">
        <v>121</v>
      </c>
      <c r="L827" t="s">
        <v>1649</v>
      </c>
    </row>
    <row r="828" spans="1:12" x14ac:dyDescent="0.3">
      <c r="A828">
        <v>827</v>
      </c>
      <c r="B828" t="s">
        <v>760</v>
      </c>
      <c r="C828">
        <v>44274.341666666667</v>
      </c>
      <c r="D828">
        <v>2021</v>
      </c>
      <c r="E828" t="s">
        <v>10</v>
      </c>
      <c r="F828" t="s">
        <v>1553</v>
      </c>
      <c r="G828" t="s">
        <v>11</v>
      </c>
      <c r="H828" s="1" t="s">
        <v>1575</v>
      </c>
      <c r="I828" t="s">
        <v>1577</v>
      </c>
      <c r="J828" s="2">
        <v>3732734</v>
      </c>
      <c r="K828" t="s">
        <v>121</v>
      </c>
      <c r="L828" t="s">
        <v>1652</v>
      </c>
    </row>
    <row r="829" spans="1:12" x14ac:dyDescent="0.3">
      <c r="A829">
        <v>828</v>
      </c>
      <c r="B829" t="s">
        <v>761</v>
      </c>
      <c r="C829">
        <v>44274.376388888886</v>
      </c>
      <c r="D829">
        <v>2021</v>
      </c>
      <c r="E829" t="s">
        <v>10</v>
      </c>
      <c r="F829" t="s">
        <v>1556</v>
      </c>
      <c r="G829" t="s">
        <v>62</v>
      </c>
      <c r="H829" s="1" t="s">
        <v>1575</v>
      </c>
      <c r="I829" t="s">
        <v>1622</v>
      </c>
      <c r="J829" s="2">
        <v>1754413</v>
      </c>
      <c r="K829" t="s">
        <v>121</v>
      </c>
      <c r="L829" t="s">
        <v>1651</v>
      </c>
    </row>
    <row r="830" spans="1:12" x14ac:dyDescent="0.3">
      <c r="A830">
        <v>829</v>
      </c>
      <c r="B830" t="s">
        <v>762</v>
      </c>
      <c r="C830">
        <v>44274.597916666666</v>
      </c>
      <c r="D830">
        <v>2021</v>
      </c>
      <c r="E830" t="s">
        <v>10</v>
      </c>
      <c r="F830" t="s">
        <v>1552</v>
      </c>
      <c r="G830" t="s">
        <v>11</v>
      </c>
      <c r="H830" s="1" t="s">
        <v>1575</v>
      </c>
      <c r="I830" t="s">
        <v>1577</v>
      </c>
      <c r="J830" s="2">
        <v>3531618</v>
      </c>
      <c r="K830" t="s">
        <v>121</v>
      </c>
      <c r="L830" t="s">
        <v>1651</v>
      </c>
    </row>
    <row r="831" spans="1:12" x14ac:dyDescent="0.3">
      <c r="A831">
        <v>830</v>
      </c>
      <c r="B831" t="s">
        <v>763</v>
      </c>
      <c r="C831">
        <v>44278.383333333331</v>
      </c>
      <c r="D831">
        <v>2021</v>
      </c>
      <c r="E831" t="s">
        <v>10</v>
      </c>
      <c r="F831" t="s">
        <v>20</v>
      </c>
      <c r="G831" t="s">
        <v>49</v>
      </c>
      <c r="H831" s="1" t="s">
        <v>1575</v>
      </c>
      <c r="I831" t="s">
        <v>1579</v>
      </c>
      <c r="J831" s="2">
        <v>2368784</v>
      </c>
      <c r="K831" t="s">
        <v>12</v>
      </c>
      <c r="L831" t="s">
        <v>1652</v>
      </c>
    </row>
    <row r="832" spans="1:12" x14ac:dyDescent="0.3">
      <c r="A832">
        <v>831</v>
      </c>
      <c r="B832" t="s">
        <v>764</v>
      </c>
      <c r="C832">
        <v>44278.432638888888</v>
      </c>
      <c r="D832">
        <v>2021</v>
      </c>
      <c r="E832" t="s">
        <v>10</v>
      </c>
      <c r="F832" t="s">
        <v>1555</v>
      </c>
      <c r="G832" t="s">
        <v>11</v>
      </c>
      <c r="H832" s="1" t="s">
        <v>1575</v>
      </c>
      <c r="I832" t="s">
        <v>1577</v>
      </c>
      <c r="J832" s="2">
        <v>1020793</v>
      </c>
      <c r="K832" t="s">
        <v>121</v>
      </c>
      <c r="L832" t="s">
        <v>1652</v>
      </c>
    </row>
    <row r="833" spans="1:12" x14ac:dyDescent="0.3">
      <c r="A833">
        <v>832</v>
      </c>
      <c r="B833" t="s">
        <v>765</v>
      </c>
      <c r="C833">
        <v>44278.498611111114</v>
      </c>
      <c r="D833">
        <v>2021</v>
      </c>
      <c r="E833" t="s">
        <v>10</v>
      </c>
      <c r="F833" t="s">
        <v>1553</v>
      </c>
      <c r="G833" t="s">
        <v>67</v>
      </c>
      <c r="H833" s="1" t="s">
        <v>1575</v>
      </c>
      <c r="I833" t="s">
        <v>1577</v>
      </c>
      <c r="J833" s="2">
        <v>2959881</v>
      </c>
      <c r="K833" t="s">
        <v>121</v>
      </c>
      <c r="L833" t="s">
        <v>1650</v>
      </c>
    </row>
    <row r="834" spans="1:12" x14ac:dyDescent="0.3">
      <c r="A834">
        <v>833</v>
      </c>
      <c r="B834" t="s">
        <v>766</v>
      </c>
      <c r="C834">
        <v>44278.500694444447</v>
      </c>
      <c r="D834">
        <v>2021</v>
      </c>
      <c r="E834" t="s">
        <v>10</v>
      </c>
      <c r="F834" t="s">
        <v>1556</v>
      </c>
      <c r="G834" t="s">
        <v>23</v>
      </c>
      <c r="H834" s="1" t="s">
        <v>1575</v>
      </c>
      <c r="I834" t="s">
        <v>1579</v>
      </c>
      <c r="J834" s="2">
        <v>3696124</v>
      </c>
      <c r="K834" t="s">
        <v>12</v>
      </c>
      <c r="L834" t="s">
        <v>1651</v>
      </c>
    </row>
    <row r="835" spans="1:12" x14ac:dyDescent="0.3">
      <c r="A835">
        <v>834</v>
      </c>
      <c r="B835" t="s">
        <v>767</v>
      </c>
      <c r="C835">
        <v>44278.614583333336</v>
      </c>
      <c r="D835">
        <v>2021</v>
      </c>
      <c r="E835" t="s">
        <v>10</v>
      </c>
      <c r="F835" t="s">
        <v>1552</v>
      </c>
      <c r="G835" t="s">
        <v>18</v>
      </c>
      <c r="H835" s="1" t="s">
        <v>1575</v>
      </c>
      <c r="I835" t="s">
        <v>1579</v>
      </c>
      <c r="J835" s="2">
        <v>2633473</v>
      </c>
      <c r="K835" t="s">
        <v>12</v>
      </c>
      <c r="L835" t="s">
        <v>1651</v>
      </c>
    </row>
    <row r="836" spans="1:12" x14ac:dyDescent="0.3">
      <c r="A836">
        <v>835</v>
      </c>
      <c r="B836" t="s">
        <v>768</v>
      </c>
      <c r="C836">
        <v>44278.625694444447</v>
      </c>
      <c r="D836">
        <v>2021</v>
      </c>
      <c r="E836" t="s">
        <v>10</v>
      </c>
      <c r="F836" t="s">
        <v>20</v>
      </c>
      <c r="G836" t="s">
        <v>11</v>
      </c>
      <c r="H836" s="1" t="s">
        <v>1575</v>
      </c>
      <c r="I836" t="s">
        <v>1577</v>
      </c>
      <c r="J836" s="2">
        <v>1095213</v>
      </c>
      <c r="K836" t="s">
        <v>121</v>
      </c>
      <c r="L836" t="s">
        <v>1649</v>
      </c>
    </row>
    <row r="837" spans="1:12" x14ac:dyDescent="0.3">
      <c r="A837">
        <v>836</v>
      </c>
      <c r="B837" t="s">
        <v>769</v>
      </c>
      <c r="C837">
        <v>44278.685416666667</v>
      </c>
      <c r="D837">
        <v>2021</v>
      </c>
      <c r="E837" t="s">
        <v>10</v>
      </c>
      <c r="F837" t="s">
        <v>1555</v>
      </c>
      <c r="G837" t="s">
        <v>18</v>
      </c>
      <c r="H837" s="1" t="s">
        <v>1574</v>
      </c>
      <c r="I837" t="s">
        <v>1582</v>
      </c>
      <c r="J837" s="2">
        <v>2806157</v>
      </c>
      <c r="K837" t="s">
        <v>16</v>
      </c>
      <c r="L837" t="s">
        <v>1649</v>
      </c>
    </row>
    <row r="838" spans="1:12" x14ac:dyDescent="0.3">
      <c r="A838">
        <v>837</v>
      </c>
      <c r="B838" t="s">
        <v>770</v>
      </c>
      <c r="C838">
        <v>44279.359722222223</v>
      </c>
      <c r="D838">
        <v>2021</v>
      </c>
      <c r="E838" t="s">
        <v>10</v>
      </c>
      <c r="F838" t="s">
        <v>1553</v>
      </c>
      <c r="G838" t="s">
        <v>18</v>
      </c>
      <c r="H838" s="1" t="s">
        <v>1571</v>
      </c>
      <c r="I838" t="s">
        <v>1579</v>
      </c>
      <c r="J838" s="2">
        <v>3823335</v>
      </c>
      <c r="K838" t="s">
        <v>12</v>
      </c>
      <c r="L838" t="s">
        <v>1651</v>
      </c>
    </row>
    <row r="839" spans="1:12" x14ac:dyDescent="0.3">
      <c r="A839">
        <v>838</v>
      </c>
      <c r="B839" t="s">
        <v>771</v>
      </c>
      <c r="C839">
        <v>44279.552083333336</v>
      </c>
      <c r="D839">
        <v>2021</v>
      </c>
      <c r="E839" t="s">
        <v>10</v>
      </c>
      <c r="F839" t="s">
        <v>1556</v>
      </c>
      <c r="G839" t="s">
        <v>15</v>
      </c>
      <c r="H839" s="1" t="s">
        <v>1568</v>
      </c>
      <c r="I839" t="s">
        <v>1579</v>
      </c>
      <c r="J839" s="2">
        <v>3512733</v>
      </c>
      <c r="K839" t="s">
        <v>12</v>
      </c>
      <c r="L839" t="s">
        <v>1652</v>
      </c>
    </row>
    <row r="840" spans="1:12" x14ac:dyDescent="0.3">
      <c r="A840">
        <v>839</v>
      </c>
      <c r="B840" t="s">
        <v>50</v>
      </c>
      <c r="C840">
        <v>44279.696527777778</v>
      </c>
      <c r="D840">
        <v>2021</v>
      </c>
      <c r="E840" t="s">
        <v>10</v>
      </c>
      <c r="F840" t="s">
        <v>590</v>
      </c>
      <c r="G840" t="s">
        <v>591</v>
      </c>
      <c r="H840" s="1" t="s">
        <v>1570</v>
      </c>
      <c r="I840" t="s">
        <v>1454</v>
      </c>
      <c r="J840" s="2">
        <v>2291409</v>
      </c>
      <c r="K840" t="s">
        <v>121</v>
      </c>
      <c r="L840" t="s">
        <v>1651</v>
      </c>
    </row>
    <row r="841" spans="1:12" x14ac:dyDescent="0.3">
      <c r="A841">
        <v>840</v>
      </c>
      <c r="B841" t="s">
        <v>772</v>
      </c>
      <c r="C841">
        <v>44279.726388888892</v>
      </c>
      <c r="D841">
        <v>2021</v>
      </c>
      <c r="E841" t="s">
        <v>10</v>
      </c>
      <c r="F841" t="s">
        <v>1552</v>
      </c>
      <c r="G841" t="s">
        <v>23</v>
      </c>
      <c r="H841" s="1" t="s">
        <v>1575</v>
      </c>
      <c r="I841" t="s">
        <v>1579</v>
      </c>
      <c r="J841" s="2">
        <v>3618833</v>
      </c>
      <c r="K841" t="s">
        <v>12</v>
      </c>
      <c r="L841" t="s">
        <v>1652</v>
      </c>
    </row>
    <row r="842" spans="1:12" x14ac:dyDescent="0.3">
      <c r="A842">
        <v>841</v>
      </c>
      <c r="B842" t="s">
        <v>773</v>
      </c>
      <c r="C842">
        <v>44280.441666666666</v>
      </c>
      <c r="D842">
        <v>2021</v>
      </c>
      <c r="E842" t="s">
        <v>10</v>
      </c>
      <c r="F842" t="s">
        <v>20</v>
      </c>
      <c r="G842" t="s">
        <v>62</v>
      </c>
      <c r="H842" s="1" t="s">
        <v>1569</v>
      </c>
      <c r="I842" t="s">
        <v>1586</v>
      </c>
      <c r="J842" s="2">
        <v>4181058</v>
      </c>
      <c r="K842" t="s">
        <v>59</v>
      </c>
      <c r="L842" t="s">
        <v>1650</v>
      </c>
    </row>
    <row r="843" spans="1:12" x14ac:dyDescent="0.3">
      <c r="A843">
        <v>842</v>
      </c>
      <c r="B843" t="s">
        <v>774</v>
      </c>
      <c r="C843">
        <v>44280.447916666664</v>
      </c>
      <c r="D843">
        <v>2021</v>
      </c>
      <c r="E843" t="s">
        <v>10</v>
      </c>
      <c r="F843" t="s">
        <v>1555</v>
      </c>
      <c r="G843" t="s">
        <v>62</v>
      </c>
      <c r="H843" s="1" t="s">
        <v>1568</v>
      </c>
      <c r="I843" t="s">
        <v>1639</v>
      </c>
      <c r="J843" s="2">
        <v>2141384</v>
      </c>
      <c r="K843" t="s">
        <v>12</v>
      </c>
      <c r="L843" t="s">
        <v>1650</v>
      </c>
    </row>
    <row r="844" spans="1:12" x14ac:dyDescent="0.3">
      <c r="A844">
        <v>843</v>
      </c>
      <c r="B844" t="s">
        <v>775</v>
      </c>
      <c r="C844">
        <v>44280.517361111109</v>
      </c>
      <c r="D844">
        <v>2021</v>
      </c>
      <c r="E844" t="s">
        <v>10</v>
      </c>
      <c r="F844" t="s">
        <v>1553</v>
      </c>
      <c r="G844" t="s">
        <v>11</v>
      </c>
      <c r="H844" s="1" t="s">
        <v>1562</v>
      </c>
      <c r="I844" t="s">
        <v>1577</v>
      </c>
      <c r="J844" s="2">
        <v>1514626</v>
      </c>
      <c r="K844" t="s">
        <v>121</v>
      </c>
      <c r="L844" t="s">
        <v>1653</v>
      </c>
    </row>
    <row r="845" spans="1:12" x14ac:dyDescent="0.3">
      <c r="A845">
        <v>844</v>
      </c>
      <c r="B845" t="s">
        <v>776</v>
      </c>
      <c r="C845">
        <v>44280.518055555556</v>
      </c>
      <c r="D845">
        <v>2021</v>
      </c>
      <c r="E845" t="s">
        <v>10</v>
      </c>
      <c r="F845" t="s">
        <v>1556</v>
      </c>
      <c r="G845" t="s">
        <v>23</v>
      </c>
      <c r="H845" s="1" t="s">
        <v>1575</v>
      </c>
      <c r="I845" t="s">
        <v>1579</v>
      </c>
      <c r="J845" s="2">
        <v>3718689</v>
      </c>
      <c r="K845" t="s">
        <v>12</v>
      </c>
      <c r="L845" t="s">
        <v>1649</v>
      </c>
    </row>
    <row r="846" spans="1:12" x14ac:dyDescent="0.3">
      <c r="A846">
        <v>845</v>
      </c>
      <c r="B846" t="s">
        <v>777</v>
      </c>
      <c r="C846">
        <v>44280.538888888892</v>
      </c>
      <c r="D846">
        <v>2021</v>
      </c>
      <c r="E846" t="s">
        <v>10</v>
      </c>
      <c r="F846" t="s">
        <v>414</v>
      </c>
      <c r="G846" t="s">
        <v>15</v>
      </c>
      <c r="H846" s="1" t="s">
        <v>1570</v>
      </c>
      <c r="I846" t="s">
        <v>1587</v>
      </c>
      <c r="J846" s="2">
        <v>2757370</v>
      </c>
      <c r="K846" t="s">
        <v>12</v>
      </c>
      <c r="L846" t="s">
        <v>1648</v>
      </c>
    </row>
    <row r="847" spans="1:12" x14ac:dyDescent="0.3">
      <c r="A847">
        <v>846</v>
      </c>
      <c r="B847" t="s">
        <v>778</v>
      </c>
      <c r="C847">
        <v>44280.626388888886</v>
      </c>
      <c r="D847">
        <v>2021</v>
      </c>
      <c r="E847" t="s">
        <v>10</v>
      </c>
      <c r="F847" t="s">
        <v>1552</v>
      </c>
      <c r="G847" t="s">
        <v>18</v>
      </c>
      <c r="H847" s="1" t="s">
        <v>1568</v>
      </c>
      <c r="I847" t="s">
        <v>1584</v>
      </c>
      <c r="J847" s="2">
        <v>3095949</v>
      </c>
      <c r="K847" t="s">
        <v>12</v>
      </c>
      <c r="L847" t="s">
        <v>1649</v>
      </c>
    </row>
    <row r="848" spans="1:12" x14ac:dyDescent="0.3">
      <c r="A848">
        <v>847</v>
      </c>
      <c r="B848" t="s">
        <v>779</v>
      </c>
      <c r="C848">
        <v>44280.65</v>
      </c>
      <c r="D848">
        <v>2021</v>
      </c>
      <c r="E848" t="s">
        <v>10</v>
      </c>
      <c r="F848" t="s">
        <v>20</v>
      </c>
      <c r="G848" t="s">
        <v>18</v>
      </c>
      <c r="H848" s="1" t="s">
        <v>1571</v>
      </c>
      <c r="I848" t="s">
        <v>1584</v>
      </c>
      <c r="J848" s="2">
        <v>2061361</v>
      </c>
      <c r="K848" t="s">
        <v>12</v>
      </c>
      <c r="L848" t="s">
        <v>1650</v>
      </c>
    </row>
    <row r="849" spans="1:12" x14ac:dyDescent="0.3">
      <c r="A849">
        <v>848</v>
      </c>
      <c r="B849" t="s">
        <v>780</v>
      </c>
      <c r="C849">
        <v>44280.713194444441</v>
      </c>
      <c r="D849">
        <v>2021</v>
      </c>
      <c r="E849" t="s">
        <v>10</v>
      </c>
      <c r="F849" t="s">
        <v>1555</v>
      </c>
      <c r="G849" t="s">
        <v>62</v>
      </c>
      <c r="H849" s="1" t="s">
        <v>1562</v>
      </c>
      <c r="I849" t="s">
        <v>1582</v>
      </c>
      <c r="J849" s="2">
        <v>3090268</v>
      </c>
      <c r="K849" t="s">
        <v>16</v>
      </c>
      <c r="L849" t="s">
        <v>1649</v>
      </c>
    </row>
    <row r="850" spans="1:12" x14ac:dyDescent="0.3">
      <c r="A850">
        <v>849</v>
      </c>
      <c r="B850" t="s">
        <v>50</v>
      </c>
      <c r="C850">
        <v>44280.754166666666</v>
      </c>
      <c r="D850">
        <v>2021</v>
      </c>
      <c r="E850" t="s">
        <v>10</v>
      </c>
      <c r="F850" t="s">
        <v>1553</v>
      </c>
      <c r="G850" t="s">
        <v>591</v>
      </c>
      <c r="H850" s="1" t="s">
        <v>1563</v>
      </c>
      <c r="I850" t="s">
        <v>1454</v>
      </c>
      <c r="J850" s="2">
        <v>3026458</v>
      </c>
      <c r="K850" t="s">
        <v>121</v>
      </c>
      <c r="L850" t="s">
        <v>1653</v>
      </c>
    </row>
    <row r="851" spans="1:12" x14ac:dyDescent="0.3">
      <c r="A851">
        <v>850</v>
      </c>
      <c r="B851" t="s">
        <v>50</v>
      </c>
      <c r="C851">
        <v>44280.762499999997</v>
      </c>
      <c r="D851">
        <v>2021</v>
      </c>
      <c r="E851" t="s">
        <v>10</v>
      </c>
      <c r="F851" t="s">
        <v>1556</v>
      </c>
      <c r="G851" t="s">
        <v>591</v>
      </c>
      <c r="H851" s="1" t="s">
        <v>1564</v>
      </c>
      <c r="I851" t="s">
        <v>1454</v>
      </c>
      <c r="J851" s="2">
        <v>3409687</v>
      </c>
      <c r="K851" t="s">
        <v>121</v>
      </c>
      <c r="L851" t="s">
        <v>1652</v>
      </c>
    </row>
    <row r="852" spans="1:12" x14ac:dyDescent="0.3">
      <c r="A852">
        <v>851</v>
      </c>
      <c r="B852" t="s">
        <v>50</v>
      </c>
      <c r="C852">
        <v>44280.789583333331</v>
      </c>
      <c r="D852">
        <v>2021</v>
      </c>
      <c r="E852" t="s">
        <v>10</v>
      </c>
      <c r="F852" t="s">
        <v>590</v>
      </c>
      <c r="G852" t="s">
        <v>591</v>
      </c>
      <c r="H852" s="1" t="s">
        <v>1571</v>
      </c>
      <c r="I852" t="s">
        <v>1454</v>
      </c>
      <c r="J852" s="2">
        <v>2688873</v>
      </c>
      <c r="K852" t="s">
        <v>121</v>
      </c>
      <c r="L852" t="s">
        <v>1648</v>
      </c>
    </row>
    <row r="853" spans="1:12" x14ac:dyDescent="0.3">
      <c r="A853">
        <v>852</v>
      </c>
      <c r="B853" t="s">
        <v>781</v>
      </c>
      <c r="C853">
        <v>44281.457638888889</v>
      </c>
      <c r="D853">
        <v>2021</v>
      </c>
      <c r="E853" t="s">
        <v>10</v>
      </c>
      <c r="F853" t="s">
        <v>1552</v>
      </c>
      <c r="G853" t="s">
        <v>11</v>
      </c>
      <c r="H853" s="1" t="s">
        <v>1570</v>
      </c>
      <c r="I853" t="s">
        <v>1577</v>
      </c>
      <c r="J853" s="2">
        <v>1277138</v>
      </c>
      <c r="K853" t="s">
        <v>121</v>
      </c>
      <c r="L853" t="s">
        <v>1650</v>
      </c>
    </row>
    <row r="854" spans="1:12" x14ac:dyDescent="0.3">
      <c r="A854">
        <v>853</v>
      </c>
      <c r="B854" t="s">
        <v>782</v>
      </c>
      <c r="C854">
        <v>44281.504166666666</v>
      </c>
      <c r="D854">
        <v>2021</v>
      </c>
      <c r="E854" t="s">
        <v>10</v>
      </c>
      <c r="F854" t="s">
        <v>20</v>
      </c>
      <c r="G854" t="s">
        <v>62</v>
      </c>
      <c r="H854" s="1" t="s">
        <v>1570</v>
      </c>
      <c r="I854" t="s">
        <v>1634</v>
      </c>
      <c r="J854" s="2">
        <v>3018596</v>
      </c>
      <c r="K854" t="s">
        <v>121</v>
      </c>
      <c r="L854" t="s">
        <v>1651</v>
      </c>
    </row>
    <row r="855" spans="1:12" x14ac:dyDescent="0.3">
      <c r="A855">
        <v>854</v>
      </c>
      <c r="B855" t="s">
        <v>783</v>
      </c>
      <c r="C855">
        <v>44281.693749999999</v>
      </c>
      <c r="D855">
        <v>2021</v>
      </c>
      <c r="E855" t="s">
        <v>10</v>
      </c>
      <c r="F855" t="s">
        <v>1555</v>
      </c>
      <c r="G855" t="s">
        <v>15</v>
      </c>
      <c r="H855" s="1" t="s">
        <v>1570</v>
      </c>
      <c r="I855" t="s">
        <v>1587</v>
      </c>
      <c r="J855" s="2">
        <v>3153186</v>
      </c>
      <c r="K855" t="s">
        <v>12</v>
      </c>
      <c r="L855" t="s">
        <v>1650</v>
      </c>
    </row>
    <row r="856" spans="1:12" x14ac:dyDescent="0.3">
      <c r="A856">
        <v>855</v>
      </c>
      <c r="B856" t="s">
        <v>784</v>
      </c>
      <c r="C856">
        <v>44285.343055555553</v>
      </c>
      <c r="D856">
        <v>2021</v>
      </c>
      <c r="E856" t="s">
        <v>10</v>
      </c>
      <c r="F856" t="s">
        <v>1553</v>
      </c>
      <c r="G856" t="s">
        <v>290</v>
      </c>
      <c r="H856" s="1" t="s">
        <v>1562</v>
      </c>
      <c r="I856" t="s">
        <v>1579</v>
      </c>
      <c r="J856" s="2">
        <v>4496730</v>
      </c>
      <c r="K856" t="s">
        <v>12</v>
      </c>
      <c r="L856" t="s">
        <v>1652</v>
      </c>
    </row>
    <row r="857" spans="1:12" x14ac:dyDescent="0.3">
      <c r="A857">
        <v>856</v>
      </c>
      <c r="B857" t="s">
        <v>439</v>
      </c>
      <c r="C857">
        <v>44285.375694444447</v>
      </c>
      <c r="D857">
        <v>2021</v>
      </c>
      <c r="E857" t="s">
        <v>10</v>
      </c>
      <c r="F857" t="s">
        <v>1556</v>
      </c>
      <c r="G857" t="s">
        <v>290</v>
      </c>
      <c r="H857" s="1" t="s">
        <v>1571</v>
      </c>
      <c r="I857" t="s">
        <v>1579</v>
      </c>
      <c r="J857" s="2">
        <v>2335374</v>
      </c>
      <c r="K857" t="s">
        <v>12</v>
      </c>
      <c r="L857" t="s">
        <v>1650</v>
      </c>
    </row>
    <row r="858" spans="1:12" x14ac:dyDescent="0.3">
      <c r="A858">
        <v>857</v>
      </c>
      <c r="B858" t="s">
        <v>785</v>
      </c>
      <c r="C858">
        <v>44286.384027777778</v>
      </c>
      <c r="D858">
        <v>2021</v>
      </c>
      <c r="E858" t="s">
        <v>10</v>
      </c>
      <c r="F858" t="s">
        <v>1552</v>
      </c>
      <c r="G858" t="s">
        <v>290</v>
      </c>
      <c r="H858" s="1" t="s">
        <v>1565</v>
      </c>
      <c r="I858" t="s">
        <v>1579</v>
      </c>
      <c r="J858" s="2">
        <v>2101703</v>
      </c>
      <c r="K858" t="s">
        <v>12</v>
      </c>
      <c r="L858" t="s">
        <v>1649</v>
      </c>
    </row>
    <row r="859" spans="1:12" x14ac:dyDescent="0.3">
      <c r="A859">
        <v>858</v>
      </c>
      <c r="B859" t="s">
        <v>786</v>
      </c>
      <c r="C859">
        <v>44291.456944444442</v>
      </c>
      <c r="D859">
        <v>2021</v>
      </c>
      <c r="E859" t="s">
        <v>10</v>
      </c>
      <c r="F859" t="s">
        <v>20</v>
      </c>
      <c r="G859" t="s">
        <v>11</v>
      </c>
      <c r="H859" s="1" t="s">
        <v>1568</v>
      </c>
      <c r="I859" t="s">
        <v>1577</v>
      </c>
      <c r="J859" s="2">
        <v>4805026</v>
      </c>
      <c r="K859" t="s">
        <v>121</v>
      </c>
      <c r="L859" t="s">
        <v>1653</v>
      </c>
    </row>
    <row r="860" spans="1:12" x14ac:dyDescent="0.3">
      <c r="A860">
        <v>859</v>
      </c>
      <c r="B860" t="s">
        <v>787</v>
      </c>
      <c r="C860">
        <v>44291.459722222222</v>
      </c>
      <c r="D860">
        <v>2021</v>
      </c>
      <c r="E860" t="s">
        <v>10</v>
      </c>
      <c r="F860" t="s">
        <v>1555</v>
      </c>
      <c r="G860" t="s">
        <v>11</v>
      </c>
      <c r="H860" s="1" t="s">
        <v>1568</v>
      </c>
      <c r="I860" t="s">
        <v>1577</v>
      </c>
      <c r="J860" s="2">
        <v>3908553</v>
      </c>
      <c r="K860" t="s">
        <v>121</v>
      </c>
      <c r="L860" t="s">
        <v>1649</v>
      </c>
    </row>
    <row r="861" spans="1:12" x14ac:dyDescent="0.3">
      <c r="A861">
        <v>860</v>
      </c>
      <c r="B861" t="s">
        <v>747</v>
      </c>
      <c r="C861">
        <v>44291.637499999997</v>
      </c>
      <c r="D861">
        <v>2021</v>
      </c>
      <c r="E861" t="s">
        <v>10</v>
      </c>
      <c r="F861" t="s">
        <v>1553</v>
      </c>
      <c r="G861" t="s">
        <v>15</v>
      </c>
      <c r="H861" s="1" t="s">
        <v>1568</v>
      </c>
      <c r="I861" t="s">
        <v>1579</v>
      </c>
      <c r="J861" s="2">
        <v>2006874</v>
      </c>
      <c r="K861" t="s">
        <v>12</v>
      </c>
      <c r="L861" t="s">
        <v>1650</v>
      </c>
    </row>
    <row r="862" spans="1:12" x14ac:dyDescent="0.3">
      <c r="A862">
        <v>861</v>
      </c>
      <c r="B862" t="s">
        <v>788</v>
      </c>
      <c r="C862">
        <v>44292.461805555555</v>
      </c>
      <c r="D862">
        <v>2021</v>
      </c>
      <c r="E862" t="s">
        <v>10</v>
      </c>
      <c r="F862" t="s">
        <v>1556</v>
      </c>
      <c r="G862" t="s">
        <v>15</v>
      </c>
      <c r="H862" s="1" t="s">
        <v>1571</v>
      </c>
      <c r="I862" t="s">
        <v>1579</v>
      </c>
      <c r="J862" s="2">
        <v>1498899</v>
      </c>
      <c r="K862" t="s">
        <v>12</v>
      </c>
      <c r="L862" t="s">
        <v>1653</v>
      </c>
    </row>
    <row r="863" spans="1:12" x14ac:dyDescent="0.3">
      <c r="A863">
        <v>862</v>
      </c>
      <c r="B863" t="s">
        <v>789</v>
      </c>
      <c r="C863">
        <v>44292.510416666664</v>
      </c>
      <c r="D863">
        <v>2021</v>
      </c>
      <c r="E863" t="s">
        <v>10</v>
      </c>
      <c r="F863" t="s">
        <v>1552</v>
      </c>
      <c r="G863" t="s">
        <v>15</v>
      </c>
      <c r="H863" s="1" t="s">
        <v>1570</v>
      </c>
      <c r="I863" t="s">
        <v>1579</v>
      </c>
      <c r="J863" s="2">
        <v>3208844</v>
      </c>
      <c r="K863" t="s">
        <v>12</v>
      </c>
      <c r="L863" t="s">
        <v>1649</v>
      </c>
    </row>
    <row r="864" spans="1:12" x14ac:dyDescent="0.3">
      <c r="A864">
        <v>863</v>
      </c>
      <c r="B864" t="s">
        <v>790</v>
      </c>
      <c r="C864">
        <v>44292.522916666669</v>
      </c>
      <c r="D864">
        <v>2021</v>
      </c>
      <c r="E864" t="s">
        <v>10</v>
      </c>
      <c r="F864" t="s">
        <v>20</v>
      </c>
      <c r="G864" t="s">
        <v>11</v>
      </c>
      <c r="H864" s="1" t="s">
        <v>1566</v>
      </c>
      <c r="I864" t="s">
        <v>1577</v>
      </c>
      <c r="J864" s="2">
        <v>2157793</v>
      </c>
      <c r="K864" t="s">
        <v>121</v>
      </c>
      <c r="L864" t="s">
        <v>1650</v>
      </c>
    </row>
    <row r="865" spans="1:12" x14ac:dyDescent="0.3">
      <c r="A865">
        <v>864</v>
      </c>
      <c r="B865" t="s">
        <v>791</v>
      </c>
      <c r="C865">
        <v>44292.598611111112</v>
      </c>
      <c r="D865">
        <v>2021</v>
      </c>
      <c r="E865" t="s">
        <v>10</v>
      </c>
      <c r="F865" t="s">
        <v>1555</v>
      </c>
      <c r="G865" t="s">
        <v>23</v>
      </c>
      <c r="H865" s="1" t="s">
        <v>1563</v>
      </c>
      <c r="I865" t="s">
        <v>1579</v>
      </c>
      <c r="J865" s="2">
        <v>1731484</v>
      </c>
      <c r="K865" t="s">
        <v>12</v>
      </c>
      <c r="L865" t="s">
        <v>1648</v>
      </c>
    </row>
    <row r="866" spans="1:12" x14ac:dyDescent="0.3">
      <c r="A866">
        <v>865</v>
      </c>
      <c r="B866" t="s">
        <v>792</v>
      </c>
      <c r="C866">
        <v>44292.613888888889</v>
      </c>
      <c r="D866">
        <v>2021</v>
      </c>
      <c r="E866" t="s">
        <v>10</v>
      </c>
      <c r="F866" t="s">
        <v>1553</v>
      </c>
      <c r="G866" t="s">
        <v>23</v>
      </c>
      <c r="H866" s="1" t="s">
        <v>1563</v>
      </c>
      <c r="I866" t="s">
        <v>1579</v>
      </c>
      <c r="J866" s="2">
        <v>4475373</v>
      </c>
      <c r="K866" t="s">
        <v>12</v>
      </c>
      <c r="L866" t="s">
        <v>1652</v>
      </c>
    </row>
    <row r="867" spans="1:12" x14ac:dyDescent="0.3">
      <c r="A867">
        <v>866</v>
      </c>
      <c r="B867" t="s">
        <v>793</v>
      </c>
      <c r="C867">
        <v>44292.618055555555</v>
      </c>
      <c r="D867">
        <v>2021</v>
      </c>
      <c r="E867" t="s">
        <v>10</v>
      </c>
      <c r="F867" t="s">
        <v>1556</v>
      </c>
      <c r="G867" t="s">
        <v>23</v>
      </c>
      <c r="H867" s="1" t="s">
        <v>1563</v>
      </c>
      <c r="I867" t="s">
        <v>1579</v>
      </c>
      <c r="J867" s="2">
        <v>2559210</v>
      </c>
      <c r="K867" t="s">
        <v>12</v>
      </c>
      <c r="L867" t="s">
        <v>1650</v>
      </c>
    </row>
    <row r="868" spans="1:12" x14ac:dyDescent="0.3">
      <c r="A868">
        <v>867</v>
      </c>
      <c r="B868" t="s">
        <v>794</v>
      </c>
      <c r="C868">
        <v>44292.627083333333</v>
      </c>
      <c r="D868">
        <v>2021</v>
      </c>
      <c r="E868" t="s">
        <v>10</v>
      </c>
      <c r="F868" t="s">
        <v>1555</v>
      </c>
      <c r="G868" t="s">
        <v>23</v>
      </c>
      <c r="H868" s="1" t="s">
        <v>1566</v>
      </c>
      <c r="I868" t="s">
        <v>1579</v>
      </c>
      <c r="J868" s="2">
        <v>4030154</v>
      </c>
      <c r="K868" t="s">
        <v>12</v>
      </c>
      <c r="L868" t="s">
        <v>1653</v>
      </c>
    </row>
    <row r="869" spans="1:12" x14ac:dyDescent="0.3">
      <c r="A869">
        <v>868</v>
      </c>
      <c r="B869" t="s">
        <v>795</v>
      </c>
      <c r="C869">
        <v>44293.347916666666</v>
      </c>
      <c r="D869">
        <v>2021</v>
      </c>
      <c r="E869" t="s">
        <v>10</v>
      </c>
      <c r="F869" t="s">
        <v>1552</v>
      </c>
      <c r="G869" t="s">
        <v>11</v>
      </c>
      <c r="H869" s="1" t="s">
        <v>1566</v>
      </c>
      <c r="I869" t="s">
        <v>1577</v>
      </c>
      <c r="J869" s="2">
        <v>4491431</v>
      </c>
      <c r="K869" t="s">
        <v>121</v>
      </c>
      <c r="L869" t="s">
        <v>1650</v>
      </c>
    </row>
    <row r="870" spans="1:12" x14ac:dyDescent="0.3">
      <c r="A870">
        <v>869</v>
      </c>
      <c r="B870" t="s">
        <v>796</v>
      </c>
      <c r="C870">
        <v>44293.406944444447</v>
      </c>
      <c r="D870">
        <v>2021</v>
      </c>
      <c r="E870" t="s">
        <v>10</v>
      </c>
      <c r="F870" t="s">
        <v>20</v>
      </c>
      <c r="G870" t="s">
        <v>11</v>
      </c>
      <c r="H870" s="1" t="s">
        <v>1567</v>
      </c>
      <c r="I870" t="s">
        <v>1577</v>
      </c>
      <c r="J870" s="2">
        <v>1864614</v>
      </c>
      <c r="K870" t="s">
        <v>121</v>
      </c>
      <c r="L870" t="s">
        <v>1648</v>
      </c>
    </row>
    <row r="871" spans="1:12" x14ac:dyDescent="0.3">
      <c r="A871">
        <v>870</v>
      </c>
      <c r="B871" t="s">
        <v>797</v>
      </c>
      <c r="C871">
        <v>44293.428472222222</v>
      </c>
      <c r="D871">
        <v>2021</v>
      </c>
      <c r="E871" t="s">
        <v>10</v>
      </c>
      <c r="F871" t="s">
        <v>1555</v>
      </c>
      <c r="G871" t="s">
        <v>15</v>
      </c>
      <c r="H871" s="1" t="s">
        <v>1571</v>
      </c>
      <c r="I871" t="s">
        <v>1579</v>
      </c>
      <c r="J871" s="2">
        <v>3400426</v>
      </c>
      <c r="K871" t="s">
        <v>12</v>
      </c>
      <c r="L871" t="s">
        <v>1650</v>
      </c>
    </row>
    <row r="872" spans="1:12" x14ac:dyDescent="0.3">
      <c r="A872">
        <v>871</v>
      </c>
      <c r="B872" t="s">
        <v>798</v>
      </c>
      <c r="C872">
        <v>44293.631249999999</v>
      </c>
      <c r="D872">
        <v>2021</v>
      </c>
      <c r="E872" t="s">
        <v>10</v>
      </c>
      <c r="F872" t="s">
        <v>1553</v>
      </c>
      <c r="G872" t="s">
        <v>23</v>
      </c>
      <c r="H872" s="1" t="s">
        <v>1566</v>
      </c>
      <c r="I872" t="s">
        <v>1579</v>
      </c>
      <c r="J872" s="2">
        <v>2660740</v>
      </c>
      <c r="K872" t="s">
        <v>12</v>
      </c>
      <c r="L872" t="s">
        <v>1651</v>
      </c>
    </row>
    <row r="873" spans="1:12" x14ac:dyDescent="0.3">
      <c r="A873">
        <v>872</v>
      </c>
      <c r="B873" t="s">
        <v>799</v>
      </c>
      <c r="C873">
        <v>44293.666666666664</v>
      </c>
      <c r="D873">
        <v>2021</v>
      </c>
      <c r="E873" t="s">
        <v>10</v>
      </c>
      <c r="F873" t="s">
        <v>1556</v>
      </c>
      <c r="G873" t="s">
        <v>23</v>
      </c>
      <c r="H873" s="1" t="s">
        <v>1576</v>
      </c>
      <c r="I873" t="s">
        <v>1579</v>
      </c>
      <c r="J873" s="2">
        <v>4363601</v>
      </c>
      <c r="K873" t="s">
        <v>12</v>
      </c>
      <c r="L873" t="s">
        <v>1651</v>
      </c>
    </row>
    <row r="874" spans="1:12" x14ac:dyDescent="0.3">
      <c r="A874">
        <v>873</v>
      </c>
      <c r="B874" t="s">
        <v>800</v>
      </c>
      <c r="C874">
        <v>44293.73333333333</v>
      </c>
      <c r="D874">
        <v>2021</v>
      </c>
      <c r="E874" t="s">
        <v>10</v>
      </c>
      <c r="F874" t="s">
        <v>1555</v>
      </c>
      <c r="G874" t="s">
        <v>15</v>
      </c>
      <c r="H874" s="1" t="s">
        <v>1570</v>
      </c>
      <c r="I874" t="s">
        <v>1579</v>
      </c>
      <c r="J874" s="2">
        <v>3198897</v>
      </c>
      <c r="K874" t="s">
        <v>12</v>
      </c>
      <c r="L874" t="s">
        <v>1652</v>
      </c>
    </row>
    <row r="875" spans="1:12" x14ac:dyDescent="0.3">
      <c r="A875">
        <v>874</v>
      </c>
      <c r="B875" t="s">
        <v>801</v>
      </c>
      <c r="C875">
        <v>44294.590277777781</v>
      </c>
      <c r="D875">
        <v>2021</v>
      </c>
      <c r="E875" t="s">
        <v>10</v>
      </c>
      <c r="F875" t="s">
        <v>1552</v>
      </c>
      <c r="G875" t="s">
        <v>11</v>
      </c>
      <c r="H875" s="1" t="s">
        <v>1575</v>
      </c>
      <c r="I875" t="s">
        <v>1577</v>
      </c>
      <c r="J875" s="2">
        <v>1949771</v>
      </c>
      <c r="K875" t="s">
        <v>121</v>
      </c>
      <c r="L875" t="s">
        <v>1648</v>
      </c>
    </row>
    <row r="876" spans="1:12" x14ac:dyDescent="0.3">
      <c r="A876">
        <v>875</v>
      </c>
      <c r="B876" t="s">
        <v>802</v>
      </c>
      <c r="C876">
        <v>44295.43472222222</v>
      </c>
      <c r="D876">
        <v>2021</v>
      </c>
      <c r="E876" t="s">
        <v>10</v>
      </c>
      <c r="F876" t="s">
        <v>20</v>
      </c>
      <c r="G876" t="s">
        <v>11</v>
      </c>
      <c r="H876" s="1" t="s">
        <v>1568</v>
      </c>
      <c r="I876" t="s">
        <v>1577</v>
      </c>
      <c r="J876" s="2">
        <v>4634383</v>
      </c>
      <c r="K876" t="s">
        <v>121</v>
      </c>
      <c r="L876" t="s">
        <v>1652</v>
      </c>
    </row>
    <row r="877" spans="1:12" x14ac:dyDescent="0.3">
      <c r="A877">
        <v>876</v>
      </c>
      <c r="B877" t="s">
        <v>803</v>
      </c>
      <c r="C877">
        <v>44295.478472222225</v>
      </c>
      <c r="D877">
        <v>2021</v>
      </c>
      <c r="E877" t="s">
        <v>10</v>
      </c>
      <c r="F877" t="s">
        <v>1555</v>
      </c>
      <c r="G877" t="s">
        <v>11</v>
      </c>
      <c r="H877" s="1" t="s">
        <v>1564</v>
      </c>
      <c r="I877" t="s">
        <v>1577</v>
      </c>
      <c r="J877" s="2">
        <v>982409</v>
      </c>
      <c r="K877" t="s">
        <v>121</v>
      </c>
      <c r="L877" t="s">
        <v>1652</v>
      </c>
    </row>
    <row r="878" spans="1:12" x14ac:dyDescent="0.3">
      <c r="A878">
        <v>877</v>
      </c>
      <c r="B878" t="s">
        <v>804</v>
      </c>
      <c r="C878">
        <v>44295.496527777781</v>
      </c>
      <c r="D878">
        <v>2021</v>
      </c>
      <c r="E878" t="s">
        <v>10</v>
      </c>
      <c r="F878" t="s">
        <v>1553</v>
      </c>
      <c r="G878" t="s">
        <v>11</v>
      </c>
      <c r="H878" s="1" t="s">
        <v>1574</v>
      </c>
      <c r="I878" t="s">
        <v>1577</v>
      </c>
      <c r="J878" s="2">
        <v>3755461</v>
      </c>
      <c r="K878" t="s">
        <v>121</v>
      </c>
      <c r="L878" t="s">
        <v>1649</v>
      </c>
    </row>
    <row r="879" spans="1:12" x14ac:dyDescent="0.3">
      <c r="A879">
        <v>878</v>
      </c>
      <c r="B879" t="s">
        <v>805</v>
      </c>
      <c r="C879">
        <v>44295.509027777778</v>
      </c>
      <c r="D879">
        <v>2021</v>
      </c>
      <c r="E879" t="s">
        <v>10</v>
      </c>
      <c r="F879" t="s">
        <v>1556</v>
      </c>
      <c r="G879" t="s">
        <v>21</v>
      </c>
      <c r="H879" s="1" t="s">
        <v>1572</v>
      </c>
      <c r="I879" t="s">
        <v>1616</v>
      </c>
      <c r="J879" s="2">
        <v>2634619</v>
      </c>
      <c r="K879" t="s">
        <v>12</v>
      </c>
      <c r="L879" t="s">
        <v>1649</v>
      </c>
    </row>
    <row r="880" spans="1:12" x14ac:dyDescent="0.3">
      <c r="A880">
        <v>879</v>
      </c>
      <c r="B880" t="s">
        <v>806</v>
      </c>
      <c r="C880">
        <v>44295.511111111111</v>
      </c>
      <c r="D880">
        <v>2021</v>
      </c>
      <c r="E880" t="s">
        <v>10</v>
      </c>
      <c r="F880" t="s">
        <v>1552</v>
      </c>
      <c r="G880" t="s">
        <v>11</v>
      </c>
      <c r="H880" s="1" t="s">
        <v>1568</v>
      </c>
      <c r="I880" t="s">
        <v>1577</v>
      </c>
      <c r="J880" s="2">
        <v>3617349</v>
      </c>
      <c r="K880" t="s">
        <v>121</v>
      </c>
      <c r="L880" t="s">
        <v>1649</v>
      </c>
    </row>
    <row r="881" spans="1:12" x14ac:dyDescent="0.3">
      <c r="A881">
        <v>880</v>
      </c>
      <c r="B881" t="s">
        <v>807</v>
      </c>
      <c r="C881">
        <v>44295.584027777775</v>
      </c>
      <c r="D881">
        <v>2021</v>
      </c>
      <c r="E881" t="s">
        <v>10</v>
      </c>
      <c r="F881" t="s">
        <v>20</v>
      </c>
      <c r="G881" t="s">
        <v>11</v>
      </c>
      <c r="H881" s="1" t="s">
        <v>1574</v>
      </c>
      <c r="I881" t="s">
        <v>1577</v>
      </c>
      <c r="J881" s="2">
        <v>3828147</v>
      </c>
      <c r="K881" t="s">
        <v>121</v>
      </c>
      <c r="L881" t="s">
        <v>1650</v>
      </c>
    </row>
    <row r="882" spans="1:12" x14ac:dyDescent="0.3">
      <c r="A882">
        <v>881</v>
      </c>
      <c r="B882" t="s">
        <v>808</v>
      </c>
      <c r="C882">
        <v>44295.584722222222</v>
      </c>
      <c r="D882">
        <v>2021</v>
      </c>
      <c r="E882" t="s">
        <v>10</v>
      </c>
      <c r="F882" t="s">
        <v>1555</v>
      </c>
      <c r="G882" t="s">
        <v>11</v>
      </c>
      <c r="H882" s="1" t="s">
        <v>1566</v>
      </c>
      <c r="I882" t="s">
        <v>1577</v>
      </c>
      <c r="J882" s="2">
        <v>3202758</v>
      </c>
      <c r="K882" t="s">
        <v>121</v>
      </c>
      <c r="L882" t="s">
        <v>1651</v>
      </c>
    </row>
    <row r="883" spans="1:12" x14ac:dyDescent="0.3">
      <c r="A883">
        <v>882</v>
      </c>
      <c r="B883" t="s">
        <v>809</v>
      </c>
      <c r="C883">
        <v>44295.615972222222</v>
      </c>
      <c r="D883">
        <v>2021</v>
      </c>
      <c r="E883" t="s">
        <v>10</v>
      </c>
      <c r="F883" t="s">
        <v>1553</v>
      </c>
      <c r="G883" t="s">
        <v>11</v>
      </c>
      <c r="H883" s="1" t="s">
        <v>1562</v>
      </c>
      <c r="I883" t="s">
        <v>1577</v>
      </c>
      <c r="J883" s="2">
        <v>1916747</v>
      </c>
      <c r="K883" t="s">
        <v>121</v>
      </c>
      <c r="L883" t="s">
        <v>1652</v>
      </c>
    </row>
    <row r="884" spans="1:12" x14ac:dyDescent="0.3">
      <c r="A884">
        <v>883</v>
      </c>
      <c r="B884" t="s">
        <v>810</v>
      </c>
      <c r="C884">
        <v>44295.666666666664</v>
      </c>
      <c r="D884">
        <v>2021</v>
      </c>
      <c r="E884" t="s">
        <v>10</v>
      </c>
      <c r="F884" t="s">
        <v>1556</v>
      </c>
      <c r="G884" t="s">
        <v>21</v>
      </c>
      <c r="H884" s="1" t="s">
        <v>1575</v>
      </c>
      <c r="I884" t="s">
        <v>1616</v>
      </c>
      <c r="J884" s="2">
        <v>4223041</v>
      </c>
      <c r="K884" t="s">
        <v>12</v>
      </c>
      <c r="L884" t="s">
        <v>1653</v>
      </c>
    </row>
    <row r="885" spans="1:12" x14ac:dyDescent="0.3">
      <c r="A885">
        <v>884</v>
      </c>
      <c r="B885" t="s">
        <v>811</v>
      </c>
      <c r="C885">
        <v>44295.731944444444</v>
      </c>
      <c r="D885">
        <v>2021</v>
      </c>
      <c r="E885" t="s">
        <v>10</v>
      </c>
      <c r="F885" t="s">
        <v>1554</v>
      </c>
      <c r="G885" t="s">
        <v>62</v>
      </c>
      <c r="H885" s="1" t="s">
        <v>1576</v>
      </c>
      <c r="I885" t="s">
        <v>1584</v>
      </c>
      <c r="J885" s="2">
        <v>2142829</v>
      </c>
      <c r="K885" t="s">
        <v>12</v>
      </c>
      <c r="L885" t="s">
        <v>1650</v>
      </c>
    </row>
    <row r="886" spans="1:12" x14ac:dyDescent="0.3">
      <c r="A886">
        <v>885</v>
      </c>
      <c r="B886" t="s">
        <v>812</v>
      </c>
      <c r="C886">
        <v>44295.73541666667</v>
      </c>
      <c r="D886">
        <v>2021</v>
      </c>
      <c r="E886" t="s">
        <v>10</v>
      </c>
      <c r="F886" t="s">
        <v>1554</v>
      </c>
      <c r="G886" t="s">
        <v>62</v>
      </c>
      <c r="H886" s="1" t="s">
        <v>1576</v>
      </c>
      <c r="I886" t="s">
        <v>1603</v>
      </c>
      <c r="J886" s="2">
        <v>2592862</v>
      </c>
      <c r="K886" t="s">
        <v>121</v>
      </c>
      <c r="L886" t="s">
        <v>1649</v>
      </c>
    </row>
    <row r="887" spans="1:12" x14ac:dyDescent="0.3">
      <c r="A887">
        <v>886</v>
      </c>
      <c r="B887" t="s">
        <v>813</v>
      </c>
      <c r="C887">
        <v>44295.743055555555</v>
      </c>
      <c r="D887">
        <v>2021</v>
      </c>
      <c r="E887" t="s">
        <v>10</v>
      </c>
      <c r="F887" t="s">
        <v>1554</v>
      </c>
      <c r="G887" t="s">
        <v>62</v>
      </c>
      <c r="H887" s="1" t="s">
        <v>1570</v>
      </c>
      <c r="I887" t="s">
        <v>1603</v>
      </c>
      <c r="J887" s="2">
        <v>3674217</v>
      </c>
      <c r="K887" t="s">
        <v>121</v>
      </c>
      <c r="L887" t="s">
        <v>1651</v>
      </c>
    </row>
    <row r="888" spans="1:12" x14ac:dyDescent="0.3">
      <c r="A888">
        <v>887</v>
      </c>
      <c r="B888" t="s">
        <v>814</v>
      </c>
      <c r="C888">
        <v>44295.745833333334</v>
      </c>
      <c r="D888">
        <v>2021</v>
      </c>
      <c r="E888" t="s">
        <v>10</v>
      </c>
      <c r="F888" t="s">
        <v>1554</v>
      </c>
      <c r="G888" t="s">
        <v>62</v>
      </c>
      <c r="H888" s="1" t="s">
        <v>1566</v>
      </c>
      <c r="I888" t="s">
        <v>1586</v>
      </c>
      <c r="J888" s="2">
        <v>3702721</v>
      </c>
      <c r="K888" t="s">
        <v>59</v>
      </c>
      <c r="L888" t="s">
        <v>1649</v>
      </c>
    </row>
    <row r="889" spans="1:12" x14ac:dyDescent="0.3">
      <c r="A889">
        <v>888</v>
      </c>
      <c r="B889" t="s">
        <v>815</v>
      </c>
      <c r="C889">
        <v>44295.749305555553</v>
      </c>
      <c r="D889">
        <v>2021</v>
      </c>
      <c r="E889" t="s">
        <v>10</v>
      </c>
      <c r="F889" t="s">
        <v>1554</v>
      </c>
      <c r="G889" t="s">
        <v>62</v>
      </c>
      <c r="H889" s="1" t="s">
        <v>1570</v>
      </c>
      <c r="I889" t="s">
        <v>1598</v>
      </c>
      <c r="J889" s="2">
        <v>4215949</v>
      </c>
      <c r="K889" t="s">
        <v>53</v>
      </c>
      <c r="L889" t="s">
        <v>1649</v>
      </c>
    </row>
    <row r="890" spans="1:12" x14ac:dyDescent="0.3">
      <c r="A890">
        <v>889</v>
      </c>
      <c r="B890" t="s">
        <v>816</v>
      </c>
      <c r="C890">
        <v>44295.75277777778</v>
      </c>
      <c r="D890">
        <v>2021</v>
      </c>
      <c r="E890" t="s">
        <v>10</v>
      </c>
      <c r="F890" t="s">
        <v>1554</v>
      </c>
      <c r="G890" t="s">
        <v>62</v>
      </c>
      <c r="H890" s="1" t="s">
        <v>1574</v>
      </c>
      <c r="I890" t="s">
        <v>1598</v>
      </c>
      <c r="J890" s="2">
        <v>3328383</v>
      </c>
      <c r="K890" t="s">
        <v>53</v>
      </c>
      <c r="L890" t="s">
        <v>1651</v>
      </c>
    </row>
    <row r="891" spans="1:12" x14ac:dyDescent="0.3">
      <c r="A891">
        <v>890</v>
      </c>
      <c r="B891" t="s">
        <v>817</v>
      </c>
      <c r="C891">
        <v>44295.754166666666</v>
      </c>
      <c r="D891">
        <v>2021</v>
      </c>
      <c r="E891" t="s">
        <v>10</v>
      </c>
      <c r="F891" t="s">
        <v>1554</v>
      </c>
      <c r="G891" t="s">
        <v>62</v>
      </c>
      <c r="H891" s="1" t="s">
        <v>1570</v>
      </c>
      <c r="I891" t="s">
        <v>1598</v>
      </c>
      <c r="J891" s="2">
        <v>3449939</v>
      </c>
      <c r="K891" t="s">
        <v>53</v>
      </c>
      <c r="L891" t="s">
        <v>1650</v>
      </c>
    </row>
    <row r="892" spans="1:12" x14ac:dyDescent="0.3">
      <c r="A892">
        <v>891</v>
      </c>
      <c r="B892" t="s">
        <v>818</v>
      </c>
      <c r="C892">
        <v>44295.760416666664</v>
      </c>
      <c r="D892">
        <v>2021</v>
      </c>
      <c r="E892" t="s">
        <v>10</v>
      </c>
      <c r="F892" t="s">
        <v>1554</v>
      </c>
      <c r="G892" t="s">
        <v>62</v>
      </c>
      <c r="H892" s="1" t="s">
        <v>1575</v>
      </c>
      <c r="I892" t="s">
        <v>1635</v>
      </c>
      <c r="J892" s="2">
        <v>4175543</v>
      </c>
      <c r="K892" t="s">
        <v>12</v>
      </c>
      <c r="L892" t="s">
        <v>1651</v>
      </c>
    </row>
    <row r="893" spans="1:12" x14ac:dyDescent="0.3">
      <c r="A893">
        <v>892</v>
      </c>
      <c r="B893" t="s">
        <v>50</v>
      </c>
      <c r="C893">
        <v>44295.762499999997</v>
      </c>
      <c r="D893">
        <v>2021</v>
      </c>
      <c r="E893" t="s">
        <v>10</v>
      </c>
      <c r="F893" t="s">
        <v>1554</v>
      </c>
      <c r="G893" t="s">
        <v>62</v>
      </c>
      <c r="H893" s="1" t="s">
        <v>1575</v>
      </c>
      <c r="I893" t="s">
        <v>1454</v>
      </c>
      <c r="J893" s="2">
        <v>4106097</v>
      </c>
      <c r="K893" t="s">
        <v>121</v>
      </c>
      <c r="L893" t="s">
        <v>1649</v>
      </c>
    </row>
    <row r="894" spans="1:12" x14ac:dyDescent="0.3">
      <c r="A894">
        <v>893</v>
      </c>
      <c r="B894" t="s">
        <v>819</v>
      </c>
      <c r="C894">
        <v>44295.765972222223</v>
      </c>
      <c r="D894">
        <v>2021</v>
      </c>
      <c r="E894" t="s">
        <v>10</v>
      </c>
      <c r="F894" t="s">
        <v>1554</v>
      </c>
      <c r="G894" t="s">
        <v>62</v>
      </c>
      <c r="H894" s="1" t="s">
        <v>1574</v>
      </c>
      <c r="I894" t="s">
        <v>1579</v>
      </c>
      <c r="J894" s="2">
        <v>3581186</v>
      </c>
      <c r="K894" t="s">
        <v>12</v>
      </c>
      <c r="L894" t="s">
        <v>1651</v>
      </c>
    </row>
    <row r="895" spans="1:12" x14ac:dyDescent="0.3">
      <c r="A895">
        <v>894</v>
      </c>
      <c r="B895" t="s">
        <v>820</v>
      </c>
      <c r="C895">
        <v>44295.773611111108</v>
      </c>
      <c r="D895">
        <v>2021</v>
      </c>
      <c r="E895" t="s">
        <v>10</v>
      </c>
      <c r="F895" t="s">
        <v>1554</v>
      </c>
      <c r="G895" t="s">
        <v>62</v>
      </c>
      <c r="H895" s="1" t="s">
        <v>1566</v>
      </c>
      <c r="I895" t="s">
        <v>1579</v>
      </c>
      <c r="J895" s="2">
        <v>2286881</v>
      </c>
      <c r="K895" t="s">
        <v>12</v>
      </c>
      <c r="L895" t="s">
        <v>1648</v>
      </c>
    </row>
    <row r="896" spans="1:12" x14ac:dyDescent="0.3">
      <c r="A896">
        <v>895</v>
      </c>
      <c r="B896" t="s">
        <v>821</v>
      </c>
      <c r="C896">
        <v>44298.554166666669</v>
      </c>
      <c r="D896">
        <v>2021</v>
      </c>
      <c r="E896" t="s">
        <v>10</v>
      </c>
      <c r="F896" t="s">
        <v>1554</v>
      </c>
      <c r="G896" t="s">
        <v>49</v>
      </c>
      <c r="H896" s="1" t="s">
        <v>1575</v>
      </c>
      <c r="I896" t="s">
        <v>1579</v>
      </c>
      <c r="J896" s="2">
        <v>2498379</v>
      </c>
      <c r="K896" t="s">
        <v>12</v>
      </c>
      <c r="L896" t="s">
        <v>1650</v>
      </c>
    </row>
    <row r="897" spans="1:12" x14ac:dyDescent="0.3">
      <c r="A897">
        <v>896</v>
      </c>
      <c r="B897" t="s">
        <v>822</v>
      </c>
      <c r="C897">
        <v>44298.559027777781</v>
      </c>
      <c r="D897">
        <v>2021</v>
      </c>
      <c r="E897" t="s">
        <v>10</v>
      </c>
      <c r="F897" t="s">
        <v>1554</v>
      </c>
      <c r="G897" t="s">
        <v>18</v>
      </c>
      <c r="H897" s="1" t="s">
        <v>1575</v>
      </c>
      <c r="I897" t="s">
        <v>1579</v>
      </c>
      <c r="J897" s="2">
        <v>1255137</v>
      </c>
      <c r="K897" t="s">
        <v>12</v>
      </c>
      <c r="L897" t="s">
        <v>1651</v>
      </c>
    </row>
    <row r="898" spans="1:12" x14ac:dyDescent="0.3">
      <c r="A898">
        <v>897</v>
      </c>
      <c r="B898" t="s">
        <v>823</v>
      </c>
      <c r="C898">
        <v>44298.5625</v>
      </c>
      <c r="D898">
        <v>2021</v>
      </c>
      <c r="E898" t="s">
        <v>10</v>
      </c>
      <c r="F898" t="s">
        <v>1554</v>
      </c>
      <c r="G898" t="s">
        <v>49</v>
      </c>
      <c r="H898" s="1" t="s">
        <v>1575</v>
      </c>
      <c r="I898" t="s">
        <v>1579</v>
      </c>
      <c r="J898" s="2">
        <v>1696406</v>
      </c>
      <c r="K898" t="s">
        <v>12</v>
      </c>
      <c r="L898" t="s">
        <v>1652</v>
      </c>
    </row>
    <row r="899" spans="1:12" x14ac:dyDescent="0.3">
      <c r="A899">
        <v>898</v>
      </c>
      <c r="B899" t="s">
        <v>824</v>
      </c>
      <c r="C899">
        <v>44298.588888888888</v>
      </c>
      <c r="D899">
        <v>2021</v>
      </c>
      <c r="E899" t="s">
        <v>10</v>
      </c>
      <c r="F899" t="s">
        <v>1554</v>
      </c>
      <c r="G899" t="s">
        <v>11</v>
      </c>
      <c r="H899" s="1" t="s">
        <v>1575</v>
      </c>
      <c r="I899" t="s">
        <v>1577</v>
      </c>
      <c r="J899" s="2">
        <v>1377078</v>
      </c>
      <c r="K899" t="s">
        <v>121</v>
      </c>
      <c r="L899" t="s">
        <v>1650</v>
      </c>
    </row>
    <row r="900" spans="1:12" x14ac:dyDescent="0.3">
      <c r="A900">
        <v>899</v>
      </c>
      <c r="B900" t="s">
        <v>825</v>
      </c>
      <c r="C900">
        <v>44299.355555555558</v>
      </c>
      <c r="D900">
        <v>2021</v>
      </c>
      <c r="E900" t="s">
        <v>10</v>
      </c>
      <c r="F900" t="s">
        <v>1554</v>
      </c>
      <c r="G900" t="s">
        <v>21</v>
      </c>
      <c r="H900" s="1" t="s">
        <v>1575</v>
      </c>
      <c r="I900" t="s">
        <v>1616</v>
      </c>
      <c r="J900" s="2">
        <v>1097488</v>
      </c>
      <c r="K900" t="s">
        <v>12</v>
      </c>
      <c r="L900" t="s">
        <v>1650</v>
      </c>
    </row>
    <row r="901" spans="1:12" x14ac:dyDescent="0.3">
      <c r="A901">
        <v>900</v>
      </c>
      <c r="B901" t="s">
        <v>826</v>
      </c>
      <c r="C901">
        <v>44299.517361111109</v>
      </c>
      <c r="D901">
        <v>2021</v>
      </c>
      <c r="E901" t="s">
        <v>10</v>
      </c>
      <c r="F901" t="s">
        <v>1554</v>
      </c>
      <c r="G901" t="s">
        <v>15</v>
      </c>
      <c r="H901" s="1" t="s">
        <v>1575</v>
      </c>
      <c r="I901" t="s">
        <v>1579</v>
      </c>
      <c r="J901" s="2">
        <v>3799173</v>
      </c>
      <c r="K901" t="s">
        <v>12</v>
      </c>
      <c r="L901" t="s">
        <v>1651</v>
      </c>
    </row>
    <row r="902" spans="1:12" x14ac:dyDescent="0.3">
      <c r="A902">
        <v>901</v>
      </c>
      <c r="B902" t="s">
        <v>827</v>
      </c>
      <c r="C902">
        <v>44299.618055555555</v>
      </c>
      <c r="D902">
        <v>2021</v>
      </c>
      <c r="E902" t="s">
        <v>10</v>
      </c>
      <c r="F902" t="s">
        <v>1554</v>
      </c>
      <c r="G902" t="s">
        <v>290</v>
      </c>
      <c r="H902" s="1" t="s">
        <v>1575</v>
      </c>
      <c r="I902" t="s">
        <v>1579</v>
      </c>
      <c r="J902" s="2">
        <v>3286663</v>
      </c>
      <c r="K902" t="s">
        <v>12</v>
      </c>
      <c r="L902" t="s">
        <v>1650</v>
      </c>
    </row>
    <row r="903" spans="1:12" x14ac:dyDescent="0.3">
      <c r="A903">
        <v>902</v>
      </c>
      <c r="B903" t="s">
        <v>828</v>
      </c>
      <c r="C903">
        <v>44299.716666666667</v>
      </c>
      <c r="D903">
        <v>2021</v>
      </c>
      <c r="E903" t="s">
        <v>10</v>
      </c>
      <c r="F903" t="s">
        <v>1554</v>
      </c>
      <c r="G903" t="s">
        <v>49</v>
      </c>
      <c r="H903" s="1" t="s">
        <v>1575</v>
      </c>
      <c r="I903" t="s">
        <v>1579</v>
      </c>
      <c r="J903" s="2">
        <v>1972942</v>
      </c>
      <c r="K903" t="s">
        <v>12</v>
      </c>
      <c r="L903" t="s">
        <v>1652</v>
      </c>
    </row>
    <row r="904" spans="1:12" x14ac:dyDescent="0.3">
      <c r="A904">
        <v>903</v>
      </c>
      <c r="B904" t="s">
        <v>829</v>
      </c>
      <c r="C904">
        <v>44300.619444444441</v>
      </c>
      <c r="D904">
        <v>2021</v>
      </c>
      <c r="E904" t="s">
        <v>10</v>
      </c>
      <c r="F904" t="s">
        <v>1554</v>
      </c>
      <c r="G904" t="s">
        <v>15</v>
      </c>
      <c r="H904" s="1" t="s">
        <v>1575</v>
      </c>
      <c r="I904" t="s">
        <v>1579</v>
      </c>
      <c r="J904" s="2">
        <v>3687940</v>
      </c>
      <c r="K904" t="s">
        <v>12</v>
      </c>
      <c r="L904" t="s">
        <v>1648</v>
      </c>
    </row>
    <row r="905" spans="1:12" x14ac:dyDescent="0.3">
      <c r="A905">
        <v>904</v>
      </c>
      <c r="B905" t="s">
        <v>830</v>
      </c>
      <c r="C905">
        <v>44300.921527777777</v>
      </c>
      <c r="D905">
        <v>2021</v>
      </c>
      <c r="E905" t="s">
        <v>10</v>
      </c>
      <c r="F905" t="s">
        <v>1554</v>
      </c>
      <c r="G905" t="s">
        <v>21</v>
      </c>
      <c r="H905" s="1" t="s">
        <v>1575</v>
      </c>
      <c r="I905" t="s">
        <v>1616</v>
      </c>
      <c r="J905" s="2">
        <v>1741818</v>
      </c>
      <c r="K905" t="s">
        <v>12</v>
      </c>
      <c r="L905" t="s">
        <v>1652</v>
      </c>
    </row>
    <row r="906" spans="1:12" x14ac:dyDescent="0.3">
      <c r="A906">
        <v>905</v>
      </c>
      <c r="B906" t="s">
        <v>831</v>
      </c>
      <c r="C906">
        <v>44301.344444444447</v>
      </c>
      <c r="D906">
        <v>2021</v>
      </c>
      <c r="E906" t="s">
        <v>10</v>
      </c>
      <c r="F906" t="s">
        <v>1554</v>
      </c>
      <c r="G906" t="s">
        <v>23</v>
      </c>
      <c r="H906" s="1" t="s">
        <v>1575</v>
      </c>
      <c r="I906" t="s">
        <v>1579</v>
      </c>
      <c r="J906" s="2">
        <v>4298408</v>
      </c>
      <c r="K906" t="s">
        <v>12</v>
      </c>
      <c r="L906" t="s">
        <v>1650</v>
      </c>
    </row>
    <row r="907" spans="1:12" x14ac:dyDescent="0.3">
      <c r="A907">
        <v>906</v>
      </c>
      <c r="B907" t="s">
        <v>832</v>
      </c>
      <c r="C907">
        <v>44301.356249999997</v>
      </c>
      <c r="D907">
        <v>2021</v>
      </c>
      <c r="E907" t="s">
        <v>10</v>
      </c>
      <c r="F907" t="s">
        <v>1554</v>
      </c>
      <c r="G907" t="s">
        <v>23</v>
      </c>
      <c r="H907" s="1" t="s">
        <v>1575</v>
      </c>
      <c r="I907" t="s">
        <v>1579</v>
      </c>
      <c r="J907" s="2">
        <v>1446423</v>
      </c>
      <c r="K907" t="s">
        <v>12</v>
      </c>
      <c r="L907" t="s">
        <v>1651</v>
      </c>
    </row>
    <row r="908" spans="1:12" x14ac:dyDescent="0.3">
      <c r="A908">
        <v>907</v>
      </c>
      <c r="B908" t="s">
        <v>833</v>
      </c>
      <c r="C908">
        <v>44301.375694444447</v>
      </c>
      <c r="D908">
        <v>2021</v>
      </c>
      <c r="E908" t="s">
        <v>10</v>
      </c>
      <c r="F908" t="s">
        <v>1554</v>
      </c>
      <c r="G908" t="s">
        <v>15</v>
      </c>
      <c r="H908" s="1" t="s">
        <v>1575</v>
      </c>
      <c r="I908" t="s">
        <v>1641</v>
      </c>
      <c r="J908" s="2">
        <v>1161960</v>
      </c>
      <c r="K908" t="s">
        <v>16</v>
      </c>
      <c r="L908" t="s">
        <v>1649</v>
      </c>
    </row>
    <row r="909" spans="1:12" x14ac:dyDescent="0.3">
      <c r="A909">
        <v>908</v>
      </c>
      <c r="B909" t="s">
        <v>834</v>
      </c>
      <c r="C909">
        <v>44301.43472222222</v>
      </c>
      <c r="D909">
        <v>2021</v>
      </c>
      <c r="E909" t="s">
        <v>10</v>
      </c>
      <c r="F909" t="s">
        <v>1554</v>
      </c>
      <c r="G909" t="s">
        <v>21</v>
      </c>
      <c r="H909" s="1" t="s">
        <v>1575</v>
      </c>
      <c r="I909" t="s">
        <v>1616</v>
      </c>
      <c r="J909" s="2">
        <v>2243351</v>
      </c>
      <c r="K909" t="s">
        <v>12</v>
      </c>
      <c r="L909" t="s">
        <v>1651</v>
      </c>
    </row>
    <row r="910" spans="1:12" x14ac:dyDescent="0.3">
      <c r="A910">
        <v>909</v>
      </c>
      <c r="B910" t="s">
        <v>835</v>
      </c>
      <c r="C910">
        <v>44301.677777777775</v>
      </c>
      <c r="D910">
        <v>2021</v>
      </c>
      <c r="E910" t="s">
        <v>10</v>
      </c>
      <c r="F910" t="s">
        <v>1554</v>
      </c>
      <c r="G910" t="s">
        <v>290</v>
      </c>
      <c r="H910" s="1" t="s">
        <v>1575</v>
      </c>
      <c r="I910" t="s">
        <v>1579</v>
      </c>
      <c r="J910" s="2">
        <v>1712448</v>
      </c>
      <c r="K910" t="s">
        <v>12</v>
      </c>
      <c r="L910" t="s">
        <v>1650</v>
      </c>
    </row>
    <row r="911" spans="1:12" x14ac:dyDescent="0.3">
      <c r="A911">
        <v>910</v>
      </c>
      <c r="B911" t="s">
        <v>836</v>
      </c>
      <c r="C911">
        <v>44301.708333333336</v>
      </c>
      <c r="D911">
        <v>2021</v>
      </c>
      <c r="E911" t="s">
        <v>10</v>
      </c>
      <c r="F911" t="s">
        <v>1554</v>
      </c>
      <c r="G911" t="s">
        <v>15</v>
      </c>
      <c r="H911" s="1" t="s">
        <v>1575</v>
      </c>
      <c r="I911" t="s">
        <v>1579</v>
      </c>
      <c r="J911" s="2">
        <v>3003074</v>
      </c>
      <c r="K911" t="s">
        <v>12</v>
      </c>
      <c r="L911" t="s">
        <v>1651</v>
      </c>
    </row>
    <row r="912" spans="1:12" x14ac:dyDescent="0.3">
      <c r="A912">
        <v>911</v>
      </c>
      <c r="B912" t="s">
        <v>837</v>
      </c>
      <c r="C912">
        <v>44302.51666666667</v>
      </c>
      <c r="D912">
        <v>2021</v>
      </c>
      <c r="E912" t="s">
        <v>10</v>
      </c>
      <c r="F912" t="s">
        <v>1554</v>
      </c>
      <c r="G912" t="s">
        <v>229</v>
      </c>
      <c r="H912" s="1" t="s">
        <v>1575</v>
      </c>
      <c r="I912" t="s">
        <v>1635</v>
      </c>
      <c r="J912" s="2">
        <v>4058823</v>
      </c>
      <c r="K912" t="s">
        <v>12</v>
      </c>
      <c r="L912" t="s">
        <v>1649</v>
      </c>
    </row>
    <row r="913" spans="1:12" x14ac:dyDescent="0.3">
      <c r="A913">
        <v>912</v>
      </c>
      <c r="B913" t="s">
        <v>838</v>
      </c>
      <c r="C913">
        <v>44302.696527777778</v>
      </c>
      <c r="D913">
        <v>2021</v>
      </c>
      <c r="E913" t="s">
        <v>10</v>
      </c>
      <c r="F913" t="s">
        <v>1554</v>
      </c>
      <c r="G913" t="s">
        <v>15</v>
      </c>
      <c r="H913" s="1" t="s">
        <v>1575</v>
      </c>
      <c r="I913" t="s">
        <v>1581</v>
      </c>
      <c r="J913" s="2">
        <v>1723362</v>
      </c>
      <c r="K913" t="s">
        <v>16</v>
      </c>
      <c r="L913" t="s">
        <v>1653</v>
      </c>
    </row>
    <row r="914" spans="1:12" x14ac:dyDescent="0.3">
      <c r="A914">
        <v>913</v>
      </c>
      <c r="B914" t="s">
        <v>839</v>
      </c>
      <c r="C914">
        <v>44305.367361111108</v>
      </c>
      <c r="D914">
        <v>2021</v>
      </c>
      <c r="E914" t="s">
        <v>10</v>
      </c>
      <c r="F914" t="s">
        <v>1554</v>
      </c>
      <c r="G914" t="s">
        <v>11</v>
      </c>
      <c r="H914" s="1" t="s">
        <v>1575</v>
      </c>
      <c r="I914" t="s">
        <v>1577</v>
      </c>
      <c r="J914" s="2">
        <v>2470346</v>
      </c>
      <c r="K914" t="s">
        <v>121</v>
      </c>
      <c r="L914" t="s">
        <v>1648</v>
      </c>
    </row>
    <row r="915" spans="1:12" x14ac:dyDescent="0.3">
      <c r="A915">
        <v>914</v>
      </c>
      <c r="B915" t="s">
        <v>840</v>
      </c>
      <c r="C915">
        <v>44305.384027777778</v>
      </c>
      <c r="D915">
        <v>2021</v>
      </c>
      <c r="E915" t="s">
        <v>10</v>
      </c>
      <c r="F915" t="s">
        <v>1554</v>
      </c>
      <c r="G915" t="s">
        <v>11</v>
      </c>
      <c r="H915" s="1" t="s">
        <v>1575</v>
      </c>
      <c r="I915" t="s">
        <v>1577</v>
      </c>
      <c r="J915" s="2">
        <v>3847787</v>
      </c>
      <c r="K915" t="s">
        <v>121</v>
      </c>
      <c r="L915" t="s">
        <v>1649</v>
      </c>
    </row>
    <row r="916" spans="1:12" x14ac:dyDescent="0.3">
      <c r="A916">
        <v>915</v>
      </c>
      <c r="B916" t="s">
        <v>841</v>
      </c>
      <c r="C916">
        <v>44305.501388888886</v>
      </c>
      <c r="D916">
        <v>2021</v>
      </c>
      <c r="E916" t="s">
        <v>10</v>
      </c>
      <c r="F916" t="s">
        <v>1554</v>
      </c>
      <c r="G916" t="s">
        <v>21</v>
      </c>
      <c r="H916" s="1" t="s">
        <v>1575</v>
      </c>
      <c r="I916" t="s">
        <v>1616</v>
      </c>
      <c r="J916" s="2">
        <v>3064588</v>
      </c>
      <c r="K916" t="s">
        <v>12</v>
      </c>
      <c r="L916" t="s">
        <v>1649</v>
      </c>
    </row>
    <row r="917" spans="1:12" x14ac:dyDescent="0.3">
      <c r="A917">
        <v>916</v>
      </c>
      <c r="B917" t="s">
        <v>788</v>
      </c>
      <c r="C917">
        <v>44305.555555555555</v>
      </c>
      <c r="D917">
        <v>2021</v>
      </c>
      <c r="E917" t="s">
        <v>10</v>
      </c>
      <c r="F917" t="s">
        <v>1554</v>
      </c>
      <c r="G917" t="s">
        <v>15</v>
      </c>
      <c r="H917" s="1" t="s">
        <v>1575</v>
      </c>
      <c r="I917" t="s">
        <v>1579</v>
      </c>
      <c r="J917" s="2">
        <v>4244370</v>
      </c>
      <c r="K917" t="s">
        <v>12</v>
      </c>
      <c r="L917" t="s">
        <v>1650</v>
      </c>
    </row>
    <row r="918" spans="1:12" x14ac:dyDescent="0.3">
      <c r="A918">
        <v>917</v>
      </c>
      <c r="B918" t="s">
        <v>842</v>
      </c>
      <c r="C918">
        <v>44305.693749999999</v>
      </c>
      <c r="D918">
        <v>2021</v>
      </c>
      <c r="E918" t="s">
        <v>10</v>
      </c>
      <c r="F918" t="s">
        <v>1554</v>
      </c>
      <c r="G918" t="s">
        <v>290</v>
      </c>
      <c r="H918" s="1" t="s">
        <v>1575</v>
      </c>
      <c r="I918" t="s">
        <v>1579</v>
      </c>
      <c r="J918" s="2">
        <v>4486960</v>
      </c>
      <c r="K918" t="s">
        <v>12</v>
      </c>
      <c r="L918" t="s">
        <v>1653</v>
      </c>
    </row>
    <row r="919" spans="1:12" x14ac:dyDescent="0.3">
      <c r="A919">
        <v>918</v>
      </c>
      <c r="B919" t="s">
        <v>50</v>
      </c>
      <c r="C919">
        <v>44306.415277777778</v>
      </c>
      <c r="D919">
        <v>2021</v>
      </c>
      <c r="E919" t="s">
        <v>10</v>
      </c>
      <c r="F919" t="s">
        <v>1554</v>
      </c>
      <c r="G919" t="s">
        <v>591</v>
      </c>
      <c r="H919" s="1" t="s">
        <v>1575</v>
      </c>
      <c r="I919" t="s">
        <v>1454</v>
      </c>
      <c r="J919" s="2">
        <v>4262329</v>
      </c>
      <c r="K919" t="s">
        <v>121</v>
      </c>
      <c r="L919" t="s">
        <v>1652</v>
      </c>
    </row>
    <row r="920" spans="1:12" x14ac:dyDescent="0.3">
      <c r="A920">
        <v>919</v>
      </c>
      <c r="B920" t="s">
        <v>843</v>
      </c>
      <c r="C920">
        <v>44306.501388888886</v>
      </c>
      <c r="D920">
        <v>2021</v>
      </c>
      <c r="E920" t="s">
        <v>10</v>
      </c>
      <c r="F920" t="s">
        <v>1554</v>
      </c>
      <c r="G920" t="s">
        <v>67</v>
      </c>
      <c r="H920" s="1" t="s">
        <v>1575</v>
      </c>
      <c r="I920" t="s">
        <v>1637</v>
      </c>
      <c r="J920" s="2">
        <v>3013891</v>
      </c>
      <c r="K920" t="s">
        <v>12</v>
      </c>
      <c r="L920" t="s">
        <v>1653</v>
      </c>
    </row>
    <row r="921" spans="1:12" x14ac:dyDescent="0.3">
      <c r="A921">
        <v>920</v>
      </c>
      <c r="B921" t="s">
        <v>50</v>
      </c>
      <c r="C921">
        <v>44306.504166666666</v>
      </c>
      <c r="D921">
        <v>2021</v>
      </c>
      <c r="E921" t="s">
        <v>10</v>
      </c>
      <c r="F921" t="s">
        <v>1554</v>
      </c>
      <c r="G921" t="s">
        <v>591</v>
      </c>
      <c r="H921" s="1" t="s">
        <v>1575</v>
      </c>
      <c r="I921" t="s">
        <v>1454</v>
      </c>
      <c r="J921" s="2">
        <v>3610478</v>
      </c>
      <c r="K921" t="s">
        <v>121</v>
      </c>
      <c r="L921" t="s">
        <v>1653</v>
      </c>
    </row>
    <row r="922" spans="1:12" x14ac:dyDescent="0.3">
      <c r="A922">
        <v>921</v>
      </c>
      <c r="B922" t="s">
        <v>844</v>
      </c>
      <c r="C922">
        <v>44306.629861111112</v>
      </c>
      <c r="D922">
        <v>2021</v>
      </c>
      <c r="E922" t="s">
        <v>10</v>
      </c>
      <c r="F922" t="s">
        <v>1554</v>
      </c>
      <c r="G922" t="s">
        <v>23</v>
      </c>
      <c r="H922" s="1" t="s">
        <v>1575</v>
      </c>
      <c r="I922" t="s">
        <v>1579</v>
      </c>
      <c r="J922" s="2">
        <v>3051895</v>
      </c>
      <c r="K922" t="s">
        <v>12</v>
      </c>
      <c r="L922" t="s">
        <v>1651</v>
      </c>
    </row>
    <row r="923" spans="1:12" x14ac:dyDescent="0.3">
      <c r="A923">
        <v>922</v>
      </c>
      <c r="B923" t="s">
        <v>845</v>
      </c>
      <c r="C923">
        <v>44307.620833333334</v>
      </c>
      <c r="D923">
        <v>2021</v>
      </c>
      <c r="E923" t="s">
        <v>10</v>
      </c>
      <c r="F923" t="s">
        <v>1554</v>
      </c>
      <c r="G923" t="s">
        <v>23</v>
      </c>
      <c r="H923" s="1" t="s">
        <v>1575</v>
      </c>
      <c r="I923" t="s">
        <v>1579</v>
      </c>
      <c r="J923" s="2">
        <v>4387794</v>
      </c>
      <c r="K923" t="s">
        <v>12</v>
      </c>
      <c r="L923" t="s">
        <v>1648</v>
      </c>
    </row>
    <row r="924" spans="1:12" x14ac:dyDescent="0.3">
      <c r="A924">
        <v>923</v>
      </c>
      <c r="B924" t="s">
        <v>846</v>
      </c>
      <c r="C924">
        <v>44307.713194444441</v>
      </c>
      <c r="D924">
        <v>2021</v>
      </c>
      <c r="E924" t="s">
        <v>10</v>
      </c>
      <c r="F924" t="s">
        <v>1554</v>
      </c>
      <c r="G924" t="s">
        <v>18</v>
      </c>
      <c r="H924" s="1" t="s">
        <v>1575</v>
      </c>
      <c r="I924" t="s">
        <v>1579</v>
      </c>
      <c r="J924" s="2">
        <v>2394407</v>
      </c>
      <c r="K924" t="s">
        <v>12</v>
      </c>
      <c r="L924" t="s">
        <v>1649</v>
      </c>
    </row>
    <row r="925" spans="1:12" x14ac:dyDescent="0.3">
      <c r="A925">
        <v>924</v>
      </c>
      <c r="B925" t="s">
        <v>847</v>
      </c>
      <c r="C925">
        <v>44308.333333333336</v>
      </c>
      <c r="D925">
        <v>2021</v>
      </c>
      <c r="E925" t="s">
        <v>10</v>
      </c>
      <c r="F925" t="s">
        <v>1554</v>
      </c>
      <c r="G925" t="s">
        <v>11</v>
      </c>
      <c r="H925" s="1" t="s">
        <v>1575</v>
      </c>
      <c r="I925" t="s">
        <v>1577</v>
      </c>
      <c r="J925" s="2">
        <v>1315113</v>
      </c>
      <c r="K925" t="s">
        <v>121</v>
      </c>
      <c r="L925" t="s">
        <v>1653</v>
      </c>
    </row>
    <row r="926" spans="1:12" x14ac:dyDescent="0.3">
      <c r="A926">
        <v>925</v>
      </c>
      <c r="B926" t="s">
        <v>848</v>
      </c>
      <c r="C926">
        <v>44308.395138888889</v>
      </c>
      <c r="D926">
        <v>2021</v>
      </c>
      <c r="E926" t="s">
        <v>10</v>
      </c>
      <c r="F926" t="s">
        <v>1554</v>
      </c>
      <c r="G926" t="s">
        <v>11</v>
      </c>
      <c r="H926" s="1" t="s">
        <v>1575</v>
      </c>
      <c r="I926" t="s">
        <v>1577</v>
      </c>
      <c r="J926" s="2">
        <v>4528569</v>
      </c>
      <c r="K926" t="s">
        <v>121</v>
      </c>
      <c r="L926" t="s">
        <v>1653</v>
      </c>
    </row>
    <row r="927" spans="1:12" x14ac:dyDescent="0.3">
      <c r="A927">
        <v>926</v>
      </c>
      <c r="B927" t="s">
        <v>849</v>
      </c>
      <c r="C927">
        <v>44308.440972222219</v>
      </c>
      <c r="D927">
        <v>2021</v>
      </c>
      <c r="E927" t="s">
        <v>10</v>
      </c>
      <c r="F927" t="s">
        <v>1554</v>
      </c>
      <c r="G927" t="s">
        <v>15</v>
      </c>
      <c r="H927" s="1" t="s">
        <v>1575</v>
      </c>
      <c r="I927" t="s">
        <v>1579</v>
      </c>
      <c r="J927" s="2">
        <v>4239483</v>
      </c>
      <c r="K927" t="s">
        <v>12</v>
      </c>
      <c r="L927" t="s">
        <v>1653</v>
      </c>
    </row>
    <row r="928" spans="1:12" x14ac:dyDescent="0.3">
      <c r="A928">
        <v>927</v>
      </c>
      <c r="B928" t="s">
        <v>850</v>
      </c>
      <c r="C928">
        <v>44308.445138888892</v>
      </c>
      <c r="D928">
        <v>2021</v>
      </c>
      <c r="E928" t="s">
        <v>10</v>
      </c>
      <c r="F928" t="s">
        <v>1554</v>
      </c>
      <c r="G928" t="s">
        <v>15</v>
      </c>
      <c r="H928" s="1" t="s">
        <v>1573</v>
      </c>
      <c r="I928" t="s">
        <v>1579</v>
      </c>
      <c r="J928" s="2">
        <v>1908464</v>
      </c>
      <c r="K928" t="s">
        <v>12</v>
      </c>
      <c r="L928" t="s">
        <v>1649</v>
      </c>
    </row>
    <row r="929" spans="1:12" x14ac:dyDescent="0.3">
      <c r="A929">
        <v>928</v>
      </c>
      <c r="B929" t="s">
        <v>851</v>
      </c>
      <c r="C929">
        <v>44308.532638888886</v>
      </c>
      <c r="D929">
        <v>2021</v>
      </c>
      <c r="E929" t="s">
        <v>10</v>
      </c>
      <c r="F929" t="s">
        <v>1554</v>
      </c>
      <c r="G929" t="s">
        <v>11</v>
      </c>
      <c r="H929" s="1" t="s">
        <v>1571</v>
      </c>
      <c r="I929" t="s">
        <v>1577</v>
      </c>
      <c r="J929" s="2">
        <v>2315952</v>
      </c>
      <c r="K929" t="s">
        <v>121</v>
      </c>
      <c r="L929" t="s">
        <v>1652</v>
      </c>
    </row>
    <row r="930" spans="1:12" x14ac:dyDescent="0.3">
      <c r="A930">
        <v>929</v>
      </c>
      <c r="B930" t="s">
        <v>852</v>
      </c>
      <c r="C930">
        <v>44308.615277777775</v>
      </c>
      <c r="D930">
        <v>2021</v>
      </c>
      <c r="E930" t="s">
        <v>10</v>
      </c>
      <c r="F930" t="s">
        <v>1554</v>
      </c>
      <c r="G930" t="s">
        <v>11</v>
      </c>
      <c r="H930" s="1" t="s">
        <v>1562</v>
      </c>
      <c r="I930" t="s">
        <v>1577</v>
      </c>
      <c r="J930" s="2">
        <v>4438718</v>
      </c>
      <c r="K930" t="s">
        <v>121</v>
      </c>
      <c r="L930" t="s">
        <v>1652</v>
      </c>
    </row>
    <row r="931" spans="1:12" x14ac:dyDescent="0.3">
      <c r="A931">
        <v>930</v>
      </c>
      <c r="B931" t="s">
        <v>853</v>
      </c>
      <c r="C931">
        <v>44308.617361111108</v>
      </c>
      <c r="D931">
        <v>2021</v>
      </c>
      <c r="E931" t="s">
        <v>10</v>
      </c>
      <c r="F931" t="s">
        <v>1554</v>
      </c>
      <c r="G931" t="s">
        <v>11</v>
      </c>
      <c r="H931" s="1" t="s">
        <v>1569</v>
      </c>
      <c r="I931" t="s">
        <v>1577</v>
      </c>
      <c r="J931" s="2">
        <v>2717307</v>
      </c>
      <c r="K931" t="s">
        <v>121</v>
      </c>
      <c r="L931" t="s">
        <v>1650</v>
      </c>
    </row>
    <row r="932" spans="1:12" x14ac:dyDescent="0.3">
      <c r="A932">
        <v>931</v>
      </c>
      <c r="B932" t="s">
        <v>854</v>
      </c>
      <c r="C932">
        <v>44308.619444444441</v>
      </c>
      <c r="D932">
        <v>2021</v>
      </c>
      <c r="E932" t="s">
        <v>10</v>
      </c>
      <c r="F932" t="s">
        <v>1554</v>
      </c>
      <c r="G932" t="s">
        <v>11</v>
      </c>
      <c r="H932" s="1" t="s">
        <v>1574</v>
      </c>
      <c r="I932" t="s">
        <v>1577</v>
      </c>
      <c r="J932" s="2">
        <v>4879327</v>
      </c>
      <c r="K932" t="s">
        <v>121</v>
      </c>
      <c r="L932" t="s">
        <v>1651</v>
      </c>
    </row>
    <row r="933" spans="1:12" x14ac:dyDescent="0.3">
      <c r="A933">
        <v>932</v>
      </c>
      <c r="B933" t="s">
        <v>855</v>
      </c>
      <c r="C933">
        <v>44308.620138888888</v>
      </c>
      <c r="D933">
        <v>2021</v>
      </c>
      <c r="E933" t="s">
        <v>10</v>
      </c>
      <c r="F933" t="s">
        <v>1554</v>
      </c>
      <c r="G933" t="s">
        <v>11</v>
      </c>
      <c r="H933" s="1" t="s">
        <v>1567</v>
      </c>
      <c r="I933" t="s">
        <v>1577</v>
      </c>
      <c r="J933" s="2">
        <v>3868728</v>
      </c>
      <c r="K933" t="s">
        <v>121</v>
      </c>
      <c r="L933" t="s">
        <v>1653</v>
      </c>
    </row>
    <row r="934" spans="1:12" x14ac:dyDescent="0.3">
      <c r="A934">
        <v>933</v>
      </c>
      <c r="B934" t="s">
        <v>856</v>
      </c>
      <c r="C934">
        <v>44308.652777777781</v>
      </c>
      <c r="D934">
        <v>2021</v>
      </c>
      <c r="E934" t="s">
        <v>10</v>
      </c>
      <c r="F934" t="s">
        <v>1554</v>
      </c>
      <c r="G934" t="s">
        <v>11</v>
      </c>
      <c r="H934" s="1" t="s">
        <v>1564</v>
      </c>
      <c r="I934" t="s">
        <v>1577</v>
      </c>
      <c r="J934" s="2">
        <v>2754502</v>
      </c>
      <c r="K934" t="s">
        <v>121</v>
      </c>
      <c r="L934" t="s">
        <v>1653</v>
      </c>
    </row>
    <row r="935" spans="1:12" x14ac:dyDescent="0.3">
      <c r="A935">
        <v>934</v>
      </c>
      <c r="B935" t="s">
        <v>857</v>
      </c>
      <c r="C935">
        <v>44308.656944444447</v>
      </c>
      <c r="D935">
        <v>2021</v>
      </c>
      <c r="E935" t="s">
        <v>10</v>
      </c>
      <c r="F935" t="s">
        <v>1554</v>
      </c>
      <c r="G935" t="s">
        <v>62</v>
      </c>
      <c r="H935" s="1" t="s">
        <v>1565</v>
      </c>
      <c r="I935" t="s">
        <v>1634</v>
      </c>
      <c r="J935" s="2">
        <v>4800857</v>
      </c>
      <c r="K935" t="s">
        <v>121</v>
      </c>
      <c r="L935" t="s">
        <v>1648</v>
      </c>
    </row>
    <row r="936" spans="1:12" x14ac:dyDescent="0.3">
      <c r="A936">
        <v>935</v>
      </c>
      <c r="B936" t="s">
        <v>858</v>
      </c>
      <c r="C936">
        <v>44308.661805555559</v>
      </c>
      <c r="D936">
        <v>2021</v>
      </c>
      <c r="E936" t="s">
        <v>10</v>
      </c>
      <c r="F936" t="s">
        <v>1554</v>
      </c>
      <c r="G936" t="s">
        <v>11</v>
      </c>
      <c r="H936" s="1" t="s">
        <v>1569</v>
      </c>
      <c r="I936" t="s">
        <v>1577</v>
      </c>
      <c r="J936" s="2">
        <v>3508363</v>
      </c>
      <c r="K936" t="s">
        <v>121</v>
      </c>
      <c r="L936" t="s">
        <v>1648</v>
      </c>
    </row>
    <row r="937" spans="1:12" x14ac:dyDescent="0.3">
      <c r="A937">
        <v>936</v>
      </c>
      <c r="B937" t="s">
        <v>859</v>
      </c>
      <c r="C937">
        <v>44309.463194444441</v>
      </c>
      <c r="D937">
        <v>2021</v>
      </c>
      <c r="E937" t="s">
        <v>10</v>
      </c>
      <c r="F937" t="s">
        <v>1554</v>
      </c>
      <c r="G937" t="s">
        <v>21</v>
      </c>
      <c r="H937" s="1" t="s">
        <v>1563</v>
      </c>
      <c r="I937" t="s">
        <v>1616</v>
      </c>
      <c r="J937" s="2">
        <v>3974043</v>
      </c>
      <c r="K937" t="s">
        <v>12</v>
      </c>
      <c r="L937" t="s">
        <v>1649</v>
      </c>
    </row>
    <row r="938" spans="1:12" x14ac:dyDescent="0.3">
      <c r="A938">
        <v>937</v>
      </c>
      <c r="B938" t="s">
        <v>170</v>
      </c>
      <c r="C938">
        <v>44309.511805555558</v>
      </c>
      <c r="D938">
        <v>2021</v>
      </c>
      <c r="E938" t="s">
        <v>10</v>
      </c>
      <c r="F938" t="s">
        <v>1554</v>
      </c>
      <c r="G938" t="s">
        <v>23</v>
      </c>
      <c r="H938" s="1" t="s">
        <v>1564</v>
      </c>
      <c r="I938" t="s">
        <v>1579</v>
      </c>
      <c r="J938" s="2">
        <v>1248311</v>
      </c>
      <c r="K938" t="s">
        <v>12</v>
      </c>
      <c r="L938" t="s">
        <v>1651</v>
      </c>
    </row>
    <row r="939" spans="1:12" x14ac:dyDescent="0.3">
      <c r="A939">
        <v>938</v>
      </c>
      <c r="B939" t="s">
        <v>860</v>
      </c>
      <c r="C939">
        <v>44309.67291666667</v>
      </c>
      <c r="D939">
        <v>2021</v>
      </c>
      <c r="E939" t="s">
        <v>10</v>
      </c>
      <c r="F939" t="s">
        <v>1554</v>
      </c>
      <c r="G939" t="s">
        <v>15</v>
      </c>
      <c r="H939" s="1" t="s">
        <v>1568</v>
      </c>
      <c r="I939" t="s">
        <v>1579</v>
      </c>
      <c r="J939" s="2">
        <v>3234031</v>
      </c>
      <c r="K939" t="s">
        <v>12</v>
      </c>
      <c r="L939" t="s">
        <v>1653</v>
      </c>
    </row>
    <row r="940" spans="1:12" x14ac:dyDescent="0.3">
      <c r="A940">
        <v>939</v>
      </c>
      <c r="B940" t="s">
        <v>861</v>
      </c>
      <c r="C940">
        <v>44312.385416666664</v>
      </c>
      <c r="D940">
        <v>2021</v>
      </c>
      <c r="E940" t="s">
        <v>10</v>
      </c>
      <c r="F940" t="s">
        <v>1554</v>
      </c>
      <c r="G940" t="s">
        <v>15</v>
      </c>
      <c r="H940" s="1" t="s">
        <v>1566</v>
      </c>
      <c r="I940" t="s">
        <v>1579</v>
      </c>
      <c r="J940" s="2">
        <v>1528852</v>
      </c>
      <c r="K940" t="s">
        <v>12</v>
      </c>
      <c r="L940" t="s">
        <v>1652</v>
      </c>
    </row>
    <row r="941" spans="1:12" x14ac:dyDescent="0.3">
      <c r="A941">
        <v>940</v>
      </c>
      <c r="B941" t="s">
        <v>862</v>
      </c>
      <c r="C941">
        <v>44312.493055555555</v>
      </c>
      <c r="D941">
        <v>2021</v>
      </c>
      <c r="E941" t="s">
        <v>10</v>
      </c>
      <c r="F941" t="s">
        <v>1554</v>
      </c>
      <c r="G941" t="s">
        <v>290</v>
      </c>
      <c r="H941" s="1" t="s">
        <v>1574</v>
      </c>
      <c r="I941" t="s">
        <v>1579</v>
      </c>
      <c r="J941" s="2">
        <v>4403875</v>
      </c>
      <c r="K941" t="s">
        <v>12</v>
      </c>
      <c r="L941" t="s">
        <v>1652</v>
      </c>
    </row>
    <row r="942" spans="1:12" x14ac:dyDescent="0.3">
      <c r="A942">
        <v>941</v>
      </c>
      <c r="B942" t="s">
        <v>863</v>
      </c>
      <c r="C942">
        <v>44312.515972222223</v>
      </c>
      <c r="D942">
        <v>2021</v>
      </c>
      <c r="E942" t="s">
        <v>10</v>
      </c>
      <c r="F942" t="s">
        <v>1554</v>
      </c>
      <c r="G942" t="s">
        <v>18</v>
      </c>
      <c r="H942" s="1" t="s">
        <v>1576</v>
      </c>
      <c r="I942" t="s">
        <v>1579</v>
      </c>
      <c r="J942" s="2">
        <v>2190573</v>
      </c>
      <c r="K942" t="s">
        <v>12</v>
      </c>
      <c r="L942" t="s">
        <v>1651</v>
      </c>
    </row>
    <row r="943" spans="1:12" x14ac:dyDescent="0.3">
      <c r="A943">
        <v>942</v>
      </c>
      <c r="B943" t="s">
        <v>864</v>
      </c>
      <c r="C943">
        <v>44312.592361111114</v>
      </c>
      <c r="D943">
        <v>2021</v>
      </c>
      <c r="E943" t="s">
        <v>10</v>
      </c>
      <c r="F943" t="s">
        <v>1554</v>
      </c>
      <c r="G943" t="s">
        <v>11</v>
      </c>
      <c r="H943" s="1" t="s">
        <v>1565</v>
      </c>
      <c r="I943" t="s">
        <v>1577</v>
      </c>
      <c r="J943" s="2">
        <v>4597707</v>
      </c>
      <c r="K943" t="s">
        <v>121</v>
      </c>
      <c r="L943" t="s">
        <v>1653</v>
      </c>
    </row>
    <row r="944" spans="1:12" x14ac:dyDescent="0.3">
      <c r="A944">
        <v>943</v>
      </c>
      <c r="B944" t="s">
        <v>865</v>
      </c>
      <c r="C944">
        <v>44312.661111111112</v>
      </c>
      <c r="D944">
        <v>2021</v>
      </c>
      <c r="E944" t="s">
        <v>10</v>
      </c>
      <c r="F944" t="s">
        <v>1554</v>
      </c>
      <c r="G944" t="s">
        <v>18</v>
      </c>
      <c r="H944" s="1" t="s">
        <v>1575</v>
      </c>
      <c r="I944" t="s">
        <v>1582</v>
      </c>
      <c r="J944" s="2">
        <v>4449190</v>
      </c>
      <c r="K944" t="s">
        <v>16</v>
      </c>
      <c r="L944" t="s">
        <v>1652</v>
      </c>
    </row>
    <row r="945" spans="1:12" x14ac:dyDescent="0.3">
      <c r="A945">
        <v>944</v>
      </c>
      <c r="B945" t="s">
        <v>866</v>
      </c>
      <c r="C945">
        <v>44312.667361111111</v>
      </c>
      <c r="D945">
        <v>2021</v>
      </c>
      <c r="E945" t="s">
        <v>10</v>
      </c>
      <c r="F945" t="s">
        <v>1554</v>
      </c>
      <c r="G945" t="s">
        <v>21</v>
      </c>
      <c r="H945" s="1" t="s">
        <v>1571</v>
      </c>
      <c r="I945" t="s">
        <v>1616</v>
      </c>
      <c r="J945" s="2">
        <v>2343004</v>
      </c>
      <c r="K945" t="s">
        <v>12</v>
      </c>
      <c r="L945" t="s">
        <v>1651</v>
      </c>
    </row>
    <row r="946" spans="1:12" x14ac:dyDescent="0.3">
      <c r="A946">
        <v>945</v>
      </c>
      <c r="B946" t="s">
        <v>867</v>
      </c>
      <c r="C946">
        <v>44312.677777777775</v>
      </c>
      <c r="D946">
        <v>2021</v>
      </c>
      <c r="E946" t="s">
        <v>10</v>
      </c>
      <c r="F946" t="s">
        <v>1554</v>
      </c>
      <c r="G946" t="s">
        <v>67</v>
      </c>
      <c r="H946" s="1" t="s">
        <v>1573</v>
      </c>
      <c r="I946" t="s">
        <v>1637</v>
      </c>
      <c r="J946" s="2">
        <v>1382749</v>
      </c>
      <c r="K946" t="s">
        <v>12</v>
      </c>
      <c r="L946" t="s">
        <v>1648</v>
      </c>
    </row>
    <row r="947" spans="1:12" x14ac:dyDescent="0.3">
      <c r="A947">
        <v>946</v>
      </c>
      <c r="B947" t="s">
        <v>868</v>
      </c>
      <c r="C947">
        <v>44313.367361111108</v>
      </c>
      <c r="D947">
        <v>2021</v>
      </c>
      <c r="E947" t="s">
        <v>10</v>
      </c>
      <c r="F947" t="s">
        <v>1554</v>
      </c>
      <c r="G947" t="s">
        <v>11</v>
      </c>
      <c r="H947" s="1" t="s">
        <v>1562</v>
      </c>
      <c r="I947" t="s">
        <v>1577</v>
      </c>
      <c r="J947" s="2">
        <v>1522356</v>
      </c>
      <c r="K947" t="s">
        <v>121</v>
      </c>
      <c r="L947" t="s">
        <v>1650</v>
      </c>
    </row>
    <row r="948" spans="1:12" x14ac:dyDescent="0.3">
      <c r="A948">
        <v>947</v>
      </c>
      <c r="B948" t="s">
        <v>869</v>
      </c>
      <c r="C948">
        <v>44313.604166666664</v>
      </c>
      <c r="D948">
        <v>2021</v>
      </c>
      <c r="E948" t="s">
        <v>10</v>
      </c>
      <c r="F948" t="s">
        <v>1552</v>
      </c>
      <c r="G948" t="s">
        <v>18</v>
      </c>
      <c r="H948" s="1" t="s">
        <v>1565</v>
      </c>
      <c r="I948" t="s">
        <v>1579</v>
      </c>
      <c r="J948" s="2">
        <v>1341563</v>
      </c>
      <c r="K948" t="s">
        <v>12</v>
      </c>
      <c r="L948" t="s">
        <v>1652</v>
      </c>
    </row>
    <row r="949" spans="1:12" x14ac:dyDescent="0.3">
      <c r="A949">
        <v>948</v>
      </c>
      <c r="B949" t="s">
        <v>408</v>
      </c>
      <c r="C949">
        <v>44314.411111111112</v>
      </c>
      <c r="D949">
        <v>2021</v>
      </c>
      <c r="E949" t="s">
        <v>10</v>
      </c>
      <c r="F949" t="s">
        <v>20</v>
      </c>
      <c r="G949" t="s">
        <v>23</v>
      </c>
      <c r="H949" s="1" t="s">
        <v>1572</v>
      </c>
      <c r="I949" t="s">
        <v>1579</v>
      </c>
      <c r="J949" s="2">
        <v>2832161</v>
      </c>
      <c r="K949" t="s">
        <v>12</v>
      </c>
      <c r="L949" t="s">
        <v>1652</v>
      </c>
    </row>
    <row r="950" spans="1:12" x14ac:dyDescent="0.3">
      <c r="A950">
        <v>949</v>
      </c>
      <c r="B950" t="s">
        <v>870</v>
      </c>
      <c r="C950">
        <v>44314.484027777777</v>
      </c>
      <c r="D950">
        <v>2021</v>
      </c>
      <c r="E950" t="s">
        <v>10</v>
      </c>
      <c r="F950" t="s">
        <v>1555</v>
      </c>
      <c r="G950" t="s">
        <v>15</v>
      </c>
      <c r="H950" s="1" t="s">
        <v>1569</v>
      </c>
      <c r="I950" t="s">
        <v>1579</v>
      </c>
      <c r="J950" s="2">
        <v>4897338</v>
      </c>
      <c r="K950" t="s">
        <v>12</v>
      </c>
      <c r="L950" t="s">
        <v>1653</v>
      </c>
    </row>
    <row r="951" spans="1:12" x14ac:dyDescent="0.3">
      <c r="A951">
        <v>950</v>
      </c>
      <c r="B951" t="s">
        <v>871</v>
      </c>
      <c r="C951">
        <v>44314.576388888891</v>
      </c>
      <c r="D951">
        <v>2021</v>
      </c>
      <c r="E951" t="s">
        <v>10</v>
      </c>
      <c r="F951" t="s">
        <v>1553</v>
      </c>
      <c r="G951" t="s">
        <v>15</v>
      </c>
      <c r="H951" s="1" t="s">
        <v>1563</v>
      </c>
      <c r="I951" t="s">
        <v>1579</v>
      </c>
      <c r="J951" s="2">
        <v>1000403</v>
      </c>
      <c r="K951" t="s">
        <v>12</v>
      </c>
      <c r="L951" t="s">
        <v>1648</v>
      </c>
    </row>
    <row r="952" spans="1:12" x14ac:dyDescent="0.3">
      <c r="A952">
        <v>951</v>
      </c>
      <c r="B952" t="s">
        <v>50</v>
      </c>
      <c r="C952">
        <v>44315.369444444441</v>
      </c>
      <c r="D952">
        <v>2021</v>
      </c>
      <c r="E952" t="s">
        <v>10</v>
      </c>
      <c r="F952" t="s">
        <v>1556</v>
      </c>
      <c r="G952" t="s">
        <v>15</v>
      </c>
      <c r="H952" s="1" t="s">
        <v>1567</v>
      </c>
      <c r="I952" t="s">
        <v>1591</v>
      </c>
      <c r="J952" s="2">
        <v>4522071</v>
      </c>
      <c r="K952" t="s">
        <v>12</v>
      </c>
      <c r="L952" t="s">
        <v>1652</v>
      </c>
    </row>
    <row r="953" spans="1:12" x14ac:dyDescent="0.3">
      <c r="A953">
        <v>952</v>
      </c>
      <c r="B953" t="s">
        <v>50</v>
      </c>
      <c r="C953">
        <v>44319.304166666669</v>
      </c>
      <c r="D953">
        <v>2021</v>
      </c>
      <c r="E953" t="s">
        <v>10</v>
      </c>
      <c r="F953" t="s">
        <v>1552</v>
      </c>
      <c r="G953" t="s">
        <v>591</v>
      </c>
      <c r="H953" s="1" t="s">
        <v>1568</v>
      </c>
      <c r="I953" t="s">
        <v>1454</v>
      </c>
      <c r="J953" s="2">
        <v>2824460</v>
      </c>
      <c r="K953" t="s">
        <v>121</v>
      </c>
      <c r="L953" t="s">
        <v>1648</v>
      </c>
    </row>
    <row r="954" spans="1:12" x14ac:dyDescent="0.3">
      <c r="A954">
        <v>953</v>
      </c>
      <c r="B954" t="s">
        <v>872</v>
      </c>
      <c r="C954">
        <v>44319.390972222223</v>
      </c>
      <c r="D954">
        <v>2021</v>
      </c>
      <c r="E954" t="s">
        <v>10</v>
      </c>
      <c r="F954" t="s">
        <v>20</v>
      </c>
      <c r="G954" t="s">
        <v>15</v>
      </c>
      <c r="H954" s="1" t="s">
        <v>1563</v>
      </c>
      <c r="I954" t="s">
        <v>1579</v>
      </c>
      <c r="J954" s="2">
        <v>3259795</v>
      </c>
      <c r="K954" t="s">
        <v>12</v>
      </c>
      <c r="L954" t="s">
        <v>1650</v>
      </c>
    </row>
    <row r="955" spans="1:12" x14ac:dyDescent="0.3">
      <c r="A955">
        <v>954</v>
      </c>
      <c r="B955" t="s">
        <v>873</v>
      </c>
      <c r="C955">
        <v>44319.409722222219</v>
      </c>
      <c r="D955">
        <v>2021</v>
      </c>
      <c r="E955" t="s">
        <v>10</v>
      </c>
      <c r="F955" t="s">
        <v>1555</v>
      </c>
      <c r="G955" t="s">
        <v>21</v>
      </c>
      <c r="H955" s="1" t="s">
        <v>1574</v>
      </c>
      <c r="I955" t="s">
        <v>1616</v>
      </c>
      <c r="J955" s="2">
        <v>1166337</v>
      </c>
      <c r="K955" t="s">
        <v>12</v>
      </c>
      <c r="L955" t="s">
        <v>1650</v>
      </c>
    </row>
    <row r="956" spans="1:12" x14ac:dyDescent="0.3">
      <c r="A956">
        <v>955</v>
      </c>
      <c r="B956" t="s">
        <v>875</v>
      </c>
      <c r="C956">
        <v>44319.428472222222</v>
      </c>
      <c r="D956">
        <v>2021</v>
      </c>
      <c r="E956" t="s">
        <v>10</v>
      </c>
      <c r="F956" t="s">
        <v>1553</v>
      </c>
      <c r="G956" t="s">
        <v>11</v>
      </c>
      <c r="H956" s="1" t="s">
        <v>1568</v>
      </c>
      <c r="I956" t="s">
        <v>1577</v>
      </c>
      <c r="J956" s="2">
        <v>1185476</v>
      </c>
      <c r="K956" t="s">
        <v>121</v>
      </c>
      <c r="L956" t="s">
        <v>1652</v>
      </c>
    </row>
    <row r="957" spans="1:12" x14ac:dyDescent="0.3">
      <c r="A957">
        <v>956</v>
      </c>
      <c r="B957" t="s">
        <v>876</v>
      </c>
      <c r="C957">
        <v>44319.455555555556</v>
      </c>
      <c r="D957">
        <v>2021</v>
      </c>
      <c r="E957" t="s">
        <v>10</v>
      </c>
      <c r="F957" t="s">
        <v>1556</v>
      </c>
      <c r="G957" t="s">
        <v>18</v>
      </c>
      <c r="H957" s="1" t="s">
        <v>1565</v>
      </c>
      <c r="I957" t="s">
        <v>1579</v>
      </c>
      <c r="J957" s="2">
        <v>2275893</v>
      </c>
      <c r="K957" t="s">
        <v>12</v>
      </c>
      <c r="L957" t="s">
        <v>1650</v>
      </c>
    </row>
    <row r="958" spans="1:12" x14ac:dyDescent="0.3">
      <c r="A958">
        <v>957</v>
      </c>
      <c r="B958" t="s">
        <v>877</v>
      </c>
      <c r="C958">
        <v>44320.453472222223</v>
      </c>
      <c r="D958">
        <v>2021</v>
      </c>
      <c r="E958" t="s">
        <v>10</v>
      </c>
      <c r="F958" t="s">
        <v>1552</v>
      </c>
      <c r="G958" t="s">
        <v>21</v>
      </c>
      <c r="H958" s="1" t="s">
        <v>1576</v>
      </c>
      <c r="I958" t="s">
        <v>1616</v>
      </c>
      <c r="J958" s="2">
        <v>3580459</v>
      </c>
      <c r="K958" t="s">
        <v>12</v>
      </c>
      <c r="L958" t="s">
        <v>1652</v>
      </c>
    </row>
    <row r="959" spans="1:12" x14ac:dyDescent="0.3">
      <c r="A959">
        <v>958</v>
      </c>
      <c r="B959" t="s">
        <v>878</v>
      </c>
      <c r="C959">
        <v>44320.664583333331</v>
      </c>
      <c r="D959">
        <v>2021</v>
      </c>
      <c r="E959" t="s">
        <v>10</v>
      </c>
      <c r="F959" t="s">
        <v>20</v>
      </c>
      <c r="G959" t="s">
        <v>15</v>
      </c>
      <c r="H959" s="1" t="s">
        <v>1568</v>
      </c>
      <c r="I959" t="s">
        <v>1579</v>
      </c>
      <c r="J959" s="2">
        <v>2220019</v>
      </c>
      <c r="K959" t="s">
        <v>12</v>
      </c>
      <c r="L959" t="s">
        <v>1649</v>
      </c>
    </row>
    <row r="960" spans="1:12" x14ac:dyDescent="0.3">
      <c r="A960">
        <v>959</v>
      </c>
      <c r="B960" t="s">
        <v>838</v>
      </c>
      <c r="C960">
        <v>44321.443749999999</v>
      </c>
      <c r="D960">
        <v>2021</v>
      </c>
      <c r="E960" t="s">
        <v>10</v>
      </c>
      <c r="F960" t="s">
        <v>1555</v>
      </c>
      <c r="G960" t="s">
        <v>15</v>
      </c>
      <c r="H960" s="1" t="s">
        <v>1574</v>
      </c>
      <c r="I960" t="s">
        <v>1582</v>
      </c>
      <c r="J960" s="2">
        <v>2208906</v>
      </c>
      <c r="K960" t="s">
        <v>16</v>
      </c>
      <c r="L960" t="s">
        <v>1652</v>
      </c>
    </row>
    <row r="961" spans="1:12" x14ac:dyDescent="0.3">
      <c r="A961">
        <v>960</v>
      </c>
      <c r="B961" t="s">
        <v>879</v>
      </c>
      <c r="C961">
        <v>44321.489583333336</v>
      </c>
      <c r="D961">
        <v>2021</v>
      </c>
      <c r="E961" t="s">
        <v>10</v>
      </c>
      <c r="F961" t="s">
        <v>1553</v>
      </c>
      <c r="G961" t="s">
        <v>18</v>
      </c>
      <c r="H961" s="1" t="s">
        <v>1572</v>
      </c>
      <c r="I961" t="s">
        <v>1579</v>
      </c>
      <c r="J961" s="2">
        <v>1422332</v>
      </c>
      <c r="K961" t="s">
        <v>12</v>
      </c>
      <c r="L961" t="s">
        <v>1648</v>
      </c>
    </row>
    <row r="962" spans="1:12" x14ac:dyDescent="0.3">
      <c r="A962">
        <v>961</v>
      </c>
      <c r="B962" t="s">
        <v>880</v>
      </c>
      <c r="C962">
        <v>44321.517361111109</v>
      </c>
      <c r="D962">
        <v>2021</v>
      </c>
      <c r="E962" t="s">
        <v>10</v>
      </c>
      <c r="F962" t="s">
        <v>1556</v>
      </c>
      <c r="G962" t="s">
        <v>11</v>
      </c>
      <c r="H962" s="1" t="s">
        <v>1570</v>
      </c>
      <c r="I962" t="s">
        <v>1577</v>
      </c>
      <c r="J962" s="2">
        <v>4115957</v>
      </c>
      <c r="K962" t="s">
        <v>121</v>
      </c>
      <c r="L962" t="s">
        <v>1653</v>
      </c>
    </row>
    <row r="963" spans="1:12" x14ac:dyDescent="0.3">
      <c r="A963">
        <v>962</v>
      </c>
      <c r="B963" t="s">
        <v>881</v>
      </c>
      <c r="C963">
        <v>44321.520138888889</v>
      </c>
      <c r="D963">
        <v>2021</v>
      </c>
      <c r="E963" t="s">
        <v>10</v>
      </c>
      <c r="F963" t="s">
        <v>1552</v>
      </c>
      <c r="G963" t="s">
        <v>11</v>
      </c>
      <c r="H963" s="1" t="s">
        <v>1569</v>
      </c>
      <c r="I963" t="s">
        <v>1577</v>
      </c>
      <c r="J963" s="2">
        <v>4739429</v>
      </c>
      <c r="K963" t="s">
        <v>121</v>
      </c>
      <c r="L963" t="s">
        <v>1652</v>
      </c>
    </row>
    <row r="964" spans="1:12" x14ac:dyDescent="0.3">
      <c r="A964">
        <v>963</v>
      </c>
      <c r="B964" t="s">
        <v>882</v>
      </c>
      <c r="C964">
        <v>44321.609027777777</v>
      </c>
      <c r="D964">
        <v>2021</v>
      </c>
      <c r="E964" t="s">
        <v>10</v>
      </c>
      <c r="F964" t="s">
        <v>20</v>
      </c>
      <c r="G964" t="s">
        <v>18</v>
      </c>
      <c r="H964" s="1" t="s">
        <v>1565</v>
      </c>
      <c r="I964" t="s">
        <v>1579</v>
      </c>
      <c r="J964" s="2">
        <v>1605942</v>
      </c>
      <c r="K964" t="s">
        <v>12</v>
      </c>
      <c r="L964" t="s">
        <v>1648</v>
      </c>
    </row>
    <row r="965" spans="1:12" x14ac:dyDescent="0.3">
      <c r="A965">
        <v>964</v>
      </c>
      <c r="B965" t="s">
        <v>883</v>
      </c>
      <c r="C965">
        <v>44321.845138888886</v>
      </c>
      <c r="D965">
        <v>2021</v>
      </c>
      <c r="E965" t="s">
        <v>10</v>
      </c>
      <c r="F965" t="s">
        <v>1555</v>
      </c>
      <c r="G965" t="s">
        <v>339</v>
      </c>
      <c r="H965" s="1" t="s">
        <v>1576</v>
      </c>
      <c r="I965" t="s">
        <v>1579</v>
      </c>
      <c r="J965" s="2">
        <v>2436377</v>
      </c>
      <c r="K965" t="s">
        <v>12</v>
      </c>
      <c r="L965" t="s">
        <v>1651</v>
      </c>
    </row>
    <row r="966" spans="1:12" x14ac:dyDescent="0.3">
      <c r="A966">
        <v>965</v>
      </c>
      <c r="B966" t="s">
        <v>884</v>
      </c>
      <c r="C966">
        <v>44322.416666666664</v>
      </c>
      <c r="D966">
        <v>2021</v>
      </c>
      <c r="E966" t="s">
        <v>10</v>
      </c>
      <c r="F966" t="s">
        <v>1553</v>
      </c>
      <c r="G966" t="s">
        <v>15</v>
      </c>
      <c r="H966" s="1" t="s">
        <v>1576</v>
      </c>
      <c r="I966" t="s">
        <v>1579</v>
      </c>
      <c r="J966" s="2">
        <v>1872455</v>
      </c>
      <c r="K966" t="s">
        <v>12</v>
      </c>
      <c r="L966" t="s">
        <v>1652</v>
      </c>
    </row>
    <row r="967" spans="1:12" x14ac:dyDescent="0.3">
      <c r="A967">
        <v>966</v>
      </c>
      <c r="B967" t="s">
        <v>885</v>
      </c>
      <c r="C967">
        <v>44323.411805555559</v>
      </c>
      <c r="D967">
        <v>2021</v>
      </c>
      <c r="E967" t="s">
        <v>10</v>
      </c>
      <c r="F967" t="s">
        <v>1556</v>
      </c>
      <c r="G967" t="s">
        <v>18</v>
      </c>
      <c r="H967" s="1" t="s">
        <v>1571</v>
      </c>
      <c r="I967" t="s">
        <v>1579</v>
      </c>
      <c r="J967" s="2">
        <v>3764227</v>
      </c>
      <c r="K967" t="s">
        <v>12</v>
      </c>
      <c r="L967" t="s">
        <v>1649</v>
      </c>
    </row>
    <row r="968" spans="1:12" x14ac:dyDescent="0.3">
      <c r="A968">
        <v>967</v>
      </c>
      <c r="B968" t="s">
        <v>886</v>
      </c>
      <c r="C968">
        <v>44327.371527777781</v>
      </c>
      <c r="D968">
        <v>2021</v>
      </c>
      <c r="E968" t="s">
        <v>10</v>
      </c>
      <c r="F968" t="s">
        <v>1552</v>
      </c>
      <c r="G968" t="s">
        <v>18</v>
      </c>
      <c r="H968" s="1" t="s">
        <v>1566</v>
      </c>
      <c r="I968" t="s">
        <v>1579</v>
      </c>
      <c r="J968" s="2">
        <v>3018832</v>
      </c>
      <c r="K968" t="s">
        <v>12</v>
      </c>
      <c r="L968" t="s">
        <v>1648</v>
      </c>
    </row>
    <row r="969" spans="1:12" x14ac:dyDescent="0.3">
      <c r="A969">
        <v>968</v>
      </c>
      <c r="B969" t="s">
        <v>887</v>
      </c>
      <c r="C969">
        <v>44327.472222222219</v>
      </c>
      <c r="D969">
        <v>2021</v>
      </c>
      <c r="E969" t="s">
        <v>10</v>
      </c>
      <c r="F969" t="s">
        <v>20</v>
      </c>
      <c r="G969" t="s">
        <v>18</v>
      </c>
      <c r="H969" s="1" t="s">
        <v>1562</v>
      </c>
      <c r="I969" t="s">
        <v>1579</v>
      </c>
      <c r="J969" s="2">
        <v>3248336</v>
      </c>
      <c r="K969" t="s">
        <v>12</v>
      </c>
      <c r="L969" t="s">
        <v>1653</v>
      </c>
    </row>
    <row r="970" spans="1:12" x14ac:dyDescent="0.3">
      <c r="A970">
        <v>969</v>
      </c>
      <c r="B970" t="s">
        <v>888</v>
      </c>
      <c r="C970">
        <v>44327.479166666664</v>
      </c>
      <c r="D970">
        <v>2021</v>
      </c>
      <c r="E970" t="s">
        <v>10</v>
      </c>
      <c r="F970" t="s">
        <v>1555</v>
      </c>
      <c r="G970" t="s">
        <v>23</v>
      </c>
      <c r="H970" s="1" t="s">
        <v>1569</v>
      </c>
      <c r="I970" t="s">
        <v>1579</v>
      </c>
      <c r="J970" s="2">
        <v>4153807</v>
      </c>
      <c r="K970" t="s">
        <v>12</v>
      </c>
      <c r="L970" t="s">
        <v>1650</v>
      </c>
    </row>
    <row r="971" spans="1:12" x14ac:dyDescent="0.3">
      <c r="A971">
        <v>970</v>
      </c>
      <c r="B971" t="s">
        <v>889</v>
      </c>
      <c r="C971">
        <v>44327.487500000003</v>
      </c>
      <c r="D971">
        <v>2021</v>
      </c>
      <c r="E971" t="s">
        <v>10</v>
      </c>
      <c r="F971" t="s">
        <v>1553</v>
      </c>
      <c r="G971" t="s">
        <v>18</v>
      </c>
      <c r="H971" s="1" t="s">
        <v>1569</v>
      </c>
      <c r="I971" t="s">
        <v>1579</v>
      </c>
      <c r="J971" s="2">
        <v>3405570</v>
      </c>
      <c r="K971" t="s">
        <v>12</v>
      </c>
      <c r="L971" t="s">
        <v>1648</v>
      </c>
    </row>
    <row r="972" spans="1:12" x14ac:dyDescent="0.3">
      <c r="A972">
        <v>971</v>
      </c>
      <c r="B972" t="s">
        <v>890</v>
      </c>
      <c r="C972">
        <v>44327.495833333334</v>
      </c>
      <c r="D972">
        <v>2021</v>
      </c>
      <c r="E972" t="s">
        <v>10</v>
      </c>
      <c r="F972" t="s">
        <v>1556</v>
      </c>
      <c r="G972" t="s">
        <v>23</v>
      </c>
      <c r="H972" s="1" t="s">
        <v>1571</v>
      </c>
      <c r="I972" t="s">
        <v>1579</v>
      </c>
      <c r="J972" s="2">
        <v>1137744</v>
      </c>
      <c r="K972" t="s">
        <v>12</v>
      </c>
      <c r="L972" t="s">
        <v>1649</v>
      </c>
    </row>
    <row r="973" spans="1:12" x14ac:dyDescent="0.3">
      <c r="A973">
        <v>972</v>
      </c>
      <c r="B973" t="s">
        <v>891</v>
      </c>
      <c r="C973">
        <v>44328.540972222225</v>
      </c>
      <c r="D973">
        <v>2021</v>
      </c>
      <c r="E973" t="s">
        <v>10</v>
      </c>
      <c r="F973" t="s">
        <v>1552</v>
      </c>
      <c r="G973" t="s">
        <v>229</v>
      </c>
      <c r="H973" s="1" t="s">
        <v>1570</v>
      </c>
      <c r="I973" t="s">
        <v>1635</v>
      </c>
      <c r="J973" s="2">
        <v>4178156</v>
      </c>
      <c r="K973" t="s">
        <v>12</v>
      </c>
      <c r="L973" t="s">
        <v>1649</v>
      </c>
    </row>
    <row r="974" spans="1:12" x14ac:dyDescent="0.3">
      <c r="A974">
        <v>973</v>
      </c>
      <c r="B974" t="s">
        <v>892</v>
      </c>
      <c r="C974">
        <v>44328.631249999999</v>
      </c>
      <c r="D974">
        <v>2021</v>
      </c>
      <c r="E974" t="s">
        <v>10</v>
      </c>
      <c r="F974" t="s">
        <v>20</v>
      </c>
      <c r="G974" t="s">
        <v>23</v>
      </c>
      <c r="H974" s="1" t="s">
        <v>1576</v>
      </c>
      <c r="I974" t="s">
        <v>1579</v>
      </c>
      <c r="J974" s="2">
        <v>2681748</v>
      </c>
      <c r="K974" t="s">
        <v>12</v>
      </c>
      <c r="L974" t="s">
        <v>1651</v>
      </c>
    </row>
    <row r="975" spans="1:12" x14ac:dyDescent="0.3">
      <c r="A975">
        <v>974</v>
      </c>
      <c r="B975" t="s">
        <v>893</v>
      </c>
      <c r="C975">
        <v>44328.672222222223</v>
      </c>
      <c r="D975">
        <v>2021</v>
      </c>
      <c r="E975" t="s">
        <v>10</v>
      </c>
      <c r="F975" t="s">
        <v>1555</v>
      </c>
      <c r="G975" t="s">
        <v>23</v>
      </c>
      <c r="H975" s="1" t="s">
        <v>1575</v>
      </c>
      <c r="I975" t="s">
        <v>1579</v>
      </c>
      <c r="J975" s="2">
        <v>1636895</v>
      </c>
      <c r="K975" t="s">
        <v>12</v>
      </c>
      <c r="L975" t="s">
        <v>1648</v>
      </c>
    </row>
    <row r="976" spans="1:12" x14ac:dyDescent="0.3">
      <c r="A976">
        <v>975</v>
      </c>
      <c r="B976" t="s">
        <v>894</v>
      </c>
      <c r="C976">
        <v>44328.753472222219</v>
      </c>
      <c r="D976">
        <v>2021</v>
      </c>
      <c r="E976" t="s">
        <v>10</v>
      </c>
      <c r="F976" t="s">
        <v>1553</v>
      </c>
      <c r="G976" t="s">
        <v>15</v>
      </c>
      <c r="H976" s="1" t="s">
        <v>1575</v>
      </c>
      <c r="I976" t="s">
        <v>1579</v>
      </c>
      <c r="J976" s="2">
        <v>2739445</v>
      </c>
      <c r="K976" t="s">
        <v>12</v>
      </c>
      <c r="L976" t="s">
        <v>1648</v>
      </c>
    </row>
    <row r="977" spans="1:12" x14ac:dyDescent="0.3">
      <c r="A977">
        <v>976</v>
      </c>
      <c r="B977" t="s">
        <v>895</v>
      </c>
      <c r="C977">
        <v>44328.813194444447</v>
      </c>
      <c r="D977">
        <v>2021</v>
      </c>
      <c r="E977" t="s">
        <v>10</v>
      </c>
      <c r="F977" t="s">
        <v>1556</v>
      </c>
      <c r="G977" t="s">
        <v>18</v>
      </c>
      <c r="H977" s="1" t="s">
        <v>1575</v>
      </c>
      <c r="I977" t="s">
        <v>1579</v>
      </c>
      <c r="J977" s="2">
        <v>4275623</v>
      </c>
      <c r="K977" t="s">
        <v>12</v>
      </c>
      <c r="L977" t="s">
        <v>1648</v>
      </c>
    </row>
    <row r="978" spans="1:12" x14ac:dyDescent="0.3">
      <c r="A978">
        <v>977</v>
      </c>
      <c r="B978" t="s">
        <v>896</v>
      </c>
      <c r="C978">
        <v>44329.378472222219</v>
      </c>
      <c r="D978">
        <v>2021</v>
      </c>
      <c r="E978" t="s">
        <v>10</v>
      </c>
      <c r="F978" t="s">
        <v>1552</v>
      </c>
      <c r="G978" t="s">
        <v>11</v>
      </c>
      <c r="H978" s="1" t="s">
        <v>1575</v>
      </c>
      <c r="I978" t="s">
        <v>1577</v>
      </c>
      <c r="J978" s="2">
        <v>987009</v>
      </c>
      <c r="K978" t="s">
        <v>121</v>
      </c>
      <c r="L978" t="s">
        <v>1653</v>
      </c>
    </row>
    <row r="979" spans="1:12" x14ac:dyDescent="0.3">
      <c r="A979">
        <v>978</v>
      </c>
      <c r="B979" t="s">
        <v>897</v>
      </c>
      <c r="C979">
        <v>44329.466666666667</v>
      </c>
      <c r="D979">
        <v>2021</v>
      </c>
      <c r="E979" t="s">
        <v>10</v>
      </c>
      <c r="F979" t="s">
        <v>20</v>
      </c>
      <c r="G979" t="s">
        <v>18</v>
      </c>
      <c r="H979" s="1" t="s">
        <v>1575</v>
      </c>
      <c r="I979" t="s">
        <v>1579</v>
      </c>
      <c r="J979" s="2">
        <v>3226006</v>
      </c>
      <c r="K979" t="s">
        <v>12</v>
      </c>
      <c r="L979" t="s">
        <v>1653</v>
      </c>
    </row>
    <row r="980" spans="1:12" x14ac:dyDescent="0.3">
      <c r="A980">
        <v>979</v>
      </c>
      <c r="B980" t="s">
        <v>898</v>
      </c>
      <c r="C980">
        <v>44329.488888888889</v>
      </c>
      <c r="D980">
        <v>2021</v>
      </c>
      <c r="E980" t="s">
        <v>10</v>
      </c>
      <c r="F980" t="s">
        <v>1555</v>
      </c>
      <c r="G980" t="s">
        <v>15</v>
      </c>
      <c r="H980" s="1" t="s">
        <v>1575</v>
      </c>
      <c r="I980" t="s">
        <v>1579</v>
      </c>
      <c r="J980" s="2">
        <v>3348200</v>
      </c>
      <c r="K980" t="s">
        <v>12</v>
      </c>
      <c r="L980" t="s">
        <v>1652</v>
      </c>
    </row>
    <row r="981" spans="1:12" x14ac:dyDescent="0.3">
      <c r="A981">
        <v>980</v>
      </c>
      <c r="B981" t="s">
        <v>899</v>
      </c>
      <c r="C981">
        <v>44329.517361111109</v>
      </c>
      <c r="D981">
        <v>2021</v>
      </c>
      <c r="E981" t="s">
        <v>10</v>
      </c>
      <c r="F981" t="s">
        <v>1553</v>
      </c>
      <c r="G981" t="s">
        <v>15</v>
      </c>
      <c r="H981" s="1" t="s">
        <v>1575</v>
      </c>
      <c r="I981" t="s">
        <v>1579</v>
      </c>
      <c r="J981" s="2">
        <v>2701369</v>
      </c>
      <c r="K981" t="s">
        <v>12</v>
      </c>
      <c r="L981" t="s">
        <v>1652</v>
      </c>
    </row>
    <row r="982" spans="1:12" x14ac:dyDescent="0.3">
      <c r="A982">
        <v>981</v>
      </c>
      <c r="B982" t="s">
        <v>50</v>
      </c>
      <c r="C982">
        <v>44329.567361111112</v>
      </c>
      <c r="D982">
        <v>2021</v>
      </c>
      <c r="E982" t="s">
        <v>10</v>
      </c>
      <c r="F982" t="s">
        <v>1556</v>
      </c>
      <c r="G982" t="s">
        <v>591</v>
      </c>
      <c r="H982" s="1" t="s">
        <v>1575</v>
      </c>
      <c r="I982" t="s">
        <v>1454</v>
      </c>
      <c r="J982" s="2">
        <v>2781780</v>
      </c>
      <c r="K982" t="s">
        <v>121</v>
      </c>
      <c r="L982" t="s">
        <v>1652</v>
      </c>
    </row>
    <row r="983" spans="1:12" x14ac:dyDescent="0.3">
      <c r="A983">
        <v>982</v>
      </c>
      <c r="B983" t="s">
        <v>50</v>
      </c>
      <c r="C983">
        <v>44329.583333333336</v>
      </c>
      <c r="D983">
        <v>2021</v>
      </c>
      <c r="E983" t="s">
        <v>10</v>
      </c>
      <c r="F983" t="s">
        <v>1552</v>
      </c>
      <c r="G983" t="s">
        <v>18</v>
      </c>
      <c r="H983" s="1" t="s">
        <v>1575</v>
      </c>
      <c r="I983" t="s">
        <v>1591</v>
      </c>
      <c r="J983" s="2">
        <v>2386896</v>
      </c>
      <c r="K983" t="s">
        <v>12</v>
      </c>
      <c r="L983" t="s">
        <v>1648</v>
      </c>
    </row>
    <row r="984" spans="1:12" x14ac:dyDescent="0.3">
      <c r="A984">
        <v>983</v>
      </c>
      <c r="B984" t="s">
        <v>50</v>
      </c>
      <c r="C984">
        <v>44329.67083333333</v>
      </c>
      <c r="D984">
        <v>2021</v>
      </c>
      <c r="E984" t="s">
        <v>10</v>
      </c>
      <c r="F984" t="s">
        <v>20</v>
      </c>
      <c r="G984" t="s">
        <v>591</v>
      </c>
      <c r="H984" s="1" t="s">
        <v>1575</v>
      </c>
      <c r="I984" t="s">
        <v>1454</v>
      </c>
      <c r="J984" s="2">
        <v>1848742</v>
      </c>
      <c r="K984" t="s">
        <v>121</v>
      </c>
      <c r="L984" t="s">
        <v>1652</v>
      </c>
    </row>
    <row r="985" spans="1:12" x14ac:dyDescent="0.3">
      <c r="A985">
        <v>984</v>
      </c>
      <c r="B985" t="s">
        <v>50</v>
      </c>
      <c r="C985">
        <v>44329.673611111109</v>
      </c>
      <c r="D985">
        <v>2021</v>
      </c>
      <c r="E985" t="s">
        <v>10</v>
      </c>
      <c r="F985" t="s">
        <v>1555</v>
      </c>
      <c r="G985" t="s">
        <v>591</v>
      </c>
      <c r="H985" s="1" t="s">
        <v>1575</v>
      </c>
      <c r="I985" t="s">
        <v>1454</v>
      </c>
      <c r="J985" s="2">
        <v>2875553</v>
      </c>
      <c r="K985" t="s">
        <v>121</v>
      </c>
      <c r="L985" t="s">
        <v>1651</v>
      </c>
    </row>
    <row r="986" spans="1:12" x14ac:dyDescent="0.3">
      <c r="A986">
        <v>985</v>
      </c>
      <c r="B986" t="s">
        <v>50</v>
      </c>
      <c r="C986">
        <v>44329.681250000001</v>
      </c>
      <c r="D986">
        <v>2021</v>
      </c>
      <c r="E986" t="s">
        <v>10</v>
      </c>
      <c r="F986" t="s">
        <v>1553</v>
      </c>
      <c r="G986" t="s">
        <v>591</v>
      </c>
      <c r="H986" s="1" t="s">
        <v>1575</v>
      </c>
      <c r="I986" t="s">
        <v>1454</v>
      </c>
      <c r="J986" s="2">
        <v>4024636</v>
      </c>
      <c r="K986" t="s">
        <v>121</v>
      </c>
      <c r="L986" t="s">
        <v>1653</v>
      </c>
    </row>
    <row r="987" spans="1:12" x14ac:dyDescent="0.3">
      <c r="A987">
        <v>986</v>
      </c>
      <c r="B987" t="s">
        <v>900</v>
      </c>
      <c r="C987">
        <v>44330.522916666669</v>
      </c>
      <c r="D987">
        <v>2021</v>
      </c>
      <c r="E987" t="s">
        <v>10</v>
      </c>
      <c r="F987" t="s">
        <v>1556</v>
      </c>
      <c r="G987" t="s">
        <v>11</v>
      </c>
      <c r="H987" s="1" t="s">
        <v>1575</v>
      </c>
      <c r="I987" t="s">
        <v>1577</v>
      </c>
      <c r="J987" s="2">
        <v>1687524</v>
      </c>
      <c r="K987" t="s">
        <v>121</v>
      </c>
      <c r="L987" t="s">
        <v>1652</v>
      </c>
    </row>
    <row r="988" spans="1:12" x14ac:dyDescent="0.3">
      <c r="A988">
        <v>987</v>
      </c>
      <c r="B988" t="s">
        <v>269</v>
      </c>
      <c r="C988">
        <v>44330.602083333331</v>
      </c>
      <c r="D988">
        <v>2021</v>
      </c>
      <c r="E988" t="s">
        <v>10</v>
      </c>
      <c r="F988" t="s">
        <v>1555</v>
      </c>
      <c r="G988" t="s">
        <v>23</v>
      </c>
      <c r="H988" s="1" t="s">
        <v>1575</v>
      </c>
      <c r="I988" t="s">
        <v>1579</v>
      </c>
      <c r="J988" s="2">
        <v>1201359</v>
      </c>
      <c r="K988" t="s">
        <v>12</v>
      </c>
      <c r="L988" t="s">
        <v>1651</v>
      </c>
    </row>
    <row r="989" spans="1:12" x14ac:dyDescent="0.3">
      <c r="A989">
        <v>988</v>
      </c>
      <c r="B989" t="s">
        <v>901</v>
      </c>
      <c r="C989">
        <v>44334.62777777778</v>
      </c>
      <c r="D989">
        <v>2021</v>
      </c>
      <c r="E989" t="s">
        <v>10</v>
      </c>
      <c r="F989" t="s">
        <v>1555</v>
      </c>
      <c r="G989" t="s">
        <v>23</v>
      </c>
      <c r="H989" s="1" t="s">
        <v>1575</v>
      </c>
      <c r="I989" t="s">
        <v>1579</v>
      </c>
      <c r="J989" s="2">
        <v>3222725</v>
      </c>
      <c r="K989" t="s">
        <v>12</v>
      </c>
      <c r="L989" t="s">
        <v>1651</v>
      </c>
    </row>
    <row r="990" spans="1:12" x14ac:dyDescent="0.3">
      <c r="A990">
        <v>989</v>
      </c>
      <c r="B990" t="s">
        <v>902</v>
      </c>
      <c r="C990">
        <v>44334.702777777777</v>
      </c>
      <c r="D990">
        <v>2021</v>
      </c>
      <c r="E990" t="s">
        <v>10</v>
      </c>
      <c r="F990" t="s">
        <v>1553</v>
      </c>
      <c r="G990" t="s">
        <v>11</v>
      </c>
      <c r="H990" s="1" t="s">
        <v>1575</v>
      </c>
      <c r="I990" t="s">
        <v>1577</v>
      </c>
      <c r="J990" s="2">
        <v>3128097</v>
      </c>
      <c r="K990" t="s">
        <v>121</v>
      </c>
      <c r="L990" t="s">
        <v>1651</v>
      </c>
    </row>
    <row r="991" spans="1:12" x14ac:dyDescent="0.3">
      <c r="A991">
        <v>990</v>
      </c>
      <c r="B991" t="s">
        <v>903</v>
      </c>
      <c r="C991">
        <v>44335.344444444447</v>
      </c>
      <c r="D991">
        <v>2021</v>
      </c>
      <c r="E991" t="s">
        <v>10</v>
      </c>
      <c r="F991" t="s">
        <v>1556</v>
      </c>
      <c r="G991" t="s">
        <v>11</v>
      </c>
      <c r="H991" s="1" t="s">
        <v>1575</v>
      </c>
      <c r="I991" t="s">
        <v>1577</v>
      </c>
      <c r="J991" s="2">
        <v>3627721</v>
      </c>
      <c r="K991" t="s">
        <v>121</v>
      </c>
      <c r="L991" t="s">
        <v>1648</v>
      </c>
    </row>
    <row r="992" spans="1:12" x14ac:dyDescent="0.3">
      <c r="A992">
        <v>991</v>
      </c>
      <c r="B992" t="s">
        <v>904</v>
      </c>
      <c r="C992">
        <v>44335.481944444444</v>
      </c>
      <c r="D992">
        <v>2021</v>
      </c>
      <c r="E992" t="s">
        <v>10</v>
      </c>
      <c r="F992" t="s">
        <v>1553</v>
      </c>
      <c r="G992" t="s">
        <v>23</v>
      </c>
      <c r="H992" s="1" t="s">
        <v>1575</v>
      </c>
      <c r="I992" t="s">
        <v>1579</v>
      </c>
      <c r="J992" s="2">
        <v>2570202</v>
      </c>
      <c r="K992" t="s">
        <v>12</v>
      </c>
      <c r="L992" t="s">
        <v>1651</v>
      </c>
    </row>
    <row r="993" spans="1:12" x14ac:dyDescent="0.3">
      <c r="A993">
        <v>992</v>
      </c>
      <c r="B993" t="s">
        <v>905</v>
      </c>
      <c r="C993">
        <v>44335.724999999999</v>
      </c>
      <c r="D993">
        <v>2021</v>
      </c>
      <c r="E993" t="s">
        <v>10</v>
      </c>
      <c r="F993" t="s">
        <v>1556</v>
      </c>
      <c r="G993" t="s">
        <v>62</v>
      </c>
      <c r="H993" s="1" t="s">
        <v>1575</v>
      </c>
      <c r="I993" t="s">
        <v>1639</v>
      </c>
      <c r="J993" s="2">
        <v>4380059</v>
      </c>
      <c r="K993" t="s">
        <v>12</v>
      </c>
      <c r="L993" t="s">
        <v>1648</v>
      </c>
    </row>
    <row r="994" spans="1:12" x14ac:dyDescent="0.3">
      <c r="A994">
        <v>993</v>
      </c>
      <c r="B994" t="s">
        <v>906</v>
      </c>
      <c r="C994">
        <v>44336.375694444447</v>
      </c>
      <c r="D994">
        <v>2021</v>
      </c>
      <c r="E994" t="s">
        <v>10</v>
      </c>
      <c r="F994" t="s">
        <v>1553</v>
      </c>
      <c r="G994" t="s">
        <v>15</v>
      </c>
      <c r="H994" s="1" t="s">
        <v>1575</v>
      </c>
      <c r="I994" t="s">
        <v>1579</v>
      </c>
      <c r="J994" s="2">
        <v>4798308</v>
      </c>
      <c r="K994" t="s">
        <v>12</v>
      </c>
      <c r="L994" t="s">
        <v>1653</v>
      </c>
    </row>
    <row r="995" spans="1:12" x14ac:dyDescent="0.3">
      <c r="A995">
        <v>994</v>
      </c>
      <c r="B995" t="s">
        <v>907</v>
      </c>
      <c r="C995">
        <v>44336.418749999997</v>
      </c>
      <c r="D995">
        <v>2021</v>
      </c>
      <c r="E995" t="s">
        <v>10</v>
      </c>
      <c r="F995" t="s">
        <v>1556</v>
      </c>
      <c r="G995" t="s">
        <v>229</v>
      </c>
      <c r="H995" s="1" t="s">
        <v>1575</v>
      </c>
      <c r="I995" t="s">
        <v>1635</v>
      </c>
      <c r="J995" s="2">
        <v>1509667</v>
      </c>
      <c r="K995" t="s">
        <v>12</v>
      </c>
      <c r="L995" t="s">
        <v>1652</v>
      </c>
    </row>
    <row r="996" spans="1:12" x14ac:dyDescent="0.3">
      <c r="A996">
        <v>995</v>
      </c>
      <c r="B996" t="s">
        <v>908</v>
      </c>
      <c r="C996">
        <v>44336.62222222222</v>
      </c>
      <c r="D996">
        <v>2021</v>
      </c>
      <c r="E996" t="s">
        <v>10</v>
      </c>
      <c r="F996" t="s">
        <v>1553</v>
      </c>
      <c r="G996" t="s">
        <v>11</v>
      </c>
      <c r="H996" s="1" t="s">
        <v>1575</v>
      </c>
      <c r="I996" t="s">
        <v>1577</v>
      </c>
      <c r="J996" s="2">
        <v>4592998</v>
      </c>
      <c r="K996" t="s">
        <v>121</v>
      </c>
      <c r="L996" t="s">
        <v>1653</v>
      </c>
    </row>
    <row r="997" spans="1:12" x14ac:dyDescent="0.3">
      <c r="A997">
        <v>996</v>
      </c>
      <c r="B997" t="s">
        <v>50</v>
      </c>
      <c r="C997">
        <v>44336.706250000003</v>
      </c>
      <c r="D997">
        <v>2021</v>
      </c>
      <c r="E997" t="s">
        <v>10</v>
      </c>
      <c r="F997" t="s">
        <v>1556</v>
      </c>
      <c r="G997" t="s">
        <v>591</v>
      </c>
      <c r="H997" s="1" t="s">
        <v>1575</v>
      </c>
      <c r="I997" t="s">
        <v>1454</v>
      </c>
      <c r="J997" s="2">
        <v>2473079</v>
      </c>
      <c r="K997" t="s">
        <v>121</v>
      </c>
      <c r="L997" t="s">
        <v>1650</v>
      </c>
    </row>
    <row r="998" spans="1:12" x14ac:dyDescent="0.3">
      <c r="A998">
        <v>997</v>
      </c>
      <c r="B998" t="s">
        <v>909</v>
      </c>
      <c r="C998">
        <v>44337.771527777775</v>
      </c>
      <c r="D998">
        <v>2021</v>
      </c>
      <c r="E998" t="s">
        <v>10</v>
      </c>
      <c r="F998" t="s">
        <v>1553</v>
      </c>
      <c r="G998" t="s">
        <v>62</v>
      </c>
      <c r="H998" s="1" t="s">
        <v>1575</v>
      </c>
      <c r="I998" t="s">
        <v>1639</v>
      </c>
      <c r="J998" s="2">
        <v>1807817</v>
      </c>
      <c r="K998" t="s">
        <v>12</v>
      </c>
      <c r="L998" t="s">
        <v>1650</v>
      </c>
    </row>
    <row r="999" spans="1:12" x14ac:dyDescent="0.3">
      <c r="A999">
        <v>998</v>
      </c>
      <c r="B999" t="s">
        <v>910</v>
      </c>
      <c r="C999">
        <v>44340.342361111114</v>
      </c>
      <c r="D999">
        <v>2021</v>
      </c>
      <c r="E999" t="s">
        <v>10</v>
      </c>
      <c r="F999" t="s">
        <v>1556</v>
      </c>
      <c r="G999" t="s">
        <v>358</v>
      </c>
      <c r="H999" s="1" t="s">
        <v>1575</v>
      </c>
      <c r="I999" t="s">
        <v>1637</v>
      </c>
      <c r="J999" s="2">
        <v>3738945</v>
      </c>
      <c r="K999" t="s">
        <v>12</v>
      </c>
      <c r="L999" t="s">
        <v>1651</v>
      </c>
    </row>
    <row r="1000" spans="1:12" x14ac:dyDescent="0.3">
      <c r="A1000">
        <v>999</v>
      </c>
      <c r="B1000" t="s">
        <v>911</v>
      </c>
      <c r="C1000">
        <v>44340.423611111109</v>
      </c>
      <c r="D1000">
        <v>2021</v>
      </c>
      <c r="E1000" t="s">
        <v>10</v>
      </c>
      <c r="F1000" t="s">
        <v>1553</v>
      </c>
      <c r="G1000" t="s">
        <v>15</v>
      </c>
      <c r="H1000" s="1" t="s">
        <v>1575</v>
      </c>
      <c r="I1000" t="s">
        <v>1579</v>
      </c>
      <c r="J1000" s="2">
        <v>1768652</v>
      </c>
      <c r="K1000" t="s">
        <v>12</v>
      </c>
      <c r="L1000" t="s">
        <v>1650</v>
      </c>
    </row>
    <row r="1001" spans="1:12" x14ac:dyDescent="0.3">
      <c r="A1001">
        <v>1000</v>
      </c>
      <c r="B1001" t="s">
        <v>912</v>
      </c>
      <c r="C1001">
        <v>44340.455555555556</v>
      </c>
      <c r="D1001">
        <v>2021</v>
      </c>
      <c r="E1001" t="s">
        <v>10</v>
      </c>
      <c r="F1001" t="s">
        <v>1556</v>
      </c>
      <c r="G1001" t="s">
        <v>18</v>
      </c>
      <c r="H1001" s="1" t="s">
        <v>1575</v>
      </c>
      <c r="I1001" t="s">
        <v>1579</v>
      </c>
      <c r="J1001" s="2">
        <v>4846473</v>
      </c>
      <c r="K1001" t="s">
        <v>12</v>
      </c>
      <c r="L1001" t="s">
        <v>1651</v>
      </c>
    </row>
    <row r="1002" spans="1:12" x14ac:dyDescent="0.3">
      <c r="A1002">
        <v>1001</v>
      </c>
      <c r="B1002" t="s">
        <v>913</v>
      </c>
      <c r="C1002">
        <v>44340.463888888888</v>
      </c>
      <c r="D1002">
        <v>2021</v>
      </c>
      <c r="E1002" t="s">
        <v>10</v>
      </c>
      <c r="F1002" t="s">
        <v>1553</v>
      </c>
      <c r="G1002" t="s">
        <v>18</v>
      </c>
      <c r="H1002" s="1" t="s">
        <v>1575</v>
      </c>
      <c r="I1002" t="s">
        <v>1579</v>
      </c>
      <c r="J1002" s="2">
        <v>2867987</v>
      </c>
      <c r="K1002" t="s">
        <v>12</v>
      </c>
      <c r="L1002" t="s">
        <v>1651</v>
      </c>
    </row>
    <row r="1003" spans="1:12" x14ac:dyDescent="0.3">
      <c r="A1003">
        <v>1002</v>
      </c>
      <c r="B1003" t="s">
        <v>914</v>
      </c>
      <c r="C1003">
        <v>44340.467361111114</v>
      </c>
      <c r="D1003">
        <v>2021</v>
      </c>
      <c r="E1003" t="s">
        <v>10</v>
      </c>
      <c r="F1003" t="s">
        <v>1556</v>
      </c>
      <c r="G1003" t="s">
        <v>18</v>
      </c>
      <c r="H1003" s="1" t="s">
        <v>1575</v>
      </c>
      <c r="I1003" t="s">
        <v>1579</v>
      </c>
      <c r="J1003" s="2">
        <v>2178489</v>
      </c>
      <c r="K1003" t="s">
        <v>12</v>
      </c>
      <c r="L1003" t="s">
        <v>1650</v>
      </c>
    </row>
    <row r="1004" spans="1:12" x14ac:dyDescent="0.3">
      <c r="A1004">
        <v>1003</v>
      </c>
      <c r="B1004" t="s">
        <v>915</v>
      </c>
      <c r="C1004">
        <v>44340.502083333333</v>
      </c>
      <c r="D1004">
        <v>2021</v>
      </c>
      <c r="E1004" t="s">
        <v>10</v>
      </c>
      <c r="F1004" t="s">
        <v>1553</v>
      </c>
      <c r="G1004" t="s">
        <v>11</v>
      </c>
      <c r="H1004" s="1" t="s">
        <v>1575</v>
      </c>
      <c r="I1004" t="s">
        <v>1577</v>
      </c>
      <c r="J1004" s="2">
        <v>2129878</v>
      </c>
      <c r="K1004" t="s">
        <v>121</v>
      </c>
      <c r="L1004" t="s">
        <v>1652</v>
      </c>
    </row>
    <row r="1005" spans="1:12" x14ac:dyDescent="0.3">
      <c r="A1005">
        <v>1004</v>
      </c>
      <c r="B1005" t="s">
        <v>916</v>
      </c>
      <c r="C1005">
        <v>44340.507638888892</v>
      </c>
      <c r="D1005">
        <v>2021</v>
      </c>
      <c r="E1005" t="s">
        <v>10</v>
      </c>
      <c r="F1005" t="s">
        <v>1556</v>
      </c>
      <c r="G1005" t="s">
        <v>11</v>
      </c>
      <c r="H1005" s="1" t="s">
        <v>1567</v>
      </c>
      <c r="I1005" t="s">
        <v>1577</v>
      </c>
      <c r="J1005" s="2">
        <v>2949754</v>
      </c>
      <c r="K1005" t="s">
        <v>121</v>
      </c>
      <c r="L1005" t="s">
        <v>1648</v>
      </c>
    </row>
    <row r="1006" spans="1:12" x14ac:dyDescent="0.3">
      <c r="A1006">
        <v>1005</v>
      </c>
      <c r="B1006" t="s">
        <v>917</v>
      </c>
      <c r="C1006">
        <v>44340.511111111111</v>
      </c>
      <c r="D1006">
        <v>2021</v>
      </c>
      <c r="E1006" t="s">
        <v>10</v>
      </c>
      <c r="F1006" t="s">
        <v>1553</v>
      </c>
      <c r="G1006" t="s">
        <v>11</v>
      </c>
      <c r="H1006" s="1" t="s">
        <v>1569</v>
      </c>
      <c r="I1006" t="s">
        <v>1577</v>
      </c>
      <c r="J1006" s="2">
        <v>3495442</v>
      </c>
      <c r="K1006" t="s">
        <v>121</v>
      </c>
      <c r="L1006" t="s">
        <v>1650</v>
      </c>
    </row>
    <row r="1007" spans="1:12" x14ac:dyDescent="0.3">
      <c r="A1007">
        <v>1006</v>
      </c>
      <c r="B1007" t="s">
        <v>918</v>
      </c>
      <c r="C1007">
        <v>44341.323611111111</v>
      </c>
      <c r="D1007">
        <v>2021</v>
      </c>
      <c r="E1007" t="s">
        <v>10</v>
      </c>
      <c r="F1007" t="s">
        <v>1556</v>
      </c>
      <c r="G1007" t="s">
        <v>44</v>
      </c>
      <c r="H1007" s="1" t="s">
        <v>1576</v>
      </c>
      <c r="I1007" t="s">
        <v>1635</v>
      </c>
      <c r="J1007" s="2">
        <v>2781934</v>
      </c>
      <c r="K1007" t="s">
        <v>12</v>
      </c>
      <c r="L1007" t="s">
        <v>1648</v>
      </c>
    </row>
    <row r="1008" spans="1:12" x14ac:dyDescent="0.3">
      <c r="A1008">
        <v>1007</v>
      </c>
      <c r="B1008" t="s">
        <v>919</v>
      </c>
      <c r="C1008">
        <v>44341.327777777777</v>
      </c>
      <c r="D1008">
        <v>2021</v>
      </c>
      <c r="E1008" t="s">
        <v>10</v>
      </c>
      <c r="F1008" t="s">
        <v>1553</v>
      </c>
      <c r="G1008" t="s">
        <v>44</v>
      </c>
      <c r="H1008" s="1" t="s">
        <v>1569</v>
      </c>
      <c r="I1008" t="s">
        <v>1635</v>
      </c>
      <c r="J1008" s="2">
        <v>4527438</v>
      </c>
      <c r="K1008" t="s">
        <v>12</v>
      </c>
      <c r="L1008" t="s">
        <v>1648</v>
      </c>
    </row>
    <row r="1009" spans="1:12" x14ac:dyDescent="0.3">
      <c r="A1009">
        <v>1008</v>
      </c>
      <c r="B1009" t="s">
        <v>920</v>
      </c>
      <c r="C1009">
        <v>44341.452777777777</v>
      </c>
      <c r="D1009">
        <v>2021</v>
      </c>
      <c r="E1009" t="s">
        <v>10</v>
      </c>
      <c r="F1009" t="s">
        <v>1556</v>
      </c>
      <c r="G1009" t="s">
        <v>18</v>
      </c>
      <c r="H1009" s="1" t="s">
        <v>1566</v>
      </c>
      <c r="I1009" t="s">
        <v>1579</v>
      </c>
      <c r="J1009" s="2">
        <v>4268817</v>
      </c>
      <c r="K1009" t="s">
        <v>12</v>
      </c>
      <c r="L1009" t="s">
        <v>1653</v>
      </c>
    </row>
    <row r="1010" spans="1:12" x14ac:dyDescent="0.3">
      <c r="A1010">
        <v>1009</v>
      </c>
      <c r="B1010" t="s">
        <v>921</v>
      </c>
      <c r="C1010">
        <v>44341.497916666667</v>
      </c>
      <c r="D1010">
        <v>2021</v>
      </c>
      <c r="E1010" t="s">
        <v>10</v>
      </c>
      <c r="F1010" t="s">
        <v>1553</v>
      </c>
      <c r="G1010" t="s">
        <v>18</v>
      </c>
      <c r="H1010" s="1" t="s">
        <v>1573</v>
      </c>
      <c r="I1010" t="s">
        <v>1579</v>
      </c>
      <c r="J1010" s="2">
        <v>1820041</v>
      </c>
      <c r="K1010" t="s">
        <v>12</v>
      </c>
      <c r="L1010" t="s">
        <v>1650</v>
      </c>
    </row>
    <row r="1011" spans="1:12" x14ac:dyDescent="0.3">
      <c r="A1011">
        <v>1010</v>
      </c>
      <c r="B1011" t="s">
        <v>922</v>
      </c>
      <c r="C1011">
        <v>44341.535416666666</v>
      </c>
      <c r="D1011">
        <v>2021</v>
      </c>
      <c r="E1011" t="s">
        <v>10</v>
      </c>
      <c r="F1011" t="s">
        <v>1556</v>
      </c>
      <c r="G1011" t="s">
        <v>21</v>
      </c>
      <c r="H1011" s="1" t="s">
        <v>1574</v>
      </c>
      <c r="I1011" t="s">
        <v>1616</v>
      </c>
      <c r="J1011" s="2">
        <v>2499239</v>
      </c>
      <c r="K1011" t="s">
        <v>12</v>
      </c>
      <c r="L1011" t="s">
        <v>1650</v>
      </c>
    </row>
    <row r="1012" spans="1:12" x14ac:dyDescent="0.3">
      <c r="A1012">
        <v>1011</v>
      </c>
      <c r="B1012" t="s">
        <v>922</v>
      </c>
      <c r="C1012">
        <v>44341.536111111112</v>
      </c>
      <c r="D1012">
        <v>2021</v>
      </c>
      <c r="E1012" t="s">
        <v>10</v>
      </c>
      <c r="F1012" t="s">
        <v>1553</v>
      </c>
      <c r="G1012" t="s">
        <v>21</v>
      </c>
      <c r="H1012" s="1" t="s">
        <v>1569</v>
      </c>
      <c r="I1012" t="s">
        <v>1616</v>
      </c>
      <c r="J1012" s="2">
        <v>3748429</v>
      </c>
      <c r="K1012" t="s">
        <v>12</v>
      </c>
      <c r="L1012" t="s">
        <v>1652</v>
      </c>
    </row>
    <row r="1013" spans="1:12" x14ac:dyDescent="0.3">
      <c r="A1013">
        <v>1012</v>
      </c>
      <c r="B1013" t="s">
        <v>923</v>
      </c>
      <c r="C1013">
        <v>44342.477083333331</v>
      </c>
      <c r="D1013">
        <v>2021</v>
      </c>
      <c r="E1013" t="s">
        <v>10</v>
      </c>
      <c r="F1013" t="s">
        <v>1556</v>
      </c>
      <c r="G1013" t="s">
        <v>11</v>
      </c>
      <c r="H1013" s="1" t="s">
        <v>1571</v>
      </c>
      <c r="I1013" t="s">
        <v>1577</v>
      </c>
      <c r="J1013" s="2">
        <v>3089844</v>
      </c>
      <c r="K1013" t="s">
        <v>121</v>
      </c>
      <c r="L1013" t="s">
        <v>1652</v>
      </c>
    </row>
    <row r="1014" spans="1:12" x14ac:dyDescent="0.3">
      <c r="A1014">
        <v>1013</v>
      </c>
      <c r="B1014" t="s">
        <v>924</v>
      </c>
      <c r="C1014">
        <v>44342.5</v>
      </c>
      <c r="D1014">
        <v>2021</v>
      </c>
      <c r="E1014" t="s">
        <v>10</v>
      </c>
      <c r="F1014" t="s">
        <v>1553</v>
      </c>
      <c r="G1014" t="s">
        <v>21</v>
      </c>
      <c r="H1014" s="1" t="s">
        <v>1576</v>
      </c>
      <c r="I1014" t="s">
        <v>1616</v>
      </c>
      <c r="J1014" s="2">
        <v>4540390</v>
      </c>
      <c r="K1014" t="s">
        <v>12</v>
      </c>
      <c r="L1014" t="s">
        <v>1653</v>
      </c>
    </row>
    <row r="1015" spans="1:12" x14ac:dyDescent="0.3">
      <c r="A1015">
        <v>1014</v>
      </c>
      <c r="B1015" t="s">
        <v>925</v>
      </c>
      <c r="C1015">
        <v>44342.537499999999</v>
      </c>
      <c r="D1015">
        <v>2021</v>
      </c>
      <c r="E1015" t="s">
        <v>10</v>
      </c>
      <c r="F1015" t="s">
        <v>1556</v>
      </c>
      <c r="G1015" t="s">
        <v>11</v>
      </c>
      <c r="H1015" s="1" t="s">
        <v>1571</v>
      </c>
      <c r="I1015" t="s">
        <v>1577</v>
      </c>
      <c r="J1015" s="2">
        <v>2444906</v>
      </c>
      <c r="K1015" t="s">
        <v>121</v>
      </c>
      <c r="L1015" t="s">
        <v>1649</v>
      </c>
    </row>
    <row r="1016" spans="1:12" x14ac:dyDescent="0.3">
      <c r="A1016">
        <v>1015</v>
      </c>
      <c r="B1016" t="s">
        <v>926</v>
      </c>
      <c r="C1016">
        <v>44342.682638888888</v>
      </c>
      <c r="D1016">
        <v>2021</v>
      </c>
      <c r="E1016" t="s">
        <v>10</v>
      </c>
      <c r="F1016" t="s">
        <v>1553</v>
      </c>
      <c r="G1016" t="s">
        <v>290</v>
      </c>
      <c r="H1016" s="1" t="s">
        <v>1576</v>
      </c>
      <c r="I1016" t="s">
        <v>1579</v>
      </c>
      <c r="J1016" s="2">
        <v>1869771</v>
      </c>
      <c r="K1016" t="s">
        <v>12</v>
      </c>
      <c r="L1016" t="s">
        <v>1650</v>
      </c>
    </row>
    <row r="1017" spans="1:12" x14ac:dyDescent="0.3">
      <c r="A1017">
        <v>1016</v>
      </c>
      <c r="B1017" t="s">
        <v>50</v>
      </c>
      <c r="C1017">
        <v>44343.366666666669</v>
      </c>
      <c r="D1017">
        <v>2021</v>
      </c>
      <c r="E1017" t="s">
        <v>10</v>
      </c>
      <c r="F1017" t="s">
        <v>1556</v>
      </c>
      <c r="G1017" t="s">
        <v>591</v>
      </c>
      <c r="H1017" s="1" t="s">
        <v>1574</v>
      </c>
      <c r="I1017" t="s">
        <v>1454</v>
      </c>
      <c r="J1017" s="2">
        <v>3722485</v>
      </c>
      <c r="K1017" t="s">
        <v>121</v>
      </c>
      <c r="L1017" t="s">
        <v>1651</v>
      </c>
    </row>
    <row r="1018" spans="1:12" x14ac:dyDescent="0.3">
      <c r="A1018">
        <v>1017</v>
      </c>
      <c r="B1018" t="s">
        <v>927</v>
      </c>
      <c r="C1018">
        <v>44343.629166666666</v>
      </c>
      <c r="D1018">
        <v>2021</v>
      </c>
      <c r="E1018" t="s">
        <v>10</v>
      </c>
      <c r="F1018" t="s">
        <v>1553</v>
      </c>
      <c r="G1018" t="s">
        <v>290</v>
      </c>
      <c r="H1018" s="1" t="s">
        <v>1569</v>
      </c>
      <c r="I1018" t="s">
        <v>1579</v>
      </c>
      <c r="J1018" s="2">
        <v>3231339</v>
      </c>
      <c r="K1018" t="s">
        <v>12</v>
      </c>
      <c r="L1018" t="s">
        <v>1649</v>
      </c>
    </row>
    <row r="1019" spans="1:12" x14ac:dyDescent="0.3">
      <c r="A1019">
        <v>1018</v>
      </c>
      <c r="B1019" t="s">
        <v>50</v>
      </c>
      <c r="C1019">
        <v>44343.658333333333</v>
      </c>
      <c r="D1019">
        <v>2021</v>
      </c>
      <c r="E1019" t="s">
        <v>10</v>
      </c>
      <c r="F1019" t="s">
        <v>1556</v>
      </c>
      <c r="G1019" t="s">
        <v>591</v>
      </c>
      <c r="H1019" s="1" t="s">
        <v>1574</v>
      </c>
      <c r="I1019" t="s">
        <v>1454</v>
      </c>
      <c r="J1019" s="2">
        <v>1321716</v>
      </c>
      <c r="K1019" t="s">
        <v>121</v>
      </c>
      <c r="L1019" t="s">
        <v>1648</v>
      </c>
    </row>
    <row r="1020" spans="1:12" x14ac:dyDescent="0.3">
      <c r="A1020">
        <v>1019</v>
      </c>
      <c r="B1020" t="s">
        <v>928</v>
      </c>
      <c r="C1020">
        <v>44343.791666666664</v>
      </c>
      <c r="D1020">
        <v>2021</v>
      </c>
      <c r="E1020" t="s">
        <v>10</v>
      </c>
      <c r="F1020" t="s">
        <v>1553</v>
      </c>
      <c r="G1020" t="s">
        <v>65</v>
      </c>
      <c r="H1020" s="1" t="s">
        <v>1565</v>
      </c>
      <c r="I1020" t="s">
        <v>1637</v>
      </c>
      <c r="J1020" s="2">
        <v>4373161</v>
      </c>
      <c r="K1020" t="s">
        <v>12</v>
      </c>
      <c r="L1020" t="s">
        <v>1651</v>
      </c>
    </row>
    <row r="1021" spans="1:12" x14ac:dyDescent="0.3">
      <c r="A1021">
        <v>1020</v>
      </c>
      <c r="B1021" t="s">
        <v>929</v>
      </c>
      <c r="C1021">
        <v>44344.594444444447</v>
      </c>
      <c r="D1021">
        <v>2021</v>
      </c>
      <c r="E1021" t="s">
        <v>10</v>
      </c>
      <c r="F1021" t="s">
        <v>1556</v>
      </c>
      <c r="G1021" t="s">
        <v>67</v>
      </c>
      <c r="H1021" s="1" t="s">
        <v>1570</v>
      </c>
      <c r="I1021" t="s">
        <v>1637</v>
      </c>
      <c r="J1021" s="2">
        <v>2767076</v>
      </c>
      <c r="K1021" t="s">
        <v>12</v>
      </c>
      <c r="L1021" t="s">
        <v>1648</v>
      </c>
    </row>
    <row r="1022" spans="1:12" x14ac:dyDescent="0.3">
      <c r="A1022">
        <v>1021</v>
      </c>
      <c r="B1022" t="s">
        <v>930</v>
      </c>
      <c r="C1022">
        <v>44344.60833333333</v>
      </c>
      <c r="D1022">
        <v>2021</v>
      </c>
      <c r="E1022" t="s">
        <v>10</v>
      </c>
      <c r="F1022" t="s">
        <v>1553</v>
      </c>
      <c r="G1022" t="s">
        <v>18</v>
      </c>
      <c r="H1022" s="1" t="s">
        <v>1575</v>
      </c>
      <c r="I1022" t="s">
        <v>1579</v>
      </c>
      <c r="J1022" s="2">
        <v>4463401</v>
      </c>
      <c r="K1022" t="s">
        <v>12</v>
      </c>
      <c r="L1022" t="s">
        <v>1650</v>
      </c>
    </row>
    <row r="1023" spans="1:12" x14ac:dyDescent="0.3">
      <c r="A1023">
        <v>1022</v>
      </c>
      <c r="B1023" t="s">
        <v>931</v>
      </c>
      <c r="C1023">
        <v>44344.609722222223</v>
      </c>
      <c r="D1023">
        <v>2021</v>
      </c>
      <c r="E1023" t="s">
        <v>10</v>
      </c>
      <c r="F1023" t="s">
        <v>1556</v>
      </c>
      <c r="G1023" t="s">
        <v>44</v>
      </c>
      <c r="H1023" s="1" t="s">
        <v>1575</v>
      </c>
      <c r="I1023" t="s">
        <v>1579</v>
      </c>
      <c r="J1023" s="2">
        <v>1136373</v>
      </c>
      <c r="K1023" t="s">
        <v>12</v>
      </c>
      <c r="L1023" t="s">
        <v>1651</v>
      </c>
    </row>
    <row r="1024" spans="1:12" x14ac:dyDescent="0.3">
      <c r="A1024">
        <v>1023</v>
      </c>
      <c r="B1024" t="s">
        <v>931</v>
      </c>
      <c r="C1024">
        <v>44344.61041666667</v>
      </c>
      <c r="D1024">
        <v>2021</v>
      </c>
      <c r="E1024" t="s">
        <v>10</v>
      </c>
      <c r="F1024" t="s">
        <v>1553</v>
      </c>
      <c r="G1024" t="s">
        <v>44</v>
      </c>
      <c r="H1024" s="1" t="s">
        <v>1573</v>
      </c>
      <c r="I1024" t="s">
        <v>1579</v>
      </c>
      <c r="J1024" s="2">
        <v>3909995</v>
      </c>
      <c r="K1024" t="s">
        <v>12</v>
      </c>
      <c r="L1024" t="s">
        <v>1650</v>
      </c>
    </row>
    <row r="1025" spans="1:12" x14ac:dyDescent="0.3">
      <c r="A1025">
        <v>1024</v>
      </c>
      <c r="B1025" t="s">
        <v>932</v>
      </c>
      <c r="C1025">
        <v>44347.339583333334</v>
      </c>
      <c r="D1025">
        <v>2021</v>
      </c>
      <c r="E1025" t="s">
        <v>10</v>
      </c>
      <c r="F1025" t="s">
        <v>1556</v>
      </c>
      <c r="G1025" t="s">
        <v>11</v>
      </c>
      <c r="H1025" s="1" t="s">
        <v>1565</v>
      </c>
      <c r="I1025" t="s">
        <v>1577</v>
      </c>
      <c r="J1025" s="2">
        <v>1366693</v>
      </c>
      <c r="K1025" t="s">
        <v>121</v>
      </c>
      <c r="L1025" t="s">
        <v>1651</v>
      </c>
    </row>
    <row r="1026" spans="1:12" x14ac:dyDescent="0.3">
      <c r="A1026">
        <v>1025</v>
      </c>
      <c r="B1026" t="s">
        <v>933</v>
      </c>
      <c r="C1026">
        <v>44347.347222222219</v>
      </c>
      <c r="D1026">
        <v>2021</v>
      </c>
      <c r="E1026" t="s">
        <v>10</v>
      </c>
      <c r="F1026" t="s">
        <v>1553</v>
      </c>
      <c r="G1026" t="s">
        <v>339</v>
      </c>
      <c r="H1026" s="1" t="s">
        <v>1566</v>
      </c>
      <c r="I1026" t="s">
        <v>1587</v>
      </c>
      <c r="J1026" s="2">
        <v>3611501</v>
      </c>
      <c r="K1026" t="s">
        <v>12</v>
      </c>
      <c r="L1026" t="s">
        <v>1649</v>
      </c>
    </row>
    <row r="1027" spans="1:12" x14ac:dyDescent="0.3">
      <c r="A1027">
        <v>1026</v>
      </c>
      <c r="B1027" t="s">
        <v>934</v>
      </c>
      <c r="C1027">
        <v>44347.638888888891</v>
      </c>
      <c r="D1027">
        <v>2021</v>
      </c>
      <c r="E1027" t="s">
        <v>10</v>
      </c>
      <c r="F1027" t="s">
        <v>1556</v>
      </c>
      <c r="G1027" t="s">
        <v>18</v>
      </c>
      <c r="H1027" s="1" t="s">
        <v>1572</v>
      </c>
      <c r="I1027" t="s">
        <v>1579</v>
      </c>
      <c r="J1027" s="2">
        <v>2770291</v>
      </c>
      <c r="K1027" t="s">
        <v>12</v>
      </c>
      <c r="L1027" t="s">
        <v>1652</v>
      </c>
    </row>
    <row r="1028" spans="1:12" x14ac:dyDescent="0.3">
      <c r="A1028">
        <v>1027</v>
      </c>
      <c r="B1028" t="s">
        <v>935</v>
      </c>
      <c r="C1028">
        <v>44349.606249999997</v>
      </c>
      <c r="D1028">
        <v>2021</v>
      </c>
      <c r="E1028" t="s">
        <v>10</v>
      </c>
      <c r="F1028" t="s">
        <v>1553</v>
      </c>
      <c r="G1028" t="s">
        <v>11</v>
      </c>
      <c r="H1028" s="1" t="s">
        <v>1565</v>
      </c>
      <c r="I1028" t="s">
        <v>1577</v>
      </c>
      <c r="J1028" s="2">
        <v>3043528</v>
      </c>
      <c r="K1028" t="s">
        <v>121</v>
      </c>
      <c r="L1028" t="s">
        <v>1652</v>
      </c>
    </row>
    <row r="1029" spans="1:12" x14ac:dyDescent="0.3">
      <c r="A1029">
        <v>1028</v>
      </c>
      <c r="B1029" t="s">
        <v>936</v>
      </c>
      <c r="C1029">
        <v>44349.675000000003</v>
      </c>
      <c r="D1029">
        <v>2021</v>
      </c>
      <c r="E1029" t="s">
        <v>10</v>
      </c>
      <c r="F1029" t="s">
        <v>1556</v>
      </c>
      <c r="G1029" t="s">
        <v>358</v>
      </c>
      <c r="H1029" s="1" t="s">
        <v>1574</v>
      </c>
      <c r="I1029" t="s">
        <v>1579</v>
      </c>
      <c r="J1029" s="2">
        <v>1299871</v>
      </c>
      <c r="K1029" t="s">
        <v>12</v>
      </c>
      <c r="L1029" t="s">
        <v>1652</v>
      </c>
    </row>
    <row r="1030" spans="1:12" x14ac:dyDescent="0.3">
      <c r="A1030">
        <v>1029</v>
      </c>
      <c r="B1030" t="s">
        <v>937</v>
      </c>
      <c r="C1030">
        <v>44350.363194444442</v>
      </c>
      <c r="D1030">
        <v>2021</v>
      </c>
      <c r="E1030" t="s">
        <v>10</v>
      </c>
      <c r="F1030" t="s">
        <v>1553</v>
      </c>
      <c r="G1030" t="s">
        <v>11</v>
      </c>
      <c r="H1030" s="1" t="s">
        <v>1566</v>
      </c>
      <c r="I1030" t="s">
        <v>1577</v>
      </c>
      <c r="J1030" s="2">
        <v>2970350</v>
      </c>
      <c r="K1030" t="s">
        <v>121</v>
      </c>
      <c r="L1030" t="s">
        <v>1650</v>
      </c>
    </row>
    <row r="1031" spans="1:12" x14ac:dyDescent="0.3">
      <c r="A1031">
        <v>1030</v>
      </c>
      <c r="B1031" t="s">
        <v>938</v>
      </c>
      <c r="C1031">
        <v>44350.370833333334</v>
      </c>
      <c r="D1031">
        <v>2021</v>
      </c>
      <c r="E1031" t="s">
        <v>10</v>
      </c>
      <c r="F1031" t="s">
        <v>1556</v>
      </c>
      <c r="G1031" t="s">
        <v>11</v>
      </c>
      <c r="H1031" s="1" t="s">
        <v>1569</v>
      </c>
      <c r="I1031" t="s">
        <v>1577</v>
      </c>
      <c r="J1031" s="2">
        <v>1843624</v>
      </c>
      <c r="K1031" t="s">
        <v>121</v>
      </c>
      <c r="L1031" t="s">
        <v>1652</v>
      </c>
    </row>
    <row r="1032" spans="1:12" x14ac:dyDescent="0.3">
      <c r="A1032">
        <v>1031</v>
      </c>
      <c r="B1032" t="s">
        <v>939</v>
      </c>
      <c r="C1032">
        <v>44350.382638888892</v>
      </c>
      <c r="D1032">
        <v>2021</v>
      </c>
      <c r="E1032" t="s">
        <v>10</v>
      </c>
      <c r="F1032" t="s">
        <v>1553</v>
      </c>
      <c r="G1032" t="s">
        <v>57</v>
      </c>
      <c r="H1032" s="1" t="s">
        <v>1565</v>
      </c>
      <c r="I1032" t="s">
        <v>1579</v>
      </c>
      <c r="J1032" s="2">
        <v>3716733</v>
      </c>
      <c r="K1032" t="s">
        <v>12</v>
      </c>
      <c r="L1032" t="s">
        <v>1648</v>
      </c>
    </row>
    <row r="1033" spans="1:12" x14ac:dyDescent="0.3">
      <c r="A1033">
        <v>1032</v>
      </c>
      <c r="B1033" t="s">
        <v>50</v>
      </c>
      <c r="C1033">
        <v>44351.61041666667</v>
      </c>
      <c r="D1033">
        <v>2021</v>
      </c>
      <c r="E1033" t="s">
        <v>10</v>
      </c>
      <c r="F1033" t="s">
        <v>1556</v>
      </c>
      <c r="G1033" t="s">
        <v>67</v>
      </c>
      <c r="H1033" s="1" t="s">
        <v>1573</v>
      </c>
      <c r="I1033" t="s">
        <v>1591</v>
      </c>
      <c r="J1033" s="2">
        <v>1281189</v>
      </c>
      <c r="K1033" t="s">
        <v>12</v>
      </c>
      <c r="L1033" t="s">
        <v>1653</v>
      </c>
    </row>
    <row r="1034" spans="1:12" x14ac:dyDescent="0.3">
      <c r="A1034">
        <v>1033</v>
      </c>
      <c r="B1034" t="s">
        <v>940</v>
      </c>
      <c r="C1034">
        <v>44351.656944444447</v>
      </c>
      <c r="D1034">
        <v>2021</v>
      </c>
      <c r="E1034" t="s">
        <v>10</v>
      </c>
      <c r="F1034" t="s">
        <v>1553</v>
      </c>
      <c r="G1034" t="s">
        <v>67</v>
      </c>
      <c r="H1034" s="1" t="s">
        <v>1572</v>
      </c>
      <c r="I1034" t="s">
        <v>1637</v>
      </c>
      <c r="J1034" s="2">
        <v>4552975</v>
      </c>
      <c r="K1034" t="s">
        <v>12</v>
      </c>
      <c r="L1034" t="s">
        <v>1650</v>
      </c>
    </row>
    <row r="1035" spans="1:12" x14ac:dyDescent="0.3">
      <c r="A1035">
        <v>1034</v>
      </c>
      <c r="B1035" t="s">
        <v>941</v>
      </c>
      <c r="C1035">
        <v>44355.380555555559</v>
      </c>
      <c r="D1035">
        <v>2021</v>
      </c>
      <c r="E1035" t="s">
        <v>10</v>
      </c>
      <c r="F1035" t="s">
        <v>1556</v>
      </c>
      <c r="G1035" t="s">
        <v>23</v>
      </c>
      <c r="H1035" s="1" t="s">
        <v>1576</v>
      </c>
      <c r="I1035" t="s">
        <v>1579</v>
      </c>
      <c r="J1035" s="2">
        <v>3041671</v>
      </c>
      <c r="K1035" t="s">
        <v>12</v>
      </c>
      <c r="L1035" t="s">
        <v>1652</v>
      </c>
    </row>
    <row r="1036" spans="1:12" x14ac:dyDescent="0.3">
      <c r="A1036">
        <v>1035</v>
      </c>
      <c r="B1036" t="s">
        <v>776</v>
      </c>
      <c r="C1036">
        <v>44355.387499999997</v>
      </c>
      <c r="D1036">
        <v>2021</v>
      </c>
      <c r="E1036" t="s">
        <v>10</v>
      </c>
      <c r="F1036" t="s">
        <v>1553</v>
      </c>
      <c r="G1036" t="s">
        <v>23</v>
      </c>
      <c r="H1036" s="1" t="s">
        <v>1570</v>
      </c>
      <c r="I1036" t="s">
        <v>1579</v>
      </c>
      <c r="J1036" s="2">
        <v>3532897</v>
      </c>
      <c r="K1036" t="s">
        <v>12</v>
      </c>
      <c r="L1036" t="s">
        <v>1649</v>
      </c>
    </row>
    <row r="1037" spans="1:12" x14ac:dyDescent="0.3">
      <c r="A1037">
        <v>1036</v>
      </c>
      <c r="B1037" t="s">
        <v>942</v>
      </c>
      <c r="C1037">
        <v>44355.45</v>
      </c>
      <c r="D1037">
        <v>2021</v>
      </c>
      <c r="E1037" t="s">
        <v>10</v>
      </c>
      <c r="F1037" t="s">
        <v>1556</v>
      </c>
      <c r="G1037" t="s">
        <v>11</v>
      </c>
      <c r="H1037" s="1" t="s">
        <v>1566</v>
      </c>
      <c r="I1037" t="s">
        <v>1577</v>
      </c>
      <c r="J1037" s="2">
        <v>3341561</v>
      </c>
      <c r="K1037" t="s">
        <v>121</v>
      </c>
      <c r="L1037" t="s">
        <v>1648</v>
      </c>
    </row>
    <row r="1038" spans="1:12" x14ac:dyDescent="0.3">
      <c r="A1038">
        <v>1037</v>
      </c>
      <c r="B1038" t="s">
        <v>943</v>
      </c>
      <c r="C1038">
        <v>44355.644444444442</v>
      </c>
      <c r="D1038">
        <v>2021</v>
      </c>
      <c r="E1038" t="s">
        <v>10</v>
      </c>
      <c r="F1038" t="s">
        <v>1553</v>
      </c>
      <c r="G1038" t="s">
        <v>591</v>
      </c>
      <c r="H1038" s="1" t="s">
        <v>1572</v>
      </c>
      <c r="I1038" t="s">
        <v>1579</v>
      </c>
      <c r="J1038" s="2">
        <v>3909667</v>
      </c>
      <c r="K1038" t="s">
        <v>12</v>
      </c>
      <c r="L1038" t="s">
        <v>1648</v>
      </c>
    </row>
    <row r="1039" spans="1:12" x14ac:dyDescent="0.3">
      <c r="A1039">
        <v>1038</v>
      </c>
      <c r="B1039" t="s">
        <v>944</v>
      </c>
      <c r="C1039">
        <v>44356.37222222222</v>
      </c>
      <c r="D1039">
        <v>2021</v>
      </c>
      <c r="E1039" t="s">
        <v>10</v>
      </c>
      <c r="F1039" t="s">
        <v>1556</v>
      </c>
      <c r="G1039" t="s">
        <v>290</v>
      </c>
      <c r="H1039" s="1" t="s">
        <v>1570</v>
      </c>
      <c r="I1039" t="s">
        <v>1579</v>
      </c>
      <c r="J1039" s="2">
        <v>1534913</v>
      </c>
      <c r="K1039" t="s">
        <v>12</v>
      </c>
      <c r="L1039" t="s">
        <v>1651</v>
      </c>
    </row>
    <row r="1040" spans="1:12" x14ac:dyDescent="0.3">
      <c r="A1040">
        <v>1039</v>
      </c>
      <c r="B1040" t="s">
        <v>50</v>
      </c>
      <c r="C1040">
        <v>44356.606249999997</v>
      </c>
      <c r="D1040">
        <v>2021</v>
      </c>
      <c r="E1040" t="s">
        <v>10</v>
      </c>
      <c r="F1040" t="s">
        <v>1553</v>
      </c>
      <c r="G1040" t="s">
        <v>591</v>
      </c>
      <c r="H1040" s="1" t="s">
        <v>1563</v>
      </c>
      <c r="I1040" t="s">
        <v>1454</v>
      </c>
      <c r="J1040" s="2">
        <v>3465783</v>
      </c>
      <c r="K1040" t="s">
        <v>121</v>
      </c>
      <c r="L1040" t="s">
        <v>1650</v>
      </c>
    </row>
    <row r="1041" spans="1:12" x14ac:dyDescent="0.3">
      <c r="A1041">
        <v>1040</v>
      </c>
      <c r="B1041" t="s">
        <v>945</v>
      </c>
      <c r="C1041">
        <v>44356.619444444441</v>
      </c>
      <c r="D1041">
        <v>2021</v>
      </c>
      <c r="E1041" t="s">
        <v>10</v>
      </c>
      <c r="F1041" t="s">
        <v>1556</v>
      </c>
      <c r="G1041" t="s">
        <v>591</v>
      </c>
      <c r="H1041" s="1" t="s">
        <v>1562</v>
      </c>
      <c r="I1041" t="s">
        <v>1579</v>
      </c>
      <c r="J1041" s="2">
        <v>3681177</v>
      </c>
      <c r="K1041" t="s">
        <v>12</v>
      </c>
      <c r="L1041" t="s">
        <v>1649</v>
      </c>
    </row>
    <row r="1042" spans="1:12" x14ac:dyDescent="0.3">
      <c r="A1042">
        <v>1041</v>
      </c>
      <c r="B1042" t="s">
        <v>946</v>
      </c>
      <c r="C1042">
        <v>44358.454861111109</v>
      </c>
      <c r="D1042">
        <v>2021</v>
      </c>
      <c r="E1042" t="s">
        <v>10</v>
      </c>
      <c r="F1042" t="s">
        <v>1553</v>
      </c>
      <c r="G1042" t="s">
        <v>18</v>
      </c>
      <c r="H1042" s="1" t="s">
        <v>1575</v>
      </c>
      <c r="I1042" t="s">
        <v>1579</v>
      </c>
      <c r="J1042" s="2">
        <v>1982476</v>
      </c>
      <c r="K1042" t="s">
        <v>12</v>
      </c>
      <c r="L1042" t="s">
        <v>1649</v>
      </c>
    </row>
    <row r="1043" spans="1:12" x14ac:dyDescent="0.3">
      <c r="A1043">
        <v>1042</v>
      </c>
      <c r="B1043" t="s">
        <v>947</v>
      </c>
      <c r="C1043">
        <v>44358.498611111114</v>
      </c>
      <c r="D1043">
        <v>2021</v>
      </c>
      <c r="E1043" t="s">
        <v>10</v>
      </c>
      <c r="F1043" t="s">
        <v>1556</v>
      </c>
      <c r="G1043" t="s">
        <v>11</v>
      </c>
      <c r="H1043" s="1" t="s">
        <v>1567</v>
      </c>
      <c r="I1043" t="s">
        <v>1577</v>
      </c>
      <c r="J1043" s="2">
        <v>4357128</v>
      </c>
      <c r="K1043" t="s">
        <v>121</v>
      </c>
      <c r="L1043" t="s">
        <v>1649</v>
      </c>
    </row>
    <row r="1044" spans="1:12" x14ac:dyDescent="0.3">
      <c r="A1044">
        <v>1043</v>
      </c>
      <c r="B1044" t="s">
        <v>948</v>
      </c>
      <c r="C1044">
        <v>44358.588194444441</v>
      </c>
      <c r="D1044">
        <v>2021</v>
      </c>
      <c r="E1044" t="s">
        <v>10</v>
      </c>
      <c r="F1044" t="s">
        <v>1553</v>
      </c>
      <c r="G1044" t="s">
        <v>23</v>
      </c>
      <c r="H1044" s="1" t="s">
        <v>1574</v>
      </c>
      <c r="I1044" t="s">
        <v>1579</v>
      </c>
      <c r="J1044" s="2">
        <v>3791644</v>
      </c>
      <c r="K1044" t="s">
        <v>12</v>
      </c>
      <c r="L1044" t="s">
        <v>1652</v>
      </c>
    </row>
    <row r="1045" spans="1:12" x14ac:dyDescent="0.3">
      <c r="A1045">
        <v>1044</v>
      </c>
      <c r="B1045" t="s">
        <v>949</v>
      </c>
      <c r="C1045">
        <v>44362.475694444445</v>
      </c>
      <c r="D1045">
        <v>2021</v>
      </c>
      <c r="E1045" t="s">
        <v>10</v>
      </c>
      <c r="F1045" t="s">
        <v>1556</v>
      </c>
      <c r="G1045" t="s">
        <v>15</v>
      </c>
      <c r="H1045" s="1" t="s">
        <v>1568</v>
      </c>
      <c r="I1045" t="s">
        <v>1579</v>
      </c>
      <c r="J1045" s="2">
        <v>4348184</v>
      </c>
      <c r="K1045" t="s">
        <v>12</v>
      </c>
      <c r="L1045" t="s">
        <v>1653</v>
      </c>
    </row>
    <row r="1046" spans="1:12" x14ac:dyDescent="0.3">
      <c r="A1046">
        <v>1045</v>
      </c>
      <c r="B1046" t="s">
        <v>950</v>
      </c>
      <c r="C1046">
        <v>44362.490277777775</v>
      </c>
      <c r="D1046">
        <v>2021</v>
      </c>
      <c r="E1046" t="s">
        <v>10</v>
      </c>
      <c r="F1046" t="s">
        <v>1553</v>
      </c>
      <c r="G1046" t="s">
        <v>15</v>
      </c>
      <c r="H1046" s="1" t="s">
        <v>1576</v>
      </c>
      <c r="I1046" t="s">
        <v>1579</v>
      </c>
      <c r="J1046" s="2">
        <v>2672282</v>
      </c>
      <c r="K1046" t="s">
        <v>12</v>
      </c>
      <c r="L1046" t="s">
        <v>1651</v>
      </c>
    </row>
    <row r="1047" spans="1:12" x14ac:dyDescent="0.3">
      <c r="A1047">
        <v>1046</v>
      </c>
      <c r="B1047" t="s">
        <v>951</v>
      </c>
      <c r="C1047">
        <v>44362.645833333336</v>
      </c>
      <c r="D1047">
        <v>2021</v>
      </c>
      <c r="E1047" t="s">
        <v>10</v>
      </c>
      <c r="F1047" t="s">
        <v>1556</v>
      </c>
      <c r="G1047" t="s">
        <v>18</v>
      </c>
      <c r="H1047" s="1" t="s">
        <v>1565</v>
      </c>
      <c r="I1047" t="s">
        <v>1579</v>
      </c>
      <c r="J1047" s="2">
        <v>4164903</v>
      </c>
      <c r="K1047" t="s">
        <v>12</v>
      </c>
      <c r="L1047" t="s">
        <v>1653</v>
      </c>
    </row>
    <row r="1048" spans="1:12" x14ac:dyDescent="0.3">
      <c r="A1048">
        <v>1047</v>
      </c>
      <c r="B1048" t="s">
        <v>952</v>
      </c>
      <c r="C1048">
        <v>44362.659722222219</v>
      </c>
      <c r="D1048">
        <v>2021</v>
      </c>
      <c r="E1048" t="s">
        <v>10</v>
      </c>
      <c r="F1048" t="s">
        <v>1553</v>
      </c>
      <c r="G1048" t="s">
        <v>18</v>
      </c>
      <c r="H1048" s="1" t="s">
        <v>1569</v>
      </c>
      <c r="I1048" t="s">
        <v>1579</v>
      </c>
      <c r="J1048" s="2">
        <v>3804810</v>
      </c>
      <c r="K1048" t="s">
        <v>12</v>
      </c>
      <c r="L1048" t="s">
        <v>1651</v>
      </c>
    </row>
    <row r="1049" spans="1:12" x14ac:dyDescent="0.3">
      <c r="A1049">
        <v>1048</v>
      </c>
      <c r="B1049" t="s">
        <v>433</v>
      </c>
      <c r="C1049">
        <v>44362.680555555555</v>
      </c>
      <c r="D1049">
        <v>2021</v>
      </c>
      <c r="E1049" t="s">
        <v>10</v>
      </c>
      <c r="F1049" t="s">
        <v>1556</v>
      </c>
      <c r="G1049" t="s">
        <v>15</v>
      </c>
      <c r="H1049" s="1" t="s">
        <v>1569</v>
      </c>
      <c r="I1049" t="s">
        <v>1579</v>
      </c>
      <c r="J1049" s="2">
        <v>4286349</v>
      </c>
      <c r="K1049" t="s">
        <v>12</v>
      </c>
      <c r="L1049" t="s">
        <v>1651</v>
      </c>
    </row>
    <row r="1050" spans="1:12" x14ac:dyDescent="0.3">
      <c r="A1050">
        <v>1049</v>
      </c>
      <c r="B1050" t="s">
        <v>953</v>
      </c>
      <c r="C1050">
        <v>44362.757638888892</v>
      </c>
      <c r="D1050">
        <v>2021</v>
      </c>
      <c r="E1050" t="s">
        <v>10</v>
      </c>
      <c r="F1050" t="s">
        <v>1553</v>
      </c>
      <c r="G1050" t="s">
        <v>339</v>
      </c>
      <c r="H1050" s="1" t="s">
        <v>1576</v>
      </c>
      <c r="I1050" t="s">
        <v>1579</v>
      </c>
      <c r="J1050" s="2">
        <v>1190968</v>
      </c>
      <c r="K1050" t="s">
        <v>12</v>
      </c>
      <c r="L1050" t="s">
        <v>1651</v>
      </c>
    </row>
    <row r="1051" spans="1:12" x14ac:dyDescent="0.3">
      <c r="A1051">
        <v>1050</v>
      </c>
      <c r="B1051" t="s">
        <v>954</v>
      </c>
      <c r="C1051">
        <v>44363.390277777777</v>
      </c>
      <c r="D1051">
        <v>2021</v>
      </c>
      <c r="E1051" t="s">
        <v>10</v>
      </c>
      <c r="F1051" t="s">
        <v>1556</v>
      </c>
      <c r="G1051" t="s">
        <v>18</v>
      </c>
      <c r="H1051" s="1" t="s">
        <v>1568</v>
      </c>
      <c r="I1051" t="s">
        <v>1579</v>
      </c>
      <c r="J1051" s="2">
        <v>1198045</v>
      </c>
      <c r="K1051" t="s">
        <v>12</v>
      </c>
      <c r="L1051" t="s">
        <v>1648</v>
      </c>
    </row>
    <row r="1052" spans="1:12" x14ac:dyDescent="0.3">
      <c r="A1052">
        <v>1051</v>
      </c>
      <c r="B1052" t="s">
        <v>955</v>
      </c>
      <c r="C1052">
        <v>44363.411805555559</v>
      </c>
      <c r="D1052">
        <v>2021</v>
      </c>
      <c r="E1052" t="s">
        <v>10</v>
      </c>
      <c r="F1052" t="s">
        <v>1553</v>
      </c>
      <c r="G1052" t="s">
        <v>23</v>
      </c>
      <c r="H1052" s="1" t="s">
        <v>1572</v>
      </c>
      <c r="I1052" t="s">
        <v>1579</v>
      </c>
      <c r="J1052" s="2">
        <v>3323470</v>
      </c>
      <c r="K1052" t="s">
        <v>12</v>
      </c>
      <c r="L1052" t="s">
        <v>1652</v>
      </c>
    </row>
    <row r="1053" spans="1:12" x14ac:dyDescent="0.3">
      <c r="A1053">
        <v>1052</v>
      </c>
      <c r="B1053" t="s">
        <v>956</v>
      </c>
      <c r="C1053">
        <v>44363.486805555556</v>
      </c>
      <c r="D1053">
        <v>2021</v>
      </c>
      <c r="E1053" t="s">
        <v>10</v>
      </c>
      <c r="F1053" t="s">
        <v>1556</v>
      </c>
      <c r="G1053" t="s">
        <v>18</v>
      </c>
      <c r="H1053" s="1" t="s">
        <v>1572</v>
      </c>
      <c r="I1053" t="s">
        <v>1579</v>
      </c>
      <c r="J1053" s="2">
        <v>1527612</v>
      </c>
      <c r="K1053" t="s">
        <v>12</v>
      </c>
      <c r="L1053" t="s">
        <v>1649</v>
      </c>
    </row>
    <row r="1054" spans="1:12" x14ac:dyDescent="0.3">
      <c r="A1054">
        <v>1053</v>
      </c>
      <c r="B1054" t="s">
        <v>957</v>
      </c>
      <c r="C1054">
        <v>44363.546527777777</v>
      </c>
      <c r="D1054">
        <v>2021</v>
      </c>
      <c r="E1054" t="s">
        <v>10</v>
      </c>
      <c r="F1054" t="s">
        <v>1553</v>
      </c>
      <c r="G1054" t="s">
        <v>290</v>
      </c>
      <c r="H1054" s="1" t="s">
        <v>1571</v>
      </c>
      <c r="I1054" t="s">
        <v>1579</v>
      </c>
      <c r="J1054" s="2">
        <v>2623158</v>
      </c>
      <c r="K1054" t="s">
        <v>12</v>
      </c>
      <c r="L1054" t="s">
        <v>1649</v>
      </c>
    </row>
    <row r="1055" spans="1:12" x14ac:dyDescent="0.3">
      <c r="A1055">
        <v>1054</v>
      </c>
      <c r="B1055" t="s">
        <v>958</v>
      </c>
      <c r="C1055">
        <v>44363.595138888886</v>
      </c>
      <c r="D1055">
        <v>2021</v>
      </c>
      <c r="E1055" t="s">
        <v>10</v>
      </c>
      <c r="F1055" t="s">
        <v>1556</v>
      </c>
      <c r="G1055" t="s">
        <v>57</v>
      </c>
      <c r="H1055" s="1" t="s">
        <v>1567</v>
      </c>
      <c r="I1055" t="s">
        <v>1637</v>
      </c>
      <c r="J1055" s="2">
        <v>2456857</v>
      </c>
      <c r="K1055" t="s">
        <v>12</v>
      </c>
      <c r="L1055" t="s">
        <v>1649</v>
      </c>
    </row>
    <row r="1056" spans="1:12" x14ac:dyDescent="0.3">
      <c r="A1056">
        <v>1055</v>
      </c>
      <c r="B1056" t="s">
        <v>959</v>
      </c>
      <c r="C1056">
        <v>44363.665972222225</v>
      </c>
      <c r="D1056">
        <v>2021</v>
      </c>
      <c r="E1056" t="s">
        <v>10</v>
      </c>
      <c r="F1056" t="s">
        <v>1553</v>
      </c>
      <c r="G1056" t="s">
        <v>23</v>
      </c>
      <c r="H1056" s="1" t="s">
        <v>1575</v>
      </c>
      <c r="I1056" t="s">
        <v>1579</v>
      </c>
      <c r="J1056" s="2">
        <v>4737166</v>
      </c>
      <c r="K1056" t="s">
        <v>12</v>
      </c>
      <c r="L1056" t="s">
        <v>1649</v>
      </c>
    </row>
    <row r="1057" spans="1:12" x14ac:dyDescent="0.3">
      <c r="A1057">
        <v>1056</v>
      </c>
      <c r="B1057" t="s">
        <v>960</v>
      </c>
      <c r="C1057">
        <v>44364.372916666667</v>
      </c>
      <c r="D1057">
        <v>2021</v>
      </c>
      <c r="E1057" t="s">
        <v>10</v>
      </c>
      <c r="F1057" t="s">
        <v>1556</v>
      </c>
      <c r="G1057" t="s">
        <v>21</v>
      </c>
      <c r="H1057" s="1" t="s">
        <v>1574</v>
      </c>
      <c r="I1057" t="s">
        <v>1582</v>
      </c>
      <c r="J1057" s="2">
        <v>4226947</v>
      </c>
      <c r="K1057" t="s">
        <v>16</v>
      </c>
      <c r="L1057" t="s">
        <v>1649</v>
      </c>
    </row>
    <row r="1058" spans="1:12" x14ac:dyDescent="0.3">
      <c r="A1058">
        <v>1057</v>
      </c>
      <c r="B1058" t="s">
        <v>961</v>
      </c>
      <c r="C1058">
        <v>44364.37777777778</v>
      </c>
      <c r="D1058">
        <v>2021</v>
      </c>
      <c r="E1058" t="s">
        <v>10</v>
      </c>
      <c r="F1058" t="s">
        <v>1553</v>
      </c>
      <c r="G1058" t="s">
        <v>11</v>
      </c>
      <c r="H1058" s="1" t="s">
        <v>1575</v>
      </c>
      <c r="I1058" t="s">
        <v>1577</v>
      </c>
      <c r="J1058" s="2">
        <v>3886595</v>
      </c>
      <c r="K1058" t="s">
        <v>121</v>
      </c>
      <c r="L1058" t="s">
        <v>1648</v>
      </c>
    </row>
    <row r="1059" spans="1:12" x14ac:dyDescent="0.3">
      <c r="A1059">
        <v>1058</v>
      </c>
      <c r="B1059" t="s">
        <v>962</v>
      </c>
      <c r="C1059">
        <v>44364.662499999999</v>
      </c>
      <c r="D1059">
        <v>2021</v>
      </c>
      <c r="E1059" t="s">
        <v>10</v>
      </c>
      <c r="F1059" t="s">
        <v>1556</v>
      </c>
      <c r="G1059" t="s">
        <v>23</v>
      </c>
      <c r="H1059" s="1" t="s">
        <v>1574</v>
      </c>
      <c r="I1059" t="s">
        <v>1579</v>
      </c>
      <c r="J1059" s="2">
        <v>1725872</v>
      </c>
      <c r="K1059" t="s">
        <v>12</v>
      </c>
      <c r="L1059" t="s">
        <v>1652</v>
      </c>
    </row>
    <row r="1060" spans="1:12" x14ac:dyDescent="0.3">
      <c r="A1060">
        <v>1059</v>
      </c>
      <c r="B1060" t="s">
        <v>437</v>
      </c>
      <c r="C1060">
        <v>44365.863888888889</v>
      </c>
      <c r="D1060">
        <v>2021</v>
      </c>
      <c r="E1060" t="s">
        <v>10</v>
      </c>
      <c r="F1060" t="s">
        <v>1553</v>
      </c>
      <c r="G1060" t="s">
        <v>229</v>
      </c>
      <c r="H1060" s="1" t="s">
        <v>1565</v>
      </c>
      <c r="I1060" t="s">
        <v>1635</v>
      </c>
      <c r="J1060" s="2">
        <v>1150916</v>
      </c>
      <c r="K1060" t="s">
        <v>12</v>
      </c>
      <c r="L1060" t="s">
        <v>1649</v>
      </c>
    </row>
    <row r="1061" spans="1:12" x14ac:dyDescent="0.3">
      <c r="A1061">
        <v>1060</v>
      </c>
      <c r="B1061" t="s">
        <v>963</v>
      </c>
      <c r="C1061">
        <v>44368.452777777777</v>
      </c>
      <c r="D1061">
        <v>2021</v>
      </c>
      <c r="E1061" t="s">
        <v>10</v>
      </c>
      <c r="F1061" t="s">
        <v>1556</v>
      </c>
      <c r="G1061" t="s">
        <v>15</v>
      </c>
      <c r="H1061" s="1" t="s">
        <v>1571</v>
      </c>
      <c r="I1061" t="s">
        <v>1579</v>
      </c>
      <c r="J1061" s="2">
        <v>3032856</v>
      </c>
      <c r="K1061" t="s">
        <v>12</v>
      </c>
      <c r="L1061" t="s">
        <v>1651</v>
      </c>
    </row>
    <row r="1062" spans="1:12" x14ac:dyDescent="0.3">
      <c r="A1062">
        <v>1061</v>
      </c>
      <c r="B1062" t="s">
        <v>964</v>
      </c>
      <c r="C1062">
        <v>44368.674305555556</v>
      </c>
      <c r="D1062">
        <v>2021</v>
      </c>
      <c r="E1062" t="s">
        <v>10</v>
      </c>
      <c r="F1062" t="s">
        <v>1553</v>
      </c>
      <c r="G1062" t="s">
        <v>23</v>
      </c>
      <c r="H1062" s="1" t="s">
        <v>1570</v>
      </c>
      <c r="I1062" t="s">
        <v>1579</v>
      </c>
      <c r="J1062" s="2">
        <v>1324548</v>
      </c>
      <c r="K1062" t="s">
        <v>12</v>
      </c>
      <c r="L1062" t="s">
        <v>1653</v>
      </c>
    </row>
    <row r="1063" spans="1:12" x14ac:dyDescent="0.3">
      <c r="A1063">
        <v>1062</v>
      </c>
      <c r="B1063" t="s">
        <v>965</v>
      </c>
      <c r="C1063">
        <v>44368.697916666664</v>
      </c>
      <c r="D1063">
        <v>2021</v>
      </c>
      <c r="E1063" t="s">
        <v>10</v>
      </c>
      <c r="F1063" t="s">
        <v>1556</v>
      </c>
      <c r="G1063" t="s">
        <v>15</v>
      </c>
      <c r="H1063" s="1" t="s">
        <v>1566</v>
      </c>
      <c r="I1063" t="s">
        <v>1579</v>
      </c>
      <c r="J1063" s="2">
        <v>2273312</v>
      </c>
      <c r="K1063" t="s">
        <v>12</v>
      </c>
      <c r="L1063" t="s">
        <v>1649</v>
      </c>
    </row>
    <row r="1064" spans="1:12" x14ac:dyDescent="0.3">
      <c r="A1064">
        <v>1063</v>
      </c>
      <c r="B1064" t="s">
        <v>966</v>
      </c>
      <c r="C1064">
        <v>44369.386805555558</v>
      </c>
      <c r="D1064">
        <v>2021</v>
      </c>
      <c r="E1064" t="s">
        <v>10</v>
      </c>
      <c r="F1064" t="s">
        <v>1553</v>
      </c>
      <c r="G1064" t="s">
        <v>11</v>
      </c>
      <c r="H1064" s="1" t="s">
        <v>1565</v>
      </c>
      <c r="I1064" t="s">
        <v>1577</v>
      </c>
      <c r="J1064" s="2">
        <v>4821881</v>
      </c>
      <c r="K1064" t="s">
        <v>121</v>
      </c>
      <c r="L1064" t="s">
        <v>1649</v>
      </c>
    </row>
    <row r="1065" spans="1:12" x14ac:dyDescent="0.3">
      <c r="A1065">
        <v>1064</v>
      </c>
      <c r="B1065" t="s">
        <v>967</v>
      </c>
      <c r="C1065">
        <v>44369.393055555556</v>
      </c>
      <c r="D1065">
        <v>2021</v>
      </c>
      <c r="E1065" t="s">
        <v>10</v>
      </c>
      <c r="F1065" t="s">
        <v>1556</v>
      </c>
      <c r="G1065" t="s">
        <v>11</v>
      </c>
      <c r="H1065" s="1" t="s">
        <v>1562</v>
      </c>
      <c r="I1065" t="s">
        <v>1577</v>
      </c>
      <c r="J1065" s="2">
        <v>1767493</v>
      </c>
      <c r="K1065" t="s">
        <v>121</v>
      </c>
      <c r="L1065" t="s">
        <v>1650</v>
      </c>
    </row>
    <row r="1066" spans="1:12" x14ac:dyDescent="0.3">
      <c r="A1066">
        <v>1065</v>
      </c>
      <c r="B1066" t="s">
        <v>968</v>
      </c>
      <c r="C1066">
        <v>44369.402777777781</v>
      </c>
      <c r="D1066">
        <v>2021</v>
      </c>
      <c r="E1066" t="s">
        <v>10</v>
      </c>
      <c r="F1066" t="s">
        <v>1553</v>
      </c>
      <c r="G1066" t="s">
        <v>11</v>
      </c>
      <c r="H1066" s="1" t="s">
        <v>1570</v>
      </c>
      <c r="I1066" t="s">
        <v>1577</v>
      </c>
      <c r="J1066" s="2">
        <v>3552679</v>
      </c>
      <c r="K1066" t="s">
        <v>121</v>
      </c>
      <c r="L1066" t="s">
        <v>1650</v>
      </c>
    </row>
    <row r="1067" spans="1:12" x14ac:dyDescent="0.3">
      <c r="A1067">
        <v>1066</v>
      </c>
      <c r="B1067" t="s">
        <v>969</v>
      </c>
      <c r="C1067">
        <v>44369.465277777781</v>
      </c>
      <c r="D1067">
        <v>2021</v>
      </c>
      <c r="E1067" t="s">
        <v>10</v>
      </c>
      <c r="F1067" t="s">
        <v>1556</v>
      </c>
      <c r="G1067" t="s">
        <v>23</v>
      </c>
      <c r="H1067" s="1" t="s">
        <v>1568</v>
      </c>
      <c r="I1067" t="s">
        <v>1579</v>
      </c>
      <c r="J1067" s="2">
        <v>3636631</v>
      </c>
      <c r="K1067" t="s">
        <v>12</v>
      </c>
      <c r="L1067" t="s">
        <v>1653</v>
      </c>
    </row>
    <row r="1068" spans="1:12" x14ac:dyDescent="0.3">
      <c r="A1068">
        <v>1067</v>
      </c>
      <c r="B1068" t="s">
        <v>862</v>
      </c>
      <c r="C1068">
        <v>44369.509722222225</v>
      </c>
      <c r="D1068">
        <v>2021</v>
      </c>
      <c r="E1068" t="s">
        <v>10</v>
      </c>
      <c r="F1068" t="s">
        <v>1553</v>
      </c>
      <c r="G1068" t="s">
        <v>290</v>
      </c>
      <c r="H1068" s="1" t="s">
        <v>1562</v>
      </c>
      <c r="I1068" t="s">
        <v>1579</v>
      </c>
      <c r="J1068" s="2">
        <v>2595804</v>
      </c>
      <c r="K1068" t="s">
        <v>12</v>
      </c>
      <c r="L1068" t="s">
        <v>1648</v>
      </c>
    </row>
    <row r="1069" spans="1:12" x14ac:dyDescent="0.3">
      <c r="A1069">
        <v>1068</v>
      </c>
      <c r="B1069" t="s">
        <v>970</v>
      </c>
      <c r="C1069">
        <v>44369.710416666669</v>
      </c>
      <c r="D1069">
        <v>2021</v>
      </c>
      <c r="E1069" t="s">
        <v>10</v>
      </c>
      <c r="F1069" t="s">
        <v>1556</v>
      </c>
      <c r="G1069" t="s">
        <v>49</v>
      </c>
      <c r="H1069" s="1" t="s">
        <v>1572</v>
      </c>
      <c r="I1069" t="s">
        <v>1634</v>
      </c>
      <c r="J1069" s="2">
        <v>3679835</v>
      </c>
      <c r="K1069" t="s">
        <v>121</v>
      </c>
      <c r="L1069" t="s">
        <v>1649</v>
      </c>
    </row>
    <row r="1070" spans="1:12" x14ac:dyDescent="0.3">
      <c r="A1070">
        <v>1069</v>
      </c>
      <c r="B1070" t="s">
        <v>971</v>
      </c>
      <c r="C1070">
        <v>44370.420138888891</v>
      </c>
      <c r="D1070">
        <v>2021</v>
      </c>
      <c r="E1070" t="s">
        <v>10</v>
      </c>
      <c r="F1070" t="s">
        <v>1553</v>
      </c>
      <c r="G1070" t="s">
        <v>290</v>
      </c>
      <c r="H1070" s="1" t="s">
        <v>1570</v>
      </c>
      <c r="I1070" t="s">
        <v>1579</v>
      </c>
      <c r="J1070" s="2">
        <v>3615809</v>
      </c>
      <c r="K1070" t="s">
        <v>12</v>
      </c>
      <c r="L1070" t="s">
        <v>1650</v>
      </c>
    </row>
    <row r="1071" spans="1:12" x14ac:dyDescent="0.3">
      <c r="A1071">
        <v>1070</v>
      </c>
      <c r="B1071" t="s">
        <v>972</v>
      </c>
      <c r="C1071">
        <v>44370.465277777781</v>
      </c>
      <c r="D1071">
        <v>2021</v>
      </c>
      <c r="E1071" t="s">
        <v>10</v>
      </c>
      <c r="F1071" t="s">
        <v>1556</v>
      </c>
      <c r="G1071" t="s">
        <v>23</v>
      </c>
      <c r="H1071" s="1" t="s">
        <v>1563</v>
      </c>
      <c r="I1071" t="s">
        <v>1579</v>
      </c>
      <c r="J1071" s="2">
        <v>1203757</v>
      </c>
      <c r="K1071" t="s">
        <v>12</v>
      </c>
      <c r="L1071" t="s">
        <v>1653</v>
      </c>
    </row>
    <row r="1072" spans="1:12" x14ac:dyDescent="0.3">
      <c r="A1072">
        <v>1071</v>
      </c>
      <c r="B1072" t="s">
        <v>973</v>
      </c>
      <c r="C1072">
        <v>44370.693055555559</v>
      </c>
      <c r="D1072">
        <v>2021</v>
      </c>
      <c r="E1072" t="s">
        <v>10</v>
      </c>
      <c r="F1072" t="s">
        <v>1553</v>
      </c>
      <c r="G1072" t="s">
        <v>15</v>
      </c>
      <c r="H1072" s="1" t="s">
        <v>1567</v>
      </c>
      <c r="I1072" t="s">
        <v>1579</v>
      </c>
      <c r="J1072" s="2">
        <v>4662260</v>
      </c>
      <c r="K1072" t="s">
        <v>12</v>
      </c>
      <c r="L1072" t="s">
        <v>1651</v>
      </c>
    </row>
    <row r="1073" spans="1:12" x14ac:dyDescent="0.3">
      <c r="A1073">
        <v>1072</v>
      </c>
      <c r="B1073" t="s">
        <v>974</v>
      </c>
      <c r="C1073">
        <v>44370.704861111109</v>
      </c>
      <c r="D1073">
        <v>2021</v>
      </c>
      <c r="E1073" t="s">
        <v>10</v>
      </c>
      <c r="F1073" t="s">
        <v>1556</v>
      </c>
      <c r="G1073" t="s">
        <v>15</v>
      </c>
      <c r="H1073" s="1" t="s">
        <v>1573</v>
      </c>
      <c r="I1073" t="s">
        <v>1579</v>
      </c>
      <c r="J1073" s="2">
        <v>4239902</v>
      </c>
      <c r="K1073" t="s">
        <v>12</v>
      </c>
      <c r="L1073" t="s">
        <v>1650</v>
      </c>
    </row>
    <row r="1074" spans="1:12" x14ac:dyDescent="0.3">
      <c r="A1074">
        <v>1073</v>
      </c>
      <c r="B1074" t="s">
        <v>975</v>
      </c>
      <c r="C1074">
        <v>44371.509722222225</v>
      </c>
      <c r="D1074">
        <v>2021</v>
      </c>
      <c r="E1074" t="s">
        <v>10</v>
      </c>
      <c r="F1074" t="s">
        <v>1553</v>
      </c>
      <c r="G1074" t="s">
        <v>15</v>
      </c>
      <c r="H1074" s="1" t="s">
        <v>1572</v>
      </c>
      <c r="I1074" t="s">
        <v>1579</v>
      </c>
      <c r="J1074" s="2">
        <v>4719757</v>
      </c>
      <c r="K1074" t="s">
        <v>12</v>
      </c>
      <c r="L1074" t="s">
        <v>1651</v>
      </c>
    </row>
    <row r="1075" spans="1:12" x14ac:dyDescent="0.3">
      <c r="A1075">
        <v>1074</v>
      </c>
      <c r="B1075" t="s">
        <v>976</v>
      </c>
      <c r="C1075">
        <v>44375.431944444441</v>
      </c>
      <c r="D1075">
        <v>2021</v>
      </c>
      <c r="E1075" t="s">
        <v>10</v>
      </c>
      <c r="F1075" t="s">
        <v>1556</v>
      </c>
      <c r="G1075" t="s">
        <v>18</v>
      </c>
      <c r="H1075" s="1" t="s">
        <v>1572</v>
      </c>
      <c r="I1075" t="s">
        <v>1587</v>
      </c>
      <c r="J1075" s="2">
        <v>2328876</v>
      </c>
      <c r="K1075" t="s">
        <v>12</v>
      </c>
      <c r="L1075" t="s">
        <v>1652</v>
      </c>
    </row>
    <row r="1076" spans="1:12" x14ac:dyDescent="0.3">
      <c r="A1076">
        <v>1075</v>
      </c>
      <c r="B1076" t="s">
        <v>50</v>
      </c>
      <c r="C1076">
        <v>44375.456944444442</v>
      </c>
      <c r="D1076">
        <v>2021</v>
      </c>
      <c r="E1076" t="s">
        <v>10</v>
      </c>
      <c r="F1076" t="s">
        <v>1553</v>
      </c>
      <c r="G1076" t="s">
        <v>42</v>
      </c>
      <c r="H1076" s="1" t="s">
        <v>1568</v>
      </c>
      <c r="I1076" t="s">
        <v>1591</v>
      </c>
      <c r="J1076" s="2">
        <v>1126173</v>
      </c>
      <c r="K1076" t="s">
        <v>12</v>
      </c>
      <c r="L1076" t="s">
        <v>1653</v>
      </c>
    </row>
    <row r="1077" spans="1:12" x14ac:dyDescent="0.3">
      <c r="A1077">
        <v>1076</v>
      </c>
      <c r="B1077" t="s">
        <v>977</v>
      </c>
      <c r="C1077">
        <v>44376.398611111108</v>
      </c>
      <c r="D1077">
        <v>2021</v>
      </c>
      <c r="E1077" t="s">
        <v>10</v>
      </c>
      <c r="F1077" t="s">
        <v>1556</v>
      </c>
      <c r="G1077" t="s">
        <v>11</v>
      </c>
      <c r="H1077" s="1" t="s">
        <v>1566</v>
      </c>
      <c r="I1077" t="s">
        <v>1577</v>
      </c>
      <c r="J1077" s="2">
        <v>3869737</v>
      </c>
      <c r="K1077" t="s">
        <v>121</v>
      </c>
      <c r="L1077" t="s">
        <v>1648</v>
      </c>
    </row>
    <row r="1078" spans="1:12" x14ac:dyDescent="0.3">
      <c r="A1078">
        <v>1077</v>
      </c>
      <c r="B1078" t="s">
        <v>978</v>
      </c>
      <c r="C1078">
        <v>44376.475694444445</v>
      </c>
      <c r="D1078">
        <v>2021</v>
      </c>
      <c r="E1078" t="s">
        <v>10</v>
      </c>
      <c r="F1078" t="s">
        <v>1553</v>
      </c>
      <c r="G1078" t="s">
        <v>23</v>
      </c>
      <c r="H1078" s="1" t="s">
        <v>1562</v>
      </c>
      <c r="I1078" t="s">
        <v>1579</v>
      </c>
      <c r="J1078" s="2">
        <v>3653565</v>
      </c>
      <c r="K1078" t="s">
        <v>12</v>
      </c>
      <c r="L1078" t="s">
        <v>1651</v>
      </c>
    </row>
    <row r="1079" spans="1:12" x14ac:dyDescent="0.3">
      <c r="A1079">
        <v>1078</v>
      </c>
      <c r="B1079" t="s">
        <v>979</v>
      </c>
      <c r="C1079">
        <v>44376.632638888892</v>
      </c>
      <c r="D1079">
        <v>2021</v>
      </c>
      <c r="E1079" t="s">
        <v>10</v>
      </c>
      <c r="F1079" t="s">
        <v>1556</v>
      </c>
      <c r="G1079" t="s">
        <v>44</v>
      </c>
      <c r="H1079" s="1" t="s">
        <v>1575</v>
      </c>
      <c r="I1079" t="s">
        <v>1635</v>
      </c>
      <c r="J1079" s="2">
        <v>2138301</v>
      </c>
      <c r="K1079" t="s">
        <v>12</v>
      </c>
      <c r="L1079" t="s">
        <v>1652</v>
      </c>
    </row>
    <row r="1080" spans="1:12" x14ac:dyDescent="0.3">
      <c r="A1080">
        <v>1079</v>
      </c>
      <c r="B1080" t="s">
        <v>980</v>
      </c>
      <c r="C1080">
        <v>44376.779166666667</v>
      </c>
      <c r="D1080">
        <v>2021</v>
      </c>
      <c r="E1080" t="s">
        <v>10</v>
      </c>
      <c r="F1080" t="s">
        <v>1553</v>
      </c>
      <c r="G1080" t="s">
        <v>62</v>
      </c>
      <c r="H1080" s="1" t="s">
        <v>1565</v>
      </c>
      <c r="I1080" t="s">
        <v>1634</v>
      </c>
      <c r="J1080" s="2">
        <v>2533175</v>
      </c>
      <c r="K1080" t="s">
        <v>121</v>
      </c>
      <c r="L1080" t="s">
        <v>1650</v>
      </c>
    </row>
    <row r="1081" spans="1:12" x14ac:dyDescent="0.3">
      <c r="A1081">
        <v>1080</v>
      </c>
      <c r="B1081" t="s">
        <v>981</v>
      </c>
      <c r="C1081">
        <v>44377.359722222223</v>
      </c>
      <c r="D1081">
        <v>2021</v>
      </c>
      <c r="E1081" t="s">
        <v>10</v>
      </c>
      <c r="F1081" t="s">
        <v>1556</v>
      </c>
      <c r="G1081" t="s">
        <v>18</v>
      </c>
      <c r="H1081" s="1" t="s">
        <v>1575</v>
      </c>
      <c r="I1081" t="s">
        <v>1579</v>
      </c>
      <c r="J1081" s="2">
        <v>1231570</v>
      </c>
      <c r="K1081" t="s">
        <v>12</v>
      </c>
      <c r="L1081" t="s">
        <v>1652</v>
      </c>
    </row>
    <row r="1082" spans="1:12" x14ac:dyDescent="0.3">
      <c r="A1082">
        <v>1081</v>
      </c>
      <c r="B1082" t="s">
        <v>982</v>
      </c>
      <c r="C1082">
        <v>44377.536805555559</v>
      </c>
      <c r="D1082">
        <v>2021</v>
      </c>
      <c r="E1082" t="s">
        <v>10</v>
      </c>
      <c r="F1082" t="s">
        <v>1553</v>
      </c>
      <c r="G1082" t="s">
        <v>18</v>
      </c>
      <c r="H1082" s="1" t="s">
        <v>1576</v>
      </c>
      <c r="I1082" t="s">
        <v>1579</v>
      </c>
      <c r="J1082" s="2">
        <v>3031538</v>
      </c>
      <c r="K1082" t="s">
        <v>12</v>
      </c>
      <c r="L1082" t="s">
        <v>1648</v>
      </c>
    </row>
    <row r="1083" spans="1:12" x14ac:dyDescent="0.3">
      <c r="A1083">
        <v>1082</v>
      </c>
      <c r="B1083" t="s">
        <v>983</v>
      </c>
      <c r="C1083">
        <v>44377.856249999997</v>
      </c>
      <c r="D1083">
        <v>2021</v>
      </c>
      <c r="E1083" t="s">
        <v>10</v>
      </c>
      <c r="F1083" t="s">
        <v>1556</v>
      </c>
      <c r="G1083" t="s">
        <v>49</v>
      </c>
      <c r="H1083" s="1" t="s">
        <v>1564</v>
      </c>
      <c r="I1083" t="s">
        <v>1634</v>
      </c>
      <c r="J1083" s="2">
        <v>3929600</v>
      </c>
      <c r="K1083" t="s">
        <v>121</v>
      </c>
      <c r="L1083" t="s">
        <v>1649</v>
      </c>
    </row>
    <row r="1084" spans="1:12" x14ac:dyDescent="0.3">
      <c r="A1084">
        <v>1083</v>
      </c>
      <c r="B1084" t="s">
        <v>984</v>
      </c>
      <c r="C1084">
        <v>44378.447916666664</v>
      </c>
      <c r="D1084">
        <v>2021</v>
      </c>
      <c r="E1084" t="s">
        <v>10</v>
      </c>
      <c r="F1084" t="s">
        <v>1553</v>
      </c>
      <c r="G1084" t="s">
        <v>11</v>
      </c>
      <c r="H1084" s="1" t="s">
        <v>1563</v>
      </c>
      <c r="I1084" t="s">
        <v>1577</v>
      </c>
      <c r="J1084" s="2">
        <v>3107249</v>
      </c>
      <c r="K1084" t="s">
        <v>121</v>
      </c>
      <c r="L1084" t="s">
        <v>1650</v>
      </c>
    </row>
    <row r="1085" spans="1:12" x14ac:dyDescent="0.3">
      <c r="A1085">
        <v>1084</v>
      </c>
      <c r="B1085" t="s">
        <v>985</v>
      </c>
      <c r="C1085">
        <v>44383.520138888889</v>
      </c>
      <c r="D1085">
        <v>2021</v>
      </c>
      <c r="E1085" t="s">
        <v>10</v>
      </c>
      <c r="F1085" t="s">
        <v>1556</v>
      </c>
      <c r="G1085" t="s">
        <v>67</v>
      </c>
      <c r="H1085" s="1" t="s">
        <v>1574</v>
      </c>
      <c r="I1085" t="s">
        <v>1637</v>
      </c>
      <c r="J1085" s="2">
        <v>1714896</v>
      </c>
      <c r="K1085" t="s">
        <v>12</v>
      </c>
      <c r="L1085" t="s">
        <v>1649</v>
      </c>
    </row>
    <row r="1086" spans="1:12" x14ac:dyDescent="0.3">
      <c r="A1086">
        <v>1085</v>
      </c>
      <c r="B1086" t="s">
        <v>986</v>
      </c>
      <c r="C1086">
        <v>44384.500694444447</v>
      </c>
      <c r="D1086">
        <v>2021</v>
      </c>
      <c r="E1086" t="s">
        <v>10</v>
      </c>
      <c r="F1086" t="s">
        <v>1553</v>
      </c>
      <c r="G1086" t="s">
        <v>23</v>
      </c>
      <c r="H1086" s="1" t="s">
        <v>1568</v>
      </c>
      <c r="I1086" t="s">
        <v>1579</v>
      </c>
      <c r="J1086" s="2">
        <v>1495975</v>
      </c>
      <c r="K1086" t="s">
        <v>12</v>
      </c>
      <c r="L1086" t="s">
        <v>1648</v>
      </c>
    </row>
    <row r="1087" spans="1:12" x14ac:dyDescent="0.3">
      <c r="A1087">
        <v>1086</v>
      </c>
      <c r="B1087" t="s">
        <v>987</v>
      </c>
      <c r="C1087">
        <v>44385.349305555559</v>
      </c>
      <c r="D1087">
        <v>2021</v>
      </c>
      <c r="E1087" t="s">
        <v>10</v>
      </c>
      <c r="F1087" t="s">
        <v>1556</v>
      </c>
      <c r="G1087" t="s">
        <v>23</v>
      </c>
      <c r="H1087" s="1" t="s">
        <v>1576</v>
      </c>
      <c r="I1087" t="s">
        <v>1579</v>
      </c>
      <c r="J1087" s="2">
        <v>1083005</v>
      </c>
      <c r="K1087" t="s">
        <v>12</v>
      </c>
      <c r="L1087" t="s">
        <v>1648</v>
      </c>
    </row>
    <row r="1088" spans="1:12" x14ac:dyDescent="0.3">
      <c r="A1088">
        <v>1087</v>
      </c>
      <c r="B1088" t="s">
        <v>988</v>
      </c>
      <c r="C1088">
        <v>44386.604861111111</v>
      </c>
      <c r="D1088">
        <v>2021</v>
      </c>
      <c r="E1088" t="s">
        <v>10</v>
      </c>
      <c r="F1088" t="s">
        <v>1553</v>
      </c>
      <c r="G1088" t="s">
        <v>23</v>
      </c>
      <c r="H1088" s="1" t="s">
        <v>1573</v>
      </c>
      <c r="I1088" t="s">
        <v>1579</v>
      </c>
      <c r="J1088" s="2">
        <v>1658009</v>
      </c>
      <c r="K1088" t="s">
        <v>12</v>
      </c>
      <c r="L1088" t="s">
        <v>1649</v>
      </c>
    </row>
    <row r="1089" spans="1:12" x14ac:dyDescent="0.3">
      <c r="A1089">
        <v>1088</v>
      </c>
      <c r="B1089" t="s">
        <v>989</v>
      </c>
      <c r="C1089">
        <v>44389.370833333334</v>
      </c>
      <c r="D1089">
        <v>2021</v>
      </c>
      <c r="E1089" t="s">
        <v>10</v>
      </c>
      <c r="F1089" t="s">
        <v>1556</v>
      </c>
      <c r="G1089" t="s">
        <v>18</v>
      </c>
      <c r="H1089" s="1" t="s">
        <v>1574</v>
      </c>
      <c r="I1089" t="s">
        <v>1579</v>
      </c>
      <c r="J1089" s="2">
        <v>3448478</v>
      </c>
      <c r="K1089" t="s">
        <v>12</v>
      </c>
      <c r="L1089" t="s">
        <v>1650</v>
      </c>
    </row>
    <row r="1090" spans="1:12" x14ac:dyDescent="0.3">
      <c r="A1090">
        <v>1089</v>
      </c>
      <c r="B1090" t="s">
        <v>990</v>
      </c>
      <c r="C1090">
        <v>44389.698611111111</v>
      </c>
      <c r="D1090">
        <v>2021</v>
      </c>
      <c r="E1090" t="s">
        <v>10</v>
      </c>
      <c r="F1090" t="s">
        <v>1553</v>
      </c>
      <c r="G1090" t="s">
        <v>15</v>
      </c>
      <c r="H1090" s="1" t="s">
        <v>1567</v>
      </c>
      <c r="I1090" t="s">
        <v>1579</v>
      </c>
      <c r="J1090" s="2">
        <v>1531263</v>
      </c>
      <c r="K1090" t="s">
        <v>12</v>
      </c>
      <c r="L1090" t="s">
        <v>1648</v>
      </c>
    </row>
    <row r="1091" spans="1:12" x14ac:dyDescent="0.3">
      <c r="A1091">
        <v>1090</v>
      </c>
      <c r="B1091" t="s">
        <v>991</v>
      </c>
      <c r="C1091">
        <v>44390.320833333331</v>
      </c>
      <c r="D1091">
        <v>2021</v>
      </c>
      <c r="E1091" t="s">
        <v>10</v>
      </c>
      <c r="F1091" t="s">
        <v>1556</v>
      </c>
      <c r="G1091" t="s">
        <v>18</v>
      </c>
      <c r="H1091" s="1" t="s">
        <v>1570</v>
      </c>
      <c r="I1091" t="s">
        <v>1579</v>
      </c>
      <c r="J1091" s="2">
        <v>3612963</v>
      </c>
      <c r="K1091" t="s">
        <v>12</v>
      </c>
      <c r="L1091" t="s">
        <v>1649</v>
      </c>
    </row>
    <row r="1092" spans="1:12" x14ac:dyDescent="0.3">
      <c r="A1092">
        <v>1091</v>
      </c>
      <c r="B1092" t="s">
        <v>992</v>
      </c>
      <c r="C1092">
        <v>44390.330555555556</v>
      </c>
      <c r="D1092">
        <v>2021</v>
      </c>
      <c r="E1092" t="s">
        <v>10</v>
      </c>
      <c r="F1092" t="s">
        <v>1553</v>
      </c>
      <c r="G1092" t="s">
        <v>18</v>
      </c>
      <c r="H1092" s="1" t="s">
        <v>1568</v>
      </c>
      <c r="I1092" t="s">
        <v>1579</v>
      </c>
      <c r="J1092" s="2">
        <v>3353304</v>
      </c>
      <c r="K1092" t="s">
        <v>12</v>
      </c>
      <c r="L1092" t="s">
        <v>1650</v>
      </c>
    </row>
    <row r="1093" spans="1:12" x14ac:dyDescent="0.3">
      <c r="A1093">
        <v>1092</v>
      </c>
      <c r="B1093" t="s">
        <v>993</v>
      </c>
      <c r="C1093">
        <v>44390.411805555559</v>
      </c>
      <c r="D1093">
        <v>2021</v>
      </c>
      <c r="E1093" t="s">
        <v>10</v>
      </c>
      <c r="F1093" t="s">
        <v>1556</v>
      </c>
      <c r="G1093" t="s">
        <v>221</v>
      </c>
      <c r="H1093" s="1" t="s">
        <v>1565</v>
      </c>
      <c r="I1093" t="s">
        <v>1586</v>
      </c>
      <c r="J1093" s="2">
        <v>2121786</v>
      </c>
      <c r="K1093" t="s">
        <v>59</v>
      </c>
      <c r="L1093" t="s">
        <v>1649</v>
      </c>
    </row>
    <row r="1094" spans="1:12" x14ac:dyDescent="0.3">
      <c r="A1094">
        <v>1093</v>
      </c>
      <c r="B1094" t="s">
        <v>994</v>
      </c>
      <c r="C1094">
        <v>44390.442361111112</v>
      </c>
      <c r="D1094">
        <v>2021</v>
      </c>
      <c r="E1094" t="s">
        <v>10</v>
      </c>
      <c r="F1094" t="s">
        <v>1553</v>
      </c>
      <c r="G1094" t="s">
        <v>62</v>
      </c>
      <c r="H1094" s="1" t="s">
        <v>1565</v>
      </c>
      <c r="I1094" t="s">
        <v>1639</v>
      </c>
      <c r="J1094" s="2">
        <v>1618689</v>
      </c>
      <c r="K1094" t="s">
        <v>12</v>
      </c>
      <c r="L1094" t="s">
        <v>1653</v>
      </c>
    </row>
    <row r="1095" spans="1:12" x14ac:dyDescent="0.3">
      <c r="A1095">
        <v>1094</v>
      </c>
      <c r="B1095" t="s">
        <v>995</v>
      </c>
      <c r="C1095">
        <v>44390.552083333336</v>
      </c>
      <c r="D1095">
        <v>2021</v>
      </c>
      <c r="E1095" t="s">
        <v>10</v>
      </c>
      <c r="F1095" t="s">
        <v>1556</v>
      </c>
      <c r="G1095" t="s">
        <v>15</v>
      </c>
      <c r="H1095" s="1" t="s">
        <v>1565</v>
      </c>
      <c r="I1095" t="s">
        <v>1582</v>
      </c>
      <c r="J1095" s="2">
        <v>2394840</v>
      </c>
      <c r="K1095" t="s">
        <v>12</v>
      </c>
      <c r="L1095" t="s">
        <v>1649</v>
      </c>
    </row>
    <row r="1096" spans="1:12" x14ac:dyDescent="0.3">
      <c r="A1096">
        <v>1095</v>
      </c>
      <c r="B1096" t="s">
        <v>996</v>
      </c>
      <c r="C1096">
        <v>44390.595138888886</v>
      </c>
      <c r="D1096">
        <v>2021</v>
      </c>
      <c r="E1096" t="s">
        <v>10</v>
      </c>
      <c r="F1096" t="s">
        <v>1553</v>
      </c>
      <c r="G1096" t="s">
        <v>18</v>
      </c>
      <c r="H1096" s="1" t="s">
        <v>1565</v>
      </c>
      <c r="I1096" t="s">
        <v>1586</v>
      </c>
      <c r="J1096" s="2">
        <v>3626018</v>
      </c>
      <c r="K1096" t="s">
        <v>59</v>
      </c>
      <c r="L1096" t="s">
        <v>1649</v>
      </c>
    </row>
    <row r="1097" spans="1:12" x14ac:dyDescent="0.3">
      <c r="A1097">
        <v>1096</v>
      </c>
      <c r="B1097" t="s">
        <v>997</v>
      </c>
      <c r="C1097">
        <v>44390.661805555559</v>
      </c>
      <c r="D1097">
        <v>2021</v>
      </c>
      <c r="E1097" t="s">
        <v>10</v>
      </c>
      <c r="F1097" t="s">
        <v>1556</v>
      </c>
      <c r="G1097" t="s">
        <v>18</v>
      </c>
      <c r="H1097" s="1" t="s">
        <v>1565</v>
      </c>
      <c r="I1097" t="s">
        <v>1579</v>
      </c>
      <c r="J1097" s="2">
        <v>2200670</v>
      </c>
      <c r="K1097" t="s">
        <v>12</v>
      </c>
      <c r="L1097" t="s">
        <v>1652</v>
      </c>
    </row>
    <row r="1098" spans="1:12" x14ac:dyDescent="0.3">
      <c r="A1098">
        <v>1097</v>
      </c>
      <c r="B1098" t="s">
        <v>998</v>
      </c>
      <c r="C1098">
        <v>44391.351388888892</v>
      </c>
      <c r="D1098">
        <v>2021</v>
      </c>
      <c r="E1098" t="s">
        <v>10</v>
      </c>
      <c r="F1098" t="s">
        <v>1553</v>
      </c>
      <c r="G1098" t="s">
        <v>23</v>
      </c>
      <c r="H1098" s="1" t="s">
        <v>1565</v>
      </c>
      <c r="I1098" t="s">
        <v>1579</v>
      </c>
      <c r="J1098" s="2">
        <v>1014203</v>
      </c>
      <c r="K1098" t="s">
        <v>12</v>
      </c>
      <c r="L1098" t="s">
        <v>1651</v>
      </c>
    </row>
    <row r="1099" spans="1:12" x14ac:dyDescent="0.3">
      <c r="A1099">
        <v>1098</v>
      </c>
      <c r="B1099" t="s">
        <v>999</v>
      </c>
      <c r="C1099">
        <v>44391.414583333331</v>
      </c>
      <c r="D1099">
        <v>2021</v>
      </c>
      <c r="E1099" t="s">
        <v>10</v>
      </c>
      <c r="F1099" t="s">
        <v>1556</v>
      </c>
      <c r="G1099" t="s">
        <v>290</v>
      </c>
      <c r="H1099" s="1" t="s">
        <v>1565</v>
      </c>
      <c r="I1099" t="s">
        <v>1579</v>
      </c>
      <c r="J1099" s="2">
        <v>1861468</v>
      </c>
      <c r="K1099" t="s">
        <v>12</v>
      </c>
      <c r="L1099" t="s">
        <v>1649</v>
      </c>
    </row>
    <row r="1100" spans="1:12" x14ac:dyDescent="0.3">
      <c r="A1100">
        <v>1099</v>
      </c>
      <c r="B1100" t="s">
        <v>1000</v>
      </c>
      <c r="C1100">
        <v>44391.488194444442</v>
      </c>
      <c r="D1100">
        <v>2021</v>
      </c>
      <c r="E1100" t="s">
        <v>10</v>
      </c>
      <c r="F1100" t="s">
        <v>1553</v>
      </c>
      <c r="G1100" t="s">
        <v>23</v>
      </c>
      <c r="H1100" s="1" t="s">
        <v>1565</v>
      </c>
      <c r="I1100" t="s">
        <v>1579</v>
      </c>
      <c r="J1100" s="2">
        <v>4443693</v>
      </c>
      <c r="K1100" t="s">
        <v>12</v>
      </c>
      <c r="L1100" t="s">
        <v>1653</v>
      </c>
    </row>
    <row r="1101" spans="1:12" x14ac:dyDescent="0.3">
      <c r="A1101">
        <v>1100</v>
      </c>
      <c r="B1101" t="s">
        <v>1001</v>
      </c>
      <c r="C1101">
        <v>44391.521527777775</v>
      </c>
      <c r="D1101">
        <v>2021</v>
      </c>
      <c r="E1101" t="s">
        <v>10</v>
      </c>
      <c r="F1101" t="s">
        <v>1556</v>
      </c>
      <c r="G1101" t="s">
        <v>23</v>
      </c>
      <c r="H1101" s="1" t="s">
        <v>1565</v>
      </c>
      <c r="I1101" t="s">
        <v>1579</v>
      </c>
      <c r="J1101" s="2">
        <v>2855206</v>
      </c>
      <c r="K1101" t="s">
        <v>12</v>
      </c>
      <c r="L1101" t="s">
        <v>1649</v>
      </c>
    </row>
    <row r="1102" spans="1:12" x14ac:dyDescent="0.3">
      <c r="A1102">
        <v>1101</v>
      </c>
      <c r="B1102" t="s">
        <v>1002</v>
      </c>
      <c r="C1102">
        <v>44392.356249999997</v>
      </c>
      <c r="D1102">
        <v>2021</v>
      </c>
      <c r="E1102" t="s">
        <v>10</v>
      </c>
      <c r="F1102" t="s">
        <v>1553</v>
      </c>
      <c r="G1102" t="s">
        <v>11</v>
      </c>
      <c r="H1102" s="1" t="s">
        <v>1565</v>
      </c>
      <c r="I1102" t="s">
        <v>1577</v>
      </c>
      <c r="J1102" s="2">
        <v>1076244</v>
      </c>
      <c r="K1102" t="s">
        <v>121</v>
      </c>
      <c r="L1102" t="s">
        <v>1649</v>
      </c>
    </row>
    <row r="1103" spans="1:12" x14ac:dyDescent="0.3">
      <c r="A1103">
        <v>1102</v>
      </c>
      <c r="B1103" t="s">
        <v>1003</v>
      </c>
      <c r="C1103">
        <v>44392.377083333333</v>
      </c>
      <c r="D1103">
        <v>2021</v>
      </c>
      <c r="E1103" t="s">
        <v>10</v>
      </c>
      <c r="F1103" t="s">
        <v>1556</v>
      </c>
      <c r="G1103" t="s">
        <v>11</v>
      </c>
      <c r="H1103" s="1" t="s">
        <v>1565</v>
      </c>
      <c r="I1103" t="s">
        <v>1577</v>
      </c>
      <c r="J1103" s="2">
        <v>3129073</v>
      </c>
      <c r="K1103" t="s">
        <v>121</v>
      </c>
      <c r="L1103" t="s">
        <v>1651</v>
      </c>
    </row>
    <row r="1104" spans="1:12" x14ac:dyDescent="0.3">
      <c r="A1104">
        <v>1103</v>
      </c>
      <c r="B1104" t="s">
        <v>1004</v>
      </c>
      <c r="C1104">
        <v>44393.338888888888</v>
      </c>
      <c r="D1104">
        <v>2021</v>
      </c>
      <c r="E1104" t="s">
        <v>10</v>
      </c>
      <c r="F1104" t="s">
        <v>1553</v>
      </c>
      <c r="G1104" t="s">
        <v>11</v>
      </c>
      <c r="H1104" s="1" t="s">
        <v>1565</v>
      </c>
      <c r="I1104" t="s">
        <v>1577</v>
      </c>
      <c r="J1104" s="2">
        <v>4210777</v>
      </c>
      <c r="K1104" t="s">
        <v>121</v>
      </c>
      <c r="L1104" t="s">
        <v>1648</v>
      </c>
    </row>
    <row r="1105" spans="1:12" x14ac:dyDescent="0.3">
      <c r="A1105">
        <v>1104</v>
      </c>
      <c r="B1105" t="s">
        <v>988</v>
      </c>
      <c r="C1105">
        <v>44393.609722222223</v>
      </c>
      <c r="D1105">
        <v>2021</v>
      </c>
      <c r="E1105" t="s">
        <v>10</v>
      </c>
      <c r="F1105" t="s">
        <v>1556</v>
      </c>
      <c r="G1105" t="s">
        <v>23</v>
      </c>
      <c r="H1105" s="1" t="s">
        <v>1565</v>
      </c>
      <c r="I1105" t="s">
        <v>1579</v>
      </c>
      <c r="J1105" s="2">
        <v>3502135</v>
      </c>
      <c r="K1105" t="s">
        <v>12</v>
      </c>
      <c r="L1105" t="s">
        <v>1650</v>
      </c>
    </row>
    <row r="1106" spans="1:12" x14ac:dyDescent="0.3">
      <c r="A1106">
        <v>1105</v>
      </c>
      <c r="B1106" t="s">
        <v>159</v>
      </c>
      <c r="C1106">
        <v>44396.377083333333</v>
      </c>
      <c r="D1106">
        <v>2021</v>
      </c>
      <c r="E1106" t="s">
        <v>10</v>
      </c>
      <c r="F1106" t="s">
        <v>1553</v>
      </c>
      <c r="G1106" t="s">
        <v>11</v>
      </c>
      <c r="H1106" s="1" t="s">
        <v>1565</v>
      </c>
      <c r="I1106" t="s">
        <v>1577</v>
      </c>
      <c r="J1106" s="2">
        <v>4169733</v>
      </c>
      <c r="K1106" t="s">
        <v>121</v>
      </c>
      <c r="L1106" t="s">
        <v>1648</v>
      </c>
    </row>
    <row r="1107" spans="1:12" x14ac:dyDescent="0.3">
      <c r="A1107">
        <v>1106</v>
      </c>
      <c r="B1107" t="s">
        <v>50</v>
      </c>
      <c r="C1107">
        <v>44396.417361111111</v>
      </c>
      <c r="D1107">
        <v>2021</v>
      </c>
      <c r="E1107" t="s">
        <v>10</v>
      </c>
      <c r="F1107" t="s">
        <v>1556</v>
      </c>
      <c r="G1107" t="s">
        <v>591</v>
      </c>
      <c r="H1107" s="1" t="s">
        <v>1565</v>
      </c>
      <c r="I1107" t="s">
        <v>1454</v>
      </c>
      <c r="J1107" s="2">
        <v>1959478</v>
      </c>
      <c r="K1107" t="s">
        <v>121</v>
      </c>
      <c r="L1107" t="s">
        <v>1650</v>
      </c>
    </row>
    <row r="1108" spans="1:12" x14ac:dyDescent="0.3">
      <c r="A1108">
        <v>1107</v>
      </c>
      <c r="B1108" t="s">
        <v>50</v>
      </c>
      <c r="C1108">
        <v>44396.425000000003</v>
      </c>
      <c r="D1108">
        <v>2021</v>
      </c>
      <c r="E1108" t="s">
        <v>10</v>
      </c>
      <c r="F1108" t="s">
        <v>1553</v>
      </c>
      <c r="G1108" t="s">
        <v>591</v>
      </c>
      <c r="H1108" s="1" t="s">
        <v>1565</v>
      </c>
      <c r="I1108" t="s">
        <v>1454</v>
      </c>
      <c r="J1108" s="2">
        <v>2067724</v>
      </c>
      <c r="K1108" t="s">
        <v>121</v>
      </c>
      <c r="L1108" t="s">
        <v>1651</v>
      </c>
    </row>
    <row r="1109" spans="1:12" x14ac:dyDescent="0.3">
      <c r="A1109">
        <v>1108</v>
      </c>
      <c r="B1109" t="s">
        <v>1005</v>
      </c>
      <c r="C1109">
        <v>44398.363888888889</v>
      </c>
      <c r="D1109">
        <v>2021</v>
      </c>
      <c r="E1109" t="s">
        <v>10</v>
      </c>
      <c r="F1109" t="s">
        <v>1556</v>
      </c>
      <c r="G1109" t="s">
        <v>21</v>
      </c>
      <c r="H1109" s="1" t="s">
        <v>1565</v>
      </c>
      <c r="I1109" t="s">
        <v>1616</v>
      </c>
      <c r="J1109" s="2">
        <v>2511982</v>
      </c>
      <c r="K1109" t="s">
        <v>12</v>
      </c>
      <c r="L1109" t="s">
        <v>1653</v>
      </c>
    </row>
    <row r="1110" spans="1:12" x14ac:dyDescent="0.3">
      <c r="A1110">
        <v>1109</v>
      </c>
      <c r="B1110" t="s">
        <v>1006</v>
      </c>
      <c r="C1110">
        <v>44398.588194444441</v>
      </c>
      <c r="D1110">
        <v>2021</v>
      </c>
      <c r="E1110" t="s">
        <v>10</v>
      </c>
      <c r="F1110" t="s">
        <v>1553</v>
      </c>
      <c r="G1110" t="s">
        <v>21</v>
      </c>
      <c r="H1110" s="1" t="s">
        <v>1565</v>
      </c>
      <c r="I1110" t="s">
        <v>1616</v>
      </c>
      <c r="J1110" s="2">
        <v>1288488</v>
      </c>
      <c r="K1110" t="s">
        <v>12</v>
      </c>
      <c r="L1110" t="s">
        <v>1653</v>
      </c>
    </row>
    <row r="1111" spans="1:12" x14ac:dyDescent="0.3">
      <c r="A1111">
        <v>1110</v>
      </c>
      <c r="B1111" t="s">
        <v>1007</v>
      </c>
      <c r="C1111">
        <v>44398.615277777775</v>
      </c>
      <c r="D1111">
        <v>2021</v>
      </c>
      <c r="E1111" t="s">
        <v>10</v>
      </c>
      <c r="F1111" t="s">
        <v>1556</v>
      </c>
      <c r="G1111" t="s">
        <v>11</v>
      </c>
      <c r="H1111" s="1" t="s">
        <v>1565</v>
      </c>
      <c r="I1111" t="s">
        <v>1577</v>
      </c>
      <c r="J1111" s="2">
        <v>3486820</v>
      </c>
      <c r="K1111" t="s">
        <v>121</v>
      </c>
      <c r="L1111" t="s">
        <v>1649</v>
      </c>
    </row>
    <row r="1112" spans="1:12" x14ac:dyDescent="0.3">
      <c r="A1112">
        <v>1111</v>
      </c>
      <c r="B1112" t="s">
        <v>50</v>
      </c>
      <c r="C1112">
        <v>44398.781944444447</v>
      </c>
      <c r="D1112">
        <v>2021</v>
      </c>
      <c r="E1112" t="s">
        <v>10</v>
      </c>
      <c r="F1112" t="s">
        <v>1553</v>
      </c>
      <c r="G1112" t="s">
        <v>591</v>
      </c>
      <c r="H1112" s="1" t="s">
        <v>1565</v>
      </c>
      <c r="I1112" t="s">
        <v>1454</v>
      </c>
      <c r="J1112" s="2">
        <v>2580049</v>
      </c>
      <c r="K1112" t="s">
        <v>121</v>
      </c>
      <c r="L1112" t="s">
        <v>1651</v>
      </c>
    </row>
    <row r="1113" spans="1:12" x14ac:dyDescent="0.3">
      <c r="A1113">
        <v>1112</v>
      </c>
      <c r="B1113" t="s">
        <v>50</v>
      </c>
      <c r="C1113">
        <v>44398.787499999999</v>
      </c>
      <c r="D1113">
        <v>2021</v>
      </c>
      <c r="E1113" t="s">
        <v>10</v>
      </c>
      <c r="F1113" t="s">
        <v>1556</v>
      </c>
      <c r="G1113" t="s">
        <v>591</v>
      </c>
      <c r="H1113" s="1" t="s">
        <v>1565</v>
      </c>
      <c r="I1113" t="s">
        <v>1454</v>
      </c>
      <c r="J1113" s="2">
        <v>4110405</v>
      </c>
      <c r="K1113" t="s">
        <v>121</v>
      </c>
      <c r="L1113" t="s">
        <v>1650</v>
      </c>
    </row>
    <row r="1114" spans="1:12" x14ac:dyDescent="0.3">
      <c r="A1114">
        <v>1113</v>
      </c>
      <c r="B1114" t="s">
        <v>1008</v>
      </c>
      <c r="C1114">
        <v>44399.34375</v>
      </c>
      <c r="D1114">
        <v>2021</v>
      </c>
      <c r="E1114" t="s">
        <v>10</v>
      </c>
      <c r="F1114" t="s">
        <v>1559</v>
      </c>
      <c r="G1114" t="s">
        <v>62</v>
      </c>
      <c r="H1114" s="1" t="s">
        <v>1565</v>
      </c>
      <c r="I1114" t="s">
        <v>1587</v>
      </c>
      <c r="J1114" s="2">
        <v>955571</v>
      </c>
      <c r="K1114" t="s">
        <v>12</v>
      </c>
      <c r="L1114" t="s">
        <v>1653</v>
      </c>
    </row>
    <row r="1115" spans="1:12" x14ac:dyDescent="0.3">
      <c r="A1115">
        <v>1114</v>
      </c>
      <c r="B1115" t="s">
        <v>1009</v>
      </c>
      <c r="C1115">
        <v>44399.345833333333</v>
      </c>
      <c r="D1115">
        <v>2021</v>
      </c>
      <c r="E1115" t="s">
        <v>10</v>
      </c>
      <c r="F1115" t="s">
        <v>1553</v>
      </c>
      <c r="G1115" t="s">
        <v>62</v>
      </c>
      <c r="H1115" s="1" t="s">
        <v>1565</v>
      </c>
      <c r="I1115" t="s">
        <v>1639</v>
      </c>
      <c r="J1115" s="2">
        <v>1194058</v>
      </c>
      <c r="K1115" t="s">
        <v>12</v>
      </c>
      <c r="L1115" t="s">
        <v>1651</v>
      </c>
    </row>
    <row r="1116" spans="1:12" x14ac:dyDescent="0.3">
      <c r="A1116">
        <v>1115</v>
      </c>
      <c r="B1116" t="s">
        <v>1010</v>
      </c>
      <c r="C1116">
        <v>44399.479861111111</v>
      </c>
      <c r="D1116">
        <v>2021</v>
      </c>
      <c r="E1116" t="s">
        <v>10</v>
      </c>
      <c r="F1116" t="s">
        <v>1553</v>
      </c>
      <c r="G1116" t="s">
        <v>23</v>
      </c>
      <c r="H1116" s="1" t="s">
        <v>1565</v>
      </c>
      <c r="I1116" t="s">
        <v>1579</v>
      </c>
      <c r="J1116" s="2">
        <v>2850051</v>
      </c>
      <c r="K1116" t="s">
        <v>12</v>
      </c>
      <c r="L1116" t="s">
        <v>1650</v>
      </c>
    </row>
    <row r="1117" spans="1:12" x14ac:dyDescent="0.3">
      <c r="A1117">
        <v>1116</v>
      </c>
      <c r="B1117" t="s">
        <v>1011</v>
      </c>
      <c r="C1117">
        <v>44399.655555555553</v>
      </c>
      <c r="D1117">
        <v>2021</v>
      </c>
      <c r="E1117" t="s">
        <v>10</v>
      </c>
      <c r="F1117" t="s">
        <v>1553</v>
      </c>
      <c r="G1117" t="s">
        <v>44</v>
      </c>
      <c r="H1117" s="1" t="s">
        <v>1565</v>
      </c>
      <c r="I1117" t="s">
        <v>1587</v>
      </c>
      <c r="J1117" s="2">
        <v>1735092</v>
      </c>
      <c r="K1117" t="s">
        <v>12</v>
      </c>
      <c r="L1117" t="s">
        <v>1649</v>
      </c>
    </row>
    <row r="1118" spans="1:12" x14ac:dyDescent="0.3">
      <c r="A1118">
        <v>1117</v>
      </c>
      <c r="B1118" t="s">
        <v>50</v>
      </c>
      <c r="C1118">
        <v>44399.661111111112</v>
      </c>
      <c r="D1118">
        <v>2021</v>
      </c>
      <c r="E1118" t="s">
        <v>10</v>
      </c>
      <c r="F1118" t="s">
        <v>1553</v>
      </c>
      <c r="G1118" t="s">
        <v>44</v>
      </c>
      <c r="H1118" s="1" t="s">
        <v>1565</v>
      </c>
      <c r="I1118" t="s">
        <v>1454</v>
      </c>
      <c r="J1118" s="2">
        <v>1991662</v>
      </c>
      <c r="K1118" t="s">
        <v>121</v>
      </c>
      <c r="L1118" t="s">
        <v>1652</v>
      </c>
    </row>
    <row r="1119" spans="1:12" x14ac:dyDescent="0.3">
      <c r="A1119">
        <v>1118</v>
      </c>
      <c r="B1119" t="s">
        <v>1012</v>
      </c>
      <c r="C1119">
        <v>44399.696527777778</v>
      </c>
      <c r="D1119">
        <v>2021</v>
      </c>
      <c r="E1119" t="s">
        <v>10</v>
      </c>
      <c r="F1119" t="s">
        <v>1553</v>
      </c>
      <c r="G1119" t="s">
        <v>15</v>
      </c>
      <c r="H1119" s="1" t="s">
        <v>1565</v>
      </c>
      <c r="I1119" t="s">
        <v>1579</v>
      </c>
      <c r="J1119" s="2">
        <v>1847186</v>
      </c>
      <c r="K1119" t="s">
        <v>12</v>
      </c>
      <c r="L1119" t="s">
        <v>1648</v>
      </c>
    </row>
    <row r="1120" spans="1:12" x14ac:dyDescent="0.3">
      <c r="A1120">
        <v>1119</v>
      </c>
      <c r="B1120" t="s">
        <v>1013</v>
      </c>
      <c r="C1120">
        <v>44399.704861111109</v>
      </c>
      <c r="D1120">
        <v>2021</v>
      </c>
      <c r="E1120" t="s">
        <v>10</v>
      </c>
      <c r="F1120" t="s">
        <v>1553</v>
      </c>
      <c r="G1120" t="s">
        <v>15</v>
      </c>
      <c r="H1120" s="1" t="s">
        <v>1565</v>
      </c>
      <c r="I1120" t="s">
        <v>1579</v>
      </c>
      <c r="J1120" s="2">
        <v>4485036</v>
      </c>
      <c r="K1120" t="s">
        <v>12</v>
      </c>
      <c r="L1120" t="s">
        <v>1649</v>
      </c>
    </row>
    <row r="1121" spans="1:12" x14ac:dyDescent="0.3">
      <c r="A1121">
        <v>1120</v>
      </c>
      <c r="B1121" t="s">
        <v>1014</v>
      </c>
      <c r="C1121">
        <v>44400.453472222223</v>
      </c>
      <c r="D1121">
        <v>2021</v>
      </c>
      <c r="E1121" t="s">
        <v>10</v>
      </c>
      <c r="F1121" t="s">
        <v>1553</v>
      </c>
      <c r="G1121" t="s">
        <v>49</v>
      </c>
      <c r="H1121" s="1" t="s">
        <v>1565</v>
      </c>
      <c r="I1121" t="s">
        <v>1634</v>
      </c>
      <c r="J1121" s="2">
        <v>3798263</v>
      </c>
      <c r="K1121" t="s">
        <v>121</v>
      </c>
      <c r="L1121" t="s">
        <v>1651</v>
      </c>
    </row>
    <row r="1122" spans="1:12" x14ac:dyDescent="0.3">
      <c r="A1122">
        <v>1121</v>
      </c>
      <c r="B1122" t="s">
        <v>1015</v>
      </c>
      <c r="C1122">
        <v>44400.604166666664</v>
      </c>
      <c r="D1122">
        <v>2021</v>
      </c>
      <c r="E1122" t="s">
        <v>10</v>
      </c>
      <c r="F1122" t="s">
        <v>1553</v>
      </c>
      <c r="G1122" t="s">
        <v>23</v>
      </c>
      <c r="H1122" s="1" t="s">
        <v>1565</v>
      </c>
      <c r="I1122" t="s">
        <v>1579</v>
      </c>
      <c r="J1122" s="2">
        <v>4567126</v>
      </c>
      <c r="K1122" t="s">
        <v>12</v>
      </c>
      <c r="L1122" t="s">
        <v>1650</v>
      </c>
    </row>
    <row r="1123" spans="1:12" x14ac:dyDescent="0.3">
      <c r="A1123">
        <v>1122</v>
      </c>
      <c r="B1123" t="s">
        <v>988</v>
      </c>
      <c r="C1123">
        <v>44400.632638888892</v>
      </c>
      <c r="D1123">
        <v>2021</v>
      </c>
      <c r="E1123" t="s">
        <v>10</v>
      </c>
      <c r="F1123" t="s">
        <v>1553</v>
      </c>
      <c r="G1123" t="s">
        <v>23</v>
      </c>
      <c r="H1123" s="1" t="s">
        <v>1565</v>
      </c>
      <c r="I1123" t="s">
        <v>1579</v>
      </c>
      <c r="J1123" s="2">
        <v>4671536</v>
      </c>
      <c r="K1123" t="s">
        <v>12</v>
      </c>
      <c r="L1123" t="s">
        <v>1649</v>
      </c>
    </row>
    <row r="1124" spans="1:12" x14ac:dyDescent="0.3">
      <c r="A1124">
        <v>1123</v>
      </c>
      <c r="B1124" t="s">
        <v>1016</v>
      </c>
      <c r="C1124">
        <v>44403.427777777775</v>
      </c>
      <c r="D1124">
        <v>2021</v>
      </c>
      <c r="E1124" t="s">
        <v>10</v>
      </c>
      <c r="F1124" t="s">
        <v>1553</v>
      </c>
      <c r="G1124" t="s">
        <v>18</v>
      </c>
      <c r="H1124" s="1" t="s">
        <v>1565</v>
      </c>
      <c r="I1124" t="s">
        <v>1579</v>
      </c>
      <c r="J1124" s="2">
        <v>1547169</v>
      </c>
      <c r="K1124" t="s">
        <v>12</v>
      </c>
      <c r="L1124" t="s">
        <v>1652</v>
      </c>
    </row>
    <row r="1125" spans="1:12" x14ac:dyDescent="0.3">
      <c r="A1125">
        <v>1124</v>
      </c>
      <c r="B1125" t="s">
        <v>1017</v>
      </c>
      <c r="C1125">
        <v>44403.45416666667</v>
      </c>
      <c r="D1125">
        <v>2021</v>
      </c>
      <c r="E1125" t="s">
        <v>10</v>
      </c>
      <c r="F1125" t="s">
        <v>1553</v>
      </c>
      <c r="G1125" t="s">
        <v>57</v>
      </c>
      <c r="H1125" s="1" t="s">
        <v>1565</v>
      </c>
      <c r="I1125" t="s">
        <v>1579</v>
      </c>
      <c r="J1125" s="2">
        <v>2174642</v>
      </c>
      <c r="K1125" t="s">
        <v>12</v>
      </c>
      <c r="L1125" t="s">
        <v>1650</v>
      </c>
    </row>
    <row r="1126" spans="1:12" x14ac:dyDescent="0.3">
      <c r="A1126">
        <v>1125</v>
      </c>
      <c r="B1126" t="s">
        <v>1018</v>
      </c>
      <c r="C1126">
        <v>44403.498611111114</v>
      </c>
      <c r="D1126">
        <v>2021</v>
      </c>
      <c r="E1126" t="s">
        <v>10</v>
      </c>
      <c r="F1126" t="s">
        <v>1553</v>
      </c>
      <c r="G1126" t="s">
        <v>23</v>
      </c>
      <c r="H1126" s="1" t="s">
        <v>1565</v>
      </c>
      <c r="I1126" t="s">
        <v>1579</v>
      </c>
      <c r="J1126" s="2">
        <v>2599835</v>
      </c>
      <c r="K1126" t="s">
        <v>12</v>
      </c>
      <c r="L1126" t="s">
        <v>1648</v>
      </c>
    </row>
    <row r="1127" spans="1:12" x14ac:dyDescent="0.3">
      <c r="A1127">
        <v>1126</v>
      </c>
      <c r="B1127" t="s">
        <v>992</v>
      </c>
      <c r="C1127">
        <v>44403.504166666666</v>
      </c>
      <c r="D1127">
        <v>2021</v>
      </c>
      <c r="E1127" t="s">
        <v>10</v>
      </c>
      <c r="F1127" t="s">
        <v>1553</v>
      </c>
      <c r="G1127" t="s">
        <v>18</v>
      </c>
      <c r="H1127" s="1" t="s">
        <v>1565</v>
      </c>
      <c r="I1127" t="s">
        <v>1579</v>
      </c>
      <c r="J1127" s="2">
        <v>1252466</v>
      </c>
      <c r="K1127" t="s">
        <v>12</v>
      </c>
      <c r="L1127" t="s">
        <v>1651</v>
      </c>
    </row>
    <row r="1128" spans="1:12" x14ac:dyDescent="0.3">
      <c r="A1128">
        <v>1127</v>
      </c>
      <c r="B1128" t="s">
        <v>1019</v>
      </c>
      <c r="C1128">
        <v>44403.589583333334</v>
      </c>
      <c r="D1128">
        <v>2021</v>
      </c>
      <c r="E1128" t="s">
        <v>10</v>
      </c>
      <c r="F1128" t="s">
        <v>1553</v>
      </c>
      <c r="G1128" t="s">
        <v>339</v>
      </c>
      <c r="H1128" s="1" t="s">
        <v>1565</v>
      </c>
      <c r="I1128" t="s">
        <v>1579</v>
      </c>
      <c r="J1128" s="2">
        <v>1247570</v>
      </c>
      <c r="K1128" t="s">
        <v>12</v>
      </c>
      <c r="L1128" t="s">
        <v>1652</v>
      </c>
    </row>
    <row r="1129" spans="1:12" x14ac:dyDescent="0.3">
      <c r="A1129">
        <v>1128</v>
      </c>
      <c r="B1129" t="s">
        <v>1020</v>
      </c>
      <c r="C1129">
        <v>44403.642361111109</v>
      </c>
      <c r="D1129">
        <v>2021</v>
      </c>
      <c r="E1129" t="s">
        <v>10</v>
      </c>
      <c r="F1129" t="s">
        <v>1553</v>
      </c>
      <c r="G1129" t="s">
        <v>18</v>
      </c>
      <c r="H1129" s="1" t="s">
        <v>1565</v>
      </c>
      <c r="I1129" t="s">
        <v>1579</v>
      </c>
      <c r="J1129" s="2">
        <v>1595548</v>
      </c>
      <c r="K1129" t="s">
        <v>12</v>
      </c>
      <c r="L1129" t="s">
        <v>1648</v>
      </c>
    </row>
    <row r="1130" spans="1:12" x14ac:dyDescent="0.3">
      <c r="A1130">
        <v>1129</v>
      </c>
      <c r="B1130" t="s">
        <v>1021</v>
      </c>
      <c r="C1130">
        <v>44403.645833333336</v>
      </c>
      <c r="D1130">
        <v>2021</v>
      </c>
      <c r="E1130" t="s">
        <v>10</v>
      </c>
      <c r="F1130" t="s">
        <v>1553</v>
      </c>
      <c r="G1130" t="s">
        <v>18</v>
      </c>
      <c r="H1130" s="1" t="s">
        <v>1565</v>
      </c>
      <c r="I1130" t="s">
        <v>1579</v>
      </c>
      <c r="J1130" s="2">
        <v>3433429</v>
      </c>
      <c r="K1130" t="s">
        <v>12</v>
      </c>
      <c r="L1130" t="s">
        <v>1650</v>
      </c>
    </row>
    <row r="1131" spans="1:12" x14ac:dyDescent="0.3">
      <c r="A1131">
        <v>1130</v>
      </c>
      <c r="B1131" t="s">
        <v>1022</v>
      </c>
      <c r="C1131">
        <v>44404.377083333333</v>
      </c>
      <c r="D1131">
        <v>2021</v>
      </c>
      <c r="E1131" t="s">
        <v>10</v>
      </c>
      <c r="F1131" t="s">
        <v>1553</v>
      </c>
      <c r="G1131" t="s">
        <v>11</v>
      </c>
      <c r="H1131" s="1" t="s">
        <v>1570</v>
      </c>
      <c r="I1131" t="s">
        <v>1577</v>
      </c>
      <c r="J1131" s="2">
        <v>1454572</v>
      </c>
      <c r="K1131" t="s">
        <v>121</v>
      </c>
      <c r="L1131" t="s">
        <v>1648</v>
      </c>
    </row>
    <row r="1132" spans="1:12" x14ac:dyDescent="0.3">
      <c r="A1132">
        <v>1131</v>
      </c>
      <c r="B1132" t="s">
        <v>1023</v>
      </c>
      <c r="C1132">
        <v>44404.506944444445</v>
      </c>
      <c r="D1132">
        <v>2021</v>
      </c>
      <c r="E1132" t="s">
        <v>10</v>
      </c>
      <c r="F1132" t="s">
        <v>1553</v>
      </c>
      <c r="G1132" t="s">
        <v>11</v>
      </c>
      <c r="H1132" s="1" t="s">
        <v>1563</v>
      </c>
      <c r="I1132" t="s">
        <v>1577</v>
      </c>
      <c r="J1132" s="2">
        <v>3267891</v>
      </c>
      <c r="K1132" t="s">
        <v>121</v>
      </c>
      <c r="L1132" t="s">
        <v>1653</v>
      </c>
    </row>
    <row r="1133" spans="1:12" x14ac:dyDescent="0.3">
      <c r="A1133">
        <v>1132</v>
      </c>
      <c r="B1133" t="s">
        <v>1024</v>
      </c>
      <c r="C1133">
        <v>44404.52847222222</v>
      </c>
      <c r="D1133">
        <v>2021</v>
      </c>
      <c r="E1133" t="s">
        <v>10</v>
      </c>
      <c r="F1133" t="s">
        <v>1553</v>
      </c>
      <c r="G1133" t="s">
        <v>23</v>
      </c>
      <c r="H1133" s="1" t="s">
        <v>1571</v>
      </c>
      <c r="I1133" t="s">
        <v>1579</v>
      </c>
      <c r="J1133" s="2">
        <v>3033347</v>
      </c>
      <c r="K1133" t="s">
        <v>12</v>
      </c>
      <c r="L1133" t="s">
        <v>1651</v>
      </c>
    </row>
    <row r="1134" spans="1:12" x14ac:dyDescent="0.3">
      <c r="A1134">
        <v>1133</v>
      </c>
      <c r="B1134" t="s">
        <v>1025</v>
      </c>
      <c r="C1134">
        <v>44404.540277777778</v>
      </c>
      <c r="D1134">
        <v>2021</v>
      </c>
      <c r="E1134" t="s">
        <v>10</v>
      </c>
      <c r="F1134" t="s">
        <v>1553</v>
      </c>
      <c r="G1134" t="s">
        <v>23</v>
      </c>
      <c r="H1134" s="1" t="s">
        <v>1569</v>
      </c>
      <c r="I1134" t="s">
        <v>1579</v>
      </c>
      <c r="J1134" s="2">
        <v>3652424</v>
      </c>
      <c r="K1134" t="s">
        <v>12</v>
      </c>
      <c r="L1134" t="s">
        <v>1649</v>
      </c>
    </row>
    <row r="1135" spans="1:12" x14ac:dyDescent="0.3">
      <c r="A1135">
        <v>1134</v>
      </c>
      <c r="B1135" t="s">
        <v>1026</v>
      </c>
      <c r="C1135">
        <v>44405.363194444442</v>
      </c>
      <c r="D1135">
        <v>2021</v>
      </c>
      <c r="E1135" t="s">
        <v>10</v>
      </c>
      <c r="F1135" t="s">
        <v>1553</v>
      </c>
      <c r="G1135" t="s">
        <v>62</v>
      </c>
      <c r="H1135" s="1" t="s">
        <v>1564</v>
      </c>
      <c r="I1135" t="s">
        <v>1582</v>
      </c>
      <c r="J1135" s="2">
        <v>4526217</v>
      </c>
      <c r="K1135" t="s">
        <v>12</v>
      </c>
      <c r="L1135" t="s">
        <v>1651</v>
      </c>
    </row>
    <row r="1136" spans="1:12" x14ac:dyDescent="0.3">
      <c r="A1136">
        <v>1135</v>
      </c>
      <c r="B1136" t="s">
        <v>1027</v>
      </c>
      <c r="C1136">
        <v>44405.387499999997</v>
      </c>
      <c r="D1136">
        <v>2021</v>
      </c>
      <c r="E1136" t="s">
        <v>10</v>
      </c>
      <c r="F1136" t="s">
        <v>1032</v>
      </c>
      <c r="G1136" t="s">
        <v>11</v>
      </c>
      <c r="H1136" s="1" t="s">
        <v>1562</v>
      </c>
      <c r="I1136" t="s">
        <v>1577</v>
      </c>
      <c r="J1136" s="2">
        <v>2357229</v>
      </c>
      <c r="K1136" t="s">
        <v>121</v>
      </c>
      <c r="L1136" t="s">
        <v>1653</v>
      </c>
    </row>
    <row r="1137" spans="1:12" x14ac:dyDescent="0.3">
      <c r="A1137">
        <v>1136</v>
      </c>
      <c r="B1137" t="s">
        <v>1028</v>
      </c>
      <c r="C1137">
        <v>44405.621527777781</v>
      </c>
      <c r="D1137">
        <v>2021</v>
      </c>
      <c r="E1137" t="s">
        <v>10</v>
      </c>
      <c r="F1137" t="s">
        <v>1032</v>
      </c>
      <c r="G1137" t="s">
        <v>221</v>
      </c>
      <c r="H1137" s="1" t="s">
        <v>1568</v>
      </c>
      <c r="I1137" t="s">
        <v>1634</v>
      </c>
      <c r="J1137" s="2">
        <v>3948065</v>
      </c>
      <c r="K1137" t="s">
        <v>121</v>
      </c>
      <c r="L1137" t="s">
        <v>1650</v>
      </c>
    </row>
    <row r="1138" spans="1:12" x14ac:dyDescent="0.3">
      <c r="A1138">
        <v>1137</v>
      </c>
      <c r="B1138" t="s">
        <v>1029</v>
      </c>
      <c r="C1138">
        <v>44406.387499999997</v>
      </c>
      <c r="D1138">
        <v>2021</v>
      </c>
      <c r="E1138" t="s">
        <v>10</v>
      </c>
      <c r="F1138" t="s">
        <v>1032</v>
      </c>
      <c r="G1138" t="s">
        <v>290</v>
      </c>
      <c r="H1138" s="1" t="s">
        <v>1575</v>
      </c>
      <c r="I1138" t="s">
        <v>1579</v>
      </c>
      <c r="J1138" s="2">
        <v>4145034</v>
      </c>
      <c r="K1138" t="s">
        <v>12</v>
      </c>
      <c r="L1138" t="s">
        <v>1649</v>
      </c>
    </row>
    <row r="1139" spans="1:12" x14ac:dyDescent="0.3">
      <c r="A1139">
        <v>1138</v>
      </c>
      <c r="B1139" t="s">
        <v>50</v>
      </c>
      <c r="C1139">
        <v>44406.422222222223</v>
      </c>
      <c r="D1139">
        <v>2021</v>
      </c>
      <c r="E1139" t="s">
        <v>10</v>
      </c>
      <c r="F1139" t="s">
        <v>1032</v>
      </c>
      <c r="G1139" t="s">
        <v>15</v>
      </c>
      <c r="H1139" s="1" t="s">
        <v>1569</v>
      </c>
      <c r="I1139" t="s">
        <v>1591</v>
      </c>
      <c r="J1139" s="2">
        <v>1328609</v>
      </c>
      <c r="K1139" t="s">
        <v>12</v>
      </c>
      <c r="L1139" t="s">
        <v>1650</v>
      </c>
    </row>
    <row r="1140" spans="1:12" x14ac:dyDescent="0.3">
      <c r="A1140">
        <v>1139</v>
      </c>
      <c r="B1140" t="s">
        <v>1030</v>
      </c>
      <c r="C1140">
        <v>44406.617361111108</v>
      </c>
      <c r="D1140">
        <v>2021</v>
      </c>
      <c r="E1140" t="s">
        <v>10</v>
      </c>
      <c r="F1140" t="s">
        <v>1032</v>
      </c>
      <c r="G1140" t="s">
        <v>15</v>
      </c>
      <c r="H1140" s="1" t="s">
        <v>1568</v>
      </c>
      <c r="I1140" t="s">
        <v>1579</v>
      </c>
      <c r="J1140" s="2">
        <v>4689006</v>
      </c>
      <c r="K1140" t="s">
        <v>12</v>
      </c>
      <c r="L1140" t="s">
        <v>1653</v>
      </c>
    </row>
    <row r="1141" spans="1:12" x14ac:dyDescent="0.3">
      <c r="A1141">
        <v>1140</v>
      </c>
      <c r="B1141" t="s">
        <v>1031</v>
      </c>
      <c r="C1141">
        <v>44406.65625</v>
      </c>
      <c r="D1141">
        <v>2021</v>
      </c>
      <c r="E1141" t="s">
        <v>10</v>
      </c>
      <c r="F1141" t="s">
        <v>1032</v>
      </c>
      <c r="G1141" t="s">
        <v>11</v>
      </c>
      <c r="H1141" s="1" t="s">
        <v>1568</v>
      </c>
      <c r="I1141" t="s">
        <v>1577</v>
      </c>
      <c r="J1141" s="2">
        <v>2794920</v>
      </c>
      <c r="K1141" t="s">
        <v>121</v>
      </c>
      <c r="L1141" t="s">
        <v>1649</v>
      </c>
    </row>
    <row r="1142" spans="1:12" x14ac:dyDescent="0.3">
      <c r="A1142">
        <v>1141</v>
      </c>
      <c r="B1142" t="s">
        <v>1033</v>
      </c>
      <c r="C1142">
        <v>44406.65902777778</v>
      </c>
      <c r="D1142">
        <v>2021</v>
      </c>
      <c r="E1142" t="s">
        <v>10</v>
      </c>
      <c r="F1142" t="s">
        <v>1032</v>
      </c>
      <c r="G1142" t="s">
        <v>290</v>
      </c>
      <c r="H1142" s="1" t="s">
        <v>1565</v>
      </c>
      <c r="I1142" t="s">
        <v>1579</v>
      </c>
      <c r="J1142" s="2">
        <v>4747189</v>
      </c>
      <c r="K1142" t="s">
        <v>12</v>
      </c>
      <c r="L1142" t="s">
        <v>1652</v>
      </c>
    </row>
    <row r="1143" spans="1:12" x14ac:dyDescent="0.3">
      <c r="A1143">
        <v>1142</v>
      </c>
      <c r="B1143" t="s">
        <v>1034</v>
      </c>
      <c r="C1143">
        <v>44406.665277777778</v>
      </c>
      <c r="D1143">
        <v>2021</v>
      </c>
      <c r="E1143" t="s">
        <v>10</v>
      </c>
      <c r="F1143" t="s">
        <v>1032</v>
      </c>
      <c r="G1143" t="s">
        <v>11</v>
      </c>
      <c r="H1143" s="1" t="s">
        <v>1573</v>
      </c>
      <c r="I1143" t="s">
        <v>1577</v>
      </c>
      <c r="J1143" s="2">
        <v>4036464</v>
      </c>
      <c r="K1143" t="s">
        <v>121</v>
      </c>
      <c r="L1143" t="s">
        <v>1649</v>
      </c>
    </row>
    <row r="1144" spans="1:12" x14ac:dyDescent="0.3">
      <c r="A1144">
        <v>1143</v>
      </c>
      <c r="B1144" t="s">
        <v>1035</v>
      </c>
      <c r="C1144">
        <v>44406.734722222223</v>
      </c>
      <c r="D1144">
        <v>2021</v>
      </c>
      <c r="E1144" t="s">
        <v>10</v>
      </c>
      <c r="F1144" t="s">
        <v>1032</v>
      </c>
      <c r="G1144" t="s">
        <v>229</v>
      </c>
      <c r="H1144" s="1" t="s">
        <v>1565</v>
      </c>
      <c r="I1144" t="s">
        <v>1635</v>
      </c>
      <c r="J1144" s="2">
        <v>1821615</v>
      </c>
      <c r="K1144" t="s">
        <v>12</v>
      </c>
      <c r="L1144" t="s">
        <v>1653</v>
      </c>
    </row>
    <row r="1145" spans="1:12" x14ac:dyDescent="0.3">
      <c r="A1145">
        <v>1144</v>
      </c>
      <c r="B1145" t="s">
        <v>1036</v>
      </c>
      <c r="C1145">
        <v>44406.738888888889</v>
      </c>
      <c r="D1145">
        <v>2021</v>
      </c>
      <c r="E1145" t="s">
        <v>10</v>
      </c>
      <c r="F1145" t="s">
        <v>1032</v>
      </c>
      <c r="G1145" t="s">
        <v>229</v>
      </c>
      <c r="H1145" s="1" t="s">
        <v>1573</v>
      </c>
      <c r="I1145" t="s">
        <v>1635</v>
      </c>
      <c r="J1145" s="2">
        <v>1853059</v>
      </c>
      <c r="K1145" t="s">
        <v>12</v>
      </c>
      <c r="L1145" t="s">
        <v>1650</v>
      </c>
    </row>
    <row r="1146" spans="1:12" x14ac:dyDescent="0.3">
      <c r="A1146">
        <v>1145</v>
      </c>
      <c r="B1146" t="s">
        <v>1037</v>
      </c>
      <c r="C1146">
        <v>44407.402777777781</v>
      </c>
      <c r="D1146">
        <v>2021</v>
      </c>
      <c r="E1146" t="s">
        <v>10</v>
      </c>
      <c r="F1146" t="s">
        <v>1032</v>
      </c>
      <c r="G1146" t="s">
        <v>23</v>
      </c>
      <c r="H1146" s="1" t="s">
        <v>1574</v>
      </c>
      <c r="I1146" t="s">
        <v>1579</v>
      </c>
      <c r="J1146" s="2">
        <v>4804183</v>
      </c>
      <c r="K1146" t="s">
        <v>12</v>
      </c>
      <c r="L1146" t="s">
        <v>1648</v>
      </c>
    </row>
    <row r="1147" spans="1:12" x14ac:dyDescent="0.3">
      <c r="A1147">
        <v>1146</v>
      </c>
      <c r="B1147" t="s">
        <v>944</v>
      </c>
      <c r="C1147">
        <v>44407.413194444445</v>
      </c>
      <c r="D1147">
        <v>2021</v>
      </c>
      <c r="E1147" t="s">
        <v>10</v>
      </c>
      <c r="F1147" t="s">
        <v>1032</v>
      </c>
      <c r="G1147" t="s">
        <v>290</v>
      </c>
      <c r="H1147" s="1" t="s">
        <v>1562</v>
      </c>
      <c r="I1147" t="s">
        <v>1579</v>
      </c>
      <c r="J1147" s="2">
        <v>1552768</v>
      </c>
      <c r="K1147" t="s">
        <v>12</v>
      </c>
      <c r="L1147" t="s">
        <v>1650</v>
      </c>
    </row>
    <row r="1148" spans="1:12" x14ac:dyDescent="0.3">
      <c r="A1148">
        <v>1147</v>
      </c>
      <c r="B1148" t="s">
        <v>1038</v>
      </c>
      <c r="C1148">
        <v>44407.45</v>
      </c>
      <c r="D1148">
        <v>2021</v>
      </c>
      <c r="E1148" t="s">
        <v>10</v>
      </c>
      <c r="F1148" t="s">
        <v>1032</v>
      </c>
      <c r="G1148" t="s">
        <v>62</v>
      </c>
      <c r="H1148" s="1" t="s">
        <v>1563</v>
      </c>
      <c r="I1148" t="s">
        <v>1579</v>
      </c>
      <c r="J1148" s="2">
        <v>1976786</v>
      </c>
      <c r="K1148" t="s">
        <v>12</v>
      </c>
      <c r="L1148" t="s">
        <v>1652</v>
      </c>
    </row>
    <row r="1149" spans="1:12" x14ac:dyDescent="0.3">
      <c r="A1149">
        <v>1148</v>
      </c>
      <c r="B1149" t="s">
        <v>435</v>
      </c>
      <c r="C1149">
        <v>44407.473611111112</v>
      </c>
      <c r="D1149">
        <v>2021</v>
      </c>
      <c r="E1149" t="s">
        <v>10</v>
      </c>
      <c r="F1149" t="s">
        <v>1032</v>
      </c>
      <c r="G1149" t="s">
        <v>18</v>
      </c>
      <c r="H1149" s="1" t="s">
        <v>1570</v>
      </c>
      <c r="I1149" t="s">
        <v>1579</v>
      </c>
      <c r="J1149" s="2">
        <v>1476998</v>
      </c>
      <c r="K1149" t="s">
        <v>12</v>
      </c>
      <c r="L1149" t="s">
        <v>1650</v>
      </c>
    </row>
    <row r="1150" spans="1:12" x14ac:dyDescent="0.3">
      <c r="A1150">
        <v>1149</v>
      </c>
      <c r="B1150" t="s">
        <v>734</v>
      </c>
      <c r="C1150">
        <v>44407.659722222219</v>
      </c>
      <c r="D1150">
        <v>2021</v>
      </c>
      <c r="E1150" t="s">
        <v>10</v>
      </c>
      <c r="F1150" t="s">
        <v>1032</v>
      </c>
      <c r="G1150" t="s">
        <v>44</v>
      </c>
      <c r="H1150" s="1" t="s">
        <v>1571</v>
      </c>
      <c r="I1150" t="s">
        <v>1586</v>
      </c>
      <c r="J1150" s="2">
        <v>3818693</v>
      </c>
      <c r="K1150" t="s">
        <v>59</v>
      </c>
      <c r="L1150" t="s">
        <v>1653</v>
      </c>
    </row>
    <row r="1151" spans="1:12" x14ac:dyDescent="0.3">
      <c r="A1151">
        <v>1150</v>
      </c>
      <c r="B1151" t="s">
        <v>1039</v>
      </c>
      <c r="C1151">
        <v>44407.663194444445</v>
      </c>
      <c r="D1151">
        <v>2021</v>
      </c>
      <c r="E1151" t="s">
        <v>10</v>
      </c>
      <c r="F1151" t="s">
        <v>1032</v>
      </c>
      <c r="G1151" t="s">
        <v>44</v>
      </c>
      <c r="H1151" s="1" t="s">
        <v>1565</v>
      </c>
      <c r="I1151" t="s">
        <v>1579</v>
      </c>
      <c r="J1151" s="2">
        <v>3189657</v>
      </c>
      <c r="K1151" t="s">
        <v>12</v>
      </c>
      <c r="L1151" t="s">
        <v>1648</v>
      </c>
    </row>
    <row r="1152" spans="1:12" x14ac:dyDescent="0.3">
      <c r="A1152">
        <v>1151</v>
      </c>
      <c r="B1152" t="s">
        <v>1040</v>
      </c>
      <c r="C1152">
        <v>44410.445833333331</v>
      </c>
      <c r="D1152">
        <v>2021</v>
      </c>
      <c r="E1152" t="s">
        <v>10</v>
      </c>
      <c r="F1152" t="s">
        <v>1032</v>
      </c>
      <c r="G1152" t="s">
        <v>11</v>
      </c>
      <c r="H1152" s="1" t="s">
        <v>1576</v>
      </c>
      <c r="I1152" t="s">
        <v>1577</v>
      </c>
      <c r="J1152" s="2">
        <v>3801848</v>
      </c>
      <c r="K1152" t="s">
        <v>121</v>
      </c>
      <c r="L1152" t="s">
        <v>1649</v>
      </c>
    </row>
    <row r="1153" spans="1:12" x14ac:dyDescent="0.3">
      <c r="A1153">
        <v>1152</v>
      </c>
      <c r="B1153" t="s">
        <v>1041</v>
      </c>
      <c r="C1153">
        <v>44410.449305555558</v>
      </c>
      <c r="D1153">
        <v>2021</v>
      </c>
      <c r="E1153" t="s">
        <v>10</v>
      </c>
      <c r="F1153" t="s">
        <v>1032</v>
      </c>
      <c r="G1153" t="s">
        <v>23</v>
      </c>
      <c r="H1153" s="1" t="s">
        <v>1566</v>
      </c>
      <c r="I1153" t="s">
        <v>1579</v>
      </c>
      <c r="J1153" s="2">
        <v>3517817</v>
      </c>
      <c r="K1153" t="s">
        <v>12</v>
      </c>
      <c r="L1153" t="s">
        <v>1652</v>
      </c>
    </row>
    <row r="1154" spans="1:12" x14ac:dyDescent="0.3">
      <c r="A1154">
        <v>1153</v>
      </c>
      <c r="B1154" t="s">
        <v>1042</v>
      </c>
      <c r="C1154">
        <v>44410.450694444444</v>
      </c>
      <c r="D1154">
        <v>2021</v>
      </c>
      <c r="E1154" t="s">
        <v>10</v>
      </c>
      <c r="F1154" t="s">
        <v>1032</v>
      </c>
      <c r="G1154" t="s">
        <v>11</v>
      </c>
      <c r="H1154" s="1" t="s">
        <v>1566</v>
      </c>
      <c r="I1154" t="s">
        <v>1577</v>
      </c>
      <c r="J1154" s="2">
        <v>1169559</v>
      </c>
      <c r="K1154" t="s">
        <v>121</v>
      </c>
      <c r="L1154" t="s">
        <v>1650</v>
      </c>
    </row>
    <row r="1155" spans="1:12" x14ac:dyDescent="0.3">
      <c r="A1155">
        <v>1154</v>
      </c>
      <c r="B1155" t="s">
        <v>1043</v>
      </c>
      <c r="C1155">
        <v>44410.486111111109</v>
      </c>
      <c r="D1155">
        <v>2021</v>
      </c>
      <c r="E1155" t="s">
        <v>10</v>
      </c>
      <c r="F1155" t="s">
        <v>1032</v>
      </c>
      <c r="G1155" t="s">
        <v>11</v>
      </c>
      <c r="H1155" s="1" t="s">
        <v>1576</v>
      </c>
      <c r="I1155" t="s">
        <v>1577</v>
      </c>
      <c r="J1155" s="2">
        <v>4880248</v>
      </c>
      <c r="K1155" t="s">
        <v>121</v>
      </c>
      <c r="L1155" t="s">
        <v>1652</v>
      </c>
    </row>
    <row r="1156" spans="1:12" x14ac:dyDescent="0.3">
      <c r="A1156">
        <v>1155</v>
      </c>
      <c r="B1156" t="s">
        <v>1044</v>
      </c>
      <c r="C1156">
        <v>44410.518750000003</v>
      </c>
      <c r="D1156">
        <v>2021</v>
      </c>
      <c r="E1156" t="s">
        <v>10</v>
      </c>
      <c r="F1156" t="s">
        <v>1032</v>
      </c>
      <c r="G1156" t="s">
        <v>11</v>
      </c>
      <c r="H1156" s="1" t="s">
        <v>1573</v>
      </c>
      <c r="I1156" t="s">
        <v>1577</v>
      </c>
      <c r="J1156" s="2">
        <v>2613816</v>
      </c>
      <c r="K1156" t="s">
        <v>121</v>
      </c>
      <c r="L1156" t="s">
        <v>1648</v>
      </c>
    </row>
    <row r="1157" spans="1:12" x14ac:dyDescent="0.3">
      <c r="A1157">
        <v>1156</v>
      </c>
      <c r="B1157" t="s">
        <v>1045</v>
      </c>
      <c r="C1157">
        <v>44410.57916666667</v>
      </c>
      <c r="D1157">
        <v>2021</v>
      </c>
      <c r="E1157" t="s">
        <v>10</v>
      </c>
      <c r="F1157" t="s">
        <v>1032</v>
      </c>
      <c r="G1157" t="s">
        <v>18</v>
      </c>
      <c r="H1157" s="1" t="s">
        <v>1571</v>
      </c>
      <c r="I1157" t="s">
        <v>1579</v>
      </c>
      <c r="J1157" s="2">
        <v>3838569</v>
      </c>
      <c r="K1157" t="s">
        <v>12</v>
      </c>
      <c r="L1157" t="s">
        <v>1651</v>
      </c>
    </row>
    <row r="1158" spans="1:12" x14ac:dyDescent="0.3">
      <c r="A1158">
        <v>1157</v>
      </c>
      <c r="B1158" t="s">
        <v>1046</v>
      </c>
      <c r="C1158">
        <v>44410.618055555555</v>
      </c>
      <c r="D1158">
        <v>2021</v>
      </c>
      <c r="E1158" t="s">
        <v>10</v>
      </c>
      <c r="F1158" t="s">
        <v>1032</v>
      </c>
      <c r="G1158" t="s">
        <v>11</v>
      </c>
      <c r="H1158" s="1" t="s">
        <v>1570</v>
      </c>
      <c r="I1158" t="s">
        <v>1577</v>
      </c>
      <c r="J1158" s="2">
        <v>2790404</v>
      </c>
      <c r="K1158" t="s">
        <v>121</v>
      </c>
      <c r="L1158" t="s">
        <v>1650</v>
      </c>
    </row>
    <row r="1159" spans="1:12" x14ac:dyDescent="0.3">
      <c r="A1159">
        <v>1158</v>
      </c>
      <c r="B1159" t="s">
        <v>1047</v>
      </c>
      <c r="C1159">
        <v>44410.626388888886</v>
      </c>
      <c r="D1159">
        <v>2021</v>
      </c>
      <c r="E1159" t="s">
        <v>10</v>
      </c>
      <c r="F1159" t="s">
        <v>1032</v>
      </c>
      <c r="G1159" t="s">
        <v>11</v>
      </c>
      <c r="H1159" s="1" t="s">
        <v>1573</v>
      </c>
      <c r="I1159" t="s">
        <v>1577</v>
      </c>
      <c r="J1159" s="2">
        <v>4594405</v>
      </c>
      <c r="K1159" t="s">
        <v>121</v>
      </c>
      <c r="L1159" t="s">
        <v>1648</v>
      </c>
    </row>
    <row r="1160" spans="1:12" x14ac:dyDescent="0.3">
      <c r="A1160">
        <v>1159</v>
      </c>
      <c r="B1160" t="s">
        <v>996</v>
      </c>
      <c r="C1160">
        <v>44411.374305555553</v>
      </c>
      <c r="D1160">
        <v>2021</v>
      </c>
      <c r="E1160" t="s">
        <v>10</v>
      </c>
      <c r="F1160" t="s">
        <v>1032</v>
      </c>
      <c r="G1160" t="s">
        <v>18</v>
      </c>
      <c r="H1160" s="1" t="s">
        <v>1568</v>
      </c>
      <c r="I1160" t="s">
        <v>1579</v>
      </c>
      <c r="J1160" s="2">
        <v>1352718</v>
      </c>
      <c r="K1160" t="s">
        <v>12</v>
      </c>
      <c r="L1160" t="s">
        <v>1649</v>
      </c>
    </row>
    <row r="1161" spans="1:12" x14ac:dyDescent="0.3">
      <c r="A1161">
        <v>1160</v>
      </c>
      <c r="B1161" t="s">
        <v>1048</v>
      </c>
      <c r="C1161">
        <v>44411.40347222222</v>
      </c>
      <c r="D1161">
        <v>2021</v>
      </c>
      <c r="E1161" t="s">
        <v>10</v>
      </c>
      <c r="F1161" t="s">
        <v>1032</v>
      </c>
      <c r="G1161" t="s">
        <v>23</v>
      </c>
      <c r="H1161" s="1" t="s">
        <v>1570</v>
      </c>
      <c r="I1161" t="s">
        <v>1579</v>
      </c>
      <c r="J1161" s="2">
        <v>2013961</v>
      </c>
      <c r="K1161" t="s">
        <v>12</v>
      </c>
      <c r="L1161" t="s">
        <v>1649</v>
      </c>
    </row>
    <row r="1162" spans="1:12" x14ac:dyDescent="0.3">
      <c r="A1162">
        <v>1161</v>
      </c>
      <c r="B1162" t="s">
        <v>1049</v>
      </c>
      <c r="C1162">
        <v>44411.430555555555</v>
      </c>
      <c r="D1162">
        <v>2021</v>
      </c>
      <c r="E1162" t="s">
        <v>10</v>
      </c>
      <c r="F1162" t="s">
        <v>1032</v>
      </c>
      <c r="G1162" t="s">
        <v>62</v>
      </c>
      <c r="H1162" s="1" t="s">
        <v>1574</v>
      </c>
      <c r="I1162" t="s">
        <v>1634</v>
      </c>
      <c r="J1162" s="2">
        <v>4229675</v>
      </c>
      <c r="K1162" t="s">
        <v>121</v>
      </c>
      <c r="L1162" t="s">
        <v>1649</v>
      </c>
    </row>
    <row r="1163" spans="1:12" x14ac:dyDescent="0.3">
      <c r="A1163">
        <v>1162</v>
      </c>
      <c r="B1163" t="s">
        <v>756</v>
      </c>
      <c r="C1163">
        <v>44411.474305555559</v>
      </c>
      <c r="D1163">
        <v>2021</v>
      </c>
      <c r="E1163" t="s">
        <v>10</v>
      </c>
      <c r="F1163" t="s">
        <v>1032</v>
      </c>
      <c r="G1163" t="s">
        <v>18</v>
      </c>
      <c r="H1163" s="1" t="s">
        <v>1569</v>
      </c>
      <c r="I1163" t="s">
        <v>1579</v>
      </c>
      <c r="J1163" s="2">
        <v>1731070</v>
      </c>
      <c r="K1163" t="s">
        <v>12</v>
      </c>
      <c r="L1163" t="s">
        <v>1651</v>
      </c>
    </row>
    <row r="1164" spans="1:12" x14ac:dyDescent="0.3">
      <c r="A1164">
        <v>1163</v>
      </c>
      <c r="B1164" t="s">
        <v>1050</v>
      </c>
      <c r="C1164">
        <v>44411.501388888886</v>
      </c>
      <c r="D1164">
        <v>2021</v>
      </c>
      <c r="E1164" t="s">
        <v>10</v>
      </c>
      <c r="F1164" t="s">
        <v>1032</v>
      </c>
      <c r="G1164" t="s">
        <v>44</v>
      </c>
      <c r="H1164" s="1" t="s">
        <v>1572</v>
      </c>
      <c r="I1164" t="s">
        <v>1635</v>
      </c>
      <c r="J1164" s="2">
        <v>3446428</v>
      </c>
      <c r="K1164" t="s">
        <v>12</v>
      </c>
      <c r="L1164" t="s">
        <v>1649</v>
      </c>
    </row>
    <row r="1165" spans="1:12" x14ac:dyDescent="0.3">
      <c r="A1165">
        <v>1164</v>
      </c>
      <c r="B1165" t="s">
        <v>1051</v>
      </c>
      <c r="C1165">
        <v>44411.640972222223</v>
      </c>
      <c r="D1165">
        <v>2021</v>
      </c>
      <c r="E1165" t="s">
        <v>10</v>
      </c>
      <c r="F1165" t="s">
        <v>1032</v>
      </c>
      <c r="G1165" t="s">
        <v>18</v>
      </c>
      <c r="H1165" s="1" t="s">
        <v>1570</v>
      </c>
      <c r="I1165" t="s">
        <v>1579</v>
      </c>
      <c r="J1165" s="2">
        <v>4893175</v>
      </c>
      <c r="K1165" t="s">
        <v>12</v>
      </c>
      <c r="L1165" t="s">
        <v>1652</v>
      </c>
    </row>
    <row r="1166" spans="1:12" x14ac:dyDescent="0.3">
      <c r="A1166">
        <v>1165</v>
      </c>
      <c r="B1166" t="s">
        <v>1052</v>
      </c>
      <c r="C1166">
        <v>44412.26666666667</v>
      </c>
      <c r="D1166">
        <v>2021</v>
      </c>
      <c r="E1166" t="s">
        <v>10</v>
      </c>
      <c r="F1166" t="s">
        <v>1032</v>
      </c>
      <c r="G1166" t="s">
        <v>23</v>
      </c>
      <c r="H1166" s="1" t="s">
        <v>1562</v>
      </c>
      <c r="I1166" t="s">
        <v>1579</v>
      </c>
      <c r="J1166" s="2">
        <v>2674243</v>
      </c>
      <c r="K1166" t="s">
        <v>12</v>
      </c>
      <c r="L1166" t="s">
        <v>1653</v>
      </c>
    </row>
    <row r="1167" spans="1:12" x14ac:dyDescent="0.3">
      <c r="A1167">
        <v>1166</v>
      </c>
      <c r="B1167" t="s">
        <v>1053</v>
      </c>
      <c r="C1167">
        <v>44412.373611111114</v>
      </c>
      <c r="D1167">
        <v>2021</v>
      </c>
      <c r="E1167" t="s">
        <v>10</v>
      </c>
      <c r="F1167" t="s">
        <v>1032</v>
      </c>
      <c r="G1167" t="s">
        <v>229</v>
      </c>
      <c r="H1167" s="1" t="s">
        <v>1566</v>
      </c>
      <c r="I1167" t="s">
        <v>1635</v>
      </c>
      <c r="J1167" s="2">
        <v>4095322</v>
      </c>
      <c r="K1167" t="s">
        <v>12</v>
      </c>
      <c r="L1167" t="s">
        <v>1653</v>
      </c>
    </row>
    <row r="1168" spans="1:12" x14ac:dyDescent="0.3">
      <c r="A1168">
        <v>1167</v>
      </c>
      <c r="B1168" t="s">
        <v>1054</v>
      </c>
      <c r="C1168">
        <v>44412.480555555558</v>
      </c>
      <c r="D1168">
        <v>2021</v>
      </c>
      <c r="E1168" t="s">
        <v>10</v>
      </c>
      <c r="F1168" t="s">
        <v>1032</v>
      </c>
      <c r="G1168" t="s">
        <v>62</v>
      </c>
      <c r="H1168" s="1" t="s">
        <v>1566</v>
      </c>
      <c r="I1168" t="s">
        <v>1639</v>
      </c>
      <c r="J1168" s="2">
        <v>1836270</v>
      </c>
      <c r="K1168" t="s">
        <v>12</v>
      </c>
      <c r="L1168" t="s">
        <v>1652</v>
      </c>
    </row>
    <row r="1169" spans="1:12" x14ac:dyDescent="0.3">
      <c r="A1169">
        <v>1168</v>
      </c>
      <c r="B1169" t="s">
        <v>50</v>
      </c>
      <c r="C1169">
        <v>44412.732638888891</v>
      </c>
      <c r="D1169">
        <v>2021</v>
      </c>
      <c r="E1169" t="s">
        <v>10</v>
      </c>
      <c r="F1169" t="s">
        <v>1032</v>
      </c>
      <c r="G1169" t="s">
        <v>591</v>
      </c>
      <c r="H1169" s="1" t="s">
        <v>1574</v>
      </c>
      <c r="I1169" t="s">
        <v>1454</v>
      </c>
      <c r="J1169" s="2">
        <v>3291434</v>
      </c>
      <c r="K1169" t="s">
        <v>121</v>
      </c>
      <c r="L1169" t="s">
        <v>1648</v>
      </c>
    </row>
    <row r="1170" spans="1:12" x14ac:dyDescent="0.3">
      <c r="A1170">
        <v>1169</v>
      </c>
      <c r="B1170" t="s">
        <v>50</v>
      </c>
      <c r="C1170">
        <v>44412.775694444441</v>
      </c>
      <c r="D1170">
        <v>2021</v>
      </c>
      <c r="E1170" t="s">
        <v>10</v>
      </c>
      <c r="F1170" t="s">
        <v>1032</v>
      </c>
      <c r="G1170" t="s">
        <v>591</v>
      </c>
      <c r="H1170" s="1" t="s">
        <v>1566</v>
      </c>
      <c r="I1170" t="s">
        <v>1454</v>
      </c>
      <c r="J1170" s="2">
        <v>3558667</v>
      </c>
      <c r="K1170" t="s">
        <v>121</v>
      </c>
      <c r="L1170" t="s">
        <v>1649</v>
      </c>
    </row>
    <row r="1171" spans="1:12" x14ac:dyDescent="0.3">
      <c r="A1171">
        <v>1170</v>
      </c>
      <c r="B1171" t="s">
        <v>769</v>
      </c>
      <c r="C1171">
        <v>44413.320833333331</v>
      </c>
      <c r="D1171">
        <v>2021</v>
      </c>
      <c r="E1171" t="s">
        <v>10</v>
      </c>
      <c r="F1171" t="s">
        <v>1032</v>
      </c>
      <c r="G1171" t="s">
        <v>18</v>
      </c>
      <c r="H1171" s="1" t="s">
        <v>1573</v>
      </c>
      <c r="I1171" t="s">
        <v>1582</v>
      </c>
      <c r="J1171" s="2">
        <v>2280642</v>
      </c>
      <c r="K1171" t="s">
        <v>16</v>
      </c>
      <c r="L1171" t="s">
        <v>1652</v>
      </c>
    </row>
    <row r="1172" spans="1:12" x14ac:dyDescent="0.3">
      <c r="A1172">
        <v>1171</v>
      </c>
      <c r="B1172" t="s">
        <v>1055</v>
      </c>
      <c r="C1172">
        <v>44413.342361111114</v>
      </c>
      <c r="D1172">
        <v>2021</v>
      </c>
      <c r="E1172" t="s">
        <v>10</v>
      </c>
      <c r="F1172" t="s">
        <v>1032</v>
      </c>
      <c r="G1172" t="s">
        <v>18</v>
      </c>
      <c r="H1172" s="1" t="s">
        <v>1576</v>
      </c>
      <c r="I1172" t="s">
        <v>1579</v>
      </c>
      <c r="J1172" s="2">
        <v>4648520</v>
      </c>
      <c r="K1172" t="s">
        <v>12</v>
      </c>
      <c r="L1172" t="s">
        <v>1652</v>
      </c>
    </row>
    <row r="1173" spans="1:12" x14ac:dyDescent="0.3">
      <c r="A1173">
        <v>1172</v>
      </c>
      <c r="B1173" t="s">
        <v>1056</v>
      </c>
      <c r="C1173">
        <v>44413.37777777778</v>
      </c>
      <c r="D1173">
        <v>2021</v>
      </c>
      <c r="E1173" t="s">
        <v>10</v>
      </c>
      <c r="F1173" t="s">
        <v>1032</v>
      </c>
      <c r="G1173" t="s">
        <v>11</v>
      </c>
      <c r="H1173" s="1" t="s">
        <v>1572</v>
      </c>
      <c r="I1173" t="s">
        <v>1577</v>
      </c>
      <c r="J1173" s="2">
        <v>1222742</v>
      </c>
      <c r="K1173" t="s">
        <v>121</v>
      </c>
      <c r="L1173" t="s">
        <v>1652</v>
      </c>
    </row>
    <row r="1174" spans="1:12" x14ac:dyDescent="0.3">
      <c r="A1174">
        <v>1173</v>
      </c>
      <c r="B1174" t="s">
        <v>1057</v>
      </c>
      <c r="C1174">
        <v>44413.424305555556</v>
      </c>
      <c r="D1174">
        <v>2021</v>
      </c>
      <c r="E1174" t="s">
        <v>10</v>
      </c>
      <c r="F1174" t="s">
        <v>1032</v>
      </c>
      <c r="G1174" t="s">
        <v>11</v>
      </c>
      <c r="H1174" s="1" t="s">
        <v>1569</v>
      </c>
      <c r="I1174" t="s">
        <v>1577</v>
      </c>
      <c r="J1174" s="2">
        <v>2648174</v>
      </c>
      <c r="K1174" t="s">
        <v>121</v>
      </c>
      <c r="L1174" t="s">
        <v>1651</v>
      </c>
    </row>
    <row r="1175" spans="1:12" x14ac:dyDescent="0.3">
      <c r="A1175">
        <v>1174</v>
      </c>
      <c r="B1175" t="s">
        <v>1057</v>
      </c>
      <c r="C1175">
        <v>44413.489583333336</v>
      </c>
      <c r="D1175">
        <v>2021</v>
      </c>
      <c r="E1175" t="s">
        <v>10</v>
      </c>
      <c r="F1175" t="s">
        <v>1032</v>
      </c>
      <c r="G1175" t="s">
        <v>11</v>
      </c>
      <c r="H1175" s="1" t="s">
        <v>1576</v>
      </c>
      <c r="I1175" t="s">
        <v>1577</v>
      </c>
      <c r="J1175" s="2">
        <v>3160492</v>
      </c>
      <c r="K1175" t="s">
        <v>121</v>
      </c>
      <c r="L1175" t="s">
        <v>1653</v>
      </c>
    </row>
    <row r="1176" spans="1:12" x14ac:dyDescent="0.3">
      <c r="A1176">
        <v>1175</v>
      </c>
      <c r="B1176" t="s">
        <v>885</v>
      </c>
      <c r="C1176">
        <v>44413.522916666669</v>
      </c>
      <c r="D1176">
        <v>2021</v>
      </c>
      <c r="E1176" t="s">
        <v>10</v>
      </c>
      <c r="F1176" t="s">
        <v>1032</v>
      </c>
      <c r="G1176" t="s">
        <v>18</v>
      </c>
      <c r="H1176" s="1" t="s">
        <v>1564</v>
      </c>
      <c r="I1176" t="s">
        <v>1579</v>
      </c>
      <c r="J1176" s="2">
        <v>1117253</v>
      </c>
      <c r="K1176" t="s">
        <v>12</v>
      </c>
      <c r="L1176" t="s">
        <v>1650</v>
      </c>
    </row>
    <row r="1177" spans="1:12" x14ac:dyDescent="0.3">
      <c r="A1177">
        <v>1176</v>
      </c>
      <c r="B1177" t="s">
        <v>996</v>
      </c>
      <c r="C1177">
        <v>44413.529861111114</v>
      </c>
      <c r="D1177">
        <v>2021</v>
      </c>
      <c r="E1177" t="s">
        <v>10</v>
      </c>
      <c r="F1177" t="s">
        <v>1032</v>
      </c>
      <c r="G1177" t="s">
        <v>18</v>
      </c>
      <c r="H1177" s="1" t="s">
        <v>1576</v>
      </c>
      <c r="I1177" t="s">
        <v>1586</v>
      </c>
      <c r="J1177" s="2">
        <v>2810193</v>
      </c>
      <c r="K1177" t="s">
        <v>59</v>
      </c>
      <c r="L1177" t="s">
        <v>1650</v>
      </c>
    </row>
    <row r="1178" spans="1:12" x14ac:dyDescent="0.3">
      <c r="A1178">
        <v>1177</v>
      </c>
      <c r="B1178" t="s">
        <v>1058</v>
      </c>
      <c r="C1178">
        <v>44413.628472222219</v>
      </c>
      <c r="D1178">
        <v>2021</v>
      </c>
      <c r="E1178" t="s">
        <v>10</v>
      </c>
      <c r="F1178" t="s">
        <v>1032</v>
      </c>
      <c r="G1178" t="s">
        <v>11</v>
      </c>
      <c r="H1178" s="1" t="s">
        <v>1564</v>
      </c>
      <c r="I1178" t="s">
        <v>1577</v>
      </c>
      <c r="J1178" s="2">
        <v>4194528</v>
      </c>
      <c r="K1178" t="s">
        <v>121</v>
      </c>
      <c r="L1178" t="s">
        <v>1649</v>
      </c>
    </row>
    <row r="1179" spans="1:12" x14ac:dyDescent="0.3">
      <c r="A1179">
        <v>1178</v>
      </c>
      <c r="B1179" t="s">
        <v>1059</v>
      </c>
      <c r="C1179">
        <v>44413.633333333331</v>
      </c>
      <c r="D1179">
        <v>2021</v>
      </c>
      <c r="E1179" t="s">
        <v>10</v>
      </c>
      <c r="F1179" t="s">
        <v>1553</v>
      </c>
      <c r="G1179" t="s">
        <v>11</v>
      </c>
      <c r="H1179" s="1" t="s">
        <v>1573</v>
      </c>
      <c r="I1179" t="s">
        <v>1577</v>
      </c>
      <c r="J1179" s="2">
        <v>4835205</v>
      </c>
      <c r="K1179" t="s">
        <v>121</v>
      </c>
      <c r="L1179" t="s">
        <v>1651</v>
      </c>
    </row>
    <row r="1180" spans="1:12" x14ac:dyDescent="0.3">
      <c r="A1180">
        <v>1179</v>
      </c>
      <c r="B1180" t="s">
        <v>1060</v>
      </c>
      <c r="C1180">
        <v>44413.65625</v>
      </c>
      <c r="D1180">
        <v>2021</v>
      </c>
      <c r="E1180" t="s">
        <v>10</v>
      </c>
      <c r="F1180" t="s">
        <v>1553</v>
      </c>
      <c r="G1180" t="s">
        <v>18</v>
      </c>
      <c r="H1180" s="1" t="s">
        <v>1569</v>
      </c>
      <c r="I1180" t="s">
        <v>1579</v>
      </c>
      <c r="J1180" s="2">
        <v>1684803</v>
      </c>
      <c r="K1180" t="s">
        <v>12</v>
      </c>
      <c r="L1180" t="s">
        <v>1652</v>
      </c>
    </row>
    <row r="1181" spans="1:12" x14ac:dyDescent="0.3">
      <c r="A1181">
        <v>1180</v>
      </c>
      <c r="B1181" t="s">
        <v>1061</v>
      </c>
      <c r="C1181">
        <v>44413.65902777778</v>
      </c>
      <c r="D1181">
        <v>2021</v>
      </c>
      <c r="E1181" t="s">
        <v>10</v>
      </c>
      <c r="F1181" t="s">
        <v>1553</v>
      </c>
      <c r="G1181" t="s">
        <v>18</v>
      </c>
      <c r="H1181" s="1" t="s">
        <v>1566</v>
      </c>
      <c r="I1181" t="s">
        <v>1579</v>
      </c>
      <c r="J1181" s="2">
        <v>3115325</v>
      </c>
      <c r="K1181" t="s">
        <v>12</v>
      </c>
      <c r="L1181" t="s">
        <v>1652</v>
      </c>
    </row>
    <row r="1182" spans="1:12" x14ac:dyDescent="0.3">
      <c r="A1182">
        <v>1181</v>
      </c>
      <c r="B1182" t="s">
        <v>1062</v>
      </c>
      <c r="C1182">
        <v>44413.6875</v>
      </c>
      <c r="D1182">
        <v>2021</v>
      </c>
      <c r="E1182" t="s">
        <v>10</v>
      </c>
      <c r="F1182" t="s">
        <v>1553</v>
      </c>
      <c r="G1182" t="s">
        <v>11</v>
      </c>
      <c r="H1182" s="1" t="s">
        <v>1565</v>
      </c>
      <c r="I1182" t="s">
        <v>1577</v>
      </c>
      <c r="J1182" s="2">
        <v>2540441</v>
      </c>
      <c r="K1182" t="s">
        <v>121</v>
      </c>
      <c r="L1182" t="s">
        <v>1649</v>
      </c>
    </row>
    <row r="1183" spans="1:12" x14ac:dyDescent="0.3">
      <c r="A1183">
        <v>1182</v>
      </c>
      <c r="B1183" t="s">
        <v>1063</v>
      </c>
      <c r="C1183">
        <v>44414.34652777778</v>
      </c>
      <c r="D1183">
        <v>2021</v>
      </c>
      <c r="E1183" t="s">
        <v>10</v>
      </c>
      <c r="F1183" t="s">
        <v>1553</v>
      </c>
      <c r="G1183" t="s">
        <v>11</v>
      </c>
      <c r="H1183" s="1" t="s">
        <v>1569</v>
      </c>
      <c r="I1183" t="s">
        <v>1577</v>
      </c>
      <c r="J1183" s="2">
        <v>1354948</v>
      </c>
      <c r="K1183" t="s">
        <v>121</v>
      </c>
      <c r="L1183" t="s">
        <v>1648</v>
      </c>
    </row>
    <row r="1184" spans="1:12" x14ac:dyDescent="0.3">
      <c r="A1184">
        <v>1183</v>
      </c>
      <c r="B1184" t="s">
        <v>1064</v>
      </c>
      <c r="C1184">
        <v>44414.353472222225</v>
      </c>
      <c r="D1184">
        <v>2021</v>
      </c>
      <c r="E1184" t="s">
        <v>10</v>
      </c>
      <c r="F1184" t="s">
        <v>1553</v>
      </c>
      <c r="G1184" t="s">
        <v>11</v>
      </c>
      <c r="H1184" s="1" t="s">
        <v>1568</v>
      </c>
      <c r="I1184" t="s">
        <v>1577</v>
      </c>
      <c r="J1184" s="2">
        <v>1677561</v>
      </c>
      <c r="K1184" t="s">
        <v>121</v>
      </c>
      <c r="L1184" t="s">
        <v>1648</v>
      </c>
    </row>
    <row r="1185" spans="1:12" x14ac:dyDescent="0.3">
      <c r="A1185">
        <v>1184</v>
      </c>
      <c r="B1185" t="s">
        <v>1065</v>
      </c>
      <c r="C1185">
        <v>44414.417361111111</v>
      </c>
      <c r="D1185">
        <v>2021</v>
      </c>
      <c r="E1185" t="s">
        <v>10</v>
      </c>
      <c r="F1185" t="s">
        <v>1553</v>
      </c>
      <c r="G1185" t="s">
        <v>229</v>
      </c>
      <c r="H1185" s="1" t="s">
        <v>1565</v>
      </c>
      <c r="I1185" t="s">
        <v>1634</v>
      </c>
      <c r="J1185" s="2">
        <v>2744435</v>
      </c>
      <c r="K1185" t="s">
        <v>121</v>
      </c>
      <c r="L1185" t="s">
        <v>1649</v>
      </c>
    </row>
    <row r="1186" spans="1:12" x14ac:dyDescent="0.3">
      <c r="A1186">
        <v>1185</v>
      </c>
      <c r="B1186" t="s">
        <v>1066</v>
      </c>
      <c r="C1186">
        <v>44417.387499999997</v>
      </c>
      <c r="D1186">
        <v>2021</v>
      </c>
      <c r="E1186" t="s">
        <v>10</v>
      </c>
      <c r="F1186" t="s">
        <v>1553</v>
      </c>
      <c r="G1186" t="s">
        <v>11</v>
      </c>
      <c r="H1186" s="1" t="s">
        <v>1563</v>
      </c>
      <c r="I1186" t="s">
        <v>1577</v>
      </c>
      <c r="J1186" s="2">
        <v>3572525</v>
      </c>
      <c r="K1186" t="s">
        <v>121</v>
      </c>
      <c r="L1186" t="s">
        <v>1649</v>
      </c>
    </row>
    <row r="1187" spans="1:12" x14ac:dyDescent="0.3">
      <c r="A1187">
        <v>1186</v>
      </c>
      <c r="B1187" t="s">
        <v>50</v>
      </c>
      <c r="C1187">
        <v>44417.452777777777</v>
      </c>
      <c r="D1187">
        <v>2021</v>
      </c>
      <c r="E1187" t="s">
        <v>10</v>
      </c>
      <c r="F1187" t="s">
        <v>1553</v>
      </c>
      <c r="G1187" t="s">
        <v>339</v>
      </c>
      <c r="H1187" s="1" t="s">
        <v>1563</v>
      </c>
      <c r="I1187" t="s">
        <v>1591</v>
      </c>
      <c r="J1187" s="2">
        <v>1370953</v>
      </c>
      <c r="K1187" t="s">
        <v>12</v>
      </c>
      <c r="L1187" t="s">
        <v>1648</v>
      </c>
    </row>
    <row r="1188" spans="1:12" x14ac:dyDescent="0.3">
      <c r="A1188">
        <v>1187</v>
      </c>
      <c r="B1188" t="s">
        <v>1067</v>
      </c>
      <c r="C1188">
        <v>44417.473611111112</v>
      </c>
      <c r="D1188">
        <v>2021</v>
      </c>
      <c r="E1188" t="s">
        <v>10</v>
      </c>
      <c r="F1188" t="s">
        <v>1553</v>
      </c>
      <c r="G1188" t="s">
        <v>23</v>
      </c>
      <c r="H1188" s="1" t="s">
        <v>1570</v>
      </c>
      <c r="I1188" t="s">
        <v>1579</v>
      </c>
      <c r="J1188" s="2">
        <v>4474744</v>
      </c>
      <c r="K1188" t="s">
        <v>12</v>
      </c>
      <c r="L1188" t="s">
        <v>1652</v>
      </c>
    </row>
    <row r="1189" spans="1:12" x14ac:dyDescent="0.3">
      <c r="A1189">
        <v>1188</v>
      </c>
      <c r="B1189" t="s">
        <v>1068</v>
      </c>
      <c r="C1189">
        <v>44417.490972222222</v>
      </c>
      <c r="D1189">
        <v>2021</v>
      </c>
      <c r="E1189" t="s">
        <v>10</v>
      </c>
      <c r="F1189" t="s">
        <v>1553</v>
      </c>
      <c r="G1189" t="s">
        <v>23</v>
      </c>
      <c r="H1189" s="1" t="s">
        <v>1563</v>
      </c>
      <c r="I1189" t="s">
        <v>1579</v>
      </c>
      <c r="J1189" s="2">
        <v>3016188</v>
      </c>
      <c r="K1189" t="s">
        <v>12</v>
      </c>
      <c r="L1189" t="s">
        <v>1648</v>
      </c>
    </row>
    <row r="1190" spans="1:12" x14ac:dyDescent="0.3">
      <c r="A1190">
        <v>1189</v>
      </c>
      <c r="B1190" t="s">
        <v>1069</v>
      </c>
      <c r="C1190">
        <v>44417.637499999997</v>
      </c>
      <c r="D1190">
        <v>2021</v>
      </c>
      <c r="E1190" t="s">
        <v>10</v>
      </c>
      <c r="F1190" t="s">
        <v>1553</v>
      </c>
      <c r="G1190" t="s">
        <v>11</v>
      </c>
      <c r="H1190" s="1" t="s">
        <v>1564</v>
      </c>
      <c r="I1190" t="s">
        <v>1577</v>
      </c>
      <c r="J1190" s="2">
        <v>1017282</v>
      </c>
      <c r="K1190" t="s">
        <v>121</v>
      </c>
      <c r="L1190" t="s">
        <v>1651</v>
      </c>
    </row>
    <row r="1191" spans="1:12" x14ac:dyDescent="0.3">
      <c r="A1191">
        <v>1190</v>
      </c>
      <c r="B1191" t="s">
        <v>1070</v>
      </c>
      <c r="C1191">
        <v>44417.658333333333</v>
      </c>
      <c r="D1191">
        <v>2021</v>
      </c>
      <c r="E1191" t="s">
        <v>10</v>
      </c>
      <c r="F1191" t="s">
        <v>1553</v>
      </c>
      <c r="G1191" t="s">
        <v>18</v>
      </c>
      <c r="H1191" s="1" t="s">
        <v>1565</v>
      </c>
      <c r="I1191" t="s">
        <v>1579</v>
      </c>
      <c r="J1191" s="2">
        <v>4484987</v>
      </c>
      <c r="K1191" t="s">
        <v>12</v>
      </c>
      <c r="L1191" t="s">
        <v>1649</v>
      </c>
    </row>
    <row r="1192" spans="1:12" x14ac:dyDescent="0.3">
      <c r="A1192">
        <v>1191</v>
      </c>
      <c r="B1192" t="s">
        <v>1071</v>
      </c>
      <c r="C1192">
        <v>44417.665277777778</v>
      </c>
      <c r="D1192">
        <v>2021</v>
      </c>
      <c r="E1192" t="s">
        <v>10</v>
      </c>
      <c r="F1192" t="s">
        <v>1553</v>
      </c>
      <c r="G1192" t="s">
        <v>11</v>
      </c>
      <c r="H1192" s="1" t="s">
        <v>1572</v>
      </c>
      <c r="I1192" t="s">
        <v>1577</v>
      </c>
      <c r="J1192" s="2">
        <v>1468584</v>
      </c>
      <c r="K1192" t="s">
        <v>121</v>
      </c>
      <c r="L1192" t="s">
        <v>1648</v>
      </c>
    </row>
    <row r="1193" spans="1:12" x14ac:dyDescent="0.3">
      <c r="A1193">
        <v>1192</v>
      </c>
      <c r="B1193" t="s">
        <v>876</v>
      </c>
      <c r="C1193">
        <v>44418.261805555558</v>
      </c>
      <c r="D1193">
        <v>2021</v>
      </c>
      <c r="E1193" t="s">
        <v>10</v>
      </c>
      <c r="F1193" t="s">
        <v>1553</v>
      </c>
      <c r="G1193" t="s">
        <v>18</v>
      </c>
      <c r="H1193" s="1" t="s">
        <v>1574</v>
      </c>
      <c r="I1193" t="s">
        <v>1579</v>
      </c>
      <c r="J1193" s="2">
        <v>3704136</v>
      </c>
      <c r="K1193" t="s">
        <v>12</v>
      </c>
      <c r="L1193" t="s">
        <v>1650</v>
      </c>
    </row>
    <row r="1194" spans="1:12" x14ac:dyDescent="0.3">
      <c r="A1194">
        <v>1193</v>
      </c>
      <c r="B1194" t="s">
        <v>1072</v>
      </c>
      <c r="C1194">
        <v>44418.394444444442</v>
      </c>
      <c r="D1194">
        <v>2021</v>
      </c>
      <c r="E1194" t="s">
        <v>10</v>
      </c>
      <c r="F1194" t="s">
        <v>1553</v>
      </c>
      <c r="G1194" t="s">
        <v>23</v>
      </c>
      <c r="H1194" s="1" t="s">
        <v>1571</v>
      </c>
      <c r="I1194" t="s">
        <v>1579</v>
      </c>
      <c r="J1194" s="2">
        <v>1685930</v>
      </c>
      <c r="K1194" t="s">
        <v>12</v>
      </c>
      <c r="L1194" t="s">
        <v>1648</v>
      </c>
    </row>
    <row r="1195" spans="1:12" x14ac:dyDescent="0.3">
      <c r="A1195">
        <v>1194</v>
      </c>
      <c r="B1195" t="s">
        <v>1073</v>
      </c>
      <c r="C1195">
        <v>44418.45</v>
      </c>
      <c r="D1195">
        <v>2021</v>
      </c>
      <c r="E1195" t="s">
        <v>10</v>
      </c>
      <c r="F1195" t="s">
        <v>1553</v>
      </c>
      <c r="G1195" t="s">
        <v>11</v>
      </c>
      <c r="H1195" s="1" t="s">
        <v>1574</v>
      </c>
      <c r="I1195" t="s">
        <v>1577</v>
      </c>
      <c r="J1195" s="2">
        <v>3086091</v>
      </c>
      <c r="K1195" t="s">
        <v>121</v>
      </c>
      <c r="L1195" t="s">
        <v>1648</v>
      </c>
    </row>
    <row r="1196" spans="1:12" x14ac:dyDescent="0.3">
      <c r="A1196">
        <v>1195</v>
      </c>
      <c r="B1196" t="s">
        <v>1011</v>
      </c>
      <c r="C1196">
        <v>44418.460416666669</v>
      </c>
      <c r="D1196">
        <v>2021</v>
      </c>
      <c r="E1196" t="s">
        <v>10</v>
      </c>
      <c r="F1196" t="s">
        <v>1553</v>
      </c>
      <c r="G1196" t="s">
        <v>44</v>
      </c>
      <c r="H1196" s="1" t="s">
        <v>1570</v>
      </c>
      <c r="I1196" t="s">
        <v>1587</v>
      </c>
      <c r="J1196" s="2">
        <v>2361361</v>
      </c>
      <c r="K1196" t="s">
        <v>12</v>
      </c>
      <c r="L1196" t="s">
        <v>1649</v>
      </c>
    </row>
    <row r="1197" spans="1:12" x14ac:dyDescent="0.3">
      <c r="A1197">
        <v>1196</v>
      </c>
      <c r="B1197" t="s">
        <v>1074</v>
      </c>
      <c r="C1197">
        <v>44418.469444444447</v>
      </c>
      <c r="D1197">
        <v>2021</v>
      </c>
      <c r="E1197" t="s">
        <v>10</v>
      </c>
      <c r="F1197" t="s">
        <v>1553</v>
      </c>
      <c r="G1197" t="s">
        <v>11</v>
      </c>
      <c r="H1197" s="1" t="s">
        <v>1570</v>
      </c>
      <c r="I1197" t="s">
        <v>1577</v>
      </c>
      <c r="J1197" s="2">
        <v>1706833</v>
      </c>
      <c r="K1197" t="s">
        <v>121</v>
      </c>
      <c r="L1197" t="s">
        <v>1648</v>
      </c>
    </row>
    <row r="1198" spans="1:12" x14ac:dyDescent="0.3">
      <c r="A1198">
        <v>1197</v>
      </c>
      <c r="B1198" t="s">
        <v>1075</v>
      </c>
      <c r="C1198">
        <v>44418.599305555559</v>
      </c>
      <c r="D1198">
        <v>2021</v>
      </c>
      <c r="E1198" t="s">
        <v>10</v>
      </c>
      <c r="F1198" t="s">
        <v>1032</v>
      </c>
      <c r="G1198" t="s">
        <v>23</v>
      </c>
      <c r="H1198" s="1" t="s">
        <v>1573</v>
      </c>
      <c r="I1198" t="s">
        <v>1579</v>
      </c>
      <c r="J1198" s="2">
        <v>3374637</v>
      </c>
      <c r="K1198" t="s">
        <v>12</v>
      </c>
      <c r="L1198" t="s">
        <v>1653</v>
      </c>
    </row>
    <row r="1199" spans="1:12" x14ac:dyDescent="0.3">
      <c r="A1199">
        <v>1198</v>
      </c>
      <c r="B1199" t="s">
        <v>1076</v>
      </c>
      <c r="C1199">
        <v>44418.663888888892</v>
      </c>
      <c r="D1199">
        <v>2021</v>
      </c>
      <c r="E1199" t="s">
        <v>10</v>
      </c>
      <c r="F1199" t="s">
        <v>1032</v>
      </c>
      <c r="G1199" t="s">
        <v>62</v>
      </c>
      <c r="H1199" s="1" t="s">
        <v>1566</v>
      </c>
      <c r="I1199" t="s">
        <v>1637</v>
      </c>
      <c r="J1199" s="2">
        <v>1837055</v>
      </c>
      <c r="K1199" t="s">
        <v>12</v>
      </c>
      <c r="L1199" t="s">
        <v>1652</v>
      </c>
    </row>
    <row r="1200" spans="1:12" x14ac:dyDescent="0.3">
      <c r="A1200">
        <v>1199</v>
      </c>
      <c r="B1200" t="s">
        <v>1077</v>
      </c>
      <c r="C1200">
        <v>44418.665972222225</v>
      </c>
      <c r="D1200">
        <v>2021</v>
      </c>
      <c r="E1200" t="s">
        <v>10</v>
      </c>
      <c r="F1200" t="s">
        <v>1032</v>
      </c>
      <c r="G1200" t="s">
        <v>62</v>
      </c>
      <c r="H1200" s="1" t="s">
        <v>1572</v>
      </c>
      <c r="I1200" t="s">
        <v>1637</v>
      </c>
      <c r="J1200" s="2">
        <v>1247145</v>
      </c>
      <c r="K1200" t="s">
        <v>12</v>
      </c>
      <c r="L1200" t="s">
        <v>1650</v>
      </c>
    </row>
    <row r="1201" spans="1:12" x14ac:dyDescent="0.3">
      <c r="A1201">
        <v>1200</v>
      </c>
      <c r="B1201" t="s">
        <v>1078</v>
      </c>
      <c r="C1201">
        <v>44418.677083333336</v>
      </c>
      <c r="D1201">
        <v>2021</v>
      </c>
      <c r="E1201" t="s">
        <v>10</v>
      </c>
      <c r="F1201" t="s">
        <v>1032</v>
      </c>
      <c r="G1201" t="s">
        <v>67</v>
      </c>
      <c r="H1201" s="1" t="s">
        <v>1576</v>
      </c>
      <c r="I1201" t="s">
        <v>1637</v>
      </c>
      <c r="J1201" s="2">
        <v>4192589</v>
      </c>
      <c r="K1201" t="s">
        <v>12</v>
      </c>
      <c r="L1201" t="s">
        <v>1652</v>
      </c>
    </row>
    <row r="1202" spans="1:12" x14ac:dyDescent="0.3">
      <c r="A1202">
        <v>1201</v>
      </c>
      <c r="B1202" t="s">
        <v>1079</v>
      </c>
      <c r="C1202">
        <v>44418.686111111114</v>
      </c>
      <c r="D1202">
        <v>2021</v>
      </c>
      <c r="E1202" t="s">
        <v>10</v>
      </c>
      <c r="F1202" t="s">
        <v>1032</v>
      </c>
      <c r="G1202" t="s">
        <v>67</v>
      </c>
      <c r="H1202" s="1" t="s">
        <v>1563</v>
      </c>
      <c r="I1202" t="s">
        <v>1637</v>
      </c>
      <c r="J1202" s="2">
        <v>3430106</v>
      </c>
      <c r="K1202" t="s">
        <v>12</v>
      </c>
      <c r="L1202" t="s">
        <v>1652</v>
      </c>
    </row>
    <row r="1203" spans="1:12" x14ac:dyDescent="0.3">
      <c r="A1203">
        <v>1202</v>
      </c>
      <c r="B1203" t="s">
        <v>1080</v>
      </c>
      <c r="C1203">
        <v>44418.722916666666</v>
      </c>
      <c r="D1203">
        <v>2021</v>
      </c>
      <c r="E1203" t="s">
        <v>10</v>
      </c>
      <c r="F1203" t="s">
        <v>1032</v>
      </c>
      <c r="G1203" t="s">
        <v>11</v>
      </c>
      <c r="H1203" s="1" t="s">
        <v>1576</v>
      </c>
      <c r="I1203" t="s">
        <v>1577</v>
      </c>
      <c r="J1203" s="2">
        <v>3936365</v>
      </c>
      <c r="K1203" t="s">
        <v>121</v>
      </c>
      <c r="L1203" t="s">
        <v>1648</v>
      </c>
    </row>
    <row r="1204" spans="1:12" x14ac:dyDescent="0.3">
      <c r="A1204">
        <v>1203</v>
      </c>
      <c r="B1204" t="s">
        <v>1081</v>
      </c>
      <c r="C1204">
        <v>44419.434027777781</v>
      </c>
      <c r="D1204">
        <v>2021</v>
      </c>
      <c r="E1204" t="s">
        <v>10</v>
      </c>
      <c r="F1204" t="s">
        <v>1032</v>
      </c>
      <c r="G1204" t="s">
        <v>18</v>
      </c>
      <c r="H1204" s="1" t="s">
        <v>1567</v>
      </c>
      <c r="I1204" t="s">
        <v>1579</v>
      </c>
      <c r="J1204" s="2">
        <v>2895828</v>
      </c>
      <c r="K1204" t="s">
        <v>12</v>
      </c>
      <c r="L1204" t="s">
        <v>1650</v>
      </c>
    </row>
    <row r="1205" spans="1:12" x14ac:dyDescent="0.3">
      <c r="A1205">
        <v>1204</v>
      </c>
      <c r="B1205" t="s">
        <v>1082</v>
      </c>
      <c r="C1205">
        <v>44419.44027777778</v>
      </c>
      <c r="D1205">
        <v>2021</v>
      </c>
      <c r="E1205" t="s">
        <v>10</v>
      </c>
      <c r="F1205" t="s">
        <v>1032</v>
      </c>
      <c r="G1205" t="s">
        <v>18</v>
      </c>
      <c r="H1205" s="1" t="s">
        <v>1570</v>
      </c>
      <c r="I1205" t="s">
        <v>1579</v>
      </c>
      <c r="J1205" s="2">
        <v>4005343</v>
      </c>
      <c r="K1205" t="s">
        <v>12</v>
      </c>
      <c r="L1205" t="s">
        <v>1649</v>
      </c>
    </row>
    <row r="1206" spans="1:12" x14ac:dyDescent="0.3">
      <c r="A1206">
        <v>1205</v>
      </c>
      <c r="B1206" t="s">
        <v>1083</v>
      </c>
      <c r="C1206">
        <v>44419.454861111109</v>
      </c>
      <c r="D1206">
        <v>2021</v>
      </c>
      <c r="E1206" t="s">
        <v>10</v>
      </c>
      <c r="F1206" t="s">
        <v>1032</v>
      </c>
      <c r="G1206" t="s">
        <v>23</v>
      </c>
      <c r="H1206" s="1" t="s">
        <v>1570</v>
      </c>
      <c r="I1206" t="s">
        <v>1579</v>
      </c>
      <c r="J1206" s="2">
        <v>2689814</v>
      </c>
      <c r="K1206" t="s">
        <v>12</v>
      </c>
      <c r="L1206" t="s">
        <v>1649</v>
      </c>
    </row>
    <row r="1207" spans="1:12" x14ac:dyDescent="0.3">
      <c r="A1207">
        <v>1206</v>
      </c>
      <c r="B1207" t="s">
        <v>1084</v>
      </c>
      <c r="C1207">
        <v>44419.48541666667</v>
      </c>
      <c r="D1207">
        <v>2021</v>
      </c>
      <c r="E1207" t="s">
        <v>10</v>
      </c>
      <c r="F1207" t="s">
        <v>1032</v>
      </c>
      <c r="G1207" t="s">
        <v>11</v>
      </c>
      <c r="H1207" s="1" t="s">
        <v>1565</v>
      </c>
      <c r="I1207" t="s">
        <v>1582</v>
      </c>
      <c r="J1207" s="2">
        <v>4106051</v>
      </c>
      <c r="K1207" t="s">
        <v>16</v>
      </c>
      <c r="L1207" t="s">
        <v>1648</v>
      </c>
    </row>
    <row r="1208" spans="1:12" x14ac:dyDescent="0.3">
      <c r="A1208">
        <v>1207</v>
      </c>
      <c r="B1208" t="s">
        <v>1085</v>
      </c>
      <c r="C1208">
        <v>44419.498611111114</v>
      </c>
      <c r="D1208">
        <v>2021</v>
      </c>
      <c r="E1208" t="s">
        <v>10</v>
      </c>
      <c r="F1208" t="s">
        <v>1032</v>
      </c>
      <c r="G1208" t="s">
        <v>11</v>
      </c>
      <c r="H1208" s="1" t="s">
        <v>1563</v>
      </c>
      <c r="I1208" t="s">
        <v>1577</v>
      </c>
      <c r="J1208" s="2">
        <v>2698096</v>
      </c>
      <c r="K1208" t="s">
        <v>121</v>
      </c>
      <c r="L1208" t="s">
        <v>1652</v>
      </c>
    </row>
    <row r="1209" spans="1:12" x14ac:dyDescent="0.3">
      <c r="A1209">
        <v>1208</v>
      </c>
      <c r="B1209" t="s">
        <v>1086</v>
      </c>
      <c r="C1209">
        <v>44419.634027777778</v>
      </c>
      <c r="D1209">
        <v>2021</v>
      </c>
      <c r="E1209" t="s">
        <v>10</v>
      </c>
      <c r="F1209" t="s">
        <v>1032</v>
      </c>
      <c r="G1209" t="s">
        <v>290</v>
      </c>
      <c r="H1209" s="1" t="s">
        <v>1574</v>
      </c>
      <c r="I1209" t="s">
        <v>1579</v>
      </c>
      <c r="J1209" s="2">
        <v>1213440</v>
      </c>
      <c r="K1209" t="s">
        <v>12</v>
      </c>
      <c r="L1209" t="s">
        <v>1650</v>
      </c>
    </row>
    <row r="1210" spans="1:12" x14ac:dyDescent="0.3">
      <c r="A1210">
        <v>1209</v>
      </c>
      <c r="B1210" t="s">
        <v>1087</v>
      </c>
      <c r="C1210">
        <v>44419.68472222222</v>
      </c>
      <c r="D1210">
        <v>2021</v>
      </c>
      <c r="E1210" t="s">
        <v>10</v>
      </c>
      <c r="F1210" t="s">
        <v>1032</v>
      </c>
      <c r="G1210" t="s">
        <v>11</v>
      </c>
      <c r="H1210" s="1" t="s">
        <v>1571</v>
      </c>
      <c r="I1210" t="s">
        <v>1577</v>
      </c>
      <c r="J1210" s="2">
        <v>1232594</v>
      </c>
      <c r="K1210" t="s">
        <v>121</v>
      </c>
      <c r="L1210" t="s">
        <v>1650</v>
      </c>
    </row>
    <row r="1211" spans="1:12" x14ac:dyDescent="0.3">
      <c r="A1211">
        <v>1210</v>
      </c>
      <c r="B1211" t="s">
        <v>1088</v>
      </c>
      <c r="C1211">
        <v>44420.438194444447</v>
      </c>
      <c r="D1211">
        <v>2021</v>
      </c>
      <c r="E1211" t="s">
        <v>10</v>
      </c>
      <c r="F1211" t="s">
        <v>1032</v>
      </c>
      <c r="G1211" t="s">
        <v>11</v>
      </c>
      <c r="H1211" s="1" t="s">
        <v>1575</v>
      </c>
      <c r="I1211" t="s">
        <v>1577</v>
      </c>
      <c r="J1211" s="2">
        <v>2421872</v>
      </c>
      <c r="K1211" t="s">
        <v>121</v>
      </c>
      <c r="L1211" t="s">
        <v>1653</v>
      </c>
    </row>
    <row r="1212" spans="1:12" x14ac:dyDescent="0.3">
      <c r="A1212">
        <v>1211</v>
      </c>
      <c r="B1212" t="s">
        <v>1089</v>
      </c>
      <c r="C1212">
        <v>44421.352777777778</v>
      </c>
      <c r="D1212">
        <v>2021</v>
      </c>
      <c r="E1212" t="s">
        <v>10</v>
      </c>
      <c r="F1212" t="s">
        <v>1032</v>
      </c>
      <c r="G1212" t="s">
        <v>339</v>
      </c>
      <c r="H1212" s="1" t="s">
        <v>1575</v>
      </c>
      <c r="I1212" t="s">
        <v>1579</v>
      </c>
      <c r="J1212" s="2">
        <v>3223955</v>
      </c>
      <c r="K1212" t="s">
        <v>12</v>
      </c>
      <c r="L1212" t="s">
        <v>1651</v>
      </c>
    </row>
    <row r="1213" spans="1:12" x14ac:dyDescent="0.3">
      <c r="A1213">
        <v>1212</v>
      </c>
      <c r="B1213" t="s">
        <v>1090</v>
      </c>
      <c r="C1213">
        <v>44421.42083333333</v>
      </c>
      <c r="D1213">
        <v>2021</v>
      </c>
      <c r="E1213" t="s">
        <v>10</v>
      </c>
      <c r="F1213" t="s">
        <v>1032</v>
      </c>
      <c r="G1213" t="s">
        <v>11</v>
      </c>
      <c r="H1213" s="1" t="s">
        <v>1575</v>
      </c>
      <c r="I1213" t="s">
        <v>1577</v>
      </c>
      <c r="J1213" s="2">
        <v>1956394</v>
      </c>
      <c r="K1213" t="s">
        <v>121</v>
      </c>
      <c r="L1213" t="s">
        <v>1650</v>
      </c>
    </row>
    <row r="1214" spans="1:12" x14ac:dyDescent="0.3">
      <c r="A1214">
        <v>1213</v>
      </c>
      <c r="B1214" t="s">
        <v>1091</v>
      </c>
      <c r="C1214">
        <v>44421.492361111108</v>
      </c>
      <c r="D1214">
        <v>2021</v>
      </c>
      <c r="E1214" t="s">
        <v>10</v>
      </c>
      <c r="F1214" t="s">
        <v>1032</v>
      </c>
      <c r="G1214" t="s">
        <v>18</v>
      </c>
      <c r="H1214" s="1" t="s">
        <v>1575</v>
      </c>
      <c r="I1214" t="s">
        <v>1579</v>
      </c>
      <c r="J1214" s="2">
        <v>1965167</v>
      </c>
      <c r="K1214" t="s">
        <v>12</v>
      </c>
      <c r="L1214" t="s">
        <v>1650</v>
      </c>
    </row>
    <row r="1215" spans="1:12" x14ac:dyDescent="0.3">
      <c r="A1215">
        <v>1214</v>
      </c>
      <c r="B1215" t="s">
        <v>1092</v>
      </c>
      <c r="C1215">
        <v>44421.501388888886</v>
      </c>
      <c r="D1215">
        <v>2021</v>
      </c>
      <c r="E1215" t="s">
        <v>10</v>
      </c>
      <c r="F1215" t="s">
        <v>1032</v>
      </c>
      <c r="G1215" t="s">
        <v>23</v>
      </c>
      <c r="H1215" s="1" t="s">
        <v>1575</v>
      </c>
      <c r="I1215" t="s">
        <v>1579</v>
      </c>
      <c r="J1215" s="2">
        <v>957490</v>
      </c>
      <c r="K1215" t="s">
        <v>12</v>
      </c>
      <c r="L1215" t="s">
        <v>1651</v>
      </c>
    </row>
    <row r="1216" spans="1:12" x14ac:dyDescent="0.3">
      <c r="A1216">
        <v>1215</v>
      </c>
      <c r="B1216" t="s">
        <v>1093</v>
      </c>
      <c r="C1216">
        <v>44421.507638888892</v>
      </c>
      <c r="D1216">
        <v>2021</v>
      </c>
      <c r="E1216" t="s">
        <v>10</v>
      </c>
      <c r="F1216" t="s">
        <v>1032</v>
      </c>
      <c r="G1216" t="s">
        <v>18</v>
      </c>
      <c r="H1216" s="1" t="s">
        <v>1575</v>
      </c>
      <c r="I1216" t="s">
        <v>1579</v>
      </c>
      <c r="J1216" s="2">
        <v>3561305</v>
      </c>
      <c r="K1216" t="s">
        <v>12</v>
      </c>
      <c r="L1216" t="s">
        <v>1648</v>
      </c>
    </row>
    <row r="1217" spans="1:12" x14ac:dyDescent="0.3">
      <c r="A1217">
        <v>1216</v>
      </c>
      <c r="B1217" t="s">
        <v>1094</v>
      </c>
      <c r="C1217">
        <v>44421.51458333333</v>
      </c>
      <c r="D1217">
        <v>2021</v>
      </c>
      <c r="E1217" t="s">
        <v>10</v>
      </c>
      <c r="F1217" t="s">
        <v>1032</v>
      </c>
      <c r="G1217" t="s">
        <v>23</v>
      </c>
      <c r="H1217" s="1" t="s">
        <v>1575</v>
      </c>
      <c r="I1217" t="s">
        <v>1579</v>
      </c>
      <c r="J1217" s="2">
        <v>1944379</v>
      </c>
      <c r="K1217" t="s">
        <v>12</v>
      </c>
      <c r="L1217" t="s">
        <v>1649</v>
      </c>
    </row>
    <row r="1218" spans="1:12" x14ac:dyDescent="0.3">
      <c r="A1218">
        <v>1217</v>
      </c>
      <c r="B1218" t="s">
        <v>1095</v>
      </c>
      <c r="C1218">
        <v>44421.629166666666</v>
      </c>
      <c r="D1218">
        <v>2021</v>
      </c>
      <c r="E1218" t="s">
        <v>10</v>
      </c>
      <c r="F1218" t="s">
        <v>1032</v>
      </c>
      <c r="G1218" t="s">
        <v>15</v>
      </c>
      <c r="H1218" s="1" t="s">
        <v>1575</v>
      </c>
      <c r="I1218" t="s">
        <v>1579</v>
      </c>
      <c r="J1218" s="2">
        <v>3953826</v>
      </c>
      <c r="K1218" t="s">
        <v>12</v>
      </c>
      <c r="L1218" t="s">
        <v>1650</v>
      </c>
    </row>
    <row r="1219" spans="1:12" x14ac:dyDescent="0.3">
      <c r="A1219">
        <v>1218</v>
      </c>
      <c r="B1219" t="s">
        <v>1096</v>
      </c>
      <c r="C1219">
        <v>44425.365277777775</v>
      </c>
      <c r="D1219">
        <v>2021</v>
      </c>
      <c r="E1219" t="s">
        <v>10</v>
      </c>
      <c r="F1219" t="s">
        <v>1032</v>
      </c>
      <c r="G1219" t="s">
        <v>229</v>
      </c>
      <c r="H1219" s="1" t="s">
        <v>1575</v>
      </c>
      <c r="I1219" t="s">
        <v>1634</v>
      </c>
      <c r="J1219" s="2">
        <v>4410391</v>
      </c>
      <c r="K1219" t="s">
        <v>121</v>
      </c>
      <c r="L1219" t="s">
        <v>1652</v>
      </c>
    </row>
    <row r="1220" spans="1:12" x14ac:dyDescent="0.3">
      <c r="A1220">
        <v>1219</v>
      </c>
      <c r="B1220" t="s">
        <v>1097</v>
      </c>
      <c r="C1220">
        <v>44425.454861111109</v>
      </c>
      <c r="D1220">
        <v>2021</v>
      </c>
      <c r="E1220" t="s">
        <v>10</v>
      </c>
      <c r="F1220" t="s">
        <v>1032</v>
      </c>
      <c r="G1220" t="s">
        <v>11</v>
      </c>
      <c r="H1220" s="1" t="s">
        <v>1575</v>
      </c>
      <c r="I1220" t="s">
        <v>1577</v>
      </c>
      <c r="J1220" s="2">
        <v>2124743</v>
      </c>
      <c r="K1220" t="s">
        <v>121</v>
      </c>
      <c r="L1220" t="s">
        <v>1653</v>
      </c>
    </row>
    <row r="1221" spans="1:12" x14ac:dyDescent="0.3">
      <c r="A1221">
        <v>1220</v>
      </c>
      <c r="B1221" t="s">
        <v>1098</v>
      </c>
      <c r="C1221">
        <v>44425.504861111112</v>
      </c>
      <c r="D1221">
        <v>2021</v>
      </c>
      <c r="E1221" t="s">
        <v>10</v>
      </c>
      <c r="F1221" t="s">
        <v>1032</v>
      </c>
      <c r="G1221" t="s">
        <v>18</v>
      </c>
      <c r="H1221" s="1" t="s">
        <v>1575</v>
      </c>
      <c r="I1221" t="s">
        <v>1579</v>
      </c>
      <c r="J1221" s="2">
        <v>3679880</v>
      </c>
      <c r="K1221" t="s">
        <v>12</v>
      </c>
      <c r="L1221" t="s">
        <v>1652</v>
      </c>
    </row>
    <row r="1222" spans="1:12" x14ac:dyDescent="0.3">
      <c r="A1222">
        <v>1221</v>
      </c>
      <c r="B1222" t="s">
        <v>50</v>
      </c>
      <c r="C1222">
        <v>44425.623611111114</v>
      </c>
      <c r="D1222">
        <v>2021</v>
      </c>
      <c r="E1222" t="s">
        <v>10</v>
      </c>
      <c r="F1222" t="s">
        <v>1032</v>
      </c>
      <c r="G1222" t="s">
        <v>15</v>
      </c>
      <c r="H1222" s="1" t="s">
        <v>1575</v>
      </c>
      <c r="I1222" t="s">
        <v>1454</v>
      </c>
      <c r="J1222" s="2">
        <v>4026414</v>
      </c>
      <c r="K1222" t="s">
        <v>121</v>
      </c>
      <c r="L1222" t="s">
        <v>1648</v>
      </c>
    </row>
    <row r="1223" spans="1:12" x14ac:dyDescent="0.3">
      <c r="A1223">
        <v>1222</v>
      </c>
      <c r="B1223" t="s">
        <v>50</v>
      </c>
      <c r="C1223">
        <v>44425.665972222225</v>
      </c>
      <c r="D1223">
        <v>2021</v>
      </c>
      <c r="E1223" t="s">
        <v>10</v>
      </c>
      <c r="F1223" t="s">
        <v>1032</v>
      </c>
      <c r="G1223" t="s">
        <v>591</v>
      </c>
      <c r="H1223" s="1" t="s">
        <v>1575</v>
      </c>
      <c r="I1223" t="s">
        <v>1454</v>
      </c>
      <c r="J1223" s="2">
        <v>4393503</v>
      </c>
      <c r="K1223" t="s">
        <v>121</v>
      </c>
      <c r="L1223" t="s">
        <v>1648</v>
      </c>
    </row>
    <row r="1224" spans="1:12" x14ac:dyDescent="0.3">
      <c r="A1224">
        <v>1223</v>
      </c>
      <c r="B1224" t="s">
        <v>1099</v>
      </c>
      <c r="C1224">
        <v>44426.395138888889</v>
      </c>
      <c r="D1224">
        <v>2021</v>
      </c>
      <c r="E1224" t="s">
        <v>10</v>
      </c>
      <c r="F1224" t="s">
        <v>1032</v>
      </c>
      <c r="G1224" t="s">
        <v>11</v>
      </c>
      <c r="H1224" s="1" t="s">
        <v>1575</v>
      </c>
      <c r="I1224" t="s">
        <v>1577</v>
      </c>
      <c r="J1224" s="2">
        <v>1955355</v>
      </c>
      <c r="K1224" t="s">
        <v>121</v>
      </c>
      <c r="L1224" t="s">
        <v>1649</v>
      </c>
    </row>
    <row r="1225" spans="1:12" x14ac:dyDescent="0.3">
      <c r="A1225">
        <v>1224</v>
      </c>
      <c r="B1225" t="s">
        <v>1099</v>
      </c>
      <c r="C1225">
        <v>44426.395138888889</v>
      </c>
      <c r="D1225">
        <v>2021</v>
      </c>
      <c r="E1225" t="s">
        <v>10</v>
      </c>
      <c r="F1225" t="s">
        <v>1032</v>
      </c>
      <c r="G1225" t="s">
        <v>11</v>
      </c>
      <c r="H1225" s="1" t="s">
        <v>1575</v>
      </c>
      <c r="I1225" t="s">
        <v>1577</v>
      </c>
      <c r="J1225" s="2">
        <v>1595285</v>
      </c>
      <c r="K1225" t="s">
        <v>121</v>
      </c>
      <c r="L1225" t="s">
        <v>1652</v>
      </c>
    </row>
    <row r="1226" spans="1:12" x14ac:dyDescent="0.3">
      <c r="A1226">
        <v>1225</v>
      </c>
      <c r="B1226" t="s">
        <v>769</v>
      </c>
      <c r="C1226">
        <v>44426.40347222222</v>
      </c>
      <c r="D1226">
        <v>2021</v>
      </c>
      <c r="E1226" t="s">
        <v>10</v>
      </c>
      <c r="F1226" t="s">
        <v>1032</v>
      </c>
      <c r="G1226" t="s">
        <v>18</v>
      </c>
      <c r="H1226" s="1" t="s">
        <v>1575</v>
      </c>
      <c r="I1226" t="s">
        <v>1582</v>
      </c>
      <c r="J1226" s="2">
        <v>3415126</v>
      </c>
      <c r="K1226" t="s">
        <v>16</v>
      </c>
      <c r="L1226" t="s">
        <v>1650</v>
      </c>
    </row>
    <row r="1227" spans="1:12" x14ac:dyDescent="0.3">
      <c r="A1227">
        <v>1226</v>
      </c>
      <c r="B1227" t="s">
        <v>1100</v>
      </c>
      <c r="C1227">
        <v>44426.602777777778</v>
      </c>
      <c r="D1227">
        <v>2021</v>
      </c>
      <c r="E1227" t="s">
        <v>10</v>
      </c>
      <c r="F1227" t="s">
        <v>1032</v>
      </c>
      <c r="G1227" t="s">
        <v>23</v>
      </c>
      <c r="H1227" s="1" t="s">
        <v>1575</v>
      </c>
      <c r="I1227" t="s">
        <v>1579</v>
      </c>
      <c r="J1227" s="2">
        <v>4621537</v>
      </c>
      <c r="K1227" t="s">
        <v>12</v>
      </c>
      <c r="L1227" t="s">
        <v>1651</v>
      </c>
    </row>
    <row r="1228" spans="1:12" x14ac:dyDescent="0.3">
      <c r="A1228">
        <v>1227</v>
      </c>
      <c r="B1228" t="s">
        <v>1101</v>
      </c>
      <c r="C1228">
        <v>44426.614583333336</v>
      </c>
      <c r="D1228">
        <v>2021</v>
      </c>
      <c r="E1228" t="s">
        <v>10</v>
      </c>
      <c r="F1228" t="s">
        <v>1032</v>
      </c>
      <c r="G1228" t="s">
        <v>23</v>
      </c>
      <c r="H1228" s="1" t="s">
        <v>1575</v>
      </c>
      <c r="I1228" t="s">
        <v>1579</v>
      </c>
      <c r="J1228" s="2">
        <v>2326169</v>
      </c>
      <c r="K1228" t="s">
        <v>12</v>
      </c>
      <c r="L1228" t="s">
        <v>1649</v>
      </c>
    </row>
    <row r="1229" spans="1:12" x14ac:dyDescent="0.3">
      <c r="A1229">
        <v>1228</v>
      </c>
      <c r="B1229" t="s">
        <v>1102</v>
      </c>
      <c r="C1229">
        <v>44426.618750000001</v>
      </c>
      <c r="D1229">
        <v>2021</v>
      </c>
      <c r="E1229" t="s">
        <v>10</v>
      </c>
      <c r="F1229" t="s">
        <v>1032</v>
      </c>
      <c r="G1229" t="s">
        <v>23</v>
      </c>
      <c r="H1229" s="1" t="s">
        <v>1575</v>
      </c>
      <c r="I1229" t="s">
        <v>1579</v>
      </c>
      <c r="J1229" s="2">
        <v>4566223</v>
      </c>
      <c r="K1229" t="s">
        <v>12</v>
      </c>
      <c r="L1229" t="s">
        <v>1650</v>
      </c>
    </row>
    <row r="1230" spans="1:12" x14ac:dyDescent="0.3">
      <c r="A1230">
        <v>1229</v>
      </c>
      <c r="B1230" t="s">
        <v>1103</v>
      </c>
      <c r="C1230">
        <v>44426.664583333331</v>
      </c>
      <c r="D1230">
        <v>2021</v>
      </c>
      <c r="E1230" t="s">
        <v>10</v>
      </c>
      <c r="F1230" t="s">
        <v>1032</v>
      </c>
      <c r="G1230" t="s">
        <v>11</v>
      </c>
      <c r="H1230" s="1" t="s">
        <v>1575</v>
      </c>
      <c r="I1230" t="s">
        <v>1577</v>
      </c>
      <c r="J1230" s="2">
        <v>2995693</v>
      </c>
      <c r="K1230" t="s">
        <v>121</v>
      </c>
      <c r="L1230" t="s">
        <v>1651</v>
      </c>
    </row>
    <row r="1231" spans="1:12" x14ac:dyDescent="0.3">
      <c r="A1231">
        <v>1230</v>
      </c>
      <c r="B1231" t="s">
        <v>1104</v>
      </c>
      <c r="C1231">
        <v>44427.335416666669</v>
      </c>
      <c r="D1231">
        <v>2021</v>
      </c>
      <c r="E1231" t="s">
        <v>10</v>
      </c>
      <c r="F1231" t="s">
        <v>1032</v>
      </c>
      <c r="G1231" t="s">
        <v>339</v>
      </c>
      <c r="H1231" s="1" t="s">
        <v>1575</v>
      </c>
      <c r="I1231" t="s">
        <v>1579</v>
      </c>
      <c r="J1231" s="2">
        <v>2046591</v>
      </c>
      <c r="K1231" t="s">
        <v>12</v>
      </c>
      <c r="L1231" t="s">
        <v>1649</v>
      </c>
    </row>
    <row r="1232" spans="1:12" x14ac:dyDescent="0.3">
      <c r="A1232">
        <v>1231</v>
      </c>
      <c r="B1232" t="s">
        <v>1105</v>
      </c>
      <c r="C1232">
        <v>44427.422222222223</v>
      </c>
      <c r="D1232">
        <v>2021</v>
      </c>
      <c r="E1232" t="s">
        <v>10</v>
      </c>
      <c r="F1232" t="s">
        <v>1032</v>
      </c>
      <c r="G1232" t="s">
        <v>57</v>
      </c>
      <c r="H1232" s="1" t="s">
        <v>1575</v>
      </c>
      <c r="I1232" t="s">
        <v>1579</v>
      </c>
      <c r="J1232" s="2">
        <v>4619115</v>
      </c>
      <c r="K1232" t="s">
        <v>12</v>
      </c>
      <c r="L1232" t="s">
        <v>1653</v>
      </c>
    </row>
    <row r="1233" spans="1:12" x14ac:dyDescent="0.3">
      <c r="A1233">
        <v>1232</v>
      </c>
      <c r="B1233" t="s">
        <v>1106</v>
      </c>
      <c r="C1233">
        <v>44427.511111111111</v>
      </c>
      <c r="D1233">
        <v>2021</v>
      </c>
      <c r="E1233" t="s">
        <v>10</v>
      </c>
      <c r="F1233" t="s">
        <v>1032</v>
      </c>
      <c r="G1233" t="s">
        <v>229</v>
      </c>
      <c r="H1233" s="1" t="s">
        <v>1575</v>
      </c>
      <c r="I1233" t="s">
        <v>1635</v>
      </c>
      <c r="J1233" s="2">
        <v>4177144</v>
      </c>
      <c r="K1233" t="s">
        <v>12</v>
      </c>
      <c r="L1233" t="s">
        <v>1653</v>
      </c>
    </row>
    <row r="1234" spans="1:12" x14ac:dyDescent="0.3">
      <c r="A1234">
        <v>1233</v>
      </c>
      <c r="B1234" t="s">
        <v>1107</v>
      </c>
      <c r="C1234">
        <v>44427.51666666667</v>
      </c>
      <c r="D1234">
        <v>2021</v>
      </c>
      <c r="E1234" t="s">
        <v>10</v>
      </c>
      <c r="F1234" t="s">
        <v>1032</v>
      </c>
      <c r="G1234" t="s">
        <v>229</v>
      </c>
      <c r="H1234" s="1" t="s">
        <v>1575</v>
      </c>
      <c r="I1234" t="s">
        <v>1635</v>
      </c>
      <c r="J1234" s="2">
        <v>3603366</v>
      </c>
      <c r="K1234" t="s">
        <v>12</v>
      </c>
      <c r="L1234" t="s">
        <v>1648</v>
      </c>
    </row>
    <row r="1235" spans="1:12" x14ac:dyDescent="0.3">
      <c r="A1235">
        <v>1234</v>
      </c>
      <c r="B1235" t="s">
        <v>1108</v>
      </c>
      <c r="C1235">
        <v>44427.699305555558</v>
      </c>
      <c r="D1235">
        <v>2021</v>
      </c>
      <c r="E1235" t="s">
        <v>10</v>
      </c>
      <c r="F1235" t="s">
        <v>1032</v>
      </c>
      <c r="G1235" t="s">
        <v>15</v>
      </c>
      <c r="H1235" s="1" t="s">
        <v>1575</v>
      </c>
      <c r="I1235" t="s">
        <v>1586</v>
      </c>
      <c r="J1235" s="2">
        <v>4250371</v>
      </c>
      <c r="K1235" t="s">
        <v>59</v>
      </c>
      <c r="L1235" t="s">
        <v>1648</v>
      </c>
    </row>
    <row r="1236" spans="1:12" x14ac:dyDescent="0.3">
      <c r="A1236">
        <v>1235</v>
      </c>
      <c r="B1236" t="s">
        <v>1109</v>
      </c>
      <c r="C1236">
        <v>44427.713194444441</v>
      </c>
      <c r="D1236">
        <v>2021</v>
      </c>
      <c r="E1236" t="s">
        <v>10</v>
      </c>
      <c r="F1236" t="s">
        <v>1032</v>
      </c>
      <c r="G1236" t="s">
        <v>229</v>
      </c>
      <c r="H1236" s="1" t="s">
        <v>1575</v>
      </c>
      <c r="I1236" t="s">
        <v>1635</v>
      </c>
      <c r="J1236" s="2">
        <v>2833459</v>
      </c>
      <c r="K1236" t="s">
        <v>12</v>
      </c>
      <c r="L1236" t="s">
        <v>1653</v>
      </c>
    </row>
    <row r="1237" spans="1:12" x14ac:dyDescent="0.3">
      <c r="A1237">
        <v>1236</v>
      </c>
      <c r="B1237" t="s">
        <v>1110</v>
      </c>
      <c r="C1237">
        <v>44428.736111111109</v>
      </c>
      <c r="D1237">
        <v>2021</v>
      </c>
      <c r="E1237" t="s">
        <v>10</v>
      </c>
      <c r="F1237" t="s">
        <v>1032</v>
      </c>
      <c r="G1237" t="s">
        <v>21</v>
      </c>
      <c r="H1237" s="1" t="s">
        <v>1575</v>
      </c>
      <c r="I1237" t="s">
        <v>1616</v>
      </c>
      <c r="J1237" s="2">
        <v>2982294</v>
      </c>
      <c r="K1237" t="s">
        <v>12</v>
      </c>
      <c r="L1237" t="s">
        <v>1650</v>
      </c>
    </row>
    <row r="1238" spans="1:12" x14ac:dyDescent="0.3">
      <c r="A1238">
        <v>1237</v>
      </c>
      <c r="B1238" t="s">
        <v>1110</v>
      </c>
      <c r="C1238">
        <v>44428.736805555556</v>
      </c>
      <c r="D1238">
        <v>2021</v>
      </c>
      <c r="E1238" t="s">
        <v>10</v>
      </c>
      <c r="F1238" t="s">
        <v>1032</v>
      </c>
      <c r="G1238" t="s">
        <v>21</v>
      </c>
      <c r="H1238" s="1" t="s">
        <v>1575</v>
      </c>
      <c r="I1238" t="s">
        <v>1616</v>
      </c>
      <c r="J1238" s="2">
        <v>993018</v>
      </c>
      <c r="K1238" t="s">
        <v>12</v>
      </c>
      <c r="L1238" t="s">
        <v>1652</v>
      </c>
    </row>
    <row r="1239" spans="1:12" x14ac:dyDescent="0.3">
      <c r="A1239">
        <v>1238</v>
      </c>
      <c r="B1239" t="s">
        <v>1111</v>
      </c>
      <c r="C1239">
        <v>44431.388888888891</v>
      </c>
      <c r="D1239">
        <v>2021</v>
      </c>
      <c r="E1239" t="s">
        <v>10</v>
      </c>
      <c r="F1239" t="s">
        <v>1032</v>
      </c>
      <c r="G1239" t="s">
        <v>11</v>
      </c>
      <c r="H1239" s="1" t="s">
        <v>1575</v>
      </c>
      <c r="I1239" t="s">
        <v>1577</v>
      </c>
      <c r="J1239" s="2">
        <v>3872662</v>
      </c>
      <c r="K1239" t="s">
        <v>121</v>
      </c>
      <c r="L1239" t="s">
        <v>1651</v>
      </c>
    </row>
    <row r="1240" spans="1:12" x14ac:dyDescent="0.3">
      <c r="A1240">
        <v>1239</v>
      </c>
      <c r="B1240" t="s">
        <v>1112</v>
      </c>
      <c r="C1240">
        <v>44431.42291666667</v>
      </c>
      <c r="D1240">
        <v>2021</v>
      </c>
      <c r="E1240" t="s">
        <v>10</v>
      </c>
      <c r="F1240" t="s">
        <v>1032</v>
      </c>
      <c r="G1240" t="s">
        <v>11</v>
      </c>
      <c r="H1240" s="1" t="s">
        <v>1575</v>
      </c>
      <c r="I1240" t="s">
        <v>1577</v>
      </c>
      <c r="J1240" s="2">
        <v>1028794</v>
      </c>
      <c r="K1240" t="s">
        <v>121</v>
      </c>
      <c r="L1240" t="s">
        <v>1651</v>
      </c>
    </row>
    <row r="1241" spans="1:12" x14ac:dyDescent="0.3">
      <c r="A1241">
        <v>1240</v>
      </c>
      <c r="B1241" t="s">
        <v>1113</v>
      </c>
      <c r="C1241">
        <v>44431.428472222222</v>
      </c>
      <c r="D1241">
        <v>2021</v>
      </c>
      <c r="E1241" t="s">
        <v>10</v>
      </c>
      <c r="F1241" t="s">
        <v>1032</v>
      </c>
      <c r="G1241" t="s">
        <v>11</v>
      </c>
      <c r="H1241" s="1" t="s">
        <v>1575</v>
      </c>
      <c r="I1241" t="s">
        <v>1577</v>
      </c>
      <c r="J1241" s="2">
        <v>3636311</v>
      </c>
      <c r="K1241" t="s">
        <v>121</v>
      </c>
      <c r="L1241" t="s">
        <v>1648</v>
      </c>
    </row>
    <row r="1242" spans="1:12" x14ac:dyDescent="0.3">
      <c r="A1242">
        <v>1241</v>
      </c>
      <c r="B1242" t="s">
        <v>1114</v>
      </c>
      <c r="C1242">
        <v>44431.447222222225</v>
      </c>
      <c r="D1242">
        <v>2021</v>
      </c>
      <c r="E1242" t="s">
        <v>10</v>
      </c>
      <c r="F1242" t="s">
        <v>1032</v>
      </c>
      <c r="G1242" t="s">
        <v>11</v>
      </c>
      <c r="H1242" s="1" t="s">
        <v>1575</v>
      </c>
      <c r="I1242" t="s">
        <v>1577</v>
      </c>
      <c r="J1242" s="2">
        <v>2760709</v>
      </c>
      <c r="K1242" t="s">
        <v>121</v>
      </c>
      <c r="L1242" t="s">
        <v>1649</v>
      </c>
    </row>
    <row r="1243" spans="1:12" x14ac:dyDescent="0.3">
      <c r="A1243">
        <v>1242</v>
      </c>
      <c r="B1243" t="s">
        <v>1115</v>
      </c>
      <c r="C1243">
        <v>44431.47152777778</v>
      </c>
      <c r="D1243">
        <v>2021</v>
      </c>
      <c r="E1243" t="s">
        <v>10</v>
      </c>
      <c r="F1243" t="s">
        <v>1032</v>
      </c>
      <c r="G1243" t="s">
        <v>11</v>
      </c>
      <c r="H1243" s="1" t="s">
        <v>1576</v>
      </c>
      <c r="I1243" t="s">
        <v>1577</v>
      </c>
      <c r="J1243" s="2">
        <v>1532502</v>
      </c>
      <c r="K1243" t="s">
        <v>121</v>
      </c>
      <c r="L1243" t="s">
        <v>1648</v>
      </c>
    </row>
    <row r="1244" spans="1:12" x14ac:dyDescent="0.3">
      <c r="A1244">
        <v>1243</v>
      </c>
      <c r="B1244" t="s">
        <v>1068</v>
      </c>
      <c r="C1244">
        <v>44431.484027777777</v>
      </c>
      <c r="D1244">
        <v>2021</v>
      </c>
      <c r="E1244" t="s">
        <v>10</v>
      </c>
      <c r="F1244" t="s">
        <v>1032</v>
      </c>
      <c r="G1244" t="s">
        <v>23</v>
      </c>
      <c r="H1244" s="1" t="s">
        <v>1563</v>
      </c>
      <c r="I1244" t="s">
        <v>1579</v>
      </c>
      <c r="J1244" s="2">
        <v>4467528</v>
      </c>
      <c r="K1244" t="s">
        <v>12</v>
      </c>
      <c r="L1244" t="s">
        <v>1648</v>
      </c>
    </row>
    <row r="1245" spans="1:12" x14ac:dyDescent="0.3">
      <c r="A1245">
        <v>1244</v>
      </c>
      <c r="B1245" t="s">
        <v>1116</v>
      </c>
      <c r="C1245">
        <v>44431.488194444442</v>
      </c>
      <c r="D1245">
        <v>2021</v>
      </c>
      <c r="E1245" t="s">
        <v>10</v>
      </c>
      <c r="F1245" t="s">
        <v>1032</v>
      </c>
      <c r="G1245" t="s">
        <v>11</v>
      </c>
      <c r="H1245" s="1" t="s">
        <v>1570</v>
      </c>
      <c r="I1245" t="s">
        <v>1577</v>
      </c>
      <c r="J1245" s="2">
        <v>2922102</v>
      </c>
      <c r="K1245" t="s">
        <v>121</v>
      </c>
      <c r="L1245" t="s">
        <v>1650</v>
      </c>
    </row>
    <row r="1246" spans="1:12" x14ac:dyDescent="0.3">
      <c r="A1246">
        <v>1245</v>
      </c>
      <c r="B1246" t="s">
        <v>1117</v>
      </c>
      <c r="C1246">
        <v>44431.645138888889</v>
      </c>
      <c r="D1246">
        <v>2021</v>
      </c>
      <c r="E1246" t="s">
        <v>10</v>
      </c>
      <c r="F1246" t="s">
        <v>1553</v>
      </c>
      <c r="G1246" t="s">
        <v>11</v>
      </c>
      <c r="H1246" s="1" t="s">
        <v>1572</v>
      </c>
      <c r="I1246" t="s">
        <v>1577</v>
      </c>
      <c r="J1246" s="2">
        <v>1830409</v>
      </c>
      <c r="K1246" t="s">
        <v>121</v>
      </c>
      <c r="L1246" t="s">
        <v>1653</v>
      </c>
    </row>
    <row r="1247" spans="1:12" x14ac:dyDescent="0.3">
      <c r="A1247">
        <v>1246</v>
      </c>
      <c r="B1247" t="s">
        <v>1118</v>
      </c>
      <c r="C1247">
        <v>44431.647916666669</v>
      </c>
      <c r="D1247">
        <v>2021</v>
      </c>
      <c r="E1247" t="s">
        <v>10</v>
      </c>
      <c r="F1247" t="s">
        <v>1553</v>
      </c>
      <c r="G1247" t="s">
        <v>15</v>
      </c>
      <c r="H1247" s="1" t="s">
        <v>1567</v>
      </c>
      <c r="I1247" t="s">
        <v>1579</v>
      </c>
      <c r="J1247" s="2">
        <v>2440186</v>
      </c>
      <c r="K1247" t="s">
        <v>12</v>
      </c>
      <c r="L1247" t="s">
        <v>1648</v>
      </c>
    </row>
    <row r="1248" spans="1:12" x14ac:dyDescent="0.3">
      <c r="A1248">
        <v>1247</v>
      </c>
      <c r="B1248" t="s">
        <v>50</v>
      </c>
      <c r="C1248">
        <v>44431.679166666669</v>
      </c>
      <c r="D1248">
        <v>2021</v>
      </c>
      <c r="E1248" t="s">
        <v>10</v>
      </c>
      <c r="F1248" t="s">
        <v>1553</v>
      </c>
      <c r="G1248" t="s">
        <v>21</v>
      </c>
      <c r="H1248" s="1" t="s">
        <v>1567</v>
      </c>
      <c r="I1248" t="s">
        <v>1591</v>
      </c>
      <c r="J1248" s="2">
        <v>3967305</v>
      </c>
      <c r="K1248" t="s">
        <v>12</v>
      </c>
      <c r="L1248" t="s">
        <v>1652</v>
      </c>
    </row>
    <row r="1249" spans="1:12" x14ac:dyDescent="0.3">
      <c r="A1249">
        <v>1248</v>
      </c>
      <c r="B1249" t="s">
        <v>1119</v>
      </c>
      <c r="C1249">
        <v>44432.417361111111</v>
      </c>
      <c r="D1249">
        <v>2021</v>
      </c>
      <c r="E1249" t="s">
        <v>10</v>
      </c>
      <c r="F1249" t="s">
        <v>1553</v>
      </c>
      <c r="G1249" t="s">
        <v>15</v>
      </c>
      <c r="H1249" s="1" t="s">
        <v>1570</v>
      </c>
      <c r="I1249" t="s">
        <v>1582</v>
      </c>
      <c r="J1249" s="2">
        <v>1557859</v>
      </c>
      <c r="K1249" t="s">
        <v>16</v>
      </c>
      <c r="L1249" t="s">
        <v>1652</v>
      </c>
    </row>
    <row r="1250" spans="1:12" x14ac:dyDescent="0.3">
      <c r="A1250">
        <v>1249</v>
      </c>
      <c r="B1250" t="s">
        <v>1120</v>
      </c>
      <c r="C1250">
        <v>44432.438888888886</v>
      </c>
      <c r="D1250">
        <v>2021</v>
      </c>
      <c r="E1250" t="s">
        <v>10</v>
      </c>
      <c r="F1250" t="s">
        <v>1553</v>
      </c>
      <c r="G1250" t="s">
        <v>15</v>
      </c>
      <c r="H1250" s="1" t="s">
        <v>1570</v>
      </c>
      <c r="I1250" t="s">
        <v>1582</v>
      </c>
      <c r="J1250" s="2">
        <v>2967452</v>
      </c>
      <c r="K1250" t="s">
        <v>16</v>
      </c>
      <c r="L1250" t="s">
        <v>1652</v>
      </c>
    </row>
    <row r="1251" spans="1:12" x14ac:dyDescent="0.3">
      <c r="A1251">
        <v>1250</v>
      </c>
      <c r="B1251" t="s">
        <v>1121</v>
      </c>
      <c r="C1251">
        <v>44432.515972222223</v>
      </c>
      <c r="D1251">
        <v>2021</v>
      </c>
      <c r="E1251" t="s">
        <v>10</v>
      </c>
      <c r="F1251" t="s">
        <v>1553</v>
      </c>
      <c r="G1251" t="s">
        <v>15</v>
      </c>
      <c r="H1251" s="1" t="s">
        <v>1562</v>
      </c>
      <c r="I1251" t="s">
        <v>1586</v>
      </c>
      <c r="J1251" s="2">
        <v>4713942</v>
      </c>
      <c r="K1251" t="s">
        <v>59</v>
      </c>
      <c r="L1251" t="s">
        <v>1653</v>
      </c>
    </row>
    <row r="1252" spans="1:12" x14ac:dyDescent="0.3">
      <c r="A1252">
        <v>1251</v>
      </c>
      <c r="B1252" t="s">
        <v>769</v>
      </c>
      <c r="C1252">
        <v>44432.527083333334</v>
      </c>
      <c r="D1252">
        <v>2021</v>
      </c>
      <c r="E1252" t="s">
        <v>10</v>
      </c>
      <c r="F1252" t="s">
        <v>1553</v>
      </c>
      <c r="G1252" t="s">
        <v>18</v>
      </c>
      <c r="H1252" s="1" t="s">
        <v>1568</v>
      </c>
      <c r="I1252" t="s">
        <v>1582</v>
      </c>
      <c r="J1252" s="2">
        <v>1613320</v>
      </c>
      <c r="K1252" t="s">
        <v>16</v>
      </c>
      <c r="L1252" t="s">
        <v>1650</v>
      </c>
    </row>
    <row r="1253" spans="1:12" x14ac:dyDescent="0.3">
      <c r="A1253">
        <v>1252</v>
      </c>
      <c r="B1253" t="s">
        <v>1122</v>
      </c>
      <c r="C1253">
        <v>44432.531944444447</v>
      </c>
      <c r="D1253">
        <v>2021</v>
      </c>
      <c r="E1253" t="s">
        <v>10</v>
      </c>
      <c r="F1253" t="s">
        <v>1553</v>
      </c>
      <c r="G1253" t="s">
        <v>18</v>
      </c>
      <c r="H1253" s="1" t="s">
        <v>1562</v>
      </c>
      <c r="I1253" t="s">
        <v>1579</v>
      </c>
      <c r="J1253" s="2">
        <v>2527030</v>
      </c>
      <c r="K1253" t="s">
        <v>12</v>
      </c>
      <c r="L1253" t="s">
        <v>1648</v>
      </c>
    </row>
    <row r="1254" spans="1:12" x14ac:dyDescent="0.3">
      <c r="A1254">
        <v>1253</v>
      </c>
      <c r="B1254" t="s">
        <v>50</v>
      </c>
      <c r="C1254">
        <v>44432.541666666664</v>
      </c>
      <c r="D1254">
        <v>2021</v>
      </c>
      <c r="E1254" t="s">
        <v>10</v>
      </c>
      <c r="F1254" t="s">
        <v>1553</v>
      </c>
      <c r="G1254" t="s">
        <v>67</v>
      </c>
      <c r="H1254" s="1" t="s">
        <v>1570</v>
      </c>
      <c r="I1254" t="s">
        <v>1591</v>
      </c>
      <c r="J1254" s="2">
        <v>2582005</v>
      </c>
      <c r="K1254" t="s">
        <v>12</v>
      </c>
      <c r="L1254" t="s">
        <v>1651</v>
      </c>
    </row>
    <row r="1255" spans="1:12" x14ac:dyDescent="0.3">
      <c r="A1255">
        <v>1254</v>
      </c>
      <c r="B1255" t="s">
        <v>1123</v>
      </c>
      <c r="C1255">
        <v>44432.59375</v>
      </c>
      <c r="D1255">
        <v>2021</v>
      </c>
      <c r="E1255" t="s">
        <v>10</v>
      </c>
      <c r="F1255" t="s">
        <v>1553</v>
      </c>
      <c r="G1255" t="s">
        <v>21</v>
      </c>
      <c r="H1255" s="1" t="s">
        <v>1566</v>
      </c>
      <c r="I1255" t="s">
        <v>1616</v>
      </c>
      <c r="J1255" s="2">
        <v>2982613</v>
      </c>
      <c r="K1255" t="s">
        <v>12</v>
      </c>
      <c r="L1255" t="s">
        <v>1650</v>
      </c>
    </row>
    <row r="1256" spans="1:12" x14ac:dyDescent="0.3">
      <c r="A1256">
        <v>1255</v>
      </c>
      <c r="B1256" t="s">
        <v>1123</v>
      </c>
      <c r="C1256">
        <v>44432.594444444447</v>
      </c>
      <c r="D1256">
        <v>2021</v>
      </c>
      <c r="E1256" t="s">
        <v>10</v>
      </c>
      <c r="F1256" t="s">
        <v>1553</v>
      </c>
      <c r="G1256" t="s">
        <v>21</v>
      </c>
      <c r="H1256" s="1" t="s">
        <v>1566</v>
      </c>
      <c r="I1256" t="s">
        <v>1616</v>
      </c>
      <c r="J1256" s="2">
        <v>2077880</v>
      </c>
      <c r="K1256" t="s">
        <v>12</v>
      </c>
      <c r="L1256" t="s">
        <v>1650</v>
      </c>
    </row>
    <row r="1257" spans="1:12" x14ac:dyDescent="0.3">
      <c r="A1257">
        <v>1256</v>
      </c>
      <c r="B1257" t="s">
        <v>1124</v>
      </c>
      <c r="C1257">
        <v>44432.609027777777</v>
      </c>
      <c r="D1257">
        <v>2021</v>
      </c>
      <c r="E1257" t="s">
        <v>10</v>
      </c>
      <c r="F1257" t="s">
        <v>1553</v>
      </c>
      <c r="G1257" t="s">
        <v>18</v>
      </c>
      <c r="H1257" s="1" t="s">
        <v>1568</v>
      </c>
      <c r="I1257" t="s">
        <v>1579</v>
      </c>
      <c r="J1257" s="2">
        <v>3196365</v>
      </c>
      <c r="K1257" t="s">
        <v>12</v>
      </c>
      <c r="L1257" t="s">
        <v>1651</v>
      </c>
    </row>
    <row r="1258" spans="1:12" x14ac:dyDescent="0.3">
      <c r="A1258">
        <v>1257</v>
      </c>
      <c r="B1258" t="s">
        <v>1125</v>
      </c>
      <c r="C1258">
        <v>44432.615972222222</v>
      </c>
      <c r="D1258">
        <v>2021</v>
      </c>
      <c r="E1258" t="s">
        <v>10</v>
      </c>
      <c r="F1258" t="s">
        <v>1553</v>
      </c>
      <c r="G1258" t="s">
        <v>18</v>
      </c>
      <c r="H1258" s="1" t="s">
        <v>1575</v>
      </c>
      <c r="I1258" t="s">
        <v>1579</v>
      </c>
      <c r="J1258" s="2">
        <v>2411489</v>
      </c>
      <c r="K1258" t="s">
        <v>12</v>
      </c>
      <c r="L1258" t="s">
        <v>1648</v>
      </c>
    </row>
    <row r="1259" spans="1:12" x14ac:dyDescent="0.3">
      <c r="A1259">
        <v>1258</v>
      </c>
      <c r="B1259" t="s">
        <v>1126</v>
      </c>
      <c r="C1259">
        <v>44432.675694444442</v>
      </c>
      <c r="D1259">
        <v>2021</v>
      </c>
      <c r="E1259" t="s">
        <v>10</v>
      </c>
      <c r="F1259" t="s">
        <v>1553</v>
      </c>
      <c r="G1259" t="s">
        <v>11</v>
      </c>
      <c r="H1259" s="1" t="s">
        <v>1571</v>
      </c>
      <c r="I1259" t="s">
        <v>1577</v>
      </c>
      <c r="J1259" s="2">
        <v>4326229</v>
      </c>
      <c r="K1259" t="s">
        <v>121</v>
      </c>
      <c r="L1259" t="s">
        <v>1650</v>
      </c>
    </row>
    <row r="1260" spans="1:12" x14ac:dyDescent="0.3">
      <c r="A1260">
        <v>1259</v>
      </c>
      <c r="B1260" t="s">
        <v>1127</v>
      </c>
      <c r="C1260">
        <v>44432.727083333331</v>
      </c>
      <c r="D1260">
        <v>2021</v>
      </c>
      <c r="E1260" t="s">
        <v>10</v>
      </c>
      <c r="F1260" t="s">
        <v>1553</v>
      </c>
      <c r="G1260" t="s">
        <v>57</v>
      </c>
      <c r="H1260" s="1" t="s">
        <v>1575</v>
      </c>
      <c r="I1260" t="s">
        <v>1579</v>
      </c>
      <c r="J1260" s="2">
        <v>2115505</v>
      </c>
      <c r="K1260" t="s">
        <v>12</v>
      </c>
      <c r="L1260" t="s">
        <v>1651</v>
      </c>
    </row>
    <row r="1261" spans="1:12" x14ac:dyDescent="0.3">
      <c r="A1261">
        <v>1260</v>
      </c>
      <c r="B1261" t="s">
        <v>1061</v>
      </c>
      <c r="C1261">
        <v>44432.816666666666</v>
      </c>
      <c r="D1261">
        <v>2021</v>
      </c>
      <c r="E1261" t="s">
        <v>10</v>
      </c>
      <c r="F1261" t="s">
        <v>1553</v>
      </c>
      <c r="G1261" t="s">
        <v>18</v>
      </c>
      <c r="H1261" s="1" t="s">
        <v>1567</v>
      </c>
      <c r="I1261" t="s">
        <v>1579</v>
      </c>
      <c r="J1261" s="2">
        <v>3554391</v>
      </c>
      <c r="K1261" t="s">
        <v>12</v>
      </c>
      <c r="L1261" t="s">
        <v>1653</v>
      </c>
    </row>
    <row r="1262" spans="1:12" x14ac:dyDescent="0.3">
      <c r="A1262">
        <v>1261</v>
      </c>
      <c r="B1262" t="s">
        <v>1128</v>
      </c>
      <c r="C1262">
        <v>44433.349305555559</v>
      </c>
      <c r="D1262">
        <v>2021</v>
      </c>
      <c r="E1262" t="s">
        <v>10</v>
      </c>
      <c r="F1262" t="s">
        <v>1553</v>
      </c>
      <c r="G1262" t="s">
        <v>15</v>
      </c>
      <c r="H1262" s="1" t="s">
        <v>1574</v>
      </c>
      <c r="I1262" t="s">
        <v>1587</v>
      </c>
      <c r="J1262" s="2">
        <v>1458338</v>
      </c>
      <c r="K1262" t="s">
        <v>12</v>
      </c>
      <c r="L1262" t="s">
        <v>1648</v>
      </c>
    </row>
    <row r="1263" spans="1:12" x14ac:dyDescent="0.3">
      <c r="A1263">
        <v>1262</v>
      </c>
      <c r="B1263" t="s">
        <v>1129</v>
      </c>
      <c r="C1263">
        <v>44433.372916666667</v>
      </c>
      <c r="D1263">
        <v>2021</v>
      </c>
      <c r="E1263" t="s">
        <v>10</v>
      </c>
      <c r="F1263" t="s">
        <v>1553</v>
      </c>
      <c r="G1263" t="s">
        <v>229</v>
      </c>
      <c r="H1263" s="1" t="s">
        <v>1567</v>
      </c>
      <c r="I1263" t="s">
        <v>1635</v>
      </c>
      <c r="J1263" s="2">
        <v>4833272</v>
      </c>
      <c r="K1263" t="s">
        <v>12</v>
      </c>
      <c r="L1263" t="s">
        <v>1649</v>
      </c>
    </row>
    <row r="1264" spans="1:12" x14ac:dyDescent="0.3">
      <c r="A1264">
        <v>1263</v>
      </c>
      <c r="B1264" t="s">
        <v>1130</v>
      </c>
      <c r="C1264">
        <v>44433.480555555558</v>
      </c>
      <c r="D1264">
        <v>2021</v>
      </c>
      <c r="E1264" t="s">
        <v>10</v>
      </c>
      <c r="F1264" t="s">
        <v>1553</v>
      </c>
      <c r="G1264" t="s">
        <v>15</v>
      </c>
      <c r="H1264" s="1" t="s">
        <v>1576</v>
      </c>
      <c r="I1264" t="s">
        <v>1582</v>
      </c>
      <c r="J1264" s="2">
        <v>1874978</v>
      </c>
      <c r="K1264" t="s">
        <v>16</v>
      </c>
      <c r="L1264" t="s">
        <v>1653</v>
      </c>
    </row>
    <row r="1265" spans="1:12" x14ac:dyDescent="0.3">
      <c r="A1265">
        <v>1264</v>
      </c>
      <c r="B1265" t="s">
        <v>1131</v>
      </c>
      <c r="C1265">
        <v>44433.676388888889</v>
      </c>
      <c r="D1265">
        <v>2021</v>
      </c>
      <c r="E1265" t="s">
        <v>10</v>
      </c>
      <c r="F1265" t="s">
        <v>1553</v>
      </c>
      <c r="G1265" t="s">
        <v>11</v>
      </c>
      <c r="H1265" s="1" t="s">
        <v>1571</v>
      </c>
      <c r="I1265" t="s">
        <v>1577</v>
      </c>
      <c r="J1265" s="2">
        <v>2146738</v>
      </c>
      <c r="K1265" t="s">
        <v>121</v>
      </c>
      <c r="L1265" t="s">
        <v>1652</v>
      </c>
    </row>
    <row r="1266" spans="1:12" x14ac:dyDescent="0.3">
      <c r="A1266">
        <v>1265</v>
      </c>
      <c r="B1266" t="s">
        <v>1132</v>
      </c>
      <c r="C1266">
        <v>44433.707638888889</v>
      </c>
      <c r="D1266">
        <v>2021</v>
      </c>
      <c r="E1266" t="s">
        <v>10</v>
      </c>
      <c r="F1266" t="s">
        <v>1553</v>
      </c>
      <c r="G1266" t="s">
        <v>15</v>
      </c>
      <c r="H1266" s="1" t="s">
        <v>1573</v>
      </c>
      <c r="I1266" t="s">
        <v>1598</v>
      </c>
      <c r="J1266" s="2">
        <v>1265525</v>
      </c>
      <c r="K1266" t="s">
        <v>53</v>
      </c>
      <c r="L1266" t="s">
        <v>1650</v>
      </c>
    </row>
    <row r="1267" spans="1:12" x14ac:dyDescent="0.3">
      <c r="A1267">
        <v>1266</v>
      </c>
      <c r="B1267" t="s">
        <v>1133</v>
      </c>
      <c r="C1267">
        <v>44434.599305555559</v>
      </c>
      <c r="D1267">
        <v>2021</v>
      </c>
      <c r="E1267" t="s">
        <v>10</v>
      </c>
      <c r="F1267" t="s">
        <v>1553</v>
      </c>
      <c r="G1267" t="s">
        <v>44</v>
      </c>
      <c r="H1267" s="1" t="s">
        <v>1568</v>
      </c>
      <c r="I1267" t="s">
        <v>1586</v>
      </c>
      <c r="J1267" s="2">
        <v>3277573</v>
      </c>
      <c r="K1267" t="s">
        <v>59</v>
      </c>
      <c r="L1267" t="s">
        <v>1651</v>
      </c>
    </row>
    <row r="1268" spans="1:12" x14ac:dyDescent="0.3">
      <c r="A1268">
        <v>1267</v>
      </c>
      <c r="B1268" t="s">
        <v>1134</v>
      </c>
      <c r="C1268">
        <v>44434.643750000003</v>
      </c>
      <c r="D1268">
        <v>2021</v>
      </c>
      <c r="E1268" t="s">
        <v>10</v>
      </c>
      <c r="F1268" t="s">
        <v>1553</v>
      </c>
      <c r="G1268" t="s">
        <v>18</v>
      </c>
      <c r="H1268" s="1" t="s">
        <v>1571</v>
      </c>
      <c r="I1268" t="s">
        <v>1579</v>
      </c>
      <c r="J1268" s="2">
        <v>4517318</v>
      </c>
      <c r="K1268" t="s">
        <v>12</v>
      </c>
      <c r="L1268" t="s">
        <v>1649</v>
      </c>
    </row>
    <row r="1269" spans="1:12" x14ac:dyDescent="0.3">
      <c r="A1269">
        <v>1268</v>
      </c>
      <c r="B1269" t="s">
        <v>1135</v>
      </c>
      <c r="C1269">
        <v>44434.646527777775</v>
      </c>
      <c r="D1269">
        <v>2021</v>
      </c>
      <c r="E1269" t="s">
        <v>10</v>
      </c>
      <c r="F1269" t="s">
        <v>1553</v>
      </c>
      <c r="G1269" t="s">
        <v>18</v>
      </c>
      <c r="H1269" s="1" t="s">
        <v>1564</v>
      </c>
      <c r="I1269" t="s">
        <v>1579</v>
      </c>
      <c r="J1269" s="2">
        <v>3726764</v>
      </c>
      <c r="K1269" t="s">
        <v>12</v>
      </c>
      <c r="L1269" t="s">
        <v>1650</v>
      </c>
    </row>
    <row r="1270" spans="1:12" x14ac:dyDescent="0.3">
      <c r="A1270">
        <v>1269</v>
      </c>
      <c r="B1270" t="s">
        <v>1136</v>
      </c>
      <c r="C1270">
        <v>44435.425000000003</v>
      </c>
      <c r="D1270">
        <v>2021</v>
      </c>
      <c r="E1270" t="s">
        <v>10</v>
      </c>
      <c r="F1270" t="s">
        <v>1553</v>
      </c>
      <c r="G1270" t="s">
        <v>11</v>
      </c>
      <c r="H1270" s="1" t="s">
        <v>1574</v>
      </c>
      <c r="I1270" t="s">
        <v>1577</v>
      </c>
      <c r="J1270" s="2">
        <v>4452084</v>
      </c>
      <c r="K1270" t="s">
        <v>121</v>
      </c>
      <c r="L1270" t="s">
        <v>1650</v>
      </c>
    </row>
    <row r="1271" spans="1:12" x14ac:dyDescent="0.3">
      <c r="A1271">
        <v>1270</v>
      </c>
      <c r="B1271" t="s">
        <v>1137</v>
      </c>
      <c r="C1271">
        <v>44435.438888888886</v>
      </c>
      <c r="D1271">
        <v>2021</v>
      </c>
      <c r="E1271" t="s">
        <v>10</v>
      </c>
      <c r="F1271" t="s">
        <v>1553</v>
      </c>
      <c r="G1271" t="s">
        <v>11</v>
      </c>
      <c r="H1271" s="1" t="s">
        <v>1575</v>
      </c>
      <c r="I1271" t="s">
        <v>1577</v>
      </c>
      <c r="J1271" s="2">
        <v>4646529</v>
      </c>
      <c r="K1271" t="s">
        <v>121</v>
      </c>
      <c r="L1271" t="s">
        <v>1651</v>
      </c>
    </row>
    <row r="1272" spans="1:12" x14ac:dyDescent="0.3">
      <c r="A1272">
        <v>1271</v>
      </c>
      <c r="B1272" t="s">
        <v>1138</v>
      </c>
      <c r="C1272">
        <v>44435.604861111111</v>
      </c>
      <c r="D1272">
        <v>2021</v>
      </c>
      <c r="E1272" t="s">
        <v>10</v>
      </c>
      <c r="F1272" t="s">
        <v>1032</v>
      </c>
      <c r="G1272" t="s">
        <v>23</v>
      </c>
      <c r="H1272" s="1" t="s">
        <v>1572</v>
      </c>
      <c r="I1272" t="s">
        <v>1579</v>
      </c>
      <c r="J1272" s="2">
        <v>2310808</v>
      </c>
      <c r="K1272" t="s">
        <v>12</v>
      </c>
      <c r="L1272" t="s">
        <v>1650</v>
      </c>
    </row>
    <row r="1273" spans="1:12" x14ac:dyDescent="0.3">
      <c r="A1273">
        <v>1272</v>
      </c>
      <c r="B1273" t="s">
        <v>1139</v>
      </c>
      <c r="C1273">
        <v>44435.613888888889</v>
      </c>
      <c r="D1273">
        <v>2021</v>
      </c>
      <c r="E1273" t="s">
        <v>10</v>
      </c>
      <c r="F1273" t="s">
        <v>1032</v>
      </c>
      <c r="G1273" t="s">
        <v>23</v>
      </c>
      <c r="H1273" s="1" t="s">
        <v>1566</v>
      </c>
      <c r="I1273" t="s">
        <v>1579</v>
      </c>
      <c r="J1273" s="2">
        <v>3851129</v>
      </c>
      <c r="K1273" t="s">
        <v>12</v>
      </c>
      <c r="L1273" t="s">
        <v>1653</v>
      </c>
    </row>
    <row r="1274" spans="1:12" x14ac:dyDescent="0.3">
      <c r="A1274">
        <v>1273</v>
      </c>
      <c r="B1274" t="s">
        <v>1140</v>
      </c>
      <c r="C1274">
        <v>44438.388888888891</v>
      </c>
      <c r="D1274">
        <v>2021</v>
      </c>
      <c r="E1274" t="s">
        <v>10</v>
      </c>
      <c r="F1274" t="s">
        <v>1032</v>
      </c>
      <c r="G1274" t="s">
        <v>18</v>
      </c>
      <c r="H1274" s="1" t="s">
        <v>1569</v>
      </c>
      <c r="I1274" t="s">
        <v>1579</v>
      </c>
      <c r="J1274" s="2">
        <v>4177215</v>
      </c>
      <c r="K1274" t="s">
        <v>12</v>
      </c>
      <c r="L1274" t="s">
        <v>1653</v>
      </c>
    </row>
    <row r="1275" spans="1:12" x14ac:dyDescent="0.3">
      <c r="A1275">
        <v>1274</v>
      </c>
      <c r="B1275" t="s">
        <v>1141</v>
      </c>
      <c r="C1275">
        <v>44438.418055555558</v>
      </c>
      <c r="D1275">
        <v>2021</v>
      </c>
      <c r="E1275" t="s">
        <v>10</v>
      </c>
      <c r="F1275" t="s">
        <v>1032</v>
      </c>
      <c r="G1275" t="s">
        <v>11</v>
      </c>
      <c r="H1275" s="1" t="s">
        <v>1568</v>
      </c>
      <c r="I1275" t="s">
        <v>1577</v>
      </c>
      <c r="J1275" s="2">
        <v>3903667</v>
      </c>
      <c r="K1275" t="s">
        <v>121</v>
      </c>
      <c r="L1275" t="s">
        <v>1649</v>
      </c>
    </row>
    <row r="1276" spans="1:12" x14ac:dyDescent="0.3">
      <c r="A1276">
        <v>1275</v>
      </c>
      <c r="B1276" t="s">
        <v>50</v>
      </c>
      <c r="C1276">
        <v>44438.42291666667</v>
      </c>
      <c r="D1276">
        <v>2021</v>
      </c>
      <c r="E1276" t="s">
        <v>10</v>
      </c>
      <c r="F1276" t="s">
        <v>1032</v>
      </c>
      <c r="G1276" t="s">
        <v>290</v>
      </c>
      <c r="H1276" s="1" t="s">
        <v>1563</v>
      </c>
      <c r="I1276" t="s">
        <v>1591</v>
      </c>
      <c r="J1276" s="2">
        <v>3447498</v>
      </c>
      <c r="K1276" t="s">
        <v>12</v>
      </c>
      <c r="L1276" t="s">
        <v>1652</v>
      </c>
    </row>
    <row r="1277" spans="1:12" x14ac:dyDescent="0.3">
      <c r="A1277">
        <v>1276</v>
      </c>
      <c r="B1277" t="s">
        <v>1142</v>
      </c>
      <c r="C1277">
        <v>44438.505555555559</v>
      </c>
      <c r="D1277">
        <v>2021</v>
      </c>
      <c r="E1277" t="s">
        <v>10</v>
      </c>
      <c r="F1277" t="s">
        <v>1032</v>
      </c>
      <c r="G1277" t="s">
        <v>339</v>
      </c>
      <c r="H1277" s="1" t="s">
        <v>1576</v>
      </c>
      <c r="I1277" t="s">
        <v>1584</v>
      </c>
      <c r="J1277" s="2">
        <v>1917900</v>
      </c>
      <c r="K1277" t="s">
        <v>12</v>
      </c>
      <c r="L1277" t="s">
        <v>1649</v>
      </c>
    </row>
    <row r="1278" spans="1:12" x14ac:dyDescent="0.3">
      <c r="A1278">
        <v>1277</v>
      </c>
      <c r="B1278" t="s">
        <v>1143</v>
      </c>
      <c r="C1278">
        <v>44438.523611111108</v>
      </c>
      <c r="D1278">
        <v>2021</v>
      </c>
      <c r="E1278" t="s">
        <v>10</v>
      </c>
      <c r="F1278" t="s">
        <v>1032</v>
      </c>
      <c r="G1278" t="s">
        <v>62</v>
      </c>
      <c r="H1278" s="1" t="s">
        <v>1564</v>
      </c>
      <c r="I1278" t="s">
        <v>1577</v>
      </c>
      <c r="J1278" s="2">
        <v>3347058</v>
      </c>
      <c r="K1278" t="s">
        <v>121</v>
      </c>
      <c r="L1278" t="s">
        <v>1650</v>
      </c>
    </row>
    <row r="1279" spans="1:12" x14ac:dyDescent="0.3">
      <c r="A1279">
        <v>1278</v>
      </c>
      <c r="B1279" t="s">
        <v>1144</v>
      </c>
      <c r="C1279">
        <v>44438.529166666667</v>
      </c>
      <c r="D1279">
        <v>2021</v>
      </c>
      <c r="E1279" t="s">
        <v>10</v>
      </c>
      <c r="F1279" t="s">
        <v>1032</v>
      </c>
      <c r="G1279" t="s">
        <v>18</v>
      </c>
      <c r="H1279" s="1" t="s">
        <v>1567</v>
      </c>
      <c r="I1279" t="s">
        <v>1579</v>
      </c>
      <c r="J1279" s="2">
        <v>1137905</v>
      </c>
      <c r="K1279" t="s">
        <v>12</v>
      </c>
      <c r="L1279" t="s">
        <v>1649</v>
      </c>
    </row>
    <row r="1280" spans="1:12" x14ac:dyDescent="0.3">
      <c r="A1280">
        <v>1279</v>
      </c>
      <c r="B1280" t="s">
        <v>1145</v>
      </c>
      <c r="C1280">
        <v>44438.594444444447</v>
      </c>
      <c r="D1280">
        <v>2021</v>
      </c>
      <c r="E1280" t="s">
        <v>10</v>
      </c>
      <c r="F1280" t="s">
        <v>1032</v>
      </c>
      <c r="G1280" t="s">
        <v>229</v>
      </c>
      <c r="H1280" s="1" t="s">
        <v>1562</v>
      </c>
      <c r="I1280" t="s">
        <v>1635</v>
      </c>
      <c r="J1280" s="2">
        <v>1261745</v>
      </c>
      <c r="K1280" t="s">
        <v>12</v>
      </c>
      <c r="L1280" t="s">
        <v>1652</v>
      </c>
    </row>
    <row r="1281" spans="1:12" x14ac:dyDescent="0.3">
      <c r="A1281">
        <v>1280</v>
      </c>
      <c r="B1281" t="s">
        <v>1146</v>
      </c>
      <c r="C1281">
        <v>44438.599305555559</v>
      </c>
      <c r="D1281">
        <v>2021</v>
      </c>
      <c r="E1281" t="s">
        <v>10</v>
      </c>
      <c r="F1281" t="s">
        <v>1032</v>
      </c>
      <c r="G1281" t="s">
        <v>15</v>
      </c>
      <c r="H1281" s="1" t="s">
        <v>1571</v>
      </c>
      <c r="I1281" t="s">
        <v>1579</v>
      </c>
      <c r="J1281" s="2">
        <v>2809856</v>
      </c>
      <c r="K1281" t="s">
        <v>12</v>
      </c>
      <c r="L1281" t="s">
        <v>1650</v>
      </c>
    </row>
    <row r="1282" spans="1:12" x14ac:dyDescent="0.3">
      <c r="A1282">
        <v>1281</v>
      </c>
      <c r="B1282" t="s">
        <v>1147</v>
      </c>
      <c r="C1282">
        <v>44438.620138888888</v>
      </c>
      <c r="D1282">
        <v>2021</v>
      </c>
      <c r="E1282" t="s">
        <v>10</v>
      </c>
      <c r="F1282" t="s">
        <v>1032</v>
      </c>
      <c r="G1282" t="s">
        <v>15</v>
      </c>
      <c r="H1282" s="1" t="s">
        <v>1568</v>
      </c>
      <c r="I1282" t="s">
        <v>1582</v>
      </c>
      <c r="J1282" s="2">
        <v>2102638</v>
      </c>
      <c r="K1282" t="s">
        <v>16</v>
      </c>
      <c r="L1282" t="s">
        <v>1651</v>
      </c>
    </row>
    <row r="1283" spans="1:12" x14ac:dyDescent="0.3">
      <c r="A1283">
        <v>1282</v>
      </c>
      <c r="B1283" t="s">
        <v>1148</v>
      </c>
      <c r="C1283">
        <v>44438.632638888892</v>
      </c>
      <c r="D1283">
        <v>2021</v>
      </c>
      <c r="E1283" t="s">
        <v>10</v>
      </c>
      <c r="F1283" t="s">
        <v>1032</v>
      </c>
      <c r="G1283" t="s">
        <v>15</v>
      </c>
      <c r="H1283" s="1" t="s">
        <v>1565</v>
      </c>
      <c r="I1283" t="s">
        <v>1642</v>
      </c>
      <c r="J1283" s="2">
        <v>1277884</v>
      </c>
      <c r="K1283" t="s">
        <v>121</v>
      </c>
      <c r="L1283" t="s">
        <v>1651</v>
      </c>
    </row>
    <row r="1284" spans="1:12" x14ac:dyDescent="0.3">
      <c r="A1284">
        <v>1283</v>
      </c>
      <c r="B1284" t="s">
        <v>1149</v>
      </c>
      <c r="C1284">
        <v>44438.668055555558</v>
      </c>
      <c r="D1284">
        <v>2021</v>
      </c>
      <c r="E1284" t="s">
        <v>10</v>
      </c>
      <c r="F1284" t="s">
        <v>1032</v>
      </c>
      <c r="G1284" t="s">
        <v>11</v>
      </c>
      <c r="H1284" s="1" t="s">
        <v>1562</v>
      </c>
      <c r="I1284" t="s">
        <v>1577</v>
      </c>
      <c r="J1284" s="2">
        <v>2140351</v>
      </c>
      <c r="K1284" t="s">
        <v>121</v>
      </c>
      <c r="L1284" t="s">
        <v>1653</v>
      </c>
    </row>
    <row r="1285" spans="1:12" x14ac:dyDescent="0.3">
      <c r="A1285">
        <v>1284</v>
      </c>
      <c r="B1285" t="s">
        <v>1150</v>
      </c>
      <c r="C1285">
        <v>44438.68472222222</v>
      </c>
      <c r="D1285">
        <v>2021</v>
      </c>
      <c r="E1285" t="s">
        <v>10</v>
      </c>
      <c r="F1285" t="s">
        <v>1555</v>
      </c>
      <c r="G1285" t="s">
        <v>44</v>
      </c>
      <c r="H1285" s="1" t="s">
        <v>1570</v>
      </c>
      <c r="I1285" t="s">
        <v>1579</v>
      </c>
      <c r="J1285" s="2">
        <v>3562765</v>
      </c>
      <c r="K1285" t="s">
        <v>12</v>
      </c>
      <c r="L1285" t="s">
        <v>1650</v>
      </c>
    </row>
    <row r="1286" spans="1:12" x14ac:dyDescent="0.3">
      <c r="A1286">
        <v>1285</v>
      </c>
      <c r="B1286" t="s">
        <v>1151</v>
      </c>
      <c r="C1286">
        <v>44439.290972222225</v>
      </c>
      <c r="D1286">
        <v>2021</v>
      </c>
      <c r="E1286" t="s">
        <v>10</v>
      </c>
      <c r="F1286" t="s">
        <v>1554</v>
      </c>
      <c r="G1286" t="s">
        <v>18</v>
      </c>
      <c r="H1286" s="1" t="s">
        <v>1562</v>
      </c>
      <c r="I1286" t="s">
        <v>1579</v>
      </c>
      <c r="J1286" s="2">
        <v>3007597</v>
      </c>
      <c r="K1286" t="s">
        <v>12</v>
      </c>
      <c r="L1286" t="s">
        <v>1652</v>
      </c>
    </row>
    <row r="1287" spans="1:12" x14ac:dyDescent="0.3">
      <c r="A1287">
        <v>1286</v>
      </c>
      <c r="B1287" t="s">
        <v>1152</v>
      </c>
      <c r="C1287">
        <v>44439.299305555556</v>
      </c>
      <c r="D1287">
        <v>2021</v>
      </c>
      <c r="E1287" t="s">
        <v>10</v>
      </c>
      <c r="F1287" t="s">
        <v>1554</v>
      </c>
      <c r="G1287" t="s">
        <v>18</v>
      </c>
      <c r="H1287" s="1" t="s">
        <v>1563</v>
      </c>
      <c r="I1287" t="s">
        <v>1579</v>
      </c>
      <c r="J1287" s="2">
        <v>2367336</v>
      </c>
      <c r="K1287" t="s">
        <v>12</v>
      </c>
      <c r="L1287" t="s">
        <v>1649</v>
      </c>
    </row>
    <row r="1288" spans="1:12" x14ac:dyDescent="0.3">
      <c r="A1288">
        <v>1287</v>
      </c>
      <c r="B1288" t="s">
        <v>1153</v>
      </c>
      <c r="C1288">
        <v>44439.396527777775</v>
      </c>
      <c r="D1288">
        <v>2021</v>
      </c>
      <c r="E1288" t="s">
        <v>10</v>
      </c>
      <c r="F1288" t="s">
        <v>1554</v>
      </c>
      <c r="G1288" t="s">
        <v>57</v>
      </c>
      <c r="H1288" s="1" t="s">
        <v>1570</v>
      </c>
      <c r="I1288" t="s">
        <v>1636</v>
      </c>
      <c r="J1288" s="2">
        <v>3207592</v>
      </c>
      <c r="K1288" t="s">
        <v>16</v>
      </c>
      <c r="L1288" t="s">
        <v>1650</v>
      </c>
    </row>
    <row r="1289" spans="1:12" x14ac:dyDescent="0.3">
      <c r="A1289">
        <v>1288</v>
      </c>
      <c r="B1289" t="s">
        <v>1154</v>
      </c>
      <c r="C1289">
        <v>44439.606944444444</v>
      </c>
      <c r="D1289">
        <v>2021</v>
      </c>
      <c r="E1289" t="s">
        <v>10</v>
      </c>
      <c r="F1289" t="s">
        <v>1554</v>
      </c>
      <c r="G1289" t="s">
        <v>11</v>
      </c>
      <c r="H1289" s="1" t="s">
        <v>1564</v>
      </c>
      <c r="I1289" t="s">
        <v>1577</v>
      </c>
      <c r="J1289" s="2">
        <v>1734016</v>
      </c>
      <c r="K1289" t="s">
        <v>121</v>
      </c>
      <c r="L1289" t="s">
        <v>1649</v>
      </c>
    </row>
    <row r="1290" spans="1:12" x14ac:dyDescent="0.3">
      <c r="A1290">
        <v>1289</v>
      </c>
      <c r="B1290" t="s">
        <v>1155</v>
      </c>
      <c r="C1290">
        <v>44439.660416666666</v>
      </c>
      <c r="D1290">
        <v>2021</v>
      </c>
      <c r="E1290" t="s">
        <v>10</v>
      </c>
      <c r="F1290" t="s">
        <v>1554</v>
      </c>
      <c r="G1290" t="s">
        <v>18</v>
      </c>
      <c r="H1290" s="1" t="s">
        <v>1564</v>
      </c>
      <c r="I1290" t="s">
        <v>1579</v>
      </c>
      <c r="J1290" s="2">
        <v>3909128</v>
      </c>
      <c r="K1290" t="s">
        <v>12</v>
      </c>
      <c r="L1290" t="s">
        <v>1649</v>
      </c>
    </row>
    <row r="1291" spans="1:12" x14ac:dyDescent="0.3">
      <c r="A1291">
        <v>1290</v>
      </c>
      <c r="B1291" t="s">
        <v>1156</v>
      </c>
      <c r="C1291">
        <v>44440.406944444447</v>
      </c>
      <c r="D1291">
        <v>2021</v>
      </c>
      <c r="E1291" t="s">
        <v>10</v>
      </c>
      <c r="F1291" t="s">
        <v>1554</v>
      </c>
      <c r="G1291" t="s">
        <v>23</v>
      </c>
      <c r="H1291" s="1" t="s">
        <v>1565</v>
      </c>
      <c r="I1291" t="s">
        <v>1579</v>
      </c>
      <c r="J1291" s="2">
        <v>1962746</v>
      </c>
      <c r="K1291" t="s">
        <v>12</v>
      </c>
      <c r="L1291" t="s">
        <v>1653</v>
      </c>
    </row>
    <row r="1292" spans="1:12" x14ac:dyDescent="0.3">
      <c r="A1292">
        <v>1291</v>
      </c>
      <c r="B1292" t="s">
        <v>1157</v>
      </c>
      <c r="C1292">
        <v>44440.489583333336</v>
      </c>
      <c r="D1292">
        <v>2021</v>
      </c>
      <c r="E1292" t="s">
        <v>10</v>
      </c>
      <c r="F1292" t="s">
        <v>1554</v>
      </c>
      <c r="G1292" t="s">
        <v>15</v>
      </c>
      <c r="H1292" s="1" t="s">
        <v>1574</v>
      </c>
      <c r="I1292" t="s">
        <v>1579</v>
      </c>
      <c r="J1292" s="2">
        <v>3223999</v>
      </c>
      <c r="K1292" t="s">
        <v>12</v>
      </c>
      <c r="L1292" t="s">
        <v>1651</v>
      </c>
    </row>
    <row r="1293" spans="1:12" x14ac:dyDescent="0.3">
      <c r="A1293">
        <v>1292</v>
      </c>
      <c r="B1293" t="s">
        <v>1158</v>
      </c>
      <c r="C1293">
        <v>44440.594444444447</v>
      </c>
      <c r="D1293">
        <v>2021</v>
      </c>
      <c r="E1293" t="s">
        <v>10</v>
      </c>
      <c r="F1293" t="s">
        <v>1554</v>
      </c>
      <c r="G1293" t="s">
        <v>11</v>
      </c>
      <c r="H1293" s="1" t="s">
        <v>1568</v>
      </c>
      <c r="I1293" t="s">
        <v>1577</v>
      </c>
      <c r="J1293" s="2">
        <v>3125411</v>
      </c>
      <c r="K1293" t="s">
        <v>121</v>
      </c>
      <c r="L1293" t="s">
        <v>1652</v>
      </c>
    </row>
    <row r="1294" spans="1:12" x14ac:dyDescent="0.3">
      <c r="A1294">
        <v>1293</v>
      </c>
      <c r="B1294" t="s">
        <v>1159</v>
      </c>
      <c r="C1294">
        <v>44441.384722222225</v>
      </c>
      <c r="D1294">
        <v>2021</v>
      </c>
      <c r="E1294" t="s">
        <v>10</v>
      </c>
      <c r="F1294" t="s">
        <v>1554</v>
      </c>
      <c r="G1294" t="s">
        <v>62</v>
      </c>
      <c r="H1294" s="1" t="s">
        <v>1575</v>
      </c>
      <c r="I1294" t="s">
        <v>1639</v>
      </c>
      <c r="J1294" s="2">
        <v>2133266</v>
      </c>
      <c r="K1294" t="s">
        <v>12</v>
      </c>
      <c r="L1294" t="s">
        <v>1649</v>
      </c>
    </row>
    <row r="1295" spans="1:12" x14ac:dyDescent="0.3">
      <c r="A1295">
        <v>1294</v>
      </c>
      <c r="B1295" t="s">
        <v>58</v>
      </c>
      <c r="C1295">
        <v>44441.452777777777</v>
      </c>
      <c r="D1295">
        <v>2021</v>
      </c>
      <c r="E1295" t="s">
        <v>10</v>
      </c>
      <c r="F1295" t="s">
        <v>1554</v>
      </c>
      <c r="G1295" t="s">
        <v>18</v>
      </c>
      <c r="H1295" s="1" t="s">
        <v>1568</v>
      </c>
      <c r="I1295" t="s">
        <v>1586</v>
      </c>
      <c r="J1295" s="2">
        <v>3478785</v>
      </c>
      <c r="K1295" t="s">
        <v>59</v>
      </c>
      <c r="L1295" t="s">
        <v>1648</v>
      </c>
    </row>
    <row r="1296" spans="1:12" x14ac:dyDescent="0.3">
      <c r="A1296">
        <v>1295</v>
      </c>
      <c r="B1296" t="s">
        <v>1160</v>
      </c>
      <c r="C1296">
        <v>44441.540972222225</v>
      </c>
      <c r="D1296">
        <v>2021</v>
      </c>
      <c r="E1296" t="s">
        <v>10</v>
      </c>
      <c r="F1296" t="s">
        <v>1554</v>
      </c>
      <c r="G1296" t="s">
        <v>229</v>
      </c>
      <c r="H1296" s="1" t="s">
        <v>1574</v>
      </c>
      <c r="I1296" t="s">
        <v>1635</v>
      </c>
      <c r="J1296" s="2">
        <v>1664717</v>
      </c>
      <c r="K1296" t="s">
        <v>12</v>
      </c>
      <c r="L1296" t="s">
        <v>1653</v>
      </c>
    </row>
    <row r="1297" spans="1:12" x14ac:dyDescent="0.3">
      <c r="A1297">
        <v>1296</v>
      </c>
      <c r="B1297" t="s">
        <v>1161</v>
      </c>
      <c r="C1297">
        <v>44441.5625</v>
      </c>
      <c r="D1297">
        <v>2021</v>
      </c>
      <c r="E1297" t="s">
        <v>10</v>
      </c>
      <c r="F1297" t="s">
        <v>1554</v>
      </c>
      <c r="G1297" t="s">
        <v>18</v>
      </c>
      <c r="H1297" s="1" t="s">
        <v>1566</v>
      </c>
      <c r="I1297" t="s">
        <v>1579</v>
      </c>
      <c r="J1297" s="2">
        <v>2500810</v>
      </c>
      <c r="K1297" t="s">
        <v>12</v>
      </c>
      <c r="L1297" t="s">
        <v>1653</v>
      </c>
    </row>
    <row r="1298" spans="1:12" x14ac:dyDescent="0.3">
      <c r="A1298">
        <v>1297</v>
      </c>
      <c r="B1298" t="s">
        <v>435</v>
      </c>
      <c r="C1298">
        <v>44441.572916666664</v>
      </c>
      <c r="D1298">
        <v>2021</v>
      </c>
      <c r="E1298" t="s">
        <v>10</v>
      </c>
      <c r="F1298" t="s">
        <v>1554</v>
      </c>
      <c r="G1298" t="s">
        <v>18</v>
      </c>
      <c r="H1298" s="1" t="s">
        <v>1574</v>
      </c>
      <c r="I1298" t="s">
        <v>1579</v>
      </c>
      <c r="J1298" s="2">
        <v>3149161</v>
      </c>
      <c r="K1298" t="s">
        <v>12</v>
      </c>
      <c r="L1298" t="s">
        <v>1653</v>
      </c>
    </row>
    <row r="1299" spans="1:12" x14ac:dyDescent="0.3">
      <c r="A1299">
        <v>1298</v>
      </c>
      <c r="B1299" t="s">
        <v>1162</v>
      </c>
      <c r="C1299">
        <v>44442.383333333331</v>
      </c>
      <c r="D1299">
        <v>2021</v>
      </c>
      <c r="E1299" t="s">
        <v>10</v>
      </c>
      <c r="F1299" t="s">
        <v>1554</v>
      </c>
      <c r="G1299" t="s">
        <v>49</v>
      </c>
      <c r="H1299" s="1" t="s">
        <v>1566</v>
      </c>
      <c r="I1299" t="s">
        <v>1579</v>
      </c>
      <c r="J1299" s="2">
        <v>1174352</v>
      </c>
      <c r="K1299" t="s">
        <v>12</v>
      </c>
      <c r="L1299" t="s">
        <v>1648</v>
      </c>
    </row>
    <row r="1300" spans="1:12" x14ac:dyDescent="0.3">
      <c r="A1300">
        <v>1299</v>
      </c>
      <c r="B1300" t="s">
        <v>1163</v>
      </c>
      <c r="C1300">
        <v>44442.396527777775</v>
      </c>
      <c r="D1300">
        <v>2021</v>
      </c>
      <c r="E1300" t="s">
        <v>10</v>
      </c>
      <c r="F1300" t="s">
        <v>1554</v>
      </c>
      <c r="G1300" t="s">
        <v>49</v>
      </c>
      <c r="H1300" s="1" t="s">
        <v>1573</v>
      </c>
      <c r="I1300" t="s">
        <v>1579</v>
      </c>
      <c r="J1300" s="2">
        <v>3305663</v>
      </c>
      <c r="K1300" t="s">
        <v>12</v>
      </c>
      <c r="L1300" t="s">
        <v>1649</v>
      </c>
    </row>
    <row r="1301" spans="1:12" x14ac:dyDescent="0.3">
      <c r="A1301">
        <v>1300</v>
      </c>
      <c r="B1301" t="s">
        <v>1163</v>
      </c>
      <c r="C1301">
        <v>44442.397222222222</v>
      </c>
      <c r="D1301">
        <v>2021</v>
      </c>
      <c r="E1301" t="s">
        <v>10</v>
      </c>
      <c r="F1301" t="s">
        <v>1554</v>
      </c>
      <c r="G1301" t="s">
        <v>49</v>
      </c>
      <c r="H1301" s="1" t="s">
        <v>1568</v>
      </c>
      <c r="I1301" t="s">
        <v>1579</v>
      </c>
      <c r="J1301" s="2">
        <v>2897248</v>
      </c>
      <c r="K1301" t="s">
        <v>12</v>
      </c>
      <c r="L1301" t="s">
        <v>1651</v>
      </c>
    </row>
    <row r="1302" spans="1:12" x14ac:dyDescent="0.3">
      <c r="A1302">
        <v>1301</v>
      </c>
      <c r="B1302" t="s">
        <v>1163</v>
      </c>
      <c r="C1302">
        <v>44442.398611111108</v>
      </c>
      <c r="D1302">
        <v>2021</v>
      </c>
      <c r="E1302" t="s">
        <v>10</v>
      </c>
      <c r="F1302" t="s">
        <v>1554</v>
      </c>
      <c r="G1302" t="s">
        <v>49</v>
      </c>
      <c r="H1302" s="1" t="s">
        <v>1567</v>
      </c>
      <c r="I1302" t="s">
        <v>1579</v>
      </c>
      <c r="J1302" s="2">
        <v>2868423</v>
      </c>
      <c r="K1302" t="s">
        <v>12</v>
      </c>
      <c r="L1302" t="s">
        <v>1652</v>
      </c>
    </row>
    <row r="1303" spans="1:12" x14ac:dyDescent="0.3">
      <c r="A1303">
        <v>1302</v>
      </c>
      <c r="B1303" t="s">
        <v>1164</v>
      </c>
      <c r="C1303">
        <v>44442.488194444442</v>
      </c>
      <c r="D1303">
        <v>2021</v>
      </c>
      <c r="E1303" t="s">
        <v>10</v>
      </c>
      <c r="F1303" t="s">
        <v>1554</v>
      </c>
      <c r="G1303" t="s">
        <v>339</v>
      </c>
      <c r="H1303" s="1" t="s">
        <v>1569</v>
      </c>
      <c r="I1303" t="s">
        <v>1598</v>
      </c>
      <c r="J1303" s="2">
        <v>1621206</v>
      </c>
      <c r="K1303" t="s">
        <v>53</v>
      </c>
      <c r="L1303" t="s">
        <v>1649</v>
      </c>
    </row>
    <row r="1304" spans="1:12" x14ac:dyDescent="0.3">
      <c r="A1304">
        <v>1303</v>
      </c>
      <c r="B1304" t="s">
        <v>1165</v>
      </c>
      <c r="C1304">
        <v>44442.495138888888</v>
      </c>
      <c r="D1304">
        <v>2021</v>
      </c>
      <c r="E1304" t="s">
        <v>10</v>
      </c>
      <c r="F1304" t="s">
        <v>1554</v>
      </c>
      <c r="G1304" t="s">
        <v>18</v>
      </c>
      <c r="H1304" s="1" t="s">
        <v>1574</v>
      </c>
      <c r="I1304" t="s">
        <v>1579</v>
      </c>
      <c r="J1304" s="2">
        <v>4487209</v>
      </c>
      <c r="K1304" t="s">
        <v>12</v>
      </c>
      <c r="L1304" t="s">
        <v>1652</v>
      </c>
    </row>
    <row r="1305" spans="1:12" x14ac:dyDescent="0.3">
      <c r="A1305">
        <v>1304</v>
      </c>
      <c r="B1305" t="s">
        <v>1166</v>
      </c>
      <c r="C1305">
        <v>44442.515972222223</v>
      </c>
      <c r="D1305">
        <v>2021</v>
      </c>
      <c r="E1305" t="s">
        <v>10</v>
      </c>
      <c r="F1305" t="s">
        <v>1554</v>
      </c>
      <c r="G1305" t="s">
        <v>18</v>
      </c>
      <c r="H1305" s="1" t="s">
        <v>1569</v>
      </c>
      <c r="I1305" t="s">
        <v>1579</v>
      </c>
      <c r="J1305" s="2">
        <v>3317250</v>
      </c>
      <c r="K1305" t="s">
        <v>12</v>
      </c>
      <c r="L1305" t="s">
        <v>1651</v>
      </c>
    </row>
    <row r="1306" spans="1:12" x14ac:dyDescent="0.3">
      <c r="A1306">
        <v>1305</v>
      </c>
      <c r="B1306" t="s">
        <v>769</v>
      </c>
      <c r="C1306">
        <v>44442.522222222222</v>
      </c>
      <c r="D1306">
        <v>2021</v>
      </c>
      <c r="E1306" t="s">
        <v>10</v>
      </c>
      <c r="F1306" t="s">
        <v>1554</v>
      </c>
      <c r="G1306" t="s">
        <v>18</v>
      </c>
      <c r="H1306" s="1" t="s">
        <v>1565</v>
      </c>
      <c r="I1306" t="s">
        <v>1582</v>
      </c>
      <c r="J1306" s="2">
        <v>3679106</v>
      </c>
      <c r="K1306" t="s">
        <v>16</v>
      </c>
      <c r="L1306" t="s">
        <v>1653</v>
      </c>
    </row>
    <row r="1307" spans="1:12" x14ac:dyDescent="0.3">
      <c r="A1307">
        <v>1306</v>
      </c>
      <c r="B1307" t="s">
        <v>1167</v>
      </c>
      <c r="C1307">
        <v>44442.591666666667</v>
      </c>
      <c r="D1307">
        <v>2021</v>
      </c>
      <c r="E1307" t="s">
        <v>10</v>
      </c>
      <c r="F1307" t="s">
        <v>1554</v>
      </c>
      <c r="G1307" t="s">
        <v>18</v>
      </c>
      <c r="H1307" s="1" t="s">
        <v>1569</v>
      </c>
      <c r="I1307" t="s">
        <v>1579</v>
      </c>
      <c r="J1307" s="2">
        <v>4807400</v>
      </c>
      <c r="K1307" t="s">
        <v>12</v>
      </c>
      <c r="L1307" t="s">
        <v>1651</v>
      </c>
    </row>
    <row r="1308" spans="1:12" x14ac:dyDescent="0.3">
      <c r="A1308">
        <v>1307</v>
      </c>
      <c r="B1308" t="s">
        <v>1168</v>
      </c>
      <c r="C1308">
        <v>44442.599305555559</v>
      </c>
      <c r="D1308">
        <v>2021</v>
      </c>
      <c r="E1308" t="s">
        <v>10</v>
      </c>
      <c r="F1308" t="s">
        <v>1554</v>
      </c>
      <c r="G1308" t="s">
        <v>18</v>
      </c>
      <c r="H1308" s="1" t="s">
        <v>1569</v>
      </c>
      <c r="I1308" t="s">
        <v>1603</v>
      </c>
      <c r="J1308" s="2">
        <v>3059723</v>
      </c>
      <c r="K1308" t="s">
        <v>121</v>
      </c>
      <c r="L1308" t="s">
        <v>1652</v>
      </c>
    </row>
    <row r="1309" spans="1:12" x14ac:dyDescent="0.3">
      <c r="A1309">
        <v>1308</v>
      </c>
      <c r="B1309" t="s">
        <v>1169</v>
      </c>
      <c r="C1309">
        <v>44442.611111111109</v>
      </c>
      <c r="D1309">
        <v>2021</v>
      </c>
      <c r="E1309" t="s">
        <v>10</v>
      </c>
      <c r="F1309" t="s">
        <v>1032</v>
      </c>
      <c r="G1309" t="s">
        <v>229</v>
      </c>
      <c r="H1309" s="1" t="s">
        <v>1562</v>
      </c>
      <c r="I1309" t="s">
        <v>1616</v>
      </c>
      <c r="J1309" s="2">
        <v>4538839</v>
      </c>
      <c r="K1309" t="s">
        <v>12</v>
      </c>
      <c r="L1309" t="s">
        <v>1653</v>
      </c>
    </row>
    <row r="1310" spans="1:12" x14ac:dyDescent="0.3">
      <c r="A1310">
        <v>1309</v>
      </c>
      <c r="B1310" t="s">
        <v>1170</v>
      </c>
      <c r="C1310">
        <v>44442.611805555556</v>
      </c>
      <c r="D1310">
        <v>2021</v>
      </c>
      <c r="E1310" t="s">
        <v>10</v>
      </c>
      <c r="F1310" t="s">
        <v>1032</v>
      </c>
      <c r="G1310" t="s">
        <v>18</v>
      </c>
      <c r="H1310" s="1" t="s">
        <v>1574</v>
      </c>
      <c r="I1310" t="s">
        <v>1579</v>
      </c>
      <c r="J1310" s="2">
        <v>3524333</v>
      </c>
      <c r="K1310" t="s">
        <v>12</v>
      </c>
      <c r="L1310" t="s">
        <v>1653</v>
      </c>
    </row>
    <row r="1311" spans="1:12" x14ac:dyDescent="0.3">
      <c r="A1311">
        <v>1310</v>
      </c>
      <c r="B1311" t="s">
        <v>1171</v>
      </c>
      <c r="C1311">
        <v>44442.615277777775</v>
      </c>
      <c r="D1311">
        <v>2021</v>
      </c>
      <c r="E1311" t="s">
        <v>10</v>
      </c>
      <c r="F1311" t="s">
        <v>1032</v>
      </c>
      <c r="G1311" t="s">
        <v>18</v>
      </c>
      <c r="H1311" s="1" t="s">
        <v>1568</v>
      </c>
      <c r="I1311" t="s">
        <v>1579</v>
      </c>
      <c r="J1311" s="2">
        <v>4329472</v>
      </c>
      <c r="K1311" t="s">
        <v>12</v>
      </c>
      <c r="L1311" t="s">
        <v>1652</v>
      </c>
    </row>
    <row r="1312" spans="1:12" x14ac:dyDescent="0.3">
      <c r="A1312">
        <v>1311</v>
      </c>
      <c r="B1312" t="s">
        <v>1172</v>
      </c>
      <c r="C1312">
        <v>44442.619444444441</v>
      </c>
      <c r="D1312">
        <v>2021</v>
      </c>
      <c r="E1312" t="s">
        <v>10</v>
      </c>
      <c r="F1312" t="s">
        <v>1032</v>
      </c>
      <c r="G1312" t="s">
        <v>18</v>
      </c>
      <c r="H1312" s="1" t="s">
        <v>1566</v>
      </c>
      <c r="I1312" t="s">
        <v>1579</v>
      </c>
      <c r="J1312" s="2">
        <v>1378085</v>
      </c>
      <c r="K1312" t="s">
        <v>12</v>
      </c>
      <c r="L1312" t="s">
        <v>1648</v>
      </c>
    </row>
    <row r="1313" spans="1:12" x14ac:dyDescent="0.3">
      <c r="A1313">
        <v>1312</v>
      </c>
      <c r="B1313" t="s">
        <v>1173</v>
      </c>
      <c r="C1313">
        <v>44442.643750000003</v>
      </c>
      <c r="D1313">
        <v>2021</v>
      </c>
      <c r="E1313" t="s">
        <v>10</v>
      </c>
      <c r="F1313" t="s">
        <v>1032</v>
      </c>
      <c r="G1313" t="s">
        <v>18</v>
      </c>
      <c r="H1313" s="1" t="s">
        <v>1563</v>
      </c>
      <c r="I1313" t="s">
        <v>1579</v>
      </c>
      <c r="J1313" s="2">
        <v>1057605</v>
      </c>
      <c r="K1313" t="s">
        <v>12</v>
      </c>
      <c r="L1313" t="s">
        <v>1648</v>
      </c>
    </row>
    <row r="1314" spans="1:12" x14ac:dyDescent="0.3">
      <c r="A1314">
        <v>1313</v>
      </c>
      <c r="B1314" t="s">
        <v>1174</v>
      </c>
      <c r="C1314">
        <v>44442.720833333333</v>
      </c>
      <c r="D1314">
        <v>2021</v>
      </c>
      <c r="E1314" t="s">
        <v>10</v>
      </c>
      <c r="F1314" t="s">
        <v>1032</v>
      </c>
      <c r="G1314" t="s">
        <v>339</v>
      </c>
      <c r="H1314" s="1" t="s">
        <v>1575</v>
      </c>
      <c r="I1314" t="s">
        <v>1582</v>
      </c>
      <c r="J1314" s="2">
        <v>3457692</v>
      </c>
      <c r="K1314" t="s">
        <v>16</v>
      </c>
      <c r="L1314" t="s">
        <v>1652</v>
      </c>
    </row>
    <row r="1315" spans="1:12" x14ac:dyDescent="0.3">
      <c r="A1315">
        <v>1314</v>
      </c>
      <c r="B1315" t="s">
        <v>1175</v>
      </c>
      <c r="C1315">
        <v>44445.423611111109</v>
      </c>
      <c r="D1315">
        <v>2021</v>
      </c>
      <c r="E1315" t="s">
        <v>10</v>
      </c>
      <c r="F1315" t="s">
        <v>1032</v>
      </c>
      <c r="G1315" t="s">
        <v>23</v>
      </c>
      <c r="H1315" s="1" t="s">
        <v>1575</v>
      </c>
      <c r="I1315" t="s">
        <v>1579</v>
      </c>
      <c r="J1315" s="2">
        <v>1790077</v>
      </c>
      <c r="K1315" t="s">
        <v>12</v>
      </c>
      <c r="L1315" t="s">
        <v>1652</v>
      </c>
    </row>
    <row r="1316" spans="1:12" x14ac:dyDescent="0.3">
      <c r="A1316">
        <v>1315</v>
      </c>
      <c r="B1316" t="s">
        <v>1176</v>
      </c>
      <c r="C1316">
        <v>44445.430555555555</v>
      </c>
      <c r="D1316">
        <v>2021</v>
      </c>
      <c r="E1316" t="s">
        <v>10</v>
      </c>
      <c r="F1316" t="s">
        <v>1032</v>
      </c>
      <c r="G1316" t="s">
        <v>62</v>
      </c>
      <c r="H1316" s="1" t="s">
        <v>1575</v>
      </c>
      <c r="I1316" t="s">
        <v>1589</v>
      </c>
      <c r="J1316" s="2">
        <v>1773399</v>
      </c>
      <c r="K1316" t="s">
        <v>12</v>
      </c>
      <c r="L1316" t="s">
        <v>1649</v>
      </c>
    </row>
    <row r="1317" spans="1:12" x14ac:dyDescent="0.3">
      <c r="A1317">
        <v>1316</v>
      </c>
      <c r="B1317" t="s">
        <v>1177</v>
      </c>
      <c r="C1317">
        <v>44445.515277777777</v>
      </c>
      <c r="D1317">
        <v>2021</v>
      </c>
      <c r="E1317" t="s">
        <v>10</v>
      </c>
      <c r="F1317" t="s">
        <v>1032</v>
      </c>
      <c r="G1317" t="s">
        <v>339</v>
      </c>
      <c r="H1317" s="1" t="s">
        <v>1575</v>
      </c>
      <c r="I1317" t="s">
        <v>1598</v>
      </c>
      <c r="J1317" s="2">
        <v>3485404</v>
      </c>
      <c r="K1317" t="s">
        <v>53</v>
      </c>
      <c r="L1317" t="s">
        <v>1653</v>
      </c>
    </row>
    <row r="1318" spans="1:12" x14ac:dyDescent="0.3">
      <c r="A1318">
        <v>1317</v>
      </c>
      <c r="B1318" t="s">
        <v>1178</v>
      </c>
      <c r="C1318">
        <v>44445.522916666669</v>
      </c>
      <c r="D1318">
        <v>2021</v>
      </c>
      <c r="E1318" t="s">
        <v>10</v>
      </c>
      <c r="F1318" t="s">
        <v>1032</v>
      </c>
      <c r="G1318" t="s">
        <v>290</v>
      </c>
      <c r="H1318" s="1" t="s">
        <v>1575</v>
      </c>
      <c r="I1318" t="s">
        <v>1579</v>
      </c>
      <c r="J1318" s="2">
        <v>2046826</v>
      </c>
      <c r="K1318" t="s">
        <v>12</v>
      </c>
      <c r="L1318" t="s">
        <v>1651</v>
      </c>
    </row>
    <row r="1319" spans="1:12" x14ac:dyDescent="0.3">
      <c r="A1319">
        <v>1318</v>
      </c>
      <c r="B1319" t="s">
        <v>1179</v>
      </c>
      <c r="C1319">
        <v>44445.529166666667</v>
      </c>
      <c r="D1319">
        <v>2021</v>
      </c>
      <c r="E1319" t="s">
        <v>10</v>
      </c>
      <c r="F1319" t="s">
        <v>1032</v>
      </c>
      <c r="G1319" t="s">
        <v>23</v>
      </c>
      <c r="H1319" s="1" t="s">
        <v>1575</v>
      </c>
      <c r="I1319" t="s">
        <v>1579</v>
      </c>
      <c r="J1319" s="2">
        <v>1687544</v>
      </c>
      <c r="K1319" t="s">
        <v>12</v>
      </c>
      <c r="L1319" t="s">
        <v>1649</v>
      </c>
    </row>
    <row r="1320" spans="1:12" x14ac:dyDescent="0.3">
      <c r="A1320">
        <v>1319</v>
      </c>
      <c r="B1320" t="s">
        <v>1180</v>
      </c>
      <c r="C1320">
        <v>44445.535416666666</v>
      </c>
      <c r="D1320">
        <v>2021</v>
      </c>
      <c r="E1320" t="s">
        <v>10</v>
      </c>
      <c r="F1320" t="s">
        <v>1032</v>
      </c>
      <c r="G1320" t="s">
        <v>23</v>
      </c>
      <c r="H1320" s="1" t="s">
        <v>1575</v>
      </c>
      <c r="I1320" t="s">
        <v>1579</v>
      </c>
      <c r="J1320" s="2">
        <v>1174142</v>
      </c>
      <c r="K1320" t="s">
        <v>12</v>
      </c>
      <c r="L1320" t="s">
        <v>1648</v>
      </c>
    </row>
    <row r="1321" spans="1:12" x14ac:dyDescent="0.3">
      <c r="A1321">
        <v>1320</v>
      </c>
      <c r="B1321" t="s">
        <v>1181</v>
      </c>
      <c r="C1321">
        <v>44445.609027777777</v>
      </c>
      <c r="D1321">
        <v>2021</v>
      </c>
      <c r="E1321" t="s">
        <v>10</v>
      </c>
      <c r="F1321" t="s">
        <v>1032</v>
      </c>
      <c r="G1321" t="s">
        <v>23</v>
      </c>
      <c r="H1321" s="1" t="s">
        <v>1575</v>
      </c>
      <c r="I1321" t="s">
        <v>1579</v>
      </c>
      <c r="J1321" s="2">
        <v>4321846</v>
      </c>
      <c r="K1321" t="s">
        <v>12</v>
      </c>
      <c r="L1321" t="s">
        <v>1652</v>
      </c>
    </row>
    <row r="1322" spans="1:12" x14ac:dyDescent="0.3">
      <c r="A1322">
        <v>1321</v>
      </c>
      <c r="B1322" t="s">
        <v>1182</v>
      </c>
      <c r="C1322">
        <v>44445.665972222225</v>
      </c>
      <c r="D1322">
        <v>2021</v>
      </c>
      <c r="E1322" t="s">
        <v>10</v>
      </c>
      <c r="F1322" t="s">
        <v>1032</v>
      </c>
      <c r="G1322" t="s">
        <v>21</v>
      </c>
      <c r="H1322" s="1" t="s">
        <v>1575</v>
      </c>
      <c r="I1322" t="s">
        <v>1616</v>
      </c>
      <c r="J1322" s="2">
        <v>1786227</v>
      </c>
      <c r="K1322" t="s">
        <v>12</v>
      </c>
      <c r="L1322" t="s">
        <v>1653</v>
      </c>
    </row>
    <row r="1323" spans="1:12" x14ac:dyDescent="0.3">
      <c r="A1323">
        <v>1322</v>
      </c>
      <c r="B1323" t="s">
        <v>1183</v>
      </c>
      <c r="C1323">
        <v>44446.35</v>
      </c>
      <c r="D1323">
        <v>2021</v>
      </c>
      <c r="E1323" t="s">
        <v>10</v>
      </c>
      <c r="F1323" t="s">
        <v>1032</v>
      </c>
      <c r="G1323" t="s">
        <v>15</v>
      </c>
      <c r="H1323" s="1" t="s">
        <v>1575</v>
      </c>
      <c r="I1323" t="s">
        <v>1582</v>
      </c>
      <c r="J1323" s="2">
        <v>3441656</v>
      </c>
      <c r="K1323" t="s">
        <v>16</v>
      </c>
      <c r="L1323" t="s">
        <v>1649</v>
      </c>
    </row>
    <row r="1324" spans="1:12" x14ac:dyDescent="0.3">
      <c r="A1324">
        <v>1323</v>
      </c>
      <c r="B1324" t="s">
        <v>50</v>
      </c>
      <c r="C1324">
        <v>44446.395138888889</v>
      </c>
      <c r="D1324">
        <v>2021</v>
      </c>
      <c r="E1324" t="s">
        <v>10</v>
      </c>
      <c r="F1324" t="s">
        <v>1032</v>
      </c>
      <c r="G1324" t="s">
        <v>67</v>
      </c>
      <c r="H1324" s="1" t="s">
        <v>1575</v>
      </c>
      <c r="I1324" t="s">
        <v>1591</v>
      </c>
      <c r="J1324" s="2">
        <v>2345191</v>
      </c>
      <c r="K1324" t="s">
        <v>12</v>
      </c>
      <c r="L1324" t="s">
        <v>1649</v>
      </c>
    </row>
    <row r="1325" spans="1:12" x14ac:dyDescent="0.3">
      <c r="A1325">
        <v>1324</v>
      </c>
      <c r="B1325" t="s">
        <v>1184</v>
      </c>
      <c r="C1325">
        <v>44446.481249999997</v>
      </c>
      <c r="D1325">
        <v>2021</v>
      </c>
      <c r="E1325" t="s">
        <v>10</v>
      </c>
      <c r="F1325" t="s">
        <v>1032</v>
      </c>
      <c r="G1325" t="s">
        <v>18</v>
      </c>
      <c r="H1325" s="1" t="s">
        <v>1575</v>
      </c>
      <c r="I1325" t="s">
        <v>1579</v>
      </c>
      <c r="J1325" s="2">
        <v>1461383</v>
      </c>
      <c r="K1325" t="s">
        <v>12</v>
      </c>
      <c r="L1325" t="s">
        <v>1652</v>
      </c>
    </row>
    <row r="1326" spans="1:12" x14ac:dyDescent="0.3">
      <c r="A1326">
        <v>1325</v>
      </c>
      <c r="B1326" t="s">
        <v>1185</v>
      </c>
      <c r="C1326">
        <v>44446.490277777775</v>
      </c>
      <c r="D1326">
        <v>2021</v>
      </c>
      <c r="E1326" t="s">
        <v>10</v>
      </c>
      <c r="F1326" t="s">
        <v>1552</v>
      </c>
      <c r="G1326" t="s">
        <v>18</v>
      </c>
      <c r="H1326" s="1" t="s">
        <v>1575</v>
      </c>
      <c r="I1326" t="s">
        <v>1579</v>
      </c>
      <c r="J1326" s="2">
        <v>1958373</v>
      </c>
      <c r="K1326" t="s">
        <v>12</v>
      </c>
      <c r="L1326" t="s">
        <v>1653</v>
      </c>
    </row>
    <row r="1327" spans="1:12" x14ac:dyDescent="0.3">
      <c r="A1327">
        <v>1326</v>
      </c>
      <c r="B1327" t="s">
        <v>1186</v>
      </c>
      <c r="C1327">
        <v>44446.506944444445</v>
      </c>
      <c r="D1327">
        <v>2021</v>
      </c>
      <c r="E1327" t="s">
        <v>10</v>
      </c>
      <c r="F1327" t="s">
        <v>1553</v>
      </c>
      <c r="G1327" t="s">
        <v>23</v>
      </c>
      <c r="H1327" s="1" t="s">
        <v>1575</v>
      </c>
      <c r="I1327" t="s">
        <v>1579</v>
      </c>
      <c r="J1327" s="2">
        <v>4759337</v>
      </c>
      <c r="K1327" t="s">
        <v>12</v>
      </c>
      <c r="L1327" t="s">
        <v>1652</v>
      </c>
    </row>
    <row r="1328" spans="1:12" x14ac:dyDescent="0.3">
      <c r="A1328">
        <v>1327</v>
      </c>
      <c r="B1328" t="s">
        <v>1187</v>
      </c>
      <c r="C1328">
        <v>44446.609027777777</v>
      </c>
      <c r="D1328">
        <v>2021</v>
      </c>
      <c r="E1328" t="s">
        <v>10</v>
      </c>
      <c r="F1328" t="s">
        <v>1553</v>
      </c>
      <c r="G1328" t="s">
        <v>23</v>
      </c>
      <c r="H1328" s="1" t="s">
        <v>1574</v>
      </c>
      <c r="I1328" t="s">
        <v>1579</v>
      </c>
      <c r="J1328" s="2">
        <v>1435515</v>
      </c>
      <c r="K1328" t="s">
        <v>12</v>
      </c>
      <c r="L1328" t="s">
        <v>1652</v>
      </c>
    </row>
    <row r="1329" spans="1:12" x14ac:dyDescent="0.3">
      <c r="A1329">
        <v>1328</v>
      </c>
      <c r="B1329" t="s">
        <v>1188</v>
      </c>
      <c r="C1329">
        <v>44446.615972222222</v>
      </c>
      <c r="D1329">
        <v>2021</v>
      </c>
      <c r="E1329" t="s">
        <v>10</v>
      </c>
      <c r="F1329" t="s">
        <v>1553</v>
      </c>
      <c r="G1329" t="s">
        <v>67</v>
      </c>
      <c r="H1329" s="1" t="s">
        <v>1570</v>
      </c>
      <c r="I1329" t="s">
        <v>1586</v>
      </c>
      <c r="J1329" s="2">
        <v>3814939</v>
      </c>
      <c r="K1329" t="s">
        <v>59</v>
      </c>
      <c r="L1329" t="s">
        <v>1652</v>
      </c>
    </row>
    <row r="1330" spans="1:12" x14ac:dyDescent="0.3">
      <c r="A1330">
        <v>1329</v>
      </c>
      <c r="B1330" t="s">
        <v>1189</v>
      </c>
      <c r="C1330">
        <v>44446.703472222223</v>
      </c>
      <c r="D1330">
        <v>2021</v>
      </c>
      <c r="E1330" t="s">
        <v>10</v>
      </c>
      <c r="F1330" t="s">
        <v>1553</v>
      </c>
      <c r="G1330" t="s">
        <v>11</v>
      </c>
      <c r="H1330" s="1" t="s">
        <v>1574</v>
      </c>
      <c r="I1330" t="s">
        <v>1579</v>
      </c>
      <c r="J1330" s="2">
        <v>1137006</v>
      </c>
      <c r="K1330" t="s">
        <v>12</v>
      </c>
      <c r="L1330" t="s">
        <v>1653</v>
      </c>
    </row>
    <row r="1331" spans="1:12" x14ac:dyDescent="0.3">
      <c r="A1331">
        <v>1330</v>
      </c>
      <c r="B1331" t="s">
        <v>1190</v>
      </c>
      <c r="C1331">
        <v>44446.723611111112</v>
      </c>
      <c r="D1331">
        <v>2021</v>
      </c>
      <c r="E1331" t="s">
        <v>10</v>
      </c>
      <c r="F1331" t="s">
        <v>1553</v>
      </c>
      <c r="G1331" t="s">
        <v>11</v>
      </c>
      <c r="H1331" s="1" t="s">
        <v>1564</v>
      </c>
      <c r="I1331" t="s">
        <v>1579</v>
      </c>
      <c r="J1331" s="2">
        <v>4588457</v>
      </c>
      <c r="K1331" t="s">
        <v>12</v>
      </c>
      <c r="L1331" t="s">
        <v>1651</v>
      </c>
    </row>
    <row r="1332" spans="1:12" x14ac:dyDescent="0.3">
      <c r="A1332">
        <v>1331</v>
      </c>
      <c r="B1332" t="s">
        <v>1191</v>
      </c>
      <c r="C1332">
        <v>44447.382638888892</v>
      </c>
      <c r="D1332">
        <v>2021</v>
      </c>
      <c r="E1332" t="s">
        <v>10</v>
      </c>
      <c r="F1332" t="s">
        <v>1553</v>
      </c>
      <c r="G1332" t="s">
        <v>23</v>
      </c>
      <c r="H1332" s="1" t="s">
        <v>1575</v>
      </c>
      <c r="I1332" t="s">
        <v>1579</v>
      </c>
      <c r="J1332" s="2">
        <v>1762903</v>
      </c>
      <c r="K1332" t="s">
        <v>12</v>
      </c>
      <c r="L1332" t="s">
        <v>1652</v>
      </c>
    </row>
    <row r="1333" spans="1:12" x14ac:dyDescent="0.3">
      <c r="A1333">
        <v>1332</v>
      </c>
      <c r="B1333" t="s">
        <v>1192</v>
      </c>
      <c r="C1333">
        <v>44447.431250000001</v>
      </c>
      <c r="D1333">
        <v>2021</v>
      </c>
      <c r="E1333" t="s">
        <v>10</v>
      </c>
      <c r="F1333" t="s">
        <v>1553</v>
      </c>
      <c r="G1333" t="s">
        <v>15</v>
      </c>
      <c r="H1333" s="1" t="s">
        <v>1572</v>
      </c>
      <c r="I1333" t="s">
        <v>1579</v>
      </c>
      <c r="J1333" s="2">
        <v>1454382</v>
      </c>
      <c r="K1333" t="s">
        <v>12</v>
      </c>
      <c r="L1333" t="s">
        <v>1653</v>
      </c>
    </row>
    <row r="1334" spans="1:12" x14ac:dyDescent="0.3">
      <c r="A1334">
        <v>1333</v>
      </c>
      <c r="B1334" t="s">
        <v>1193</v>
      </c>
      <c r="C1334">
        <v>44447.603472222225</v>
      </c>
      <c r="D1334">
        <v>2021</v>
      </c>
      <c r="E1334" t="s">
        <v>10</v>
      </c>
      <c r="F1334" t="s">
        <v>1553</v>
      </c>
      <c r="G1334" t="s">
        <v>18</v>
      </c>
      <c r="H1334" s="1" t="s">
        <v>1565</v>
      </c>
      <c r="I1334" t="s">
        <v>1579</v>
      </c>
      <c r="J1334" s="2">
        <v>3483336</v>
      </c>
      <c r="K1334" t="s">
        <v>12</v>
      </c>
      <c r="L1334" t="s">
        <v>1648</v>
      </c>
    </row>
    <row r="1335" spans="1:12" x14ac:dyDescent="0.3">
      <c r="A1335">
        <v>1334</v>
      </c>
      <c r="B1335" t="s">
        <v>1194</v>
      </c>
      <c r="C1335">
        <v>44447.652777777781</v>
      </c>
      <c r="D1335">
        <v>2021</v>
      </c>
      <c r="E1335" t="s">
        <v>10</v>
      </c>
      <c r="F1335" t="s">
        <v>1553</v>
      </c>
      <c r="G1335" t="s">
        <v>18</v>
      </c>
      <c r="H1335" s="1" t="s">
        <v>1569</v>
      </c>
      <c r="I1335" t="s">
        <v>1579</v>
      </c>
      <c r="J1335" s="2">
        <v>2871003</v>
      </c>
      <c r="K1335" t="s">
        <v>12</v>
      </c>
      <c r="L1335" t="s">
        <v>1653</v>
      </c>
    </row>
    <row r="1336" spans="1:12" x14ac:dyDescent="0.3">
      <c r="A1336">
        <v>1335</v>
      </c>
      <c r="B1336" t="s">
        <v>1195</v>
      </c>
      <c r="C1336">
        <v>44447.683333333334</v>
      </c>
      <c r="D1336">
        <v>2021</v>
      </c>
      <c r="E1336" t="s">
        <v>10</v>
      </c>
      <c r="F1336" t="s">
        <v>1553</v>
      </c>
      <c r="G1336" t="s">
        <v>229</v>
      </c>
      <c r="H1336" s="1" t="s">
        <v>1573</v>
      </c>
      <c r="I1336" t="s">
        <v>1635</v>
      </c>
      <c r="J1336" s="2">
        <v>4463259</v>
      </c>
      <c r="K1336" t="s">
        <v>12</v>
      </c>
      <c r="L1336" t="s">
        <v>1653</v>
      </c>
    </row>
    <row r="1337" spans="1:12" x14ac:dyDescent="0.3">
      <c r="A1337">
        <v>1336</v>
      </c>
      <c r="B1337" t="s">
        <v>1196</v>
      </c>
      <c r="C1337">
        <v>44447.710416666669</v>
      </c>
      <c r="D1337">
        <v>2021</v>
      </c>
      <c r="E1337" t="s">
        <v>10</v>
      </c>
      <c r="F1337" t="s">
        <v>1553</v>
      </c>
      <c r="G1337" t="s">
        <v>62</v>
      </c>
      <c r="H1337" s="1" t="s">
        <v>1576</v>
      </c>
      <c r="I1337" t="s">
        <v>1603</v>
      </c>
      <c r="J1337" s="2">
        <v>4455838</v>
      </c>
      <c r="K1337" t="s">
        <v>121</v>
      </c>
      <c r="L1337" t="s">
        <v>1653</v>
      </c>
    </row>
    <row r="1338" spans="1:12" x14ac:dyDescent="0.3">
      <c r="A1338">
        <v>1337</v>
      </c>
      <c r="B1338" t="s">
        <v>1197</v>
      </c>
      <c r="C1338">
        <v>44447.718055555553</v>
      </c>
      <c r="D1338">
        <v>2021</v>
      </c>
      <c r="E1338" t="s">
        <v>10</v>
      </c>
      <c r="F1338" t="s">
        <v>1553</v>
      </c>
      <c r="G1338" t="s">
        <v>62</v>
      </c>
      <c r="H1338" s="1" t="s">
        <v>1571</v>
      </c>
      <c r="I1338" t="s">
        <v>1603</v>
      </c>
      <c r="J1338" s="2">
        <v>1930640</v>
      </c>
      <c r="K1338" t="s">
        <v>121</v>
      </c>
      <c r="L1338" t="s">
        <v>1653</v>
      </c>
    </row>
    <row r="1339" spans="1:12" x14ac:dyDescent="0.3">
      <c r="A1339">
        <v>1338</v>
      </c>
      <c r="B1339" t="s">
        <v>1198</v>
      </c>
      <c r="C1339">
        <v>44448.349305555559</v>
      </c>
      <c r="D1339">
        <v>2021</v>
      </c>
      <c r="E1339" t="s">
        <v>10</v>
      </c>
      <c r="F1339" t="s">
        <v>1553</v>
      </c>
      <c r="G1339" t="s">
        <v>18</v>
      </c>
      <c r="H1339" s="1" t="s">
        <v>1574</v>
      </c>
      <c r="I1339" t="s">
        <v>1579</v>
      </c>
      <c r="J1339" s="2">
        <v>3053038</v>
      </c>
      <c r="K1339" t="s">
        <v>12</v>
      </c>
      <c r="L1339" t="s">
        <v>1651</v>
      </c>
    </row>
    <row r="1340" spans="1:12" x14ac:dyDescent="0.3">
      <c r="A1340">
        <v>1339</v>
      </c>
      <c r="B1340" t="s">
        <v>1199</v>
      </c>
      <c r="C1340">
        <v>44448.368055555555</v>
      </c>
      <c r="D1340">
        <v>2021</v>
      </c>
      <c r="E1340" t="s">
        <v>10</v>
      </c>
      <c r="F1340" t="s">
        <v>1553</v>
      </c>
      <c r="G1340" t="s">
        <v>23</v>
      </c>
      <c r="H1340" s="1" t="s">
        <v>1564</v>
      </c>
      <c r="I1340" t="s">
        <v>1579</v>
      </c>
      <c r="J1340" s="2">
        <v>2855085</v>
      </c>
      <c r="K1340" t="s">
        <v>12</v>
      </c>
      <c r="L1340" t="s">
        <v>1651</v>
      </c>
    </row>
    <row r="1341" spans="1:12" x14ac:dyDescent="0.3">
      <c r="A1341">
        <v>1340</v>
      </c>
      <c r="B1341" t="s">
        <v>1200</v>
      </c>
      <c r="C1341">
        <v>44448.436805555553</v>
      </c>
      <c r="D1341">
        <v>2021</v>
      </c>
      <c r="E1341" t="s">
        <v>10</v>
      </c>
      <c r="F1341" t="s">
        <v>1553</v>
      </c>
      <c r="G1341" t="s">
        <v>62</v>
      </c>
      <c r="H1341" s="1" t="s">
        <v>1576</v>
      </c>
      <c r="I1341" t="s">
        <v>1579</v>
      </c>
      <c r="J1341" s="2">
        <v>2468206</v>
      </c>
      <c r="K1341" t="s">
        <v>12</v>
      </c>
      <c r="L1341" t="s">
        <v>1652</v>
      </c>
    </row>
    <row r="1342" spans="1:12" x14ac:dyDescent="0.3">
      <c r="A1342">
        <v>1341</v>
      </c>
      <c r="B1342" t="s">
        <v>1201</v>
      </c>
      <c r="C1342">
        <v>44448.49722222222</v>
      </c>
      <c r="D1342">
        <v>2021</v>
      </c>
      <c r="E1342" t="s">
        <v>10</v>
      </c>
      <c r="F1342" t="s">
        <v>1553</v>
      </c>
      <c r="G1342" t="s">
        <v>62</v>
      </c>
      <c r="H1342" s="1" t="s">
        <v>1564</v>
      </c>
      <c r="I1342" t="s">
        <v>1579</v>
      </c>
      <c r="J1342" s="2">
        <v>1835369</v>
      </c>
      <c r="K1342" t="s">
        <v>12</v>
      </c>
      <c r="L1342" t="s">
        <v>1650</v>
      </c>
    </row>
    <row r="1343" spans="1:12" x14ac:dyDescent="0.3">
      <c r="A1343">
        <v>1342</v>
      </c>
      <c r="B1343" t="s">
        <v>1202</v>
      </c>
      <c r="C1343">
        <v>44448.518750000003</v>
      </c>
      <c r="D1343">
        <v>2021</v>
      </c>
      <c r="E1343" t="s">
        <v>10</v>
      </c>
      <c r="F1343" t="s">
        <v>1553</v>
      </c>
      <c r="G1343" t="s">
        <v>49</v>
      </c>
      <c r="H1343" s="1" t="s">
        <v>1562</v>
      </c>
      <c r="I1343" t="s">
        <v>1582</v>
      </c>
      <c r="J1343" s="2">
        <v>3703610</v>
      </c>
      <c r="K1343" t="s">
        <v>16</v>
      </c>
      <c r="L1343" t="s">
        <v>1651</v>
      </c>
    </row>
    <row r="1344" spans="1:12" x14ac:dyDescent="0.3">
      <c r="A1344">
        <v>1343</v>
      </c>
      <c r="B1344" t="s">
        <v>1203</v>
      </c>
      <c r="C1344">
        <v>44448.621527777781</v>
      </c>
      <c r="D1344">
        <v>2021</v>
      </c>
      <c r="E1344" t="s">
        <v>10</v>
      </c>
      <c r="F1344" t="s">
        <v>1552</v>
      </c>
      <c r="G1344" t="s">
        <v>18</v>
      </c>
      <c r="H1344" s="1" t="s">
        <v>1566</v>
      </c>
      <c r="I1344" t="s">
        <v>1579</v>
      </c>
      <c r="J1344" s="2">
        <v>3589702</v>
      </c>
      <c r="K1344" t="s">
        <v>12</v>
      </c>
      <c r="L1344" t="s">
        <v>1652</v>
      </c>
    </row>
    <row r="1345" spans="1:12" x14ac:dyDescent="0.3">
      <c r="A1345">
        <v>1344</v>
      </c>
      <c r="B1345" t="s">
        <v>50</v>
      </c>
      <c r="C1345">
        <v>44448.658333333333</v>
      </c>
      <c r="D1345">
        <v>2021</v>
      </c>
      <c r="E1345" t="s">
        <v>10</v>
      </c>
      <c r="F1345" t="s">
        <v>80</v>
      </c>
      <c r="G1345" t="s">
        <v>67</v>
      </c>
      <c r="H1345" s="1" t="s">
        <v>1575</v>
      </c>
      <c r="I1345" t="s">
        <v>1591</v>
      </c>
      <c r="J1345" s="2">
        <v>2989700</v>
      </c>
      <c r="K1345" t="s">
        <v>12</v>
      </c>
      <c r="L1345" t="s">
        <v>1653</v>
      </c>
    </row>
    <row r="1346" spans="1:12" x14ac:dyDescent="0.3">
      <c r="A1346">
        <v>1345</v>
      </c>
      <c r="B1346" t="s">
        <v>1204</v>
      </c>
      <c r="C1346">
        <v>44449.356944444444</v>
      </c>
      <c r="D1346">
        <v>2021</v>
      </c>
      <c r="E1346" t="s">
        <v>10</v>
      </c>
      <c r="F1346" t="s">
        <v>1552</v>
      </c>
      <c r="G1346" t="s">
        <v>18</v>
      </c>
      <c r="H1346" s="1" t="s">
        <v>1570</v>
      </c>
      <c r="I1346" t="s">
        <v>1579</v>
      </c>
      <c r="J1346" s="2">
        <v>1005277</v>
      </c>
      <c r="K1346" t="s">
        <v>12</v>
      </c>
      <c r="L1346" t="s">
        <v>1650</v>
      </c>
    </row>
    <row r="1347" spans="1:12" x14ac:dyDescent="0.3">
      <c r="A1347">
        <v>1346</v>
      </c>
      <c r="B1347" t="s">
        <v>50</v>
      </c>
      <c r="C1347">
        <v>44449.428472222222</v>
      </c>
      <c r="D1347">
        <v>2021</v>
      </c>
      <c r="E1347" t="s">
        <v>10</v>
      </c>
      <c r="F1347" t="s">
        <v>48</v>
      </c>
      <c r="G1347" t="s">
        <v>49</v>
      </c>
      <c r="H1347" s="1" t="s">
        <v>1566</v>
      </c>
      <c r="I1347" t="s">
        <v>1591</v>
      </c>
      <c r="J1347" s="2">
        <v>2903788</v>
      </c>
      <c r="K1347" t="s">
        <v>12</v>
      </c>
      <c r="L1347" t="s">
        <v>1652</v>
      </c>
    </row>
    <row r="1348" spans="1:12" x14ac:dyDescent="0.3">
      <c r="A1348">
        <v>1347</v>
      </c>
      <c r="B1348" t="s">
        <v>1205</v>
      </c>
      <c r="C1348">
        <v>44449.456250000003</v>
      </c>
      <c r="D1348">
        <v>2021</v>
      </c>
      <c r="E1348" t="s">
        <v>10</v>
      </c>
      <c r="F1348" t="s">
        <v>874</v>
      </c>
      <c r="G1348" t="s">
        <v>21</v>
      </c>
      <c r="H1348" s="1" t="s">
        <v>1562</v>
      </c>
      <c r="I1348" t="s">
        <v>1616</v>
      </c>
      <c r="J1348" s="2">
        <v>3578573</v>
      </c>
      <c r="K1348" t="s">
        <v>12</v>
      </c>
      <c r="L1348" t="s">
        <v>1648</v>
      </c>
    </row>
    <row r="1349" spans="1:12" x14ac:dyDescent="0.3">
      <c r="A1349">
        <v>1348</v>
      </c>
      <c r="B1349" t="s">
        <v>1206</v>
      </c>
      <c r="C1349">
        <v>44449.461111111108</v>
      </c>
      <c r="D1349">
        <v>2021</v>
      </c>
      <c r="E1349" t="s">
        <v>10</v>
      </c>
      <c r="F1349" t="s">
        <v>1554</v>
      </c>
      <c r="G1349" t="s">
        <v>62</v>
      </c>
      <c r="H1349" s="1" t="s">
        <v>1573</v>
      </c>
      <c r="I1349" t="s">
        <v>1634</v>
      </c>
      <c r="J1349" s="2">
        <v>1497566</v>
      </c>
      <c r="K1349" t="s">
        <v>121</v>
      </c>
      <c r="L1349" t="s">
        <v>1650</v>
      </c>
    </row>
    <row r="1350" spans="1:12" x14ac:dyDescent="0.3">
      <c r="A1350">
        <v>1349</v>
      </c>
      <c r="B1350" t="s">
        <v>1202</v>
      </c>
      <c r="C1350">
        <v>44449.621527777781</v>
      </c>
      <c r="D1350">
        <v>2021</v>
      </c>
      <c r="E1350" t="s">
        <v>10</v>
      </c>
      <c r="F1350" t="s">
        <v>1554</v>
      </c>
      <c r="G1350" t="s">
        <v>49</v>
      </c>
      <c r="H1350" s="1" t="s">
        <v>1571</v>
      </c>
      <c r="I1350" t="s">
        <v>1582</v>
      </c>
      <c r="J1350" s="2">
        <v>2900039</v>
      </c>
      <c r="K1350" t="s">
        <v>16</v>
      </c>
      <c r="L1350" t="s">
        <v>1650</v>
      </c>
    </row>
    <row r="1351" spans="1:12" x14ac:dyDescent="0.3">
      <c r="A1351">
        <v>1350</v>
      </c>
      <c r="B1351" t="s">
        <v>1207</v>
      </c>
      <c r="C1351">
        <v>44449.658333333333</v>
      </c>
      <c r="D1351">
        <v>2021</v>
      </c>
      <c r="E1351" t="s">
        <v>10</v>
      </c>
      <c r="F1351" t="s">
        <v>1554</v>
      </c>
      <c r="G1351" t="s">
        <v>15</v>
      </c>
      <c r="H1351" s="1" t="s">
        <v>1572</v>
      </c>
      <c r="I1351" t="s">
        <v>1579</v>
      </c>
      <c r="J1351" s="2">
        <v>4233399</v>
      </c>
      <c r="K1351" t="s">
        <v>12</v>
      </c>
      <c r="L1351" t="s">
        <v>1649</v>
      </c>
    </row>
    <row r="1352" spans="1:12" x14ac:dyDescent="0.3">
      <c r="A1352">
        <v>1351</v>
      </c>
      <c r="B1352" t="s">
        <v>1208</v>
      </c>
      <c r="C1352">
        <v>44452.495833333334</v>
      </c>
      <c r="D1352">
        <v>2021</v>
      </c>
      <c r="E1352" t="s">
        <v>10</v>
      </c>
      <c r="F1352" t="s">
        <v>1554</v>
      </c>
      <c r="G1352" t="s">
        <v>23</v>
      </c>
      <c r="H1352" s="1" t="s">
        <v>1562</v>
      </c>
      <c r="I1352" t="s">
        <v>1579</v>
      </c>
      <c r="J1352" s="2">
        <v>4074796</v>
      </c>
      <c r="K1352" t="s">
        <v>12</v>
      </c>
      <c r="L1352" t="s">
        <v>1648</v>
      </c>
    </row>
    <row r="1353" spans="1:12" x14ac:dyDescent="0.3">
      <c r="A1353">
        <v>1352</v>
      </c>
      <c r="B1353" t="s">
        <v>1209</v>
      </c>
      <c r="C1353">
        <v>44452.496527777781</v>
      </c>
      <c r="D1353">
        <v>2021</v>
      </c>
      <c r="E1353" t="s">
        <v>10</v>
      </c>
      <c r="F1353" t="s">
        <v>1554</v>
      </c>
      <c r="G1353" t="s">
        <v>15</v>
      </c>
      <c r="H1353" s="1" t="s">
        <v>1566</v>
      </c>
      <c r="I1353" t="s">
        <v>1579</v>
      </c>
      <c r="J1353" s="2">
        <v>2457424</v>
      </c>
      <c r="K1353" t="s">
        <v>12</v>
      </c>
      <c r="L1353" t="s">
        <v>1650</v>
      </c>
    </row>
    <row r="1354" spans="1:12" x14ac:dyDescent="0.3">
      <c r="A1354">
        <v>1353</v>
      </c>
      <c r="B1354" t="s">
        <v>1210</v>
      </c>
      <c r="C1354">
        <v>44452.498611111114</v>
      </c>
      <c r="D1354">
        <v>2021</v>
      </c>
      <c r="E1354" t="s">
        <v>10</v>
      </c>
      <c r="F1354" t="s">
        <v>1554</v>
      </c>
      <c r="G1354" t="s">
        <v>23</v>
      </c>
      <c r="H1354" s="1" t="s">
        <v>1565</v>
      </c>
      <c r="I1354" t="s">
        <v>1579</v>
      </c>
      <c r="J1354" s="2">
        <v>1559649</v>
      </c>
      <c r="K1354" t="s">
        <v>12</v>
      </c>
      <c r="L1354" t="s">
        <v>1648</v>
      </c>
    </row>
    <row r="1355" spans="1:12" x14ac:dyDescent="0.3">
      <c r="A1355">
        <v>1354</v>
      </c>
      <c r="B1355" t="s">
        <v>1211</v>
      </c>
      <c r="C1355">
        <v>44452.519444444442</v>
      </c>
      <c r="D1355">
        <v>2021</v>
      </c>
      <c r="E1355" t="s">
        <v>10</v>
      </c>
      <c r="F1355" t="s">
        <v>1554</v>
      </c>
      <c r="G1355" t="s">
        <v>23</v>
      </c>
      <c r="H1355" s="1" t="s">
        <v>1571</v>
      </c>
      <c r="I1355" t="s">
        <v>1579</v>
      </c>
      <c r="J1355" s="2">
        <v>2895588</v>
      </c>
      <c r="K1355" t="s">
        <v>12</v>
      </c>
      <c r="L1355" t="s">
        <v>1649</v>
      </c>
    </row>
    <row r="1356" spans="1:12" x14ac:dyDescent="0.3">
      <c r="A1356">
        <v>1355</v>
      </c>
      <c r="B1356" t="s">
        <v>769</v>
      </c>
      <c r="C1356">
        <v>44452.588888888888</v>
      </c>
      <c r="D1356">
        <v>2021</v>
      </c>
      <c r="E1356" t="s">
        <v>10</v>
      </c>
      <c r="F1356" t="s">
        <v>1554</v>
      </c>
      <c r="G1356" t="s">
        <v>18</v>
      </c>
      <c r="H1356" s="1" t="s">
        <v>1566</v>
      </c>
      <c r="I1356" t="s">
        <v>1582</v>
      </c>
      <c r="J1356" s="2">
        <v>3456110</v>
      </c>
      <c r="K1356" t="s">
        <v>16</v>
      </c>
      <c r="L1356" t="s">
        <v>1651</v>
      </c>
    </row>
    <row r="1357" spans="1:12" x14ac:dyDescent="0.3">
      <c r="A1357">
        <v>1356</v>
      </c>
      <c r="B1357" t="s">
        <v>769</v>
      </c>
      <c r="C1357">
        <v>44452.590277777781</v>
      </c>
      <c r="D1357">
        <v>2021</v>
      </c>
      <c r="E1357" t="s">
        <v>10</v>
      </c>
      <c r="F1357" t="s">
        <v>1554</v>
      </c>
      <c r="G1357" t="s">
        <v>18</v>
      </c>
      <c r="H1357" s="1" t="s">
        <v>1575</v>
      </c>
      <c r="I1357" t="s">
        <v>1582</v>
      </c>
      <c r="J1357" s="2">
        <v>4236767</v>
      </c>
      <c r="K1357" t="s">
        <v>16</v>
      </c>
      <c r="L1357" t="s">
        <v>1649</v>
      </c>
    </row>
    <row r="1358" spans="1:12" x14ac:dyDescent="0.3">
      <c r="A1358">
        <v>1357</v>
      </c>
      <c r="B1358" t="s">
        <v>1212</v>
      </c>
      <c r="C1358">
        <v>44452.7</v>
      </c>
      <c r="D1358">
        <v>2021</v>
      </c>
      <c r="E1358" t="s">
        <v>10</v>
      </c>
      <c r="F1358" t="s">
        <v>1554</v>
      </c>
      <c r="G1358" t="s">
        <v>15</v>
      </c>
      <c r="H1358" s="1" t="s">
        <v>1568</v>
      </c>
      <c r="I1358" t="s">
        <v>1579</v>
      </c>
      <c r="J1358" s="2">
        <v>3527402</v>
      </c>
      <c r="K1358" t="s">
        <v>12</v>
      </c>
      <c r="L1358" t="s">
        <v>1650</v>
      </c>
    </row>
    <row r="1359" spans="1:12" x14ac:dyDescent="0.3">
      <c r="A1359">
        <v>1358</v>
      </c>
      <c r="B1359" t="s">
        <v>1201</v>
      </c>
      <c r="C1359">
        <v>44453.679861111108</v>
      </c>
      <c r="D1359">
        <v>2021</v>
      </c>
      <c r="E1359" t="s">
        <v>10</v>
      </c>
      <c r="F1359" t="s">
        <v>1554</v>
      </c>
      <c r="G1359" t="s">
        <v>62</v>
      </c>
      <c r="H1359" s="1" t="s">
        <v>1562</v>
      </c>
      <c r="I1359" t="s">
        <v>1579</v>
      </c>
      <c r="J1359" s="2">
        <v>1553921</v>
      </c>
      <c r="K1359" t="s">
        <v>12</v>
      </c>
      <c r="L1359" t="s">
        <v>1651</v>
      </c>
    </row>
    <row r="1360" spans="1:12" x14ac:dyDescent="0.3">
      <c r="A1360">
        <v>1359</v>
      </c>
      <c r="B1360" t="s">
        <v>1213</v>
      </c>
      <c r="C1360">
        <v>44453.700694444444</v>
      </c>
      <c r="D1360">
        <v>2021</v>
      </c>
      <c r="E1360" t="s">
        <v>10</v>
      </c>
      <c r="F1360" t="s">
        <v>1554</v>
      </c>
      <c r="G1360" t="s">
        <v>11</v>
      </c>
      <c r="H1360" s="1" t="s">
        <v>1569</v>
      </c>
      <c r="I1360" t="s">
        <v>1577</v>
      </c>
      <c r="J1360" s="2">
        <v>2139105</v>
      </c>
      <c r="K1360" t="s">
        <v>121</v>
      </c>
      <c r="L1360" t="s">
        <v>1650</v>
      </c>
    </row>
    <row r="1361" spans="1:12" x14ac:dyDescent="0.3">
      <c r="A1361">
        <v>1360</v>
      </c>
      <c r="B1361" t="s">
        <v>1214</v>
      </c>
      <c r="C1361">
        <v>44453.706250000003</v>
      </c>
      <c r="D1361">
        <v>2021</v>
      </c>
      <c r="E1361" t="s">
        <v>10</v>
      </c>
      <c r="F1361" t="s">
        <v>1554</v>
      </c>
      <c r="G1361" t="s">
        <v>15</v>
      </c>
      <c r="H1361" s="1" t="s">
        <v>1563</v>
      </c>
      <c r="I1361" t="s">
        <v>1587</v>
      </c>
      <c r="J1361" s="2">
        <v>1075458</v>
      </c>
      <c r="K1361" t="s">
        <v>12</v>
      </c>
      <c r="L1361" t="s">
        <v>1649</v>
      </c>
    </row>
    <row r="1362" spans="1:12" x14ac:dyDescent="0.3">
      <c r="A1362">
        <v>1361</v>
      </c>
      <c r="B1362" t="s">
        <v>1215</v>
      </c>
      <c r="C1362">
        <v>44454.490972222222</v>
      </c>
      <c r="D1362">
        <v>2021</v>
      </c>
      <c r="E1362" t="s">
        <v>10</v>
      </c>
      <c r="F1362" t="s">
        <v>1554</v>
      </c>
      <c r="G1362" t="s">
        <v>358</v>
      </c>
      <c r="H1362" s="1" t="s">
        <v>1566</v>
      </c>
      <c r="I1362" t="s">
        <v>1579</v>
      </c>
      <c r="J1362" s="2">
        <v>1660193</v>
      </c>
      <c r="K1362" t="s">
        <v>12</v>
      </c>
      <c r="L1362" t="s">
        <v>1648</v>
      </c>
    </row>
    <row r="1363" spans="1:12" x14ac:dyDescent="0.3">
      <c r="A1363">
        <v>1362</v>
      </c>
      <c r="B1363" t="s">
        <v>1216</v>
      </c>
      <c r="C1363">
        <v>44454.520833333336</v>
      </c>
      <c r="D1363">
        <v>2021</v>
      </c>
      <c r="E1363" t="s">
        <v>10</v>
      </c>
      <c r="F1363" t="s">
        <v>1554</v>
      </c>
      <c r="G1363" t="s">
        <v>42</v>
      </c>
      <c r="H1363" s="1" t="s">
        <v>1569</v>
      </c>
      <c r="I1363" t="s">
        <v>1579</v>
      </c>
      <c r="J1363" s="2">
        <v>3136865</v>
      </c>
      <c r="K1363" t="s">
        <v>12</v>
      </c>
      <c r="L1363" t="s">
        <v>1648</v>
      </c>
    </row>
    <row r="1364" spans="1:12" x14ac:dyDescent="0.3">
      <c r="A1364">
        <v>1363</v>
      </c>
      <c r="B1364" t="s">
        <v>1217</v>
      </c>
      <c r="C1364">
        <v>44454.529166666667</v>
      </c>
      <c r="D1364">
        <v>2021</v>
      </c>
      <c r="E1364" t="s">
        <v>10</v>
      </c>
      <c r="F1364" t="s">
        <v>1554</v>
      </c>
      <c r="G1364" t="s">
        <v>18</v>
      </c>
      <c r="H1364" s="1" t="s">
        <v>1572</v>
      </c>
      <c r="I1364" t="s">
        <v>1579</v>
      </c>
      <c r="J1364" s="2">
        <v>1012208</v>
      </c>
      <c r="K1364" t="s">
        <v>12</v>
      </c>
      <c r="L1364" t="s">
        <v>1653</v>
      </c>
    </row>
    <row r="1365" spans="1:12" x14ac:dyDescent="0.3">
      <c r="A1365">
        <v>1364</v>
      </c>
      <c r="B1365" t="s">
        <v>1218</v>
      </c>
      <c r="C1365">
        <v>44454.535416666666</v>
      </c>
      <c r="D1365">
        <v>2021</v>
      </c>
      <c r="E1365" t="s">
        <v>10</v>
      </c>
      <c r="F1365" t="s">
        <v>1554</v>
      </c>
      <c r="G1365" t="s">
        <v>18</v>
      </c>
      <c r="H1365" s="1" t="s">
        <v>1563</v>
      </c>
      <c r="I1365" t="s">
        <v>1579</v>
      </c>
      <c r="J1365" s="2">
        <v>4184268</v>
      </c>
      <c r="K1365" t="s">
        <v>12</v>
      </c>
      <c r="L1365" t="s">
        <v>1650</v>
      </c>
    </row>
    <row r="1366" spans="1:12" x14ac:dyDescent="0.3">
      <c r="A1366">
        <v>1365</v>
      </c>
      <c r="B1366" t="s">
        <v>1219</v>
      </c>
      <c r="C1366">
        <v>44454.538888888892</v>
      </c>
      <c r="D1366">
        <v>2021</v>
      </c>
      <c r="E1366" t="s">
        <v>10</v>
      </c>
      <c r="F1366" t="s">
        <v>1554</v>
      </c>
      <c r="G1366" t="s">
        <v>18</v>
      </c>
      <c r="H1366" s="1" t="s">
        <v>1563</v>
      </c>
      <c r="I1366" t="s">
        <v>1579</v>
      </c>
      <c r="J1366" s="2">
        <v>1029655</v>
      </c>
      <c r="K1366" t="s">
        <v>12</v>
      </c>
      <c r="L1366" t="s">
        <v>1651</v>
      </c>
    </row>
    <row r="1367" spans="1:12" x14ac:dyDescent="0.3">
      <c r="A1367">
        <v>1366</v>
      </c>
      <c r="B1367" t="s">
        <v>1220</v>
      </c>
      <c r="C1367">
        <v>44454.645138888889</v>
      </c>
      <c r="D1367">
        <v>2021</v>
      </c>
      <c r="E1367" t="s">
        <v>10</v>
      </c>
      <c r="F1367" t="s">
        <v>1554</v>
      </c>
      <c r="G1367" t="s">
        <v>18</v>
      </c>
      <c r="H1367" s="1" t="s">
        <v>1565</v>
      </c>
      <c r="I1367" t="s">
        <v>1584</v>
      </c>
      <c r="J1367" s="2">
        <v>4862161</v>
      </c>
      <c r="K1367" t="s">
        <v>12</v>
      </c>
      <c r="L1367" t="s">
        <v>1649</v>
      </c>
    </row>
    <row r="1368" spans="1:12" x14ac:dyDescent="0.3">
      <c r="A1368">
        <v>1367</v>
      </c>
      <c r="B1368" t="s">
        <v>1221</v>
      </c>
      <c r="C1368">
        <v>44454.699305555558</v>
      </c>
      <c r="D1368">
        <v>2021</v>
      </c>
      <c r="E1368" t="s">
        <v>10</v>
      </c>
      <c r="F1368" t="s">
        <v>1554</v>
      </c>
      <c r="G1368" t="s">
        <v>290</v>
      </c>
      <c r="H1368" s="1" t="s">
        <v>1575</v>
      </c>
      <c r="I1368" t="s">
        <v>1579</v>
      </c>
      <c r="J1368" s="2">
        <v>2160737</v>
      </c>
      <c r="K1368" t="s">
        <v>12</v>
      </c>
      <c r="L1368" t="s">
        <v>1650</v>
      </c>
    </row>
    <row r="1369" spans="1:12" x14ac:dyDescent="0.3">
      <c r="A1369">
        <v>1368</v>
      </c>
      <c r="B1369" t="s">
        <v>769</v>
      </c>
      <c r="C1369">
        <v>44455.322916666664</v>
      </c>
      <c r="D1369">
        <v>2021</v>
      </c>
      <c r="E1369" t="s">
        <v>10</v>
      </c>
      <c r="F1369" t="s">
        <v>1552</v>
      </c>
      <c r="G1369" t="s">
        <v>18</v>
      </c>
      <c r="H1369" s="1" t="s">
        <v>1567</v>
      </c>
      <c r="I1369" t="s">
        <v>1582</v>
      </c>
      <c r="J1369" s="2">
        <v>2924312</v>
      </c>
      <c r="K1369" t="s">
        <v>16</v>
      </c>
      <c r="L1369" t="s">
        <v>1651</v>
      </c>
    </row>
    <row r="1370" spans="1:12" x14ac:dyDescent="0.3">
      <c r="A1370">
        <v>1369</v>
      </c>
      <c r="B1370" t="s">
        <v>769</v>
      </c>
      <c r="C1370">
        <v>44455.325694444444</v>
      </c>
      <c r="D1370">
        <v>2021</v>
      </c>
      <c r="E1370" t="s">
        <v>10</v>
      </c>
      <c r="F1370" t="s">
        <v>1552</v>
      </c>
      <c r="G1370" t="s">
        <v>18</v>
      </c>
      <c r="H1370" s="1" t="s">
        <v>1570</v>
      </c>
      <c r="I1370" t="s">
        <v>1582</v>
      </c>
      <c r="J1370" s="2">
        <v>4706491</v>
      </c>
      <c r="K1370" t="s">
        <v>16</v>
      </c>
      <c r="L1370" t="s">
        <v>1649</v>
      </c>
    </row>
    <row r="1371" spans="1:12" x14ac:dyDescent="0.3">
      <c r="A1371">
        <v>1370</v>
      </c>
      <c r="B1371" t="s">
        <v>1222</v>
      </c>
      <c r="C1371">
        <v>44455.367361111108</v>
      </c>
      <c r="D1371">
        <v>2021</v>
      </c>
      <c r="E1371" t="s">
        <v>10</v>
      </c>
      <c r="F1371" t="s">
        <v>1032</v>
      </c>
      <c r="G1371" t="s">
        <v>290</v>
      </c>
      <c r="H1371" s="1" t="s">
        <v>1565</v>
      </c>
      <c r="I1371" t="s">
        <v>1579</v>
      </c>
      <c r="J1371" s="2">
        <v>3854378</v>
      </c>
      <c r="K1371" t="s">
        <v>12</v>
      </c>
      <c r="L1371" t="s">
        <v>1648</v>
      </c>
    </row>
    <row r="1372" spans="1:12" x14ac:dyDescent="0.3">
      <c r="A1372">
        <v>1371</v>
      </c>
      <c r="B1372" t="s">
        <v>1223</v>
      </c>
      <c r="C1372">
        <v>44455.368055555555</v>
      </c>
      <c r="D1372">
        <v>2021</v>
      </c>
      <c r="E1372" t="s">
        <v>10</v>
      </c>
      <c r="F1372" t="s">
        <v>1032</v>
      </c>
      <c r="G1372" t="s">
        <v>290</v>
      </c>
      <c r="H1372" s="1" t="s">
        <v>1570</v>
      </c>
      <c r="I1372" t="s">
        <v>1579</v>
      </c>
      <c r="J1372" s="2">
        <v>4551658</v>
      </c>
      <c r="K1372" t="s">
        <v>12</v>
      </c>
      <c r="L1372" t="s">
        <v>1653</v>
      </c>
    </row>
    <row r="1373" spans="1:12" x14ac:dyDescent="0.3">
      <c r="A1373">
        <v>1372</v>
      </c>
      <c r="B1373" t="s">
        <v>1224</v>
      </c>
      <c r="C1373">
        <v>44455.368055555555</v>
      </c>
      <c r="D1373">
        <v>2021</v>
      </c>
      <c r="E1373" t="s">
        <v>10</v>
      </c>
      <c r="F1373" t="s">
        <v>1032</v>
      </c>
      <c r="G1373" t="s">
        <v>15</v>
      </c>
      <c r="H1373" s="1" t="s">
        <v>1570</v>
      </c>
      <c r="I1373" t="s">
        <v>1579</v>
      </c>
      <c r="J1373" s="2">
        <v>2387740</v>
      </c>
      <c r="K1373" t="s">
        <v>12</v>
      </c>
      <c r="L1373" t="s">
        <v>1649</v>
      </c>
    </row>
    <row r="1374" spans="1:12" x14ac:dyDescent="0.3">
      <c r="A1374">
        <v>1373</v>
      </c>
      <c r="B1374" t="s">
        <v>1225</v>
      </c>
      <c r="C1374">
        <v>44455.377083333333</v>
      </c>
      <c r="D1374">
        <v>2021</v>
      </c>
      <c r="E1374" t="s">
        <v>10</v>
      </c>
      <c r="F1374" t="s">
        <v>1032</v>
      </c>
      <c r="G1374" t="s">
        <v>57</v>
      </c>
      <c r="H1374" s="1" t="s">
        <v>1569</v>
      </c>
      <c r="I1374" t="s">
        <v>1636</v>
      </c>
      <c r="J1374" s="2">
        <v>4550177</v>
      </c>
      <c r="K1374" t="s">
        <v>16</v>
      </c>
      <c r="L1374" t="s">
        <v>1648</v>
      </c>
    </row>
    <row r="1375" spans="1:12" x14ac:dyDescent="0.3">
      <c r="A1375">
        <v>1374</v>
      </c>
      <c r="B1375" t="s">
        <v>1226</v>
      </c>
      <c r="C1375">
        <v>44455.404861111114</v>
      </c>
      <c r="D1375">
        <v>2021</v>
      </c>
      <c r="E1375" t="s">
        <v>10</v>
      </c>
      <c r="F1375" t="s">
        <v>1032</v>
      </c>
      <c r="G1375" t="s">
        <v>11</v>
      </c>
      <c r="H1375" s="1" t="s">
        <v>1566</v>
      </c>
      <c r="I1375" t="s">
        <v>1577</v>
      </c>
      <c r="J1375" s="2">
        <v>1216361</v>
      </c>
      <c r="K1375" t="s">
        <v>121</v>
      </c>
      <c r="L1375" t="s">
        <v>1650</v>
      </c>
    </row>
    <row r="1376" spans="1:12" x14ac:dyDescent="0.3">
      <c r="A1376">
        <v>1375</v>
      </c>
      <c r="B1376" t="s">
        <v>1227</v>
      </c>
      <c r="C1376">
        <v>44455.52847222222</v>
      </c>
      <c r="D1376">
        <v>2021</v>
      </c>
      <c r="E1376" t="s">
        <v>10</v>
      </c>
      <c r="F1376" t="s">
        <v>1032</v>
      </c>
      <c r="G1376" t="s">
        <v>229</v>
      </c>
      <c r="H1376" s="1" t="s">
        <v>1570</v>
      </c>
      <c r="I1376" t="s">
        <v>1635</v>
      </c>
      <c r="J1376" s="2">
        <v>4548982</v>
      </c>
      <c r="K1376" t="s">
        <v>12</v>
      </c>
      <c r="L1376" t="s">
        <v>1648</v>
      </c>
    </row>
    <row r="1377" spans="1:12" x14ac:dyDescent="0.3">
      <c r="A1377">
        <v>1376</v>
      </c>
      <c r="B1377" t="s">
        <v>1228</v>
      </c>
      <c r="C1377">
        <v>44455.534722222219</v>
      </c>
      <c r="D1377">
        <v>2021</v>
      </c>
      <c r="E1377" t="s">
        <v>10</v>
      </c>
      <c r="F1377" t="s">
        <v>1559</v>
      </c>
      <c r="G1377" t="s">
        <v>229</v>
      </c>
      <c r="H1377" s="1" t="s">
        <v>1564</v>
      </c>
      <c r="I1377" t="s">
        <v>1586</v>
      </c>
      <c r="J1377" s="2">
        <v>1130643</v>
      </c>
      <c r="K1377" t="s">
        <v>59</v>
      </c>
      <c r="L1377" t="s">
        <v>1648</v>
      </c>
    </row>
    <row r="1378" spans="1:12" x14ac:dyDescent="0.3">
      <c r="A1378">
        <v>1377</v>
      </c>
      <c r="B1378" t="s">
        <v>1229</v>
      </c>
      <c r="C1378">
        <v>44455.537499999999</v>
      </c>
      <c r="D1378">
        <v>2021</v>
      </c>
      <c r="E1378" t="s">
        <v>10</v>
      </c>
      <c r="F1378" t="s">
        <v>1559</v>
      </c>
      <c r="G1378" t="s">
        <v>229</v>
      </c>
      <c r="H1378" s="1" t="s">
        <v>1565</v>
      </c>
      <c r="I1378" t="s">
        <v>1628</v>
      </c>
      <c r="J1378" s="2">
        <v>4086311</v>
      </c>
      <c r="K1378" t="s">
        <v>59</v>
      </c>
      <c r="L1378" t="s">
        <v>1649</v>
      </c>
    </row>
    <row r="1379" spans="1:12" x14ac:dyDescent="0.3">
      <c r="A1379">
        <v>1378</v>
      </c>
      <c r="B1379" t="s">
        <v>1230</v>
      </c>
      <c r="C1379">
        <v>44455.652083333334</v>
      </c>
      <c r="D1379">
        <v>2021</v>
      </c>
      <c r="E1379" t="s">
        <v>10</v>
      </c>
      <c r="F1379" t="s">
        <v>1559</v>
      </c>
      <c r="G1379" t="s">
        <v>591</v>
      </c>
      <c r="H1379" s="1" t="s">
        <v>1568</v>
      </c>
      <c r="I1379" t="s">
        <v>1579</v>
      </c>
      <c r="J1379" s="2">
        <v>2126933</v>
      </c>
      <c r="K1379" t="s">
        <v>12</v>
      </c>
      <c r="L1379" t="s">
        <v>1651</v>
      </c>
    </row>
    <row r="1380" spans="1:12" x14ac:dyDescent="0.3">
      <c r="A1380">
        <v>1379</v>
      </c>
      <c r="B1380" t="s">
        <v>50</v>
      </c>
      <c r="C1380">
        <v>44455.660416666666</v>
      </c>
      <c r="D1380">
        <v>2021</v>
      </c>
      <c r="E1380" t="s">
        <v>10</v>
      </c>
      <c r="F1380" t="s">
        <v>1559</v>
      </c>
      <c r="G1380" t="s">
        <v>591</v>
      </c>
      <c r="H1380" s="1" t="s">
        <v>1574</v>
      </c>
      <c r="I1380" t="s">
        <v>1454</v>
      </c>
      <c r="J1380" s="2">
        <v>1991117</v>
      </c>
      <c r="K1380" t="s">
        <v>121</v>
      </c>
      <c r="L1380" t="s">
        <v>1651</v>
      </c>
    </row>
    <row r="1381" spans="1:12" x14ac:dyDescent="0.3">
      <c r="A1381">
        <v>1380</v>
      </c>
      <c r="B1381" t="s">
        <v>1231</v>
      </c>
      <c r="C1381">
        <v>44455.729861111111</v>
      </c>
      <c r="D1381">
        <v>2021</v>
      </c>
      <c r="E1381" t="s">
        <v>10</v>
      </c>
      <c r="F1381" t="s">
        <v>1559</v>
      </c>
      <c r="G1381" t="s">
        <v>11</v>
      </c>
      <c r="H1381" s="1" t="s">
        <v>1566</v>
      </c>
      <c r="I1381" t="s">
        <v>1577</v>
      </c>
      <c r="J1381" s="2">
        <v>3814199</v>
      </c>
      <c r="K1381" t="s">
        <v>121</v>
      </c>
      <c r="L1381" t="s">
        <v>1651</v>
      </c>
    </row>
    <row r="1382" spans="1:12" x14ac:dyDescent="0.3">
      <c r="A1382">
        <v>1381</v>
      </c>
      <c r="B1382" t="s">
        <v>1232</v>
      </c>
      <c r="C1382">
        <v>44455.73333333333</v>
      </c>
      <c r="D1382">
        <v>2021</v>
      </c>
      <c r="E1382" t="s">
        <v>10</v>
      </c>
      <c r="F1382" t="s">
        <v>1559</v>
      </c>
      <c r="G1382" t="s">
        <v>11</v>
      </c>
      <c r="H1382" s="1" t="s">
        <v>1566</v>
      </c>
      <c r="I1382" t="s">
        <v>1577</v>
      </c>
      <c r="J1382" s="2">
        <v>4447600</v>
      </c>
      <c r="K1382" t="s">
        <v>121</v>
      </c>
      <c r="L1382" t="s">
        <v>1653</v>
      </c>
    </row>
    <row r="1383" spans="1:12" x14ac:dyDescent="0.3">
      <c r="A1383">
        <v>1382</v>
      </c>
      <c r="B1383" t="s">
        <v>1233</v>
      </c>
      <c r="C1383">
        <v>44456.361805555556</v>
      </c>
      <c r="D1383">
        <v>2021</v>
      </c>
      <c r="E1383" t="s">
        <v>10</v>
      </c>
      <c r="F1383" t="s">
        <v>1559</v>
      </c>
      <c r="G1383" t="s">
        <v>62</v>
      </c>
      <c r="H1383" s="1" t="s">
        <v>1565</v>
      </c>
      <c r="I1383" t="s">
        <v>1579</v>
      </c>
      <c r="J1383" s="2">
        <v>2047911</v>
      </c>
      <c r="K1383" t="s">
        <v>12</v>
      </c>
      <c r="L1383" t="s">
        <v>1648</v>
      </c>
    </row>
    <row r="1384" spans="1:12" x14ac:dyDescent="0.3">
      <c r="A1384">
        <v>1383</v>
      </c>
      <c r="B1384" t="s">
        <v>1234</v>
      </c>
      <c r="C1384">
        <v>44459.625694444447</v>
      </c>
      <c r="D1384">
        <v>2021</v>
      </c>
      <c r="E1384" t="s">
        <v>10</v>
      </c>
      <c r="F1384" t="s">
        <v>1561</v>
      </c>
      <c r="G1384" t="s">
        <v>290</v>
      </c>
      <c r="H1384" s="1" t="s">
        <v>1569</v>
      </c>
      <c r="I1384" t="s">
        <v>1579</v>
      </c>
      <c r="J1384" s="2">
        <v>4007668</v>
      </c>
      <c r="K1384" t="s">
        <v>12</v>
      </c>
      <c r="L1384" t="s">
        <v>1652</v>
      </c>
    </row>
    <row r="1385" spans="1:12" x14ac:dyDescent="0.3">
      <c r="A1385">
        <v>1384</v>
      </c>
      <c r="B1385" t="s">
        <v>1235</v>
      </c>
      <c r="C1385">
        <v>44459.741666666669</v>
      </c>
      <c r="D1385">
        <v>2021</v>
      </c>
      <c r="E1385" t="s">
        <v>10</v>
      </c>
      <c r="F1385" t="s">
        <v>1560</v>
      </c>
      <c r="G1385" t="s">
        <v>11</v>
      </c>
      <c r="H1385" s="1" t="s">
        <v>1569</v>
      </c>
      <c r="I1385" t="s">
        <v>1577</v>
      </c>
      <c r="J1385" s="2">
        <v>1381614</v>
      </c>
      <c r="K1385" t="s">
        <v>121</v>
      </c>
      <c r="L1385" t="s">
        <v>1653</v>
      </c>
    </row>
    <row r="1386" spans="1:12" x14ac:dyDescent="0.3">
      <c r="A1386">
        <v>1385</v>
      </c>
      <c r="B1386" t="s">
        <v>1236</v>
      </c>
      <c r="C1386">
        <v>44459.743750000001</v>
      </c>
      <c r="D1386">
        <v>2021</v>
      </c>
      <c r="E1386" t="s">
        <v>10</v>
      </c>
      <c r="F1386" t="s">
        <v>1560</v>
      </c>
      <c r="G1386" t="s">
        <v>11</v>
      </c>
      <c r="H1386" s="1" t="s">
        <v>1571</v>
      </c>
      <c r="I1386" t="s">
        <v>1577</v>
      </c>
      <c r="J1386" s="2">
        <v>2102423</v>
      </c>
      <c r="K1386" t="s">
        <v>121</v>
      </c>
      <c r="L1386" t="s">
        <v>1648</v>
      </c>
    </row>
    <row r="1387" spans="1:12" x14ac:dyDescent="0.3">
      <c r="A1387">
        <v>1386</v>
      </c>
      <c r="B1387" t="s">
        <v>996</v>
      </c>
      <c r="C1387">
        <v>44460.280555555553</v>
      </c>
      <c r="D1387">
        <v>2021</v>
      </c>
      <c r="E1387" t="s">
        <v>10</v>
      </c>
      <c r="F1387" t="s">
        <v>1560</v>
      </c>
      <c r="G1387" t="s">
        <v>18</v>
      </c>
      <c r="H1387" s="1" t="s">
        <v>1568</v>
      </c>
      <c r="I1387" t="s">
        <v>1586</v>
      </c>
      <c r="J1387" s="2">
        <v>970157</v>
      </c>
      <c r="K1387" t="s">
        <v>59</v>
      </c>
      <c r="L1387" t="s">
        <v>1648</v>
      </c>
    </row>
    <row r="1388" spans="1:12" x14ac:dyDescent="0.3">
      <c r="A1388">
        <v>1387</v>
      </c>
      <c r="B1388" t="s">
        <v>1237</v>
      </c>
      <c r="C1388">
        <v>44460.295138888891</v>
      </c>
      <c r="D1388">
        <v>2021</v>
      </c>
      <c r="E1388" t="s">
        <v>10</v>
      </c>
      <c r="F1388" t="s">
        <v>1560</v>
      </c>
      <c r="G1388" t="s">
        <v>18</v>
      </c>
      <c r="H1388" s="1" t="s">
        <v>1568</v>
      </c>
      <c r="I1388" t="s">
        <v>1584</v>
      </c>
      <c r="J1388" s="2">
        <v>3232839</v>
      </c>
      <c r="K1388" t="s">
        <v>12</v>
      </c>
      <c r="L1388" t="s">
        <v>1648</v>
      </c>
    </row>
    <row r="1389" spans="1:12" x14ac:dyDescent="0.3">
      <c r="A1389">
        <v>1388</v>
      </c>
      <c r="B1389" t="s">
        <v>1238</v>
      </c>
      <c r="C1389">
        <v>44460.29791666667</v>
      </c>
      <c r="D1389">
        <v>2021</v>
      </c>
      <c r="E1389" t="s">
        <v>10</v>
      </c>
      <c r="F1389" t="s">
        <v>1560</v>
      </c>
      <c r="G1389" t="s">
        <v>18</v>
      </c>
      <c r="H1389" s="1" t="s">
        <v>1568</v>
      </c>
      <c r="I1389" t="s">
        <v>1579</v>
      </c>
      <c r="J1389" s="2">
        <v>4648937</v>
      </c>
      <c r="K1389" t="s">
        <v>12</v>
      </c>
      <c r="L1389" t="s">
        <v>1653</v>
      </c>
    </row>
    <row r="1390" spans="1:12" x14ac:dyDescent="0.3">
      <c r="A1390">
        <v>1389</v>
      </c>
      <c r="B1390" t="s">
        <v>270</v>
      </c>
      <c r="C1390">
        <v>44460.301388888889</v>
      </c>
      <c r="D1390">
        <v>2021</v>
      </c>
      <c r="E1390" t="s">
        <v>10</v>
      </c>
      <c r="F1390" t="s">
        <v>1560</v>
      </c>
      <c r="G1390" t="s">
        <v>18</v>
      </c>
      <c r="H1390" s="1" t="s">
        <v>1573</v>
      </c>
      <c r="I1390" t="s">
        <v>1579</v>
      </c>
      <c r="J1390" s="2">
        <v>4243809</v>
      </c>
      <c r="K1390" t="s">
        <v>12</v>
      </c>
      <c r="L1390" t="s">
        <v>1649</v>
      </c>
    </row>
    <row r="1391" spans="1:12" x14ac:dyDescent="0.3">
      <c r="A1391">
        <v>1390</v>
      </c>
      <c r="B1391" t="s">
        <v>1239</v>
      </c>
      <c r="C1391">
        <v>44460.304166666669</v>
      </c>
      <c r="D1391">
        <v>2021</v>
      </c>
      <c r="E1391" t="s">
        <v>10</v>
      </c>
      <c r="F1391" t="s">
        <v>1560</v>
      </c>
      <c r="G1391" t="s">
        <v>18</v>
      </c>
      <c r="H1391" s="1" t="s">
        <v>1575</v>
      </c>
      <c r="I1391" t="s">
        <v>1579</v>
      </c>
      <c r="J1391" s="2">
        <v>3579079</v>
      </c>
      <c r="K1391" t="s">
        <v>12</v>
      </c>
      <c r="L1391" t="s">
        <v>1651</v>
      </c>
    </row>
    <row r="1392" spans="1:12" x14ac:dyDescent="0.3">
      <c r="A1392">
        <v>1391</v>
      </c>
      <c r="B1392" t="s">
        <v>996</v>
      </c>
      <c r="C1392">
        <v>44460.306944444441</v>
      </c>
      <c r="D1392">
        <v>2021</v>
      </c>
      <c r="E1392" t="s">
        <v>10</v>
      </c>
      <c r="F1392" t="s">
        <v>1560</v>
      </c>
      <c r="G1392" t="s">
        <v>18</v>
      </c>
      <c r="H1392" s="1" t="s">
        <v>1575</v>
      </c>
      <c r="I1392" t="s">
        <v>1586</v>
      </c>
      <c r="J1392" s="2">
        <v>4715476</v>
      </c>
      <c r="K1392" t="s">
        <v>59</v>
      </c>
      <c r="L1392" t="s">
        <v>1653</v>
      </c>
    </row>
    <row r="1393" spans="1:12" x14ac:dyDescent="0.3">
      <c r="A1393">
        <v>1392</v>
      </c>
      <c r="B1393" t="s">
        <v>1240</v>
      </c>
      <c r="C1393">
        <v>44460.339583333334</v>
      </c>
      <c r="D1393">
        <v>2021</v>
      </c>
      <c r="E1393" t="s">
        <v>10</v>
      </c>
      <c r="F1393" t="s">
        <v>1560</v>
      </c>
      <c r="G1393" t="s">
        <v>23</v>
      </c>
      <c r="H1393" s="1" t="s">
        <v>1575</v>
      </c>
      <c r="I1393" t="s">
        <v>1579</v>
      </c>
      <c r="J1393" s="2">
        <v>1737579</v>
      </c>
      <c r="K1393" t="s">
        <v>12</v>
      </c>
      <c r="L1393" t="s">
        <v>1653</v>
      </c>
    </row>
    <row r="1394" spans="1:12" x14ac:dyDescent="0.3">
      <c r="A1394">
        <v>1393</v>
      </c>
      <c r="B1394" t="s">
        <v>1241</v>
      </c>
      <c r="C1394">
        <v>44460.363194444442</v>
      </c>
      <c r="D1394">
        <v>2021</v>
      </c>
      <c r="E1394" t="s">
        <v>10</v>
      </c>
      <c r="F1394" t="s">
        <v>1560</v>
      </c>
      <c r="G1394" t="s">
        <v>23</v>
      </c>
      <c r="H1394" s="1" t="s">
        <v>1575</v>
      </c>
      <c r="I1394" t="s">
        <v>1579</v>
      </c>
      <c r="J1394" s="2">
        <v>4762769</v>
      </c>
      <c r="K1394" t="s">
        <v>12</v>
      </c>
      <c r="L1394" t="s">
        <v>1653</v>
      </c>
    </row>
    <row r="1395" spans="1:12" x14ac:dyDescent="0.3">
      <c r="A1395">
        <v>1394</v>
      </c>
      <c r="B1395" t="s">
        <v>1242</v>
      </c>
      <c r="C1395">
        <v>44460.518750000003</v>
      </c>
      <c r="D1395">
        <v>2021</v>
      </c>
      <c r="E1395" t="s">
        <v>10</v>
      </c>
      <c r="F1395" t="s">
        <v>1560</v>
      </c>
      <c r="G1395" t="s">
        <v>11</v>
      </c>
      <c r="H1395" s="1" t="s">
        <v>1575</v>
      </c>
      <c r="I1395" t="s">
        <v>1577</v>
      </c>
      <c r="J1395" s="2">
        <v>4022962</v>
      </c>
      <c r="K1395" t="s">
        <v>121</v>
      </c>
      <c r="L1395" t="s">
        <v>1651</v>
      </c>
    </row>
    <row r="1396" spans="1:12" x14ac:dyDescent="0.3">
      <c r="A1396">
        <v>1395</v>
      </c>
      <c r="B1396" t="s">
        <v>1243</v>
      </c>
      <c r="C1396">
        <v>44460.536805555559</v>
      </c>
      <c r="D1396">
        <v>2021</v>
      </c>
      <c r="E1396" t="s">
        <v>10</v>
      </c>
      <c r="F1396" t="s">
        <v>1561</v>
      </c>
      <c r="G1396" t="s">
        <v>23</v>
      </c>
      <c r="H1396" s="1" t="s">
        <v>1575</v>
      </c>
      <c r="I1396" t="s">
        <v>1579</v>
      </c>
      <c r="J1396" s="2">
        <v>2725047</v>
      </c>
      <c r="K1396" t="s">
        <v>12</v>
      </c>
      <c r="L1396" t="s">
        <v>1653</v>
      </c>
    </row>
    <row r="1397" spans="1:12" x14ac:dyDescent="0.3">
      <c r="A1397">
        <v>1396</v>
      </c>
      <c r="B1397" t="s">
        <v>928</v>
      </c>
      <c r="C1397">
        <v>44461.522222222222</v>
      </c>
      <c r="D1397">
        <v>2021</v>
      </c>
      <c r="E1397" t="s">
        <v>10</v>
      </c>
      <c r="F1397" t="s">
        <v>1561</v>
      </c>
      <c r="G1397" t="s">
        <v>65</v>
      </c>
      <c r="H1397" s="1" t="s">
        <v>1575</v>
      </c>
      <c r="I1397" t="s">
        <v>1637</v>
      </c>
      <c r="J1397" s="2">
        <v>4579325</v>
      </c>
      <c r="K1397" t="s">
        <v>12</v>
      </c>
      <c r="L1397" t="s">
        <v>1653</v>
      </c>
    </row>
    <row r="1398" spans="1:12" x14ac:dyDescent="0.3">
      <c r="A1398">
        <v>1397</v>
      </c>
      <c r="B1398" t="s">
        <v>1244</v>
      </c>
      <c r="C1398">
        <v>44461.531944444447</v>
      </c>
      <c r="D1398">
        <v>2021</v>
      </c>
      <c r="E1398" t="s">
        <v>10</v>
      </c>
      <c r="F1398" t="s">
        <v>1561</v>
      </c>
      <c r="G1398" t="s">
        <v>62</v>
      </c>
      <c r="H1398" s="1" t="s">
        <v>1575</v>
      </c>
      <c r="I1398" t="s">
        <v>1637</v>
      </c>
      <c r="J1398" s="2">
        <v>1707530</v>
      </c>
      <c r="K1398" t="s">
        <v>12</v>
      </c>
      <c r="L1398" t="s">
        <v>1648</v>
      </c>
    </row>
    <row r="1399" spans="1:12" x14ac:dyDescent="0.3">
      <c r="A1399">
        <v>1398</v>
      </c>
      <c r="B1399" t="s">
        <v>1245</v>
      </c>
      <c r="C1399">
        <v>44461.630555555559</v>
      </c>
      <c r="D1399">
        <v>2021</v>
      </c>
      <c r="E1399" t="s">
        <v>10</v>
      </c>
      <c r="F1399" t="s">
        <v>1561</v>
      </c>
      <c r="G1399" t="s">
        <v>23</v>
      </c>
      <c r="H1399" s="1" t="s">
        <v>1575</v>
      </c>
      <c r="I1399" t="s">
        <v>1579</v>
      </c>
      <c r="J1399" s="2">
        <v>2526066</v>
      </c>
      <c r="K1399" t="s">
        <v>12</v>
      </c>
      <c r="L1399" t="s">
        <v>1650</v>
      </c>
    </row>
    <row r="1400" spans="1:12" x14ac:dyDescent="0.3">
      <c r="A1400">
        <v>1399</v>
      </c>
      <c r="B1400" t="s">
        <v>1246</v>
      </c>
      <c r="C1400">
        <v>44462.419444444444</v>
      </c>
      <c r="D1400">
        <v>2021</v>
      </c>
      <c r="E1400" t="s">
        <v>10</v>
      </c>
      <c r="F1400" t="s">
        <v>1561</v>
      </c>
      <c r="G1400" t="s">
        <v>11</v>
      </c>
      <c r="H1400" s="1" t="s">
        <v>1575</v>
      </c>
      <c r="I1400" t="s">
        <v>1579</v>
      </c>
      <c r="J1400" s="2">
        <v>3807851</v>
      </c>
      <c r="K1400" t="s">
        <v>12</v>
      </c>
      <c r="L1400" t="s">
        <v>1650</v>
      </c>
    </row>
    <row r="1401" spans="1:12" x14ac:dyDescent="0.3">
      <c r="A1401">
        <v>1400</v>
      </c>
      <c r="B1401" t="s">
        <v>1247</v>
      </c>
      <c r="C1401">
        <v>44462.430555555555</v>
      </c>
      <c r="D1401">
        <v>2021</v>
      </c>
      <c r="E1401" t="s">
        <v>10</v>
      </c>
      <c r="F1401" t="s">
        <v>1561</v>
      </c>
      <c r="G1401" t="s">
        <v>229</v>
      </c>
      <c r="H1401" s="1" t="s">
        <v>1575</v>
      </c>
      <c r="I1401" t="s">
        <v>1582</v>
      </c>
      <c r="J1401" s="2">
        <v>2267893</v>
      </c>
      <c r="K1401" t="s">
        <v>16</v>
      </c>
      <c r="L1401" t="s">
        <v>1652</v>
      </c>
    </row>
    <row r="1402" spans="1:12" x14ac:dyDescent="0.3">
      <c r="A1402">
        <v>1401</v>
      </c>
      <c r="B1402" t="s">
        <v>1248</v>
      </c>
      <c r="C1402">
        <v>44462.444444444445</v>
      </c>
      <c r="D1402">
        <v>2021</v>
      </c>
      <c r="E1402" t="s">
        <v>10</v>
      </c>
      <c r="F1402" t="s">
        <v>1561</v>
      </c>
      <c r="G1402" t="s">
        <v>11</v>
      </c>
      <c r="H1402" s="1" t="s">
        <v>1575</v>
      </c>
      <c r="I1402" t="s">
        <v>1577</v>
      </c>
      <c r="J1402" s="2">
        <v>1531376</v>
      </c>
      <c r="K1402" t="s">
        <v>121</v>
      </c>
      <c r="L1402" t="s">
        <v>1651</v>
      </c>
    </row>
    <row r="1403" spans="1:12" x14ac:dyDescent="0.3">
      <c r="A1403">
        <v>1402</v>
      </c>
      <c r="B1403" t="s">
        <v>1249</v>
      </c>
      <c r="C1403">
        <v>44462.503472222219</v>
      </c>
      <c r="D1403">
        <v>2021</v>
      </c>
      <c r="E1403" t="s">
        <v>10</v>
      </c>
      <c r="F1403" t="s">
        <v>1561</v>
      </c>
      <c r="G1403" t="s">
        <v>11</v>
      </c>
      <c r="H1403" s="1" t="s">
        <v>1575</v>
      </c>
      <c r="I1403" t="s">
        <v>1577</v>
      </c>
      <c r="J1403" s="2">
        <v>3524626</v>
      </c>
      <c r="K1403" t="s">
        <v>121</v>
      </c>
      <c r="L1403" t="s">
        <v>1648</v>
      </c>
    </row>
    <row r="1404" spans="1:12" x14ac:dyDescent="0.3">
      <c r="A1404">
        <v>1403</v>
      </c>
      <c r="B1404" t="s">
        <v>1250</v>
      </c>
      <c r="C1404">
        <v>44462.684027777781</v>
      </c>
      <c r="D1404">
        <v>2021</v>
      </c>
      <c r="E1404" t="s">
        <v>10</v>
      </c>
      <c r="F1404" t="s">
        <v>1561</v>
      </c>
      <c r="G1404" t="s">
        <v>44</v>
      </c>
      <c r="H1404" s="1" t="s">
        <v>1575</v>
      </c>
      <c r="I1404" t="s">
        <v>1579</v>
      </c>
      <c r="J1404" s="2">
        <v>4051908</v>
      </c>
      <c r="K1404" t="s">
        <v>12</v>
      </c>
      <c r="L1404" t="s">
        <v>1650</v>
      </c>
    </row>
    <row r="1405" spans="1:12" x14ac:dyDescent="0.3">
      <c r="A1405">
        <v>1404</v>
      </c>
      <c r="B1405" t="s">
        <v>1251</v>
      </c>
      <c r="C1405">
        <v>44462.699305555558</v>
      </c>
      <c r="D1405">
        <v>2021</v>
      </c>
      <c r="E1405" t="s">
        <v>10</v>
      </c>
      <c r="F1405" t="s">
        <v>1561</v>
      </c>
      <c r="G1405" t="s">
        <v>44</v>
      </c>
      <c r="H1405" s="1" t="s">
        <v>1575</v>
      </c>
      <c r="I1405" t="s">
        <v>1579</v>
      </c>
      <c r="J1405" s="2">
        <v>3409605</v>
      </c>
      <c r="K1405" t="s">
        <v>12</v>
      </c>
      <c r="L1405" t="s">
        <v>1653</v>
      </c>
    </row>
    <row r="1406" spans="1:12" x14ac:dyDescent="0.3">
      <c r="A1406">
        <v>1405</v>
      </c>
      <c r="B1406" t="s">
        <v>1251</v>
      </c>
      <c r="C1406">
        <v>44462.700694444444</v>
      </c>
      <c r="D1406">
        <v>2021</v>
      </c>
      <c r="E1406" t="s">
        <v>10</v>
      </c>
      <c r="F1406" t="s">
        <v>1561</v>
      </c>
      <c r="G1406" t="s">
        <v>44</v>
      </c>
      <c r="H1406" s="1" t="s">
        <v>1575</v>
      </c>
      <c r="I1406" t="s">
        <v>1579</v>
      </c>
      <c r="J1406" s="2">
        <v>2196434</v>
      </c>
      <c r="K1406" t="s">
        <v>12</v>
      </c>
      <c r="L1406" t="s">
        <v>1651</v>
      </c>
    </row>
    <row r="1407" spans="1:12" x14ac:dyDescent="0.3">
      <c r="A1407">
        <v>1406</v>
      </c>
      <c r="B1407" t="s">
        <v>1252</v>
      </c>
      <c r="C1407">
        <v>44463.402777777781</v>
      </c>
      <c r="D1407">
        <v>2021</v>
      </c>
      <c r="E1407" t="s">
        <v>10</v>
      </c>
      <c r="F1407" t="s">
        <v>1561</v>
      </c>
      <c r="G1407" t="s">
        <v>44</v>
      </c>
      <c r="H1407" s="1" t="s">
        <v>1575</v>
      </c>
      <c r="I1407" t="s">
        <v>1586</v>
      </c>
      <c r="J1407" s="2">
        <v>3484626</v>
      </c>
      <c r="K1407" t="s">
        <v>59</v>
      </c>
      <c r="L1407" t="s">
        <v>1651</v>
      </c>
    </row>
    <row r="1408" spans="1:12" x14ac:dyDescent="0.3">
      <c r="A1408">
        <v>1407</v>
      </c>
      <c r="B1408" t="s">
        <v>1253</v>
      </c>
      <c r="C1408">
        <v>44463.488888888889</v>
      </c>
      <c r="D1408">
        <v>2021</v>
      </c>
      <c r="E1408" t="s">
        <v>10</v>
      </c>
      <c r="F1408" t="s">
        <v>1561</v>
      </c>
      <c r="G1408" t="s">
        <v>62</v>
      </c>
      <c r="H1408" s="1" t="s">
        <v>1575</v>
      </c>
      <c r="I1408" t="s">
        <v>1603</v>
      </c>
      <c r="J1408" s="2">
        <v>4475104</v>
      </c>
      <c r="K1408" t="s">
        <v>121</v>
      </c>
      <c r="L1408" t="s">
        <v>1653</v>
      </c>
    </row>
    <row r="1409" spans="1:12" x14ac:dyDescent="0.3">
      <c r="A1409">
        <v>1408</v>
      </c>
      <c r="B1409" t="s">
        <v>1254</v>
      </c>
      <c r="C1409">
        <v>44465.51666666667</v>
      </c>
      <c r="D1409">
        <v>2021</v>
      </c>
      <c r="E1409" t="s">
        <v>10</v>
      </c>
      <c r="F1409" t="s">
        <v>1561</v>
      </c>
      <c r="G1409" t="s">
        <v>11</v>
      </c>
      <c r="H1409" s="1" t="s">
        <v>1575</v>
      </c>
      <c r="I1409" t="s">
        <v>1579</v>
      </c>
      <c r="J1409" s="2">
        <v>1928268</v>
      </c>
      <c r="K1409" t="s">
        <v>12</v>
      </c>
      <c r="L1409" t="s">
        <v>1649</v>
      </c>
    </row>
    <row r="1410" spans="1:12" x14ac:dyDescent="0.3">
      <c r="A1410">
        <v>1409</v>
      </c>
      <c r="B1410" t="s">
        <v>1255</v>
      </c>
      <c r="C1410">
        <v>44466.345138888886</v>
      </c>
      <c r="D1410">
        <v>2021</v>
      </c>
      <c r="E1410" t="s">
        <v>10</v>
      </c>
      <c r="F1410" t="s">
        <v>1561</v>
      </c>
      <c r="G1410" t="s">
        <v>15</v>
      </c>
      <c r="H1410" s="1" t="s">
        <v>1575</v>
      </c>
      <c r="I1410" t="s">
        <v>1582</v>
      </c>
      <c r="J1410" s="2">
        <v>1317607</v>
      </c>
      <c r="K1410" t="s">
        <v>16</v>
      </c>
      <c r="L1410" t="s">
        <v>1648</v>
      </c>
    </row>
    <row r="1411" spans="1:12" x14ac:dyDescent="0.3">
      <c r="A1411">
        <v>1410</v>
      </c>
      <c r="B1411" t="s">
        <v>1256</v>
      </c>
      <c r="C1411">
        <v>44466.390277777777</v>
      </c>
      <c r="D1411">
        <v>2021</v>
      </c>
      <c r="E1411" t="s">
        <v>10</v>
      </c>
      <c r="F1411" t="s">
        <v>1561</v>
      </c>
      <c r="G1411" t="s">
        <v>23</v>
      </c>
      <c r="H1411" s="1" t="s">
        <v>1575</v>
      </c>
      <c r="I1411" t="s">
        <v>1579</v>
      </c>
      <c r="J1411" s="2">
        <v>1168471</v>
      </c>
      <c r="K1411" t="s">
        <v>12</v>
      </c>
      <c r="L1411" t="s">
        <v>1650</v>
      </c>
    </row>
    <row r="1412" spans="1:12" x14ac:dyDescent="0.3">
      <c r="A1412">
        <v>1411</v>
      </c>
      <c r="B1412" t="s">
        <v>1257</v>
      </c>
      <c r="C1412">
        <v>44467.345138888886</v>
      </c>
      <c r="D1412">
        <v>2021</v>
      </c>
      <c r="E1412" t="s">
        <v>10</v>
      </c>
      <c r="F1412" t="s">
        <v>1561</v>
      </c>
      <c r="G1412" t="s">
        <v>23</v>
      </c>
      <c r="H1412" s="1" t="s">
        <v>1575</v>
      </c>
      <c r="I1412" t="s">
        <v>1579</v>
      </c>
      <c r="J1412" s="2">
        <v>3239647</v>
      </c>
      <c r="K1412" t="s">
        <v>12</v>
      </c>
      <c r="L1412" t="s">
        <v>1648</v>
      </c>
    </row>
    <row r="1413" spans="1:12" x14ac:dyDescent="0.3">
      <c r="A1413">
        <v>1412</v>
      </c>
      <c r="B1413" t="s">
        <v>1258</v>
      </c>
      <c r="C1413">
        <v>44467.345833333333</v>
      </c>
      <c r="D1413">
        <v>2021</v>
      </c>
      <c r="E1413" t="s">
        <v>10</v>
      </c>
      <c r="F1413" t="s">
        <v>1561</v>
      </c>
      <c r="G1413" t="s">
        <v>21</v>
      </c>
      <c r="H1413" s="1" t="s">
        <v>1575</v>
      </c>
      <c r="I1413" t="s">
        <v>1616</v>
      </c>
      <c r="J1413" s="2">
        <v>4532913</v>
      </c>
      <c r="K1413" t="s">
        <v>12</v>
      </c>
      <c r="L1413" t="s">
        <v>1652</v>
      </c>
    </row>
    <row r="1414" spans="1:12" x14ac:dyDescent="0.3">
      <c r="A1414">
        <v>1413</v>
      </c>
      <c r="B1414" t="s">
        <v>1259</v>
      </c>
      <c r="C1414">
        <v>44467.375</v>
      </c>
      <c r="D1414">
        <v>2021</v>
      </c>
      <c r="E1414" t="s">
        <v>10</v>
      </c>
      <c r="F1414" t="s">
        <v>1561</v>
      </c>
      <c r="G1414" t="s">
        <v>23</v>
      </c>
      <c r="H1414" s="1" t="s">
        <v>1575</v>
      </c>
      <c r="I1414" t="s">
        <v>1579</v>
      </c>
      <c r="J1414" s="2">
        <v>1388287</v>
      </c>
      <c r="K1414" t="s">
        <v>12</v>
      </c>
      <c r="L1414" t="s">
        <v>1651</v>
      </c>
    </row>
    <row r="1415" spans="1:12" x14ac:dyDescent="0.3">
      <c r="A1415">
        <v>1414</v>
      </c>
      <c r="B1415" t="s">
        <v>1260</v>
      </c>
      <c r="C1415">
        <v>44467.381249999999</v>
      </c>
      <c r="D1415">
        <v>2021</v>
      </c>
      <c r="E1415" t="s">
        <v>10</v>
      </c>
      <c r="F1415" t="s">
        <v>1561</v>
      </c>
      <c r="G1415" t="s">
        <v>23</v>
      </c>
      <c r="H1415" s="1" t="s">
        <v>1575</v>
      </c>
      <c r="I1415" t="s">
        <v>1579</v>
      </c>
      <c r="J1415" s="2">
        <v>4011833</v>
      </c>
      <c r="K1415" t="s">
        <v>12</v>
      </c>
      <c r="L1415" t="s">
        <v>1653</v>
      </c>
    </row>
    <row r="1416" spans="1:12" x14ac:dyDescent="0.3">
      <c r="A1416">
        <v>1415</v>
      </c>
      <c r="B1416" t="s">
        <v>1261</v>
      </c>
      <c r="C1416">
        <v>44467.384722222225</v>
      </c>
      <c r="D1416">
        <v>2021</v>
      </c>
      <c r="E1416" t="s">
        <v>10</v>
      </c>
      <c r="F1416" t="s">
        <v>1555</v>
      </c>
      <c r="G1416" t="s">
        <v>23</v>
      </c>
      <c r="H1416" s="1" t="s">
        <v>1571</v>
      </c>
      <c r="I1416" t="s">
        <v>1579</v>
      </c>
      <c r="J1416" s="2">
        <v>3941462</v>
      </c>
      <c r="K1416" t="s">
        <v>12</v>
      </c>
      <c r="L1416" t="s">
        <v>1648</v>
      </c>
    </row>
    <row r="1417" spans="1:12" x14ac:dyDescent="0.3">
      <c r="A1417">
        <v>1416</v>
      </c>
      <c r="B1417" t="s">
        <v>1262</v>
      </c>
      <c r="C1417">
        <v>44467.388888888891</v>
      </c>
      <c r="D1417">
        <v>2021</v>
      </c>
      <c r="E1417" t="s">
        <v>10</v>
      </c>
      <c r="F1417" t="s">
        <v>1555</v>
      </c>
      <c r="G1417" t="s">
        <v>23</v>
      </c>
      <c r="H1417" s="1" t="s">
        <v>1573</v>
      </c>
      <c r="I1417" t="s">
        <v>1579</v>
      </c>
      <c r="J1417" s="2">
        <v>3958054</v>
      </c>
      <c r="K1417" t="s">
        <v>12</v>
      </c>
      <c r="L1417" t="s">
        <v>1648</v>
      </c>
    </row>
    <row r="1418" spans="1:12" x14ac:dyDescent="0.3">
      <c r="A1418">
        <v>1417</v>
      </c>
      <c r="B1418" t="s">
        <v>1263</v>
      </c>
      <c r="C1418">
        <v>44467.449305555558</v>
      </c>
      <c r="D1418">
        <v>2021</v>
      </c>
      <c r="E1418" t="s">
        <v>10</v>
      </c>
      <c r="F1418" t="s">
        <v>1552</v>
      </c>
      <c r="G1418" t="s">
        <v>18</v>
      </c>
      <c r="H1418" s="1" t="s">
        <v>1575</v>
      </c>
      <c r="I1418" t="s">
        <v>1579</v>
      </c>
      <c r="J1418" s="2">
        <v>2831881</v>
      </c>
      <c r="K1418" t="s">
        <v>12</v>
      </c>
      <c r="L1418" t="s">
        <v>1653</v>
      </c>
    </row>
    <row r="1419" spans="1:12" x14ac:dyDescent="0.3">
      <c r="A1419">
        <v>1418</v>
      </c>
      <c r="B1419" t="s">
        <v>1264</v>
      </c>
      <c r="C1419">
        <v>44467.586111111108</v>
      </c>
      <c r="D1419">
        <v>2021</v>
      </c>
      <c r="E1419" t="s">
        <v>10</v>
      </c>
      <c r="F1419" t="s">
        <v>1559</v>
      </c>
      <c r="G1419" t="s">
        <v>62</v>
      </c>
      <c r="H1419" s="1" t="s">
        <v>1570</v>
      </c>
      <c r="I1419" t="s">
        <v>1579</v>
      </c>
      <c r="J1419" s="2">
        <v>3086290</v>
      </c>
      <c r="K1419" t="s">
        <v>12</v>
      </c>
      <c r="L1419" t="s">
        <v>1652</v>
      </c>
    </row>
    <row r="1420" spans="1:12" x14ac:dyDescent="0.3">
      <c r="A1420">
        <v>1419</v>
      </c>
      <c r="B1420" t="s">
        <v>1265</v>
      </c>
      <c r="C1420">
        <v>44467.655555555553</v>
      </c>
      <c r="D1420">
        <v>2021</v>
      </c>
      <c r="E1420" t="s">
        <v>10</v>
      </c>
      <c r="F1420" t="s">
        <v>1032</v>
      </c>
      <c r="G1420" t="s">
        <v>591</v>
      </c>
      <c r="H1420" s="1" t="s">
        <v>1576</v>
      </c>
      <c r="I1420" t="s">
        <v>1579</v>
      </c>
      <c r="J1420" s="2">
        <v>2065688</v>
      </c>
      <c r="K1420" t="s">
        <v>12</v>
      </c>
      <c r="L1420" t="s">
        <v>1648</v>
      </c>
    </row>
    <row r="1421" spans="1:12" x14ac:dyDescent="0.3">
      <c r="A1421">
        <v>1420</v>
      </c>
      <c r="B1421" t="s">
        <v>1266</v>
      </c>
      <c r="C1421">
        <v>44467.668055555558</v>
      </c>
      <c r="D1421">
        <v>2021</v>
      </c>
      <c r="E1421" t="s">
        <v>10</v>
      </c>
      <c r="F1421" t="s">
        <v>1032</v>
      </c>
      <c r="G1421" t="s">
        <v>15</v>
      </c>
      <c r="H1421" s="1" t="s">
        <v>1572</v>
      </c>
      <c r="I1421" t="s">
        <v>1582</v>
      </c>
      <c r="J1421" s="2">
        <v>3949784</v>
      </c>
      <c r="K1421" t="s">
        <v>16</v>
      </c>
      <c r="L1421" t="s">
        <v>1649</v>
      </c>
    </row>
    <row r="1422" spans="1:12" x14ac:dyDescent="0.3">
      <c r="A1422">
        <v>1421</v>
      </c>
      <c r="B1422" t="s">
        <v>1267</v>
      </c>
      <c r="C1422">
        <v>44468.371527777781</v>
      </c>
      <c r="D1422">
        <v>2021</v>
      </c>
      <c r="E1422" t="s">
        <v>10</v>
      </c>
      <c r="F1422" t="s">
        <v>1561</v>
      </c>
      <c r="G1422" t="s">
        <v>18</v>
      </c>
      <c r="H1422" s="1" t="s">
        <v>1569</v>
      </c>
      <c r="I1422" t="s">
        <v>1579</v>
      </c>
      <c r="J1422" s="2">
        <v>2156449</v>
      </c>
      <c r="K1422" t="s">
        <v>12</v>
      </c>
      <c r="L1422" t="s">
        <v>1649</v>
      </c>
    </row>
    <row r="1423" spans="1:12" x14ac:dyDescent="0.3">
      <c r="A1423">
        <v>1422</v>
      </c>
      <c r="B1423" t="s">
        <v>1268</v>
      </c>
      <c r="C1423">
        <v>44468.387499999997</v>
      </c>
      <c r="D1423">
        <v>2021</v>
      </c>
      <c r="E1423" t="s">
        <v>10</v>
      </c>
      <c r="F1423" t="s">
        <v>1561</v>
      </c>
      <c r="G1423" t="s">
        <v>42</v>
      </c>
      <c r="H1423" s="1" t="s">
        <v>1564</v>
      </c>
      <c r="I1423" t="s">
        <v>1579</v>
      </c>
      <c r="J1423" s="2">
        <v>4559097</v>
      </c>
      <c r="K1423" t="s">
        <v>12</v>
      </c>
      <c r="L1423" t="s">
        <v>1652</v>
      </c>
    </row>
    <row r="1424" spans="1:12" x14ac:dyDescent="0.3">
      <c r="A1424">
        <v>1423</v>
      </c>
      <c r="B1424" t="s">
        <v>1269</v>
      </c>
      <c r="C1424">
        <v>44469.381249999999</v>
      </c>
      <c r="D1424">
        <v>2021</v>
      </c>
      <c r="E1424" t="s">
        <v>10</v>
      </c>
      <c r="F1424" t="s">
        <v>1561</v>
      </c>
      <c r="G1424" t="s">
        <v>18</v>
      </c>
      <c r="H1424" s="1" t="s">
        <v>1574</v>
      </c>
      <c r="I1424" t="s">
        <v>1579</v>
      </c>
      <c r="J1424" s="2">
        <v>3083286</v>
      </c>
      <c r="K1424" t="s">
        <v>12</v>
      </c>
      <c r="L1424" t="s">
        <v>1650</v>
      </c>
    </row>
    <row r="1425" spans="1:12" x14ac:dyDescent="0.3">
      <c r="A1425">
        <v>1424</v>
      </c>
      <c r="B1425" t="s">
        <v>1270</v>
      </c>
      <c r="C1425">
        <v>44469.406944444447</v>
      </c>
      <c r="D1425">
        <v>2021</v>
      </c>
      <c r="E1425" t="s">
        <v>10</v>
      </c>
      <c r="F1425" t="s">
        <v>1561</v>
      </c>
      <c r="G1425" t="s">
        <v>23</v>
      </c>
      <c r="H1425" s="1" t="s">
        <v>1563</v>
      </c>
      <c r="I1425" t="s">
        <v>1579</v>
      </c>
      <c r="J1425" s="2">
        <v>1257910</v>
      </c>
      <c r="K1425" t="s">
        <v>12</v>
      </c>
      <c r="L1425" t="s">
        <v>1649</v>
      </c>
    </row>
    <row r="1426" spans="1:12" x14ac:dyDescent="0.3">
      <c r="A1426">
        <v>1425</v>
      </c>
      <c r="B1426" t="s">
        <v>1271</v>
      </c>
      <c r="C1426">
        <v>44469.678472222222</v>
      </c>
      <c r="D1426">
        <v>2021</v>
      </c>
      <c r="E1426" t="s">
        <v>10</v>
      </c>
      <c r="F1426" t="s">
        <v>1561</v>
      </c>
      <c r="G1426" t="s">
        <v>11</v>
      </c>
      <c r="H1426" s="1" t="s">
        <v>1564</v>
      </c>
      <c r="I1426" t="s">
        <v>1577</v>
      </c>
      <c r="J1426" s="2">
        <v>1683515</v>
      </c>
      <c r="K1426" t="s">
        <v>121</v>
      </c>
      <c r="L1426" t="s">
        <v>1652</v>
      </c>
    </row>
    <row r="1427" spans="1:12" x14ac:dyDescent="0.3">
      <c r="A1427">
        <v>1426</v>
      </c>
      <c r="B1427" t="s">
        <v>1272</v>
      </c>
      <c r="C1427">
        <v>44469.743055555555</v>
      </c>
      <c r="D1427">
        <v>2021</v>
      </c>
      <c r="E1427" t="s">
        <v>10</v>
      </c>
      <c r="F1427" t="s">
        <v>1561</v>
      </c>
      <c r="G1427" t="s">
        <v>11</v>
      </c>
      <c r="H1427" s="1" t="s">
        <v>1566</v>
      </c>
      <c r="I1427" t="s">
        <v>1577</v>
      </c>
      <c r="J1427" s="2">
        <v>1587927</v>
      </c>
      <c r="K1427" t="s">
        <v>121</v>
      </c>
      <c r="L1427" t="s">
        <v>1648</v>
      </c>
    </row>
    <row r="1428" spans="1:12" x14ac:dyDescent="0.3">
      <c r="A1428">
        <v>1427</v>
      </c>
      <c r="B1428" t="s">
        <v>1273</v>
      </c>
      <c r="C1428">
        <v>44473.688194444447</v>
      </c>
      <c r="D1428">
        <v>2021</v>
      </c>
      <c r="E1428" t="s">
        <v>10</v>
      </c>
      <c r="F1428" t="s">
        <v>1561</v>
      </c>
      <c r="G1428" t="s">
        <v>229</v>
      </c>
      <c r="H1428" s="1" t="s">
        <v>1573</v>
      </c>
      <c r="I1428" t="s">
        <v>1634</v>
      </c>
      <c r="J1428" s="2">
        <v>1582015</v>
      </c>
      <c r="K1428" t="s">
        <v>121</v>
      </c>
      <c r="L1428" t="s">
        <v>1653</v>
      </c>
    </row>
    <row r="1429" spans="1:12" x14ac:dyDescent="0.3">
      <c r="A1429">
        <v>1428</v>
      </c>
      <c r="B1429" t="s">
        <v>1274</v>
      </c>
      <c r="C1429">
        <v>44473.713888888888</v>
      </c>
      <c r="D1429">
        <v>2021</v>
      </c>
      <c r="E1429" t="s">
        <v>10</v>
      </c>
      <c r="F1429" t="s">
        <v>1561</v>
      </c>
      <c r="G1429" t="s">
        <v>11</v>
      </c>
      <c r="H1429" s="1" t="s">
        <v>1575</v>
      </c>
      <c r="I1429" t="s">
        <v>1577</v>
      </c>
      <c r="J1429" s="2">
        <v>1088270</v>
      </c>
      <c r="K1429" t="s">
        <v>121</v>
      </c>
      <c r="L1429" t="s">
        <v>1652</v>
      </c>
    </row>
    <row r="1430" spans="1:12" x14ac:dyDescent="0.3">
      <c r="A1430">
        <v>1429</v>
      </c>
      <c r="B1430" t="s">
        <v>1275</v>
      </c>
      <c r="C1430">
        <v>44474.376388888886</v>
      </c>
      <c r="D1430">
        <v>2021</v>
      </c>
      <c r="E1430" t="s">
        <v>10</v>
      </c>
      <c r="F1430" t="s">
        <v>1561</v>
      </c>
      <c r="G1430" t="s">
        <v>57</v>
      </c>
      <c r="H1430" s="1" t="s">
        <v>1565</v>
      </c>
      <c r="I1430" t="s">
        <v>1636</v>
      </c>
      <c r="J1430" s="2">
        <v>1674147</v>
      </c>
      <c r="K1430" t="s">
        <v>16</v>
      </c>
      <c r="L1430" t="s">
        <v>1649</v>
      </c>
    </row>
    <row r="1431" spans="1:12" x14ac:dyDescent="0.3">
      <c r="A1431">
        <v>1430</v>
      </c>
      <c r="B1431" t="s">
        <v>1276</v>
      </c>
      <c r="C1431">
        <v>44474.49722222222</v>
      </c>
      <c r="D1431">
        <v>2021</v>
      </c>
      <c r="E1431" t="s">
        <v>10</v>
      </c>
      <c r="F1431" t="s">
        <v>1561</v>
      </c>
      <c r="G1431" t="s">
        <v>290</v>
      </c>
      <c r="H1431" s="1" t="s">
        <v>1562</v>
      </c>
      <c r="I1431" t="s">
        <v>1579</v>
      </c>
      <c r="J1431" s="2">
        <v>3113938</v>
      </c>
      <c r="K1431" t="s">
        <v>12</v>
      </c>
      <c r="L1431" t="s">
        <v>1648</v>
      </c>
    </row>
    <row r="1432" spans="1:12" x14ac:dyDescent="0.3">
      <c r="A1432">
        <v>1431</v>
      </c>
      <c r="B1432" t="s">
        <v>1277</v>
      </c>
      <c r="C1432">
        <v>44474.511805555558</v>
      </c>
      <c r="D1432">
        <v>2021</v>
      </c>
      <c r="E1432" t="s">
        <v>10</v>
      </c>
      <c r="F1432" t="s">
        <v>1561</v>
      </c>
      <c r="G1432" t="s">
        <v>290</v>
      </c>
      <c r="H1432" s="1" t="s">
        <v>1571</v>
      </c>
      <c r="I1432" t="s">
        <v>1579</v>
      </c>
      <c r="J1432" s="2">
        <v>4657081</v>
      </c>
      <c r="K1432" t="s">
        <v>12</v>
      </c>
      <c r="L1432" t="s">
        <v>1648</v>
      </c>
    </row>
    <row r="1433" spans="1:12" x14ac:dyDescent="0.3">
      <c r="A1433">
        <v>1432</v>
      </c>
      <c r="B1433" t="s">
        <v>1278</v>
      </c>
      <c r="C1433">
        <v>44474.539583333331</v>
      </c>
      <c r="D1433">
        <v>2021</v>
      </c>
      <c r="E1433" t="s">
        <v>10</v>
      </c>
      <c r="F1433" t="s">
        <v>1561</v>
      </c>
      <c r="G1433" t="s">
        <v>42</v>
      </c>
      <c r="H1433" s="1" t="s">
        <v>1569</v>
      </c>
      <c r="I1433" t="s">
        <v>1579</v>
      </c>
      <c r="J1433" s="2">
        <v>3999101</v>
      </c>
      <c r="K1433" t="s">
        <v>12</v>
      </c>
      <c r="L1433" t="s">
        <v>1651</v>
      </c>
    </row>
    <row r="1434" spans="1:12" x14ac:dyDescent="0.3">
      <c r="A1434">
        <v>1433</v>
      </c>
      <c r="B1434" t="s">
        <v>1279</v>
      </c>
      <c r="C1434">
        <v>44475.412499999999</v>
      </c>
      <c r="D1434">
        <v>2021</v>
      </c>
      <c r="E1434" t="s">
        <v>10</v>
      </c>
      <c r="F1434" t="s">
        <v>1561</v>
      </c>
      <c r="G1434" t="s">
        <v>62</v>
      </c>
      <c r="H1434" s="1" t="s">
        <v>1568</v>
      </c>
      <c r="I1434" t="s">
        <v>1587</v>
      </c>
      <c r="J1434" s="2">
        <v>3126687</v>
      </c>
      <c r="K1434" t="s">
        <v>12</v>
      </c>
      <c r="L1434" t="s">
        <v>1653</v>
      </c>
    </row>
    <row r="1435" spans="1:12" x14ac:dyDescent="0.3">
      <c r="A1435">
        <v>1434</v>
      </c>
      <c r="B1435" t="s">
        <v>1280</v>
      </c>
      <c r="C1435">
        <v>44475.413888888892</v>
      </c>
      <c r="D1435">
        <v>2021</v>
      </c>
      <c r="E1435" t="s">
        <v>10</v>
      </c>
      <c r="F1435" t="s">
        <v>1561</v>
      </c>
      <c r="G1435" t="s">
        <v>62</v>
      </c>
      <c r="H1435" s="1" t="s">
        <v>1564</v>
      </c>
      <c r="I1435" t="s">
        <v>1587</v>
      </c>
      <c r="J1435" s="2">
        <v>1398492</v>
      </c>
      <c r="K1435" t="s">
        <v>12</v>
      </c>
      <c r="L1435" t="s">
        <v>1651</v>
      </c>
    </row>
    <row r="1436" spans="1:12" x14ac:dyDescent="0.3">
      <c r="A1436">
        <v>1435</v>
      </c>
      <c r="B1436" t="s">
        <v>1281</v>
      </c>
      <c r="C1436">
        <v>44475.609722222223</v>
      </c>
      <c r="D1436">
        <v>2021</v>
      </c>
      <c r="E1436" t="s">
        <v>10</v>
      </c>
      <c r="F1436" t="s">
        <v>1561</v>
      </c>
      <c r="G1436" t="s">
        <v>62</v>
      </c>
      <c r="H1436" s="1" t="s">
        <v>1573</v>
      </c>
      <c r="I1436" t="s">
        <v>1587</v>
      </c>
      <c r="J1436" s="2">
        <v>1010566</v>
      </c>
      <c r="K1436" t="s">
        <v>12</v>
      </c>
      <c r="L1436" t="s">
        <v>1651</v>
      </c>
    </row>
    <row r="1437" spans="1:12" x14ac:dyDescent="0.3">
      <c r="A1437">
        <v>1436</v>
      </c>
      <c r="B1437" t="s">
        <v>1282</v>
      </c>
      <c r="C1437">
        <v>44475.637499999997</v>
      </c>
      <c r="D1437">
        <v>2021</v>
      </c>
      <c r="E1437" t="s">
        <v>10</v>
      </c>
      <c r="F1437" t="s">
        <v>1561</v>
      </c>
      <c r="G1437" t="s">
        <v>290</v>
      </c>
      <c r="H1437" s="1" t="s">
        <v>1567</v>
      </c>
      <c r="I1437" t="s">
        <v>1579</v>
      </c>
      <c r="J1437" s="2">
        <v>3232049</v>
      </c>
      <c r="K1437" t="s">
        <v>12</v>
      </c>
      <c r="L1437" t="s">
        <v>1648</v>
      </c>
    </row>
    <row r="1438" spans="1:12" x14ac:dyDescent="0.3">
      <c r="A1438">
        <v>1437</v>
      </c>
      <c r="B1438" t="s">
        <v>50</v>
      </c>
      <c r="C1438">
        <v>44475.676388888889</v>
      </c>
      <c r="D1438">
        <v>2021</v>
      </c>
      <c r="E1438" t="s">
        <v>10</v>
      </c>
      <c r="F1438" t="s">
        <v>1555</v>
      </c>
      <c r="G1438" t="s">
        <v>44</v>
      </c>
      <c r="H1438" s="1" t="s">
        <v>1568</v>
      </c>
      <c r="I1438" t="s">
        <v>1454</v>
      </c>
      <c r="J1438" s="2">
        <v>3608839</v>
      </c>
      <c r="K1438" t="s">
        <v>121</v>
      </c>
      <c r="L1438" t="s">
        <v>1649</v>
      </c>
    </row>
    <row r="1439" spans="1:12" x14ac:dyDescent="0.3">
      <c r="A1439">
        <v>1438</v>
      </c>
      <c r="B1439" t="s">
        <v>1283</v>
      </c>
      <c r="C1439">
        <v>44475.737500000003</v>
      </c>
      <c r="D1439">
        <v>2021</v>
      </c>
      <c r="E1439" t="s">
        <v>10</v>
      </c>
      <c r="F1439" t="s">
        <v>1554</v>
      </c>
      <c r="G1439" t="s">
        <v>11</v>
      </c>
      <c r="H1439" s="1" t="s">
        <v>1568</v>
      </c>
      <c r="I1439" t="s">
        <v>1577</v>
      </c>
      <c r="J1439" s="2">
        <v>2878895</v>
      </c>
      <c r="K1439" t="s">
        <v>121</v>
      </c>
      <c r="L1439" t="s">
        <v>1649</v>
      </c>
    </row>
    <row r="1440" spans="1:12" x14ac:dyDescent="0.3">
      <c r="A1440">
        <v>1439</v>
      </c>
      <c r="B1440" t="s">
        <v>1284</v>
      </c>
      <c r="C1440">
        <v>44476.40625</v>
      </c>
      <c r="D1440">
        <v>2021</v>
      </c>
      <c r="E1440" t="s">
        <v>10</v>
      </c>
      <c r="F1440" t="s">
        <v>1554</v>
      </c>
      <c r="G1440" t="s">
        <v>62</v>
      </c>
      <c r="H1440" s="1" t="s">
        <v>1564</v>
      </c>
      <c r="I1440" t="s">
        <v>1634</v>
      </c>
      <c r="J1440" s="2">
        <v>1906884</v>
      </c>
      <c r="K1440" t="s">
        <v>121</v>
      </c>
      <c r="L1440" t="s">
        <v>1651</v>
      </c>
    </row>
    <row r="1441" spans="1:12" x14ac:dyDescent="0.3">
      <c r="A1441">
        <v>1440</v>
      </c>
      <c r="B1441" t="s">
        <v>1285</v>
      </c>
      <c r="C1441">
        <v>44476.589583333334</v>
      </c>
      <c r="D1441">
        <v>2021</v>
      </c>
      <c r="E1441" t="s">
        <v>10</v>
      </c>
      <c r="F1441" t="s">
        <v>1554</v>
      </c>
      <c r="G1441" t="s">
        <v>15</v>
      </c>
      <c r="H1441" s="1" t="s">
        <v>1573</v>
      </c>
      <c r="I1441" t="s">
        <v>1579</v>
      </c>
      <c r="J1441" s="2">
        <v>2034617</v>
      </c>
      <c r="K1441" t="s">
        <v>12</v>
      </c>
      <c r="L1441" t="s">
        <v>1648</v>
      </c>
    </row>
    <row r="1442" spans="1:12" x14ac:dyDescent="0.3">
      <c r="A1442">
        <v>1441</v>
      </c>
      <c r="B1442" t="s">
        <v>1286</v>
      </c>
      <c r="C1442">
        <v>44477.342361111114</v>
      </c>
      <c r="D1442">
        <v>2021</v>
      </c>
      <c r="E1442" t="s">
        <v>10</v>
      </c>
      <c r="F1442" t="s">
        <v>1554</v>
      </c>
      <c r="G1442" t="s">
        <v>18</v>
      </c>
      <c r="H1442" s="1" t="s">
        <v>1566</v>
      </c>
      <c r="I1442" t="s">
        <v>1579</v>
      </c>
      <c r="J1442" s="2">
        <v>3487643</v>
      </c>
      <c r="K1442" t="s">
        <v>12</v>
      </c>
      <c r="L1442" t="s">
        <v>1648</v>
      </c>
    </row>
    <row r="1443" spans="1:12" x14ac:dyDescent="0.3">
      <c r="A1443">
        <v>1442</v>
      </c>
      <c r="B1443" t="s">
        <v>435</v>
      </c>
      <c r="C1443">
        <v>44477.37777777778</v>
      </c>
      <c r="D1443">
        <v>2021</v>
      </c>
      <c r="E1443" t="s">
        <v>10</v>
      </c>
      <c r="F1443" t="s">
        <v>1554</v>
      </c>
      <c r="G1443" t="s">
        <v>18</v>
      </c>
      <c r="H1443" s="1" t="s">
        <v>1576</v>
      </c>
      <c r="I1443" t="s">
        <v>1579</v>
      </c>
      <c r="J1443" s="2">
        <v>3547109</v>
      </c>
      <c r="K1443" t="s">
        <v>12</v>
      </c>
      <c r="L1443" t="s">
        <v>1648</v>
      </c>
    </row>
    <row r="1444" spans="1:12" x14ac:dyDescent="0.3">
      <c r="A1444">
        <v>1443</v>
      </c>
      <c r="B1444" t="s">
        <v>1287</v>
      </c>
      <c r="C1444">
        <v>44477.382638888892</v>
      </c>
      <c r="D1444">
        <v>2021</v>
      </c>
      <c r="E1444" t="s">
        <v>10</v>
      </c>
      <c r="F1444" t="s">
        <v>1554</v>
      </c>
      <c r="G1444" t="s">
        <v>11</v>
      </c>
      <c r="H1444" s="1" t="s">
        <v>1572</v>
      </c>
      <c r="I1444" t="s">
        <v>1577</v>
      </c>
      <c r="J1444" s="2">
        <v>4385535</v>
      </c>
      <c r="K1444" t="s">
        <v>121</v>
      </c>
      <c r="L1444" t="s">
        <v>1650</v>
      </c>
    </row>
    <row r="1445" spans="1:12" x14ac:dyDescent="0.3">
      <c r="A1445">
        <v>1444</v>
      </c>
      <c r="B1445" t="s">
        <v>1288</v>
      </c>
      <c r="C1445">
        <v>44477.625694444447</v>
      </c>
      <c r="D1445">
        <v>2021</v>
      </c>
      <c r="E1445" t="s">
        <v>10</v>
      </c>
      <c r="F1445" t="s">
        <v>1554</v>
      </c>
      <c r="G1445" t="s">
        <v>49</v>
      </c>
      <c r="H1445" s="1" t="s">
        <v>1576</v>
      </c>
      <c r="I1445" t="s">
        <v>1579</v>
      </c>
      <c r="J1445" s="2">
        <v>1889175</v>
      </c>
      <c r="K1445" t="s">
        <v>12</v>
      </c>
      <c r="L1445" t="s">
        <v>1650</v>
      </c>
    </row>
    <row r="1446" spans="1:12" x14ac:dyDescent="0.3">
      <c r="A1446">
        <v>1445</v>
      </c>
      <c r="B1446" t="s">
        <v>1289</v>
      </c>
      <c r="C1446">
        <v>44480.376388888886</v>
      </c>
      <c r="D1446">
        <v>2021</v>
      </c>
      <c r="E1446" t="s">
        <v>10</v>
      </c>
      <c r="F1446" t="s">
        <v>1554</v>
      </c>
      <c r="G1446" t="s">
        <v>11</v>
      </c>
      <c r="H1446" s="1" t="s">
        <v>1563</v>
      </c>
      <c r="I1446" t="s">
        <v>1577</v>
      </c>
      <c r="J1446" s="2">
        <v>2069004</v>
      </c>
      <c r="K1446" t="s">
        <v>121</v>
      </c>
      <c r="L1446" t="s">
        <v>1652</v>
      </c>
    </row>
    <row r="1447" spans="1:12" x14ac:dyDescent="0.3">
      <c r="A1447">
        <v>1446</v>
      </c>
      <c r="B1447" t="s">
        <v>1290</v>
      </c>
      <c r="C1447">
        <v>44480.459027777775</v>
      </c>
      <c r="D1447">
        <v>2021</v>
      </c>
      <c r="E1447" t="s">
        <v>10</v>
      </c>
      <c r="F1447" t="s">
        <v>1554</v>
      </c>
      <c r="G1447" t="s">
        <v>290</v>
      </c>
      <c r="H1447" s="1" t="s">
        <v>1567</v>
      </c>
      <c r="I1447" t="s">
        <v>1579</v>
      </c>
      <c r="J1447" s="2">
        <v>2618140</v>
      </c>
      <c r="K1447" t="s">
        <v>12</v>
      </c>
      <c r="L1447" t="s">
        <v>1651</v>
      </c>
    </row>
    <row r="1448" spans="1:12" x14ac:dyDescent="0.3">
      <c r="A1448">
        <v>1447</v>
      </c>
      <c r="B1448" t="s">
        <v>1291</v>
      </c>
      <c r="C1448">
        <v>44480.696527777778</v>
      </c>
      <c r="D1448">
        <v>2021</v>
      </c>
      <c r="E1448" t="s">
        <v>10</v>
      </c>
      <c r="F1448" t="s">
        <v>1554</v>
      </c>
      <c r="G1448" t="s">
        <v>21</v>
      </c>
      <c r="H1448" s="1" t="s">
        <v>1566</v>
      </c>
      <c r="I1448" t="s">
        <v>1616</v>
      </c>
      <c r="J1448" s="2">
        <v>1995018</v>
      </c>
      <c r="K1448" t="s">
        <v>12</v>
      </c>
      <c r="L1448" t="s">
        <v>1648</v>
      </c>
    </row>
    <row r="1449" spans="1:12" x14ac:dyDescent="0.3">
      <c r="A1449">
        <v>1448</v>
      </c>
      <c r="B1449" t="s">
        <v>1292</v>
      </c>
      <c r="C1449">
        <v>44481.4</v>
      </c>
      <c r="D1449">
        <v>2021</v>
      </c>
      <c r="E1449" t="s">
        <v>10</v>
      </c>
      <c r="F1449" t="s">
        <v>1554</v>
      </c>
      <c r="G1449" t="s">
        <v>21</v>
      </c>
      <c r="H1449" s="1" t="s">
        <v>1570</v>
      </c>
      <c r="I1449" t="s">
        <v>1616</v>
      </c>
      <c r="J1449" s="2">
        <v>1492831</v>
      </c>
      <c r="K1449" t="s">
        <v>12</v>
      </c>
      <c r="L1449" t="s">
        <v>1652</v>
      </c>
    </row>
    <row r="1450" spans="1:12" x14ac:dyDescent="0.3">
      <c r="A1450">
        <v>1449</v>
      </c>
      <c r="B1450" t="s">
        <v>439</v>
      </c>
      <c r="C1450">
        <v>44481.45416666667</v>
      </c>
      <c r="D1450">
        <v>2021</v>
      </c>
      <c r="E1450" t="s">
        <v>10</v>
      </c>
      <c r="F1450" t="s">
        <v>1554</v>
      </c>
      <c r="G1450" t="s">
        <v>290</v>
      </c>
      <c r="H1450" s="1" t="s">
        <v>1564</v>
      </c>
      <c r="I1450" t="s">
        <v>1579</v>
      </c>
      <c r="J1450" s="2">
        <v>2492744</v>
      </c>
      <c r="K1450" t="s">
        <v>12</v>
      </c>
      <c r="L1450" t="s">
        <v>1648</v>
      </c>
    </row>
    <row r="1451" spans="1:12" x14ac:dyDescent="0.3">
      <c r="A1451">
        <v>1450</v>
      </c>
      <c r="B1451" t="s">
        <v>1293</v>
      </c>
      <c r="C1451">
        <v>44481.470138888886</v>
      </c>
      <c r="D1451">
        <v>2021</v>
      </c>
      <c r="E1451" t="s">
        <v>10</v>
      </c>
      <c r="F1451" t="s">
        <v>1554</v>
      </c>
      <c r="G1451" t="s">
        <v>290</v>
      </c>
      <c r="H1451" s="1" t="s">
        <v>1576</v>
      </c>
      <c r="I1451" t="s">
        <v>1579</v>
      </c>
      <c r="J1451" s="2">
        <v>4847327</v>
      </c>
      <c r="K1451" t="s">
        <v>12</v>
      </c>
      <c r="L1451" t="s">
        <v>1650</v>
      </c>
    </row>
    <row r="1452" spans="1:12" x14ac:dyDescent="0.3">
      <c r="A1452">
        <v>1451</v>
      </c>
      <c r="B1452" t="s">
        <v>235</v>
      </c>
      <c r="C1452">
        <v>44481.478472222225</v>
      </c>
      <c r="D1452">
        <v>2021</v>
      </c>
      <c r="E1452" t="s">
        <v>10</v>
      </c>
      <c r="F1452" t="s">
        <v>1554</v>
      </c>
      <c r="G1452" t="s">
        <v>290</v>
      </c>
      <c r="H1452" s="1" t="s">
        <v>1567</v>
      </c>
      <c r="I1452" t="s">
        <v>1579</v>
      </c>
      <c r="J1452" s="2">
        <v>2261027</v>
      </c>
      <c r="K1452" t="s">
        <v>12</v>
      </c>
      <c r="L1452" t="s">
        <v>1653</v>
      </c>
    </row>
    <row r="1453" spans="1:12" x14ac:dyDescent="0.3">
      <c r="A1453">
        <v>1452</v>
      </c>
      <c r="B1453" t="s">
        <v>1294</v>
      </c>
      <c r="C1453">
        <v>44481.484027777777</v>
      </c>
      <c r="D1453">
        <v>2021</v>
      </c>
      <c r="E1453" t="s">
        <v>10</v>
      </c>
      <c r="F1453" t="s">
        <v>1554</v>
      </c>
      <c r="G1453" t="s">
        <v>62</v>
      </c>
      <c r="H1453" s="1" t="s">
        <v>1568</v>
      </c>
      <c r="I1453" t="s">
        <v>1587</v>
      </c>
      <c r="J1453" s="2">
        <v>4249669</v>
      </c>
      <c r="K1453" t="s">
        <v>12</v>
      </c>
      <c r="L1453" t="s">
        <v>1653</v>
      </c>
    </row>
    <row r="1454" spans="1:12" x14ac:dyDescent="0.3">
      <c r="A1454">
        <v>1453</v>
      </c>
      <c r="B1454" t="s">
        <v>1295</v>
      </c>
      <c r="C1454">
        <v>44481.484027777777</v>
      </c>
      <c r="D1454">
        <v>2021</v>
      </c>
      <c r="E1454" t="s">
        <v>10</v>
      </c>
      <c r="F1454" t="s">
        <v>1554</v>
      </c>
      <c r="G1454" t="s">
        <v>290</v>
      </c>
      <c r="H1454" s="1" t="s">
        <v>1570</v>
      </c>
      <c r="I1454" t="s">
        <v>1579</v>
      </c>
      <c r="J1454" s="2">
        <v>3560914</v>
      </c>
      <c r="K1454" t="s">
        <v>12</v>
      </c>
      <c r="L1454" t="s">
        <v>1650</v>
      </c>
    </row>
    <row r="1455" spans="1:12" x14ac:dyDescent="0.3">
      <c r="A1455">
        <v>1454</v>
      </c>
      <c r="B1455" t="s">
        <v>1296</v>
      </c>
      <c r="C1455">
        <v>44481.48541666667</v>
      </c>
      <c r="D1455">
        <v>2021</v>
      </c>
      <c r="E1455" t="s">
        <v>10</v>
      </c>
      <c r="F1455" t="s">
        <v>1559</v>
      </c>
      <c r="G1455" t="s">
        <v>62</v>
      </c>
      <c r="H1455" s="1" t="s">
        <v>1567</v>
      </c>
      <c r="I1455" t="s">
        <v>1587</v>
      </c>
      <c r="J1455" s="2">
        <v>3223383</v>
      </c>
      <c r="K1455" t="s">
        <v>12</v>
      </c>
      <c r="L1455" t="s">
        <v>1651</v>
      </c>
    </row>
    <row r="1456" spans="1:12" x14ac:dyDescent="0.3">
      <c r="A1456">
        <v>1455</v>
      </c>
      <c r="B1456" t="s">
        <v>1297</v>
      </c>
      <c r="C1456">
        <v>44481.496527777781</v>
      </c>
      <c r="D1456">
        <v>2021</v>
      </c>
      <c r="E1456" t="s">
        <v>10</v>
      </c>
      <c r="F1456" t="s">
        <v>1559</v>
      </c>
      <c r="G1456" t="s">
        <v>62</v>
      </c>
      <c r="H1456" s="1" t="s">
        <v>1570</v>
      </c>
      <c r="I1456" t="s">
        <v>1587</v>
      </c>
      <c r="J1456" s="2">
        <v>2028189</v>
      </c>
      <c r="K1456" t="s">
        <v>12</v>
      </c>
      <c r="L1456" t="s">
        <v>1650</v>
      </c>
    </row>
    <row r="1457" spans="1:12" x14ac:dyDescent="0.3">
      <c r="A1457">
        <v>1456</v>
      </c>
      <c r="B1457" t="s">
        <v>1298</v>
      </c>
      <c r="C1457">
        <v>44481.501388888886</v>
      </c>
      <c r="D1457">
        <v>2021</v>
      </c>
      <c r="E1457" t="s">
        <v>10</v>
      </c>
      <c r="F1457" t="s">
        <v>1559</v>
      </c>
      <c r="G1457" t="s">
        <v>62</v>
      </c>
      <c r="H1457" s="1" t="s">
        <v>1566</v>
      </c>
      <c r="I1457" t="s">
        <v>1603</v>
      </c>
      <c r="J1457" s="2">
        <v>4376336</v>
      </c>
      <c r="K1457" t="s">
        <v>121</v>
      </c>
      <c r="L1457" t="s">
        <v>1652</v>
      </c>
    </row>
    <row r="1458" spans="1:12" x14ac:dyDescent="0.3">
      <c r="A1458">
        <v>1457</v>
      </c>
      <c r="B1458" t="s">
        <v>1299</v>
      </c>
      <c r="C1458">
        <v>44481.502083333333</v>
      </c>
      <c r="D1458">
        <v>2021</v>
      </c>
      <c r="E1458" t="s">
        <v>10</v>
      </c>
      <c r="F1458" t="s">
        <v>1559</v>
      </c>
      <c r="G1458" t="s">
        <v>62</v>
      </c>
      <c r="H1458" s="1" t="s">
        <v>1568</v>
      </c>
      <c r="I1458" t="s">
        <v>1603</v>
      </c>
      <c r="J1458" s="2">
        <v>1873789</v>
      </c>
      <c r="K1458" t="s">
        <v>121</v>
      </c>
      <c r="L1458" t="s">
        <v>1651</v>
      </c>
    </row>
    <row r="1459" spans="1:12" x14ac:dyDescent="0.3">
      <c r="A1459">
        <v>1458</v>
      </c>
      <c r="B1459" t="s">
        <v>820</v>
      </c>
      <c r="C1459">
        <v>44481.506249999999</v>
      </c>
      <c r="D1459">
        <v>2021</v>
      </c>
      <c r="E1459" t="s">
        <v>10</v>
      </c>
      <c r="F1459" t="s">
        <v>1559</v>
      </c>
      <c r="G1459" t="s">
        <v>62</v>
      </c>
      <c r="H1459" s="1" t="s">
        <v>1573</v>
      </c>
      <c r="I1459" t="s">
        <v>1639</v>
      </c>
      <c r="J1459" s="2">
        <v>986753</v>
      </c>
      <c r="K1459" t="s">
        <v>12</v>
      </c>
      <c r="L1459" t="s">
        <v>1653</v>
      </c>
    </row>
    <row r="1460" spans="1:12" x14ac:dyDescent="0.3">
      <c r="A1460">
        <v>1459</v>
      </c>
      <c r="B1460" t="s">
        <v>1300</v>
      </c>
      <c r="C1460">
        <v>44481.635416666664</v>
      </c>
      <c r="D1460">
        <v>2021</v>
      </c>
      <c r="E1460" t="s">
        <v>10</v>
      </c>
      <c r="F1460" t="s">
        <v>1559</v>
      </c>
      <c r="G1460" t="s">
        <v>11</v>
      </c>
      <c r="H1460" s="1" t="s">
        <v>1565</v>
      </c>
      <c r="I1460" t="s">
        <v>1577</v>
      </c>
      <c r="J1460" s="2">
        <v>4590150</v>
      </c>
      <c r="K1460" t="s">
        <v>121</v>
      </c>
      <c r="L1460" t="s">
        <v>1653</v>
      </c>
    </row>
    <row r="1461" spans="1:12" x14ac:dyDescent="0.3">
      <c r="A1461">
        <v>1460</v>
      </c>
      <c r="B1461" t="s">
        <v>1301</v>
      </c>
      <c r="C1461">
        <v>44483.492361111108</v>
      </c>
      <c r="D1461">
        <v>2021</v>
      </c>
      <c r="E1461" t="s">
        <v>10</v>
      </c>
      <c r="F1461" t="s">
        <v>1559</v>
      </c>
      <c r="G1461" t="s">
        <v>15</v>
      </c>
      <c r="H1461" s="1" t="s">
        <v>1563</v>
      </c>
      <c r="I1461" t="s">
        <v>1579</v>
      </c>
      <c r="J1461" s="2">
        <v>3629701</v>
      </c>
      <c r="K1461" t="s">
        <v>12</v>
      </c>
      <c r="L1461" t="s">
        <v>1652</v>
      </c>
    </row>
    <row r="1462" spans="1:12" x14ac:dyDescent="0.3">
      <c r="A1462">
        <v>1461</v>
      </c>
      <c r="B1462" t="s">
        <v>1302</v>
      </c>
      <c r="C1462">
        <v>44483.497916666667</v>
      </c>
      <c r="D1462">
        <v>2021</v>
      </c>
      <c r="E1462" t="s">
        <v>10</v>
      </c>
      <c r="F1462" t="s">
        <v>1559</v>
      </c>
      <c r="G1462" t="s">
        <v>23</v>
      </c>
      <c r="H1462" s="1" t="s">
        <v>1575</v>
      </c>
      <c r="I1462" t="s">
        <v>1579</v>
      </c>
      <c r="J1462" s="2">
        <v>4632738</v>
      </c>
      <c r="K1462" t="s">
        <v>12</v>
      </c>
      <c r="L1462" t="s">
        <v>1649</v>
      </c>
    </row>
    <row r="1463" spans="1:12" x14ac:dyDescent="0.3">
      <c r="A1463">
        <v>1462</v>
      </c>
      <c r="B1463" t="s">
        <v>1303</v>
      </c>
      <c r="C1463">
        <v>44483.531944444447</v>
      </c>
      <c r="D1463">
        <v>2021</v>
      </c>
      <c r="E1463" t="s">
        <v>10</v>
      </c>
      <c r="F1463" t="s">
        <v>1559</v>
      </c>
      <c r="G1463" t="s">
        <v>290</v>
      </c>
      <c r="H1463" s="1" t="s">
        <v>1575</v>
      </c>
      <c r="I1463" t="s">
        <v>1579</v>
      </c>
      <c r="J1463" s="2">
        <v>4209064</v>
      </c>
      <c r="K1463" t="s">
        <v>12</v>
      </c>
      <c r="L1463" t="s">
        <v>1649</v>
      </c>
    </row>
    <row r="1464" spans="1:12" x14ac:dyDescent="0.3">
      <c r="A1464">
        <v>1463</v>
      </c>
      <c r="B1464" t="s">
        <v>1304</v>
      </c>
      <c r="C1464">
        <v>44489.623611111114</v>
      </c>
      <c r="D1464">
        <v>2021</v>
      </c>
      <c r="E1464" t="s">
        <v>10</v>
      </c>
      <c r="F1464" t="s">
        <v>1559</v>
      </c>
      <c r="G1464" t="s">
        <v>23</v>
      </c>
      <c r="H1464" s="1" t="s">
        <v>1563</v>
      </c>
      <c r="I1464" t="s">
        <v>1579</v>
      </c>
      <c r="J1464" s="2">
        <v>2492597</v>
      </c>
      <c r="K1464" t="s">
        <v>12</v>
      </c>
      <c r="L1464" t="s">
        <v>1648</v>
      </c>
    </row>
    <row r="1465" spans="1:12" x14ac:dyDescent="0.3">
      <c r="A1465">
        <v>1464</v>
      </c>
      <c r="B1465" t="s">
        <v>1284</v>
      </c>
      <c r="C1465">
        <v>44489.70416666667</v>
      </c>
      <c r="D1465">
        <v>2021</v>
      </c>
      <c r="E1465" t="s">
        <v>10</v>
      </c>
      <c r="F1465" t="s">
        <v>1559</v>
      </c>
      <c r="G1465" t="s">
        <v>62</v>
      </c>
      <c r="H1465" s="1" t="s">
        <v>1571</v>
      </c>
      <c r="I1465" t="s">
        <v>1634</v>
      </c>
      <c r="J1465" s="2">
        <v>3249826</v>
      </c>
      <c r="K1465" t="s">
        <v>121</v>
      </c>
      <c r="L1465" t="s">
        <v>1652</v>
      </c>
    </row>
    <row r="1466" spans="1:12" x14ac:dyDescent="0.3">
      <c r="A1466">
        <v>1465</v>
      </c>
      <c r="B1466" t="s">
        <v>1305</v>
      </c>
      <c r="C1466">
        <v>44489.708333333336</v>
      </c>
      <c r="D1466">
        <v>2021</v>
      </c>
      <c r="E1466" t="s">
        <v>10</v>
      </c>
      <c r="F1466" t="s">
        <v>1559</v>
      </c>
      <c r="G1466" t="s">
        <v>44</v>
      </c>
      <c r="H1466" s="1" t="s">
        <v>1569</v>
      </c>
      <c r="I1466" t="s">
        <v>1579</v>
      </c>
      <c r="J1466" s="2">
        <v>4314333</v>
      </c>
      <c r="K1466" t="s">
        <v>12</v>
      </c>
      <c r="L1466" t="s">
        <v>1650</v>
      </c>
    </row>
    <row r="1467" spans="1:12" x14ac:dyDescent="0.3">
      <c r="A1467">
        <v>1466</v>
      </c>
      <c r="B1467" t="s">
        <v>1306</v>
      </c>
      <c r="C1467">
        <v>44490.411111111112</v>
      </c>
      <c r="D1467">
        <v>2021</v>
      </c>
      <c r="E1467" t="s">
        <v>10</v>
      </c>
      <c r="F1467" t="s">
        <v>1559</v>
      </c>
      <c r="G1467" t="s">
        <v>23</v>
      </c>
      <c r="H1467" s="1" t="s">
        <v>1569</v>
      </c>
      <c r="I1467" t="s">
        <v>1579</v>
      </c>
      <c r="J1467" s="2">
        <v>2687189</v>
      </c>
      <c r="K1467" t="s">
        <v>12</v>
      </c>
      <c r="L1467" t="s">
        <v>1648</v>
      </c>
    </row>
    <row r="1468" spans="1:12" x14ac:dyDescent="0.3">
      <c r="A1468">
        <v>1467</v>
      </c>
      <c r="B1468" t="s">
        <v>987</v>
      </c>
      <c r="C1468">
        <v>44490.529861111114</v>
      </c>
      <c r="D1468">
        <v>2021</v>
      </c>
      <c r="E1468" t="s">
        <v>10</v>
      </c>
      <c r="F1468" t="s">
        <v>1559</v>
      </c>
      <c r="G1468" t="s">
        <v>23</v>
      </c>
      <c r="H1468" s="1" t="s">
        <v>1576</v>
      </c>
      <c r="I1468" t="s">
        <v>1579</v>
      </c>
      <c r="J1468" s="2">
        <v>1872920</v>
      </c>
      <c r="K1468" t="s">
        <v>12</v>
      </c>
      <c r="L1468" t="s">
        <v>1651</v>
      </c>
    </row>
    <row r="1469" spans="1:12" x14ac:dyDescent="0.3">
      <c r="A1469">
        <v>1468</v>
      </c>
      <c r="B1469" t="s">
        <v>1307</v>
      </c>
      <c r="C1469">
        <v>44490.630555555559</v>
      </c>
      <c r="D1469">
        <v>2021</v>
      </c>
      <c r="E1469" t="s">
        <v>10</v>
      </c>
      <c r="F1469" t="s">
        <v>1559</v>
      </c>
      <c r="G1469" t="s">
        <v>44</v>
      </c>
      <c r="H1469" s="1" t="s">
        <v>1573</v>
      </c>
      <c r="I1469" t="s">
        <v>1579</v>
      </c>
      <c r="J1469" s="2">
        <v>2311600</v>
      </c>
      <c r="K1469" t="s">
        <v>12</v>
      </c>
      <c r="L1469" t="s">
        <v>1650</v>
      </c>
    </row>
    <row r="1470" spans="1:12" x14ac:dyDescent="0.3">
      <c r="A1470">
        <v>1469</v>
      </c>
      <c r="B1470" t="s">
        <v>1308</v>
      </c>
      <c r="C1470">
        <v>44490.634027777778</v>
      </c>
      <c r="D1470">
        <v>2021</v>
      </c>
      <c r="E1470" t="s">
        <v>10</v>
      </c>
      <c r="F1470" t="s">
        <v>1559</v>
      </c>
      <c r="G1470" t="s">
        <v>290</v>
      </c>
      <c r="H1470" s="1" t="s">
        <v>1563</v>
      </c>
      <c r="I1470" t="s">
        <v>1579</v>
      </c>
      <c r="J1470" s="2">
        <v>4460685</v>
      </c>
      <c r="K1470" t="s">
        <v>12</v>
      </c>
      <c r="L1470" t="s">
        <v>1650</v>
      </c>
    </row>
    <row r="1471" spans="1:12" x14ac:dyDescent="0.3">
      <c r="A1471">
        <v>1470</v>
      </c>
      <c r="B1471" t="s">
        <v>1309</v>
      </c>
      <c r="C1471">
        <v>44491.376388888886</v>
      </c>
      <c r="D1471">
        <v>2021</v>
      </c>
      <c r="E1471" t="s">
        <v>10</v>
      </c>
      <c r="F1471" t="s">
        <v>1559</v>
      </c>
      <c r="G1471" t="s">
        <v>23</v>
      </c>
      <c r="H1471" s="1" t="s">
        <v>1569</v>
      </c>
      <c r="I1471" t="s">
        <v>1579</v>
      </c>
      <c r="J1471" s="2">
        <v>1506583</v>
      </c>
      <c r="K1471" t="s">
        <v>12</v>
      </c>
      <c r="L1471" t="s">
        <v>1648</v>
      </c>
    </row>
    <row r="1472" spans="1:12" x14ac:dyDescent="0.3">
      <c r="A1472">
        <v>1471</v>
      </c>
      <c r="B1472" t="s">
        <v>1310</v>
      </c>
      <c r="C1472">
        <v>44491.46597222222</v>
      </c>
      <c r="D1472">
        <v>2021</v>
      </c>
      <c r="E1472" t="s">
        <v>10</v>
      </c>
      <c r="F1472" t="s">
        <v>1559</v>
      </c>
      <c r="G1472" t="s">
        <v>23</v>
      </c>
      <c r="H1472" s="1" t="s">
        <v>1574</v>
      </c>
      <c r="I1472" t="s">
        <v>1579</v>
      </c>
      <c r="J1472" s="2">
        <v>2623482</v>
      </c>
      <c r="K1472" t="s">
        <v>12</v>
      </c>
      <c r="L1472" t="s">
        <v>1649</v>
      </c>
    </row>
    <row r="1473" spans="1:12" x14ac:dyDescent="0.3">
      <c r="A1473">
        <v>1472</v>
      </c>
      <c r="B1473" t="s">
        <v>1311</v>
      </c>
      <c r="C1473">
        <v>44491.531944444447</v>
      </c>
      <c r="D1473">
        <v>2021</v>
      </c>
      <c r="E1473" t="s">
        <v>10</v>
      </c>
      <c r="F1473" t="s">
        <v>1559</v>
      </c>
      <c r="G1473" t="s">
        <v>18</v>
      </c>
      <c r="H1473" s="1" t="s">
        <v>1567</v>
      </c>
      <c r="I1473" t="s">
        <v>1587</v>
      </c>
      <c r="J1473" s="2">
        <v>4589544</v>
      </c>
      <c r="K1473" t="s">
        <v>12</v>
      </c>
      <c r="L1473" t="s">
        <v>1648</v>
      </c>
    </row>
    <row r="1474" spans="1:12" x14ac:dyDescent="0.3">
      <c r="A1474">
        <v>1473</v>
      </c>
      <c r="B1474" t="s">
        <v>50</v>
      </c>
      <c r="C1474">
        <v>44491.75277777778</v>
      </c>
      <c r="D1474">
        <v>2021</v>
      </c>
      <c r="E1474" t="s">
        <v>10</v>
      </c>
      <c r="F1474" t="s">
        <v>1559</v>
      </c>
      <c r="G1474" t="s">
        <v>67</v>
      </c>
      <c r="H1474" s="1" t="s">
        <v>1574</v>
      </c>
      <c r="I1474" t="s">
        <v>1591</v>
      </c>
      <c r="J1474" s="2">
        <v>4382284</v>
      </c>
      <c r="K1474" t="s">
        <v>12</v>
      </c>
      <c r="L1474" t="s">
        <v>1652</v>
      </c>
    </row>
    <row r="1475" spans="1:12" x14ac:dyDescent="0.3">
      <c r="A1475">
        <v>1474</v>
      </c>
      <c r="B1475" t="s">
        <v>1312</v>
      </c>
      <c r="C1475">
        <v>44494.486805555556</v>
      </c>
      <c r="D1475">
        <v>2021</v>
      </c>
      <c r="E1475" t="s">
        <v>10</v>
      </c>
      <c r="F1475" t="s">
        <v>1559</v>
      </c>
      <c r="G1475" t="s">
        <v>11</v>
      </c>
      <c r="H1475" s="1" t="s">
        <v>1572</v>
      </c>
      <c r="I1475" t="s">
        <v>1577</v>
      </c>
      <c r="J1475" s="2">
        <v>4430221</v>
      </c>
      <c r="K1475" t="s">
        <v>121</v>
      </c>
      <c r="L1475" t="s">
        <v>1649</v>
      </c>
    </row>
    <row r="1476" spans="1:12" x14ac:dyDescent="0.3">
      <c r="A1476">
        <v>1475</v>
      </c>
      <c r="B1476" t="s">
        <v>1313</v>
      </c>
      <c r="C1476">
        <v>44494.526388888888</v>
      </c>
      <c r="D1476">
        <v>2021</v>
      </c>
      <c r="E1476" t="s">
        <v>10</v>
      </c>
      <c r="F1476" t="s">
        <v>1559</v>
      </c>
      <c r="G1476" t="s">
        <v>44</v>
      </c>
      <c r="H1476" s="1" t="s">
        <v>1574</v>
      </c>
      <c r="I1476" t="s">
        <v>1586</v>
      </c>
      <c r="J1476" s="2">
        <v>2193913</v>
      </c>
      <c r="K1476" t="s">
        <v>59</v>
      </c>
      <c r="L1476" t="s">
        <v>1649</v>
      </c>
    </row>
    <row r="1477" spans="1:12" x14ac:dyDescent="0.3">
      <c r="A1477">
        <v>1476</v>
      </c>
      <c r="B1477" t="s">
        <v>535</v>
      </c>
      <c r="C1477">
        <v>44494.603472222225</v>
      </c>
      <c r="D1477">
        <v>2021</v>
      </c>
      <c r="E1477" t="s">
        <v>10</v>
      </c>
      <c r="F1477" t="s">
        <v>1559</v>
      </c>
      <c r="G1477" t="s">
        <v>18</v>
      </c>
      <c r="H1477" s="1" t="s">
        <v>1574</v>
      </c>
      <c r="I1477" t="s">
        <v>1636</v>
      </c>
      <c r="J1477" s="2">
        <v>3762112</v>
      </c>
      <c r="K1477" t="s">
        <v>16</v>
      </c>
      <c r="L1477" t="s">
        <v>1651</v>
      </c>
    </row>
    <row r="1478" spans="1:12" x14ac:dyDescent="0.3">
      <c r="A1478">
        <v>1477</v>
      </c>
      <c r="B1478" t="s">
        <v>1268</v>
      </c>
      <c r="C1478">
        <v>44494.644444444442</v>
      </c>
      <c r="D1478">
        <v>2021</v>
      </c>
      <c r="E1478" t="s">
        <v>10</v>
      </c>
      <c r="F1478" t="s">
        <v>1559</v>
      </c>
      <c r="G1478" t="s">
        <v>42</v>
      </c>
      <c r="H1478" s="1" t="s">
        <v>1563</v>
      </c>
      <c r="I1478" t="s">
        <v>1579</v>
      </c>
      <c r="J1478" s="2">
        <v>4505094</v>
      </c>
      <c r="K1478" t="s">
        <v>12</v>
      </c>
      <c r="L1478" t="s">
        <v>1651</v>
      </c>
    </row>
    <row r="1479" spans="1:12" x14ac:dyDescent="0.3">
      <c r="A1479">
        <v>1478</v>
      </c>
      <c r="B1479" t="s">
        <v>1314</v>
      </c>
      <c r="C1479">
        <v>44495.417361111111</v>
      </c>
      <c r="D1479">
        <v>2021</v>
      </c>
      <c r="E1479" t="s">
        <v>10</v>
      </c>
      <c r="F1479" t="s">
        <v>1559</v>
      </c>
      <c r="G1479" t="s">
        <v>44</v>
      </c>
      <c r="H1479" s="1" t="s">
        <v>1567</v>
      </c>
      <c r="I1479" t="s">
        <v>1635</v>
      </c>
      <c r="J1479" s="2">
        <v>3723039</v>
      </c>
      <c r="K1479" t="s">
        <v>12</v>
      </c>
      <c r="L1479" t="s">
        <v>1649</v>
      </c>
    </row>
    <row r="1480" spans="1:12" x14ac:dyDescent="0.3">
      <c r="A1480">
        <v>1479</v>
      </c>
      <c r="B1480" t="s">
        <v>1314</v>
      </c>
      <c r="C1480">
        <v>44495.418749999997</v>
      </c>
      <c r="D1480">
        <v>2021</v>
      </c>
      <c r="E1480" t="s">
        <v>10</v>
      </c>
      <c r="F1480" t="s">
        <v>1559</v>
      </c>
      <c r="G1480" t="s">
        <v>44</v>
      </c>
      <c r="H1480" s="1" t="s">
        <v>1562</v>
      </c>
      <c r="I1480" t="s">
        <v>1635</v>
      </c>
      <c r="J1480" s="2">
        <v>2372620</v>
      </c>
      <c r="K1480" t="s">
        <v>12</v>
      </c>
      <c r="L1480" t="s">
        <v>1650</v>
      </c>
    </row>
    <row r="1481" spans="1:12" x14ac:dyDescent="0.3">
      <c r="A1481">
        <v>1480</v>
      </c>
      <c r="B1481" t="s">
        <v>1315</v>
      </c>
      <c r="C1481">
        <v>44496.597916666666</v>
      </c>
      <c r="D1481">
        <v>2021</v>
      </c>
      <c r="E1481" t="s">
        <v>10</v>
      </c>
      <c r="F1481" t="s">
        <v>1559</v>
      </c>
      <c r="G1481" t="s">
        <v>23</v>
      </c>
      <c r="H1481" s="1" t="s">
        <v>1575</v>
      </c>
      <c r="I1481" t="s">
        <v>1579</v>
      </c>
      <c r="J1481" s="2">
        <v>3566886</v>
      </c>
      <c r="K1481" t="s">
        <v>12</v>
      </c>
      <c r="L1481" t="s">
        <v>1649</v>
      </c>
    </row>
    <row r="1482" spans="1:12" x14ac:dyDescent="0.3">
      <c r="A1482">
        <v>1481</v>
      </c>
      <c r="B1482" t="s">
        <v>1316</v>
      </c>
      <c r="C1482">
        <v>44497.448611111111</v>
      </c>
      <c r="D1482">
        <v>2021</v>
      </c>
      <c r="E1482" t="s">
        <v>10</v>
      </c>
      <c r="F1482" t="s">
        <v>1559</v>
      </c>
      <c r="G1482" t="s">
        <v>23</v>
      </c>
      <c r="H1482" s="1" t="s">
        <v>1575</v>
      </c>
      <c r="I1482" t="s">
        <v>1579</v>
      </c>
      <c r="J1482" s="2">
        <v>3569191</v>
      </c>
      <c r="K1482" t="s">
        <v>12</v>
      </c>
      <c r="L1482" t="s">
        <v>1648</v>
      </c>
    </row>
    <row r="1483" spans="1:12" x14ac:dyDescent="0.3">
      <c r="A1483">
        <v>1482</v>
      </c>
      <c r="B1483" t="s">
        <v>1317</v>
      </c>
      <c r="C1483">
        <v>44497.468055555553</v>
      </c>
      <c r="D1483">
        <v>2021</v>
      </c>
      <c r="E1483" t="s">
        <v>10</v>
      </c>
      <c r="F1483" t="s">
        <v>1559</v>
      </c>
      <c r="G1483" t="s">
        <v>18</v>
      </c>
      <c r="H1483" s="1" t="s">
        <v>1575</v>
      </c>
      <c r="I1483" t="s">
        <v>1579</v>
      </c>
      <c r="J1483" s="2">
        <v>3786458</v>
      </c>
      <c r="K1483" t="s">
        <v>12</v>
      </c>
      <c r="L1483" t="s">
        <v>1649</v>
      </c>
    </row>
    <row r="1484" spans="1:12" x14ac:dyDescent="0.3">
      <c r="A1484">
        <v>1483</v>
      </c>
      <c r="B1484" t="s">
        <v>1318</v>
      </c>
      <c r="C1484">
        <v>44497.499305555553</v>
      </c>
      <c r="D1484">
        <v>2021</v>
      </c>
      <c r="E1484" t="s">
        <v>10</v>
      </c>
      <c r="F1484" t="s">
        <v>1559</v>
      </c>
      <c r="G1484" t="s">
        <v>57</v>
      </c>
      <c r="H1484" s="1" t="s">
        <v>1575</v>
      </c>
      <c r="I1484" t="s">
        <v>1582</v>
      </c>
      <c r="J1484" s="2">
        <v>2425263</v>
      </c>
      <c r="K1484" t="s">
        <v>16</v>
      </c>
      <c r="L1484" t="s">
        <v>1648</v>
      </c>
    </row>
    <row r="1485" spans="1:12" x14ac:dyDescent="0.3">
      <c r="A1485">
        <v>1484</v>
      </c>
      <c r="B1485" t="s">
        <v>1183</v>
      </c>
      <c r="C1485">
        <v>44497.522222222222</v>
      </c>
      <c r="D1485">
        <v>2021</v>
      </c>
      <c r="E1485" t="s">
        <v>10</v>
      </c>
      <c r="F1485" t="s">
        <v>1554</v>
      </c>
      <c r="G1485" t="s">
        <v>15</v>
      </c>
      <c r="H1485" s="1" t="s">
        <v>1575</v>
      </c>
      <c r="I1485" t="s">
        <v>1582</v>
      </c>
      <c r="J1485" s="2">
        <v>3923682</v>
      </c>
      <c r="K1485" t="s">
        <v>16</v>
      </c>
      <c r="L1485" t="s">
        <v>1649</v>
      </c>
    </row>
    <row r="1486" spans="1:12" x14ac:dyDescent="0.3">
      <c r="A1486">
        <v>1485</v>
      </c>
      <c r="B1486" t="s">
        <v>1318</v>
      </c>
      <c r="C1486">
        <v>44497.697916666664</v>
      </c>
      <c r="D1486">
        <v>2021</v>
      </c>
      <c r="E1486" t="s">
        <v>10</v>
      </c>
      <c r="F1486" t="s">
        <v>1554</v>
      </c>
      <c r="G1486" t="s">
        <v>57</v>
      </c>
      <c r="H1486" s="1" t="s">
        <v>1575</v>
      </c>
      <c r="I1486" t="s">
        <v>1582</v>
      </c>
      <c r="J1486" s="2">
        <v>2223393</v>
      </c>
      <c r="K1486" t="s">
        <v>16</v>
      </c>
      <c r="L1486" t="s">
        <v>1649</v>
      </c>
    </row>
    <row r="1487" spans="1:12" x14ac:dyDescent="0.3">
      <c r="A1487">
        <v>1486</v>
      </c>
      <c r="B1487" t="s">
        <v>1319</v>
      </c>
      <c r="C1487">
        <v>44502.6</v>
      </c>
      <c r="D1487">
        <v>2021</v>
      </c>
      <c r="E1487" t="s">
        <v>10</v>
      </c>
      <c r="F1487" t="s">
        <v>1554</v>
      </c>
      <c r="G1487" t="s">
        <v>62</v>
      </c>
      <c r="H1487" s="1" t="s">
        <v>1575</v>
      </c>
      <c r="I1487" t="s">
        <v>1603</v>
      </c>
      <c r="J1487" s="2">
        <v>3508574</v>
      </c>
      <c r="K1487" t="s">
        <v>121</v>
      </c>
      <c r="L1487" t="s">
        <v>1650</v>
      </c>
    </row>
    <row r="1488" spans="1:12" x14ac:dyDescent="0.3">
      <c r="A1488">
        <v>1487</v>
      </c>
      <c r="B1488" t="s">
        <v>1320</v>
      </c>
      <c r="C1488">
        <v>44502.630555555559</v>
      </c>
      <c r="D1488">
        <v>2021</v>
      </c>
      <c r="E1488" t="s">
        <v>10</v>
      </c>
      <c r="F1488" t="s">
        <v>1554</v>
      </c>
      <c r="G1488" t="s">
        <v>23</v>
      </c>
      <c r="H1488" s="1" t="s">
        <v>1575</v>
      </c>
      <c r="I1488" t="s">
        <v>1579</v>
      </c>
      <c r="J1488" s="2">
        <v>1181465</v>
      </c>
      <c r="K1488" t="s">
        <v>12</v>
      </c>
      <c r="L1488" t="s">
        <v>1652</v>
      </c>
    </row>
    <row r="1489" spans="1:12" x14ac:dyDescent="0.3">
      <c r="A1489">
        <v>1488</v>
      </c>
      <c r="B1489" t="s">
        <v>1321</v>
      </c>
      <c r="C1489">
        <v>44502.67291666667</v>
      </c>
      <c r="D1489">
        <v>2021</v>
      </c>
      <c r="E1489" t="s">
        <v>10</v>
      </c>
      <c r="F1489" t="s">
        <v>1554</v>
      </c>
      <c r="G1489" t="s">
        <v>15</v>
      </c>
      <c r="H1489" s="1" t="s">
        <v>1575</v>
      </c>
      <c r="I1489" t="s">
        <v>1579</v>
      </c>
      <c r="J1489" s="2">
        <v>2725216</v>
      </c>
      <c r="K1489" t="s">
        <v>12</v>
      </c>
      <c r="L1489" t="s">
        <v>1650</v>
      </c>
    </row>
    <row r="1490" spans="1:12" x14ac:dyDescent="0.3">
      <c r="A1490">
        <v>1489</v>
      </c>
      <c r="B1490" t="s">
        <v>50</v>
      </c>
      <c r="C1490">
        <v>44502.686805555553</v>
      </c>
      <c r="D1490">
        <v>2021</v>
      </c>
      <c r="E1490" t="s">
        <v>10</v>
      </c>
      <c r="F1490" t="s">
        <v>1554</v>
      </c>
      <c r="G1490" t="s">
        <v>15</v>
      </c>
      <c r="H1490" s="1" t="s">
        <v>1575</v>
      </c>
      <c r="I1490" t="s">
        <v>1591</v>
      </c>
      <c r="J1490" s="2">
        <v>2542470</v>
      </c>
      <c r="K1490" t="s">
        <v>12</v>
      </c>
      <c r="L1490" t="s">
        <v>1651</v>
      </c>
    </row>
    <row r="1491" spans="1:12" x14ac:dyDescent="0.3">
      <c r="A1491">
        <v>1490</v>
      </c>
      <c r="B1491" t="s">
        <v>1322</v>
      </c>
      <c r="C1491">
        <v>44503.381944444445</v>
      </c>
      <c r="D1491">
        <v>2021</v>
      </c>
      <c r="E1491" t="s">
        <v>10</v>
      </c>
      <c r="F1491" t="s">
        <v>1554</v>
      </c>
      <c r="G1491" t="s">
        <v>15</v>
      </c>
      <c r="H1491" s="1" t="s">
        <v>1575</v>
      </c>
      <c r="I1491" t="s">
        <v>1587</v>
      </c>
      <c r="J1491" s="2">
        <v>2914540</v>
      </c>
      <c r="K1491" t="s">
        <v>12</v>
      </c>
      <c r="L1491" t="s">
        <v>1651</v>
      </c>
    </row>
    <row r="1492" spans="1:12" x14ac:dyDescent="0.3">
      <c r="A1492">
        <v>1491</v>
      </c>
      <c r="B1492" t="s">
        <v>1323</v>
      </c>
      <c r="C1492">
        <v>44503.418749999997</v>
      </c>
      <c r="D1492">
        <v>2021</v>
      </c>
      <c r="E1492" t="s">
        <v>10</v>
      </c>
      <c r="F1492" t="s">
        <v>1554</v>
      </c>
      <c r="G1492" t="s">
        <v>62</v>
      </c>
      <c r="H1492" s="1" t="s">
        <v>1575</v>
      </c>
      <c r="I1492" t="s">
        <v>1639</v>
      </c>
      <c r="J1492" s="2">
        <v>4607567</v>
      </c>
      <c r="K1492" t="s">
        <v>12</v>
      </c>
      <c r="L1492" t="s">
        <v>1650</v>
      </c>
    </row>
    <row r="1493" spans="1:12" x14ac:dyDescent="0.3">
      <c r="A1493">
        <v>1492</v>
      </c>
      <c r="B1493" t="s">
        <v>1324</v>
      </c>
      <c r="C1493">
        <v>44503.421527777777</v>
      </c>
      <c r="D1493">
        <v>2021</v>
      </c>
      <c r="E1493" t="s">
        <v>10</v>
      </c>
      <c r="F1493" t="s">
        <v>1554</v>
      </c>
      <c r="G1493" t="s">
        <v>62</v>
      </c>
      <c r="H1493" s="1" t="s">
        <v>1575</v>
      </c>
      <c r="I1493" t="s">
        <v>1639</v>
      </c>
      <c r="J1493" s="2">
        <v>3124033</v>
      </c>
      <c r="K1493" t="s">
        <v>12</v>
      </c>
      <c r="L1493" t="s">
        <v>1650</v>
      </c>
    </row>
    <row r="1494" spans="1:12" x14ac:dyDescent="0.3">
      <c r="A1494">
        <v>1493</v>
      </c>
      <c r="B1494" t="s">
        <v>1325</v>
      </c>
      <c r="C1494">
        <v>44503.427777777775</v>
      </c>
      <c r="D1494">
        <v>2021</v>
      </c>
      <c r="E1494" t="s">
        <v>10</v>
      </c>
      <c r="F1494" t="s">
        <v>1554</v>
      </c>
      <c r="G1494" t="s">
        <v>62</v>
      </c>
      <c r="H1494" s="1" t="s">
        <v>1575</v>
      </c>
      <c r="I1494" t="s">
        <v>1637</v>
      </c>
      <c r="J1494" s="2">
        <v>2020800</v>
      </c>
      <c r="K1494" t="s">
        <v>12</v>
      </c>
      <c r="L1494" t="s">
        <v>1652</v>
      </c>
    </row>
    <row r="1495" spans="1:12" x14ac:dyDescent="0.3">
      <c r="A1495">
        <v>1494</v>
      </c>
      <c r="B1495" t="s">
        <v>1326</v>
      </c>
      <c r="C1495">
        <v>44503.427777777775</v>
      </c>
      <c r="D1495">
        <v>2021</v>
      </c>
      <c r="E1495" t="s">
        <v>10</v>
      </c>
      <c r="F1495" t="s">
        <v>1554</v>
      </c>
      <c r="G1495" t="s">
        <v>18</v>
      </c>
      <c r="H1495" s="1" t="s">
        <v>1575</v>
      </c>
      <c r="I1495" t="s">
        <v>1579</v>
      </c>
      <c r="J1495" s="2">
        <v>4485659</v>
      </c>
      <c r="K1495" t="s">
        <v>12</v>
      </c>
      <c r="L1495" t="s">
        <v>1648</v>
      </c>
    </row>
    <row r="1496" spans="1:12" x14ac:dyDescent="0.3">
      <c r="A1496">
        <v>1495</v>
      </c>
      <c r="B1496" t="s">
        <v>1327</v>
      </c>
      <c r="C1496">
        <v>44503.624305555553</v>
      </c>
      <c r="D1496">
        <v>2021</v>
      </c>
      <c r="E1496" t="s">
        <v>10</v>
      </c>
      <c r="F1496" t="s">
        <v>1554</v>
      </c>
      <c r="G1496" t="s">
        <v>15</v>
      </c>
      <c r="H1496" s="1" t="s">
        <v>1575</v>
      </c>
      <c r="I1496" t="s">
        <v>1579</v>
      </c>
      <c r="J1496" s="2">
        <v>3915513</v>
      </c>
      <c r="K1496" t="s">
        <v>12</v>
      </c>
      <c r="L1496" t="s">
        <v>1652</v>
      </c>
    </row>
    <row r="1497" spans="1:12" x14ac:dyDescent="0.3">
      <c r="A1497">
        <v>1496</v>
      </c>
      <c r="B1497" t="s">
        <v>1328</v>
      </c>
      <c r="C1497">
        <v>44503.648611111108</v>
      </c>
      <c r="D1497">
        <v>2021</v>
      </c>
      <c r="E1497" t="s">
        <v>10</v>
      </c>
      <c r="F1497" t="s">
        <v>1554</v>
      </c>
      <c r="G1497" t="s">
        <v>15</v>
      </c>
      <c r="H1497" s="1" t="s">
        <v>1575</v>
      </c>
      <c r="I1497" t="s">
        <v>1579</v>
      </c>
      <c r="J1497" s="2">
        <v>3925398</v>
      </c>
      <c r="K1497" t="s">
        <v>12</v>
      </c>
      <c r="L1497" t="s">
        <v>1651</v>
      </c>
    </row>
    <row r="1498" spans="1:12" x14ac:dyDescent="0.3">
      <c r="A1498">
        <v>1497</v>
      </c>
      <c r="B1498" t="s">
        <v>1329</v>
      </c>
      <c r="C1498">
        <v>44503.706250000003</v>
      </c>
      <c r="D1498">
        <v>2021</v>
      </c>
      <c r="E1498" t="s">
        <v>10</v>
      </c>
      <c r="F1498" t="s">
        <v>1559</v>
      </c>
      <c r="G1498" t="s">
        <v>62</v>
      </c>
      <c r="H1498" s="1" t="s">
        <v>1575</v>
      </c>
      <c r="I1498" t="s">
        <v>1639</v>
      </c>
      <c r="J1498" s="2">
        <v>2979948</v>
      </c>
      <c r="K1498" t="s">
        <v>12</v>
      </c>
      <c r="L1498" t="s">
        <v>1652</v>
      </c>
    </row>
    <row r="1499" spans="1:12" x14ac:dyDescent="0.3">
      <c r="A1499">
        <v>1498</v>
      </c>
      <c r="B1499" t="s">
        <v>1330</v>
      </c>
      <c r="C1499">
        <v>44504.50277777778</v>
      </c>
      <c r="D1499">
        <v>2021</v>
      </c>
      <c r="E1499" t="s">
        <v>10</v>
      </c>
      <c r="F1499" t="s">
        <v>1555</v>
      </c>
      <c r="G1499" t="s">
        <v>23</v>
      </c>
      <c r="H1499" s="1" t="s">
        <v>1575</v>
      </c>
      <c r="I1499" t="s">
        <v>1579</v>
      </c>
      <c r="J1499" s="2">
        <v>1374367</v>
      </c>
      <c r="K1499" t="s">
        <v>12</v>
      </c>
      <c r="L1499" t="s">
        <v>1650</v>
      </c>
    </row>
    <row r="1500" spans="1:12" x14ac:dyDescent="0.3">
      <c r="A1500">
        <v>1499</v>
      </c>
      <c r="B1500" t="s">
        <v>1331</v>
      </c>
      <c r="C1500">
        <v>44504.508333333331</v>
      </c>
      <c r="D1500">
        <v>2021</v>
      </c>
      <c r="E1500" t="s">
        <v>10</v>
      </c>
      <c r="F1500" t="s">
        <v>1555</v>
      </c>
      <c r="G1500" t="s">
        <v>23</v>
      </c>
      <c r="H1500" s="1" t="s">
        <v>1575</v>
      </c>
      <c r="I1500" t="s">
        <v>1579</v>
      </c>
      <c r="J1500" s="2">
        <v>2561545</v>
      </c>
      <c r="K1500" t="s">
        <v>12</v>
      </c>
      <c r="L1500" t="s">
        <v>1649</v>
      </c>
    </row>
    <row r="1501" spans="1:12" x14ac:dyDescent="0.3">
      <c r="A1501">
        <v>1500</v>
      </c>
      <c r="B1501" t="s">
        <v>1332</v>
      </c>
      <c r="C1501">
        <v>44508.339583333334</v>
      </c>
      <c r="D1501">
        <v>2021</v>
      </c>
      <c r="E1501" t="s">
        <v>10</v>
      </c>
      <c r="F1501" t="s">
        <v>1561</v>
      </c>
      <c r="G1501" t="s">
        <v>15</v>
      </c>
      <c r="H1501" s="1" t="s">
        <v>1575</v>
      </c>
      <c r="I1501" t="s">
        <v>1579</v>
      </c>
      <c r="J1501" s="2">
        <v>1944088</v>
      </c>
      <c r="K1501" t="s">
        <v>12</v>
      </c>
      <c r="L1501" t="s">
        <v>1653</v>
      </c>
    </row>
    <row r="1502" spans="1:12" x14ac:dyDescent="0.3">
      <c r="A1502">
        <v>1501</v>
      </c>
      <c r="B1502" t="s">
        <v>1333</v>
      </c>
      <c r="C1502">
        <v>44508.382638888892</v>
      </c>
      <c r="D1502">
        <v>2021</v>
      </c>
      <c r="E1502" t="s">
        <v>10</v>
      </c>
      <c r="F1502" t="s">
        <v>1561</v>
      </c>
      <c r="G1502" t="s">
        <v>18</v>
      </c>
      <c r="H1502" s="1" t="s">
        <v>1575</v>
      </c>
      <c r="I1502" t="s">
        <v>1579</v>
      </c>
      <c r="J1502" s="2">
        <v>4095115</v>
      </c>
      <c r="K1502" t="s">
        <v>12</v>
      </c>
      <c r="L1502" t="s">
        <v>1650</v>
      </c>
    </row>
    <row r="1503" spans="1:12" x14ac:dyDescent="0.3">
      <c r="A1503">
        <v>1502</v>
      </c>
      <c r="B1503" t="s">
        <v>1334</v>
      </c>
      <c r="C1503">
        <v>44508.418055555558</v>
      </c>
      <c r="D1503">
        <v>2021</v>
      </c>
      <c r="E1503" t="s">
        <v>10</v>
      </c>
      <c r="F1503" t="s">
        <v>1561</v>
      </c>
      <c r="G1503" t="s">
        <v>11</v>
      </c>
      <c r="H1503" s="1" t="s">
        <v>1575</v>
      </c>
      <c r="I1503" t="s">
        <v>1582</v>
      </c>
      <c r="J1503" s="2">
        <v>1045108</v>
      </c>
      <c r="K1503" t="s">
        <v>16</v>
      </c>
      <c r="L1503" t="s">
        <v>1651</v>
      </c>
    </row>
    <row r="1504" spans="1:12" x14ac:dyDescent="0.3">
      <c r="A1504">
        <v>1503</v>
      </c>
      <c r="B1504" t="s">
        <v>1335</v>
      </c>
      <c r="C1504">
        <v>44508.427083333336</v>
      </c>
      <c r="D1504">
        <v>2021</v>
      </c>
      <c r="E1504" t="s">
        <v>10</v>
      </c>
      <c r="F1504" t="s">
        <v>1561</v>
      </c>
      <c r="G1504" t="s">
        <v>18</v>
      </c>
      <c r="H1504" s="1" t="s">
        <v>1575</v>
      </c>
      <c r="I1504" t="s">
        <v>1589</v>
      </c>
      <c r="J1504" s="2">
        <v>1026489</v>
      </c>
      <c r="K1504" t="s">
        <v>12</v>
      </c>
      <c r="L1504" t="s">
        <v>1653</v>
      </c>
    </row>
    <row r="1505" spans="1:12" x14ac:dyDescent="0.3">
      <c r="A1505">
        <v>1504</v>
      </c>
      <c r="B1505" t="s">
        <v>1336</v>
      </c>
      <c r="C1505">
        <v>44508.463888888888</v>
      </c>
      <c r="D1505">
        <v>2021</v>
      </c>
      <c r="E1505" t="s">
        <v>10</v>
      </c>
      <c r="F1505" t="s">
        <v>1552</v>
      </c>
      <c r="G1505" t="s">
        <v>18</v>
      </c>
      <c r="H1505" s="1" t="s">
        <v>1575</v>
      </c>
      <c r="I1505" t="s">
        <v>1579</v>
      </c>
      <c r="J1505" s="2">
        <v>3910239</v>
      </c>
      <c r="K1505" t="s">
        <v>12</v>
      </c>
      <c r="L1505" t="s">
        <v>1652</v>
      </c>
    </row>
    <row r="1506" spans="1:12" x14ac:dyDescent="0.3">
      <c r="A1506">
        <v>1505</v>
      </c>
      <c r="B1506" t="s">
        <v>1337</v>
      </c>
      <c r="C1506">
        <v>44508.51458333333</v>
      </c>
      <c r="D1506">
        <v>2021</v>
      </c>
      <c r="E1506" t="s">
        <v>10</v>
      </c>
      <c r="F1506" t="s">
        <v>1561</v>
      </c>
      <c r="G1506" t="s">
        <v>57</v>
      </c>
      <c r="H1506" s="1" t="s">
        <v>1572</v>
      </c>
      <c r="I1506" t="s">
        <v>1579</v>
      </c>
      <c r="J1506" s="2">
        <v>4071214</v>
      </c>
      <c r="K1506" t="s">
        <v>12</v>
      </c>
      <c r="L1506" t="s">
        <v>1648</v>
      </c>
    </row>
    <row r="1507" spans="1:12" x14ac:dyDescent="0.3">
      <c r="A1507">
        <v>1506</v>
      </c>
      <c r="B1507" t="s">
        <v>1338</v>
      </c>
      <c r="C1507">
        <v>44509.588194444441</v>
      </c>
      <c r="D1507">
        <v>2021</v>
      </c>
      <c r="E1507" t="s">
        <v>10</v>
      </c>
      <c r="F1507" t="s">
        <v>1555</v>
      </c>
      <c r="G1507" t="s">
        <v>42</v>
      </c>
      <c r="H1507" s="1" t="s">
        <v>1564</v>
      </c>
      <c r="I1507" t="s">
        <v>1586</v>
      </c>
      <c r="J1507" s="2">
        <v>3230762</v>
      </c>
      <c r="K1507" t="s">
        <v>59</v>
      </c>
      <c r="L1507" t="s">
        <v>1652</v>
      </c>
    </row>
    <row r="1508" spans="1:12" x14ac:dyDescent="0.3">
      <c r="A1508">
        <v>1507</v>
      </c>
      <c r="B1508" t="s">
        <v>1339</v>
      </c>
      <c r="C1508">
        <v>44510.40625</v>
      </c>
      <c r="D1508">
        <v>2021</v>
      </c>
      <c r="E1508" t="s">
        <v>10</v>
      </c>
      <c r="F1508" t="s">
        <v>1560</v>
      </c>
      <c r="G1508" t="s">
        <v>11</v>
      </c>
      <c r="H1508" s="1" t="s">
        <v>1574</v>
      </c>
      <c r="I1508" t="s">
        <v>1577</v>
      </c>
      <c r="J1508" s="2">
        <v>1087449</v>
      </c>
      <c r="K1508" t="s">
        <v>121</v>
      </c>
      <c r="L1508" t="s">
        <v>1651</v>
      </c>
    </row>
    <row r="1509" spans="1:12" x14ac:dyDescent="0.3">
      <c r="A1509">
        <v>1508</v>
      </c>
      <c r="B1509" t="s">
        <v>1340</v>
      </c>
      <c r="C1509">
        <v>44510.614583333336</v>
      </c>
      <c r="D1509">
        <v>2021</v>
      </c>
      <c r="E1509" t="s">
        <v>10</v>
      </c>
      <c r="F1509" t="s">
        <v>29</v>
      </c>
      <c r="G1509" t="s">
        <v>15</v>
      </c>
      <c r="H1509" s="1" t="s">
        <v>1572</v>
      </c>
      <c r="I1509" t="s">
        <v>1582</v>
      </c>
      <c r="J1509" s="2">
        <v>3203012</v>
      </c>
      <c r="K1509" t="s">
        <v>16</v>
      </c>
      <c r="L1509" t="s">
        <v>1648</v>
      </c>
    </row>
    <row r="1510" spans="1:12" x14ac:dyDescent="0.3">
      <c r="A1510">
        <v>1509</v>
      </c>
      <c r="B1510" t="s">
        <v>50</v>
      </c>
      <c r="C1510">
        <v>44510.635416666664</v>
      </c>
      <c r="D1510">
        <v>2021</v>
      </c>
      <c r="E1510" t="s">
        <v>10</v>
      </c>
      <c r="F1510" t="s">
        <v>1561</v>
      </c>
      <c r="G1510" t="s">
        <v>591</v>
      </c>
      <c r="H1510" s="1" t="s">
        <v>1571</v>
      </c>
      <c r="I1510" t="s">
        <v>1454</v>
      </c>
      <c r="J1510" s="2">
        <v>4370898</v>
      </c>
      <c r="K1510" t="s">
        <v>121</v>
      </c>
      <c r="L1510" t="s">
        <v>1648</v>
      </c>
    </row>
    <row r="1511" spans="1:12" x14ac:dyDescent="0.3">
      <c r="A1511">
        <v>1510</v>
      </c>
      <c r="B1511" t="s">
        <v>1341</v>
      </c>
      <c r="C1511">
        <v>44510.649305555555</v>
      </c>
      <c r="D1511">
        <v>2021</v>
      </c>
      <c r="E1511" t="s">
        <v>10</v>
      </c>
      <c r="F1511" t="s">
        <v>1559</v>
      </c>
      <c r="G1511" t="s">
        <v>15</v>
      </c>
      <c r="H1511" s="1" t="s">
        <v>1571</v>
      </c>
      <c r="I1511" t="s">
        <v>1579</v>
      </c>
      <c r="J1511" s="2">
        <v>2175628</v>
      </c>
      <c r="K1511" t="s">
        <v>12</v>
      </c>
      <c r="L1511" t="s">
        <v>1649</v>
      </c>
    </row>
    <row r="1512" spans="1:12" x14ac:dyDescent="0.3">
      <c r="A1512">
        <v>1511</v>
      </c>
      <c r="B1512" t="s">
        <v>1230</v>
      </c>
      <c r="C1512">
        <v>44510.680555555555</v>
      </c>
      <c r="D1512">
        <v>2021</v>
      </c>
      <c r="E1512" t="s">
        <v>10</v>
      </c>
      <c r="F1512" t="s">
        <v>1559</v>
      </c>
      <c r="G1512" t="s">
        <v>591</v>
      </c>
      <c r="H1512" s="1" t="s">
        <v>1564</v>
      </c>
      <c r="I1512" t="s">
        <v>1579</v>
      </c>
      <c r="J1512" s="2">
        <v>3381446</v>
      </c>
      <c r="K1512" t="s">
        <v>12</v>
      </c>
      <c r="L1512" t="s">
        <v>1650</v>
      </c>
    </row>
    <row r="1513" spans="1:12" x14ac:dyDescent="0.3">
      <c r="A1513">
        <v>1512</v>
      </c>
      <c r="B1513" t="s">
        <v>1342</v>
      </c>
      <c r="C1513">
        <v>44510.75277777778</v>
      </c>
      <c r="D1513">
        <v>2021</v>
      </c>
      <c r="E1513" t="s">
        <v>10</v>
      </c>
      <c r="F1513" t="s">
        <v>1559</v>
      </c>
      <c r="G1513" t="s">
        <v>18</v>
      </c>
      <c r="H1513" s="1" t="s">
        <v>1574</v>
      </c>
      <c r="I1513" t="s">
        <v>1579</v>
      </c>
      <c r="J1513" s="2">
        <v>3273337</v>
      </c>
      <c r="K1513" t="s">
        <v>12</v>
      </c>
      <c r="L1513" t="s">
        <v>1653</v>
      </c>
    </row>
    <row r="1514" spans="1:12" x14ac:dyDescent="0.3">
      <c r="A1514">
        <v>1513</v>
      </c>
      <c r="B1514" t="s">
        <v>1343</v>
      </c>
      <c r="C1514">
        <v>44511.384027777778</v>
      </c>
      <c r="D1514">
        <v>2021</v>
      </c>
      <c r="E1514" t="s">
        <v>10</v>
      </c>
      <c r="F1514" t="s">
        <v>1559</v>
      </c>
      <c r="G1514" t="s">
        <v>57</v>
      </c>
      <c r="H1514" s="1" t="s">
        <v>1571</v>
      </c>
      <c r="I1514" t="s">
        <v>1579</v>
      </c>
      <c r="J1514" s="2">
        <v>4805005</v>
      </c>
      <c r="K1514" t="s">
        <v>12</v>
      </c>
      <c r="L1514" t="s">
        <v>1648</v>
      </c>
    </row>
    <row r="1515" spans="1:12" x14ac:dyDescent="0.3">
      <c r="A1515">
        <v>1514</v>
      </c>
      <c r="B1515" t="s">
        <v>1344</v>
      </c>
      <c r="C1515">
        <v>44512.345138888886</v>
      </c>
      <c r="D1515">
        <v>2021</v>
      </c>
      <c r="E1515" t="s">
        <v>10</v>
      </c>
      <c r="F1515" t="s">
        <v>1559</v>
      </c>
      <c r="G1515" t="s">
        <v>18</v>
      </c>
      <c r="H1515" s="1" t="s">
        <v>1571</v>
      </c>
      <c r="I1515" t="s">
        <v>1579</v>
      </c>
      <c r="J1515" s="2">
        <v>3250542</v>
      </c>
      <c r="K1515" t="s">
        <v>12</v>
      </c>
      <c r="L1515" t="s">
        <v>1651</v>
      </c>
    </row>
    <row r="1516" spans="1:12" x14ac:dyDescent="0.3">
      <c r="A1516">
        <v>1515</v>
      </c>
      <c r="B1516" t="s">
        <v>1345</v>
      </c>
      <c r="C1516">
        <v>44512.495833333334</v>
      </c>
      <c r="D1516">
        <v>2021</v>
      </c>
      <c r="E1516" t="s">
        <v>10</v>
      </c>
      <c r="F1516" t="s">
        <v>1552</v>
      </c>
      <c r="G1516" t="s">
        <v>18</v>
      </c>
      <c r="H1516" s="1" t="s">
        <v>1564</v>
      </c>
      <c r="I1516" t="s">
        <v>1579</v>
      </c>
      <c r="J1516" s="2">
        <v>4122843</v>
      </c>
      <c r="K1516" t="s">
        <v>12</v>
      </c>
      <c r="L1516" t="s">
        <v>1651</v>
      </c>
    </row>
    <row r="1517" spans="1:12" x14ac:dyDescent="0.3">
      <c r="A1517">
        <v>1516</v>
      </c>
      <c r="B1517" t="s">
        <v>1346</v>
      </c>
      <c r="C1517">
        <v>44512.507638888892</v>
      </c>
      <c r="D1517">
        <v>2021</v>
      </c>
      <c r="E1517" t="s">
        <v>10</v>
      </c>
      <c r="F1517" t="s">
        <v>1560</v>
      </c>
      <c r="G1517" t="s">
        <v>11</v>
      </c>
      <c r="H1517" s="1" t="s">
        <v>1572</v>
      </c>
      <c r="I1517" t="s">
        <v>1577</v>
      </c>
      <c r="J1517" s="2">
        <v>1700299</v>
      </c>
      <c r="K1517" t="s">
        <v>121</v>
      </c>
      <c r="L1517" t="s">
        <v>1651</v>
      </c>
    </row>
    <row r="1518" spans="1:12" x14ac:dyDescent="0.3">
      <c r="A1518">
        <v>1517</v>
      </c>
      <c r="B1518" t="s">
        <v>1347</v>
      </c>
      <c r="C1518">
        <v>44512.630555555559</v>
      </c>
      <c r="D1518">
        <v>2021</v>
      </c>
      <c r="E1518" t="s">
        <v>10</v>
      </c>
      <c r="F1518" t="s">
        <v>1552</v>
      </c>
      <c r="G1518" t="s">
        <v>18</v>
      </c>
      <c r="H1518" s="1" t="s">
        <v>1571</v>
      </c>
      <c r="I1518" t="s">
        <v>1579</v>
      </c>
      <c r="J1518" s="2">
        <v>2592940</v>
      </c>
      <c r="K1518" t="s">
        <v>12</v>
      </c>
      <c r="L1518" t="s">
        <v>1649</v>
      </c>
    </row>
    <row r="1519" spans="1:12" x14ac:dyDescent="0.3">
      <c r="A1519">
        <v>1518</v>
      </c>
      <c r="B1519" t="s">
        <v>1348</v>
      </c>
      <c r="C1519">
        <v>44512.742361111108</v>
      </c>
      <c r="D1519">
        <v>2021</v>
      </c>
      <c r="E1519" t="s">
        <v>10</v>
      </c>
      <c r="F1519" t="s">
        <v>1561</v>
      </c>
      <c r="G1519" t="s">
        <v>57</v>
      </c>
      <c r="H1519" s="1" t="s">
        <v>1570</v>
      </c>
      <c r="I1519" t="s">
        <v>1579</v>
      </c>
      <c r="J1519" s="2">
        <v>1381477</v>
      </c>
      <c r="K1519" t="s">
        <v>12</v>
      </c>
      <c r="L1519" t="s">
        <v>1648</v>
      </c>
    </row>
    <row r="1520" spans="1:12" x14ac:dyDescent="0.3">
      <c r="A1520">
        <v>1519</v>
      </c>
      <c r="B1520" t="s">
        <v>1349</v>
      </c>
      <c r="C1520">
        <v>44516.399305555555</v>
      </c>
      <c r="D1520">
        <v>2021</v>
      </c>
      <c r="E1520" t="s">
        <v>10</v>
      </c>
      <c r="F1520" t="s">
        <v>1561</v>
      </c>
      <c r="G1520" t="s">
        <v>11</v>
      </c>
      <c r="H1520" s="1" t="s">
        <v>1571</v>
      </c>
      <c r="I1520" t="s">
        <v>1577</v>
      </c>
      <c r="J1520" s="2">
        <v>3621830</v>
      </c>
      <c r="K1520" t="s">
        <v>121</v>
      </c>
      <c r="L1520" t="s">
        <v>1651</v>
      </c>
    </row>
    <row r="1521" spans="1:12" x14ac:dyDescent="0.3">
      <c r="A1521">
        <v>1520</v>
      </c>
      <c r="B1521" t="s">
        <v>1350</v>
      </c>
      <c r="C1521">
        <v>44517.345833333333</v>
      </c>
      <c r="D1521">
        <v>2021</v>
      </c>
      <c r="E1521" t="s">
        <v>10</v>
      </c>
      <c r="F1521" t="s">
        <v>1561</v>
      </c>
      <c r="G1521" t="s">
        <v>18</v>
      </c>
      <c r="H1521" s="1" t="s">
        <v>1573</v>
      </c>
      <c r="I1521" t="s">
        <v>1579</v>
      </c>
      <c r="J1521" s="2">
        <v>3211960</v>
      </c>
      <c r="K1521" t="s">
        <v>12</v>
      </c>
      <c r="L1521" t="s">
        <v>1648</v>
      </c>
    </row>
    <row r="1522" spans="1:12" x14ac:dyDescent="0.3">
      <c r="A1522">
        <v>1521</v>
      </c>
      <c r="B1522" t="s">
        <v>1351</v>
      </c>
      <c r="C1522">
        <v>44517.65</v>
      </c>
      <c r="D1522">
        <v>2021</v>
      </c>
      <c r="E1522" t="s">
        <v>10</v>
      </c>
      <c r="F1522" t="s">
        <v>1561</v>
      </c>
      <c r="G1522" t="s">
        <v>1352</v>
      </c>
      <c r="H1522" s="1" t="s">
        <v>1574</v>
      </c>
      <c r="I1522" t="s">
        <v>1579</v>
      </c>
      <c r="J1522" s="2">
        <v>3689985</v>
      </c>
      <c r="K1522" t="s">
        <v>12</v>
      </c>
      <c r="L1522" t="s">
        <v>1648</v>
      </c>
    </row>
    <row r="1523" spans="1:12" x14ac:dyDescent="0.3">
      <c r="A1523">
        <v>1522</v>
      </c>
      <c r="B1523" t="s">
        <v>1200</v>
      </c>
      <c r="C1523">
        <v>44518.421527777777</v>
      </c>
      <c r="D1523">
        <v>2021</v>
      </c>
      <c r="E1523" t="s">
        <v>10</v>
      </c>
      <c r="F1523" t="s">
        <v>1561</v>
      </c>
      <c r="G1523" t="s">
        <v>62</v>
      </c>
      <c r="H1523" s="1" t="s">
        <v>1563</v>
      </c>
      <c r="I1523" t="s">
        <v>1603</v>
      </c>
      <c r="J1523" s="2">
        <v>1089774</v>
      </c>
      <c r="K1523" t="s">
        <v>121</v>
      </c>
      <c r="L1523" t="s">
        <v>1653</v>
      </c>
    </row>
    <row r="1524" spans="1:12" x14ac:dyDescent="0.3">
      <c r="A1524">
        <v>1523</v>
      </c>
      <c r="B1524" t="s">
        <v>1353</v>
      </c>
      <c r="C1524">
        <v>44518.688888888886</v>
      </c>
      <c r="D1524">
        <v>2021</v>
      </c>
      <c r="E1524" t="s">
        <v>10</v>
      </c>
      <c r="F1524" t="s">
        <v>1559</v>
      </c>
      <c r="G1524" t="s">
        <v>62</v>
      </c>
      <c r="H1524" s="1" t="s">
        <v>1571</v>
      </c>
      <c r="I1524" t="s">
        <v>1637</v>
      </c>
      <c r="J1524" s="2">
        <v>4740804</v>
      </c>
      <c r="K1524" t="s">
        <v>12</v>
      </c>
      <c r="L1524" t="s">
        <v>1648</v>
      </c>
    </row>
    <row r="1525" spans="1:12" x14ac:dyDescent="0.3">
      <c r="A1525">
        <v>1524</v>
      </c>
      <c r="B1525" t="s">
        <v>1354</v>
      </c>
      <c r="C1525">
        <v>44518.697916666664</v>
      </c>
      <c r="D1525">
        <v>2021</v>
      </c>
      <c r="E1525" t="s">
        <v>10</v>
      </c>
      <c r="F1525" t="s">
        <v>1554</v>
      </c>
      <c r="G1525" t="s">
        <v>62</v>
      </c>
      <c r="H1525" s="1" t="s">
        <v>1571</v>
      </c>
      <c r="I1525" t="s">
        <v>1603</v>
      </c>
      <c r="J1525" s="2">
        <v>2495285</v>
      </c>
      <c r="K1525" t="s">
        <v>121</v>
      </c>
      <c r="L1525" t="s">
        <v>1650</v>
      </c>
    </row>
    <row r="1526" spans="1:12" x14ac:dyDescent="0.3">
      <c r="A1526">
        <v>1525</v>
      </c>
      <c r="B1526" t="s">
        <v>1355</v>
      </c>
      <c r="C1526">
        <v>44522.602777777778</v>
      </c>
      <c r="D1526">
        <v>2021</v>
      </c>
      <c r="E1526" t="s">
        <v>10</v>
      </c>
      <c r="F1526" t="s">
        <v>1554</v>
      </c>
      <c r="G1526" t="s">
        <v>23</v>
      </c>
      <c r="H1526" s="1" t="s">
        <v>1567</v>
      </c>
      <c r="I1526" t="s">
        <v>1579</v>
      </c>
      <c r="J1526" s="2">
        <v>1344569</v>
      </c>
      <c r="K1526" t="s">
        <v>12</v>
      </c>
      <c r="L1526" t="s">
        <v>1651</v>
      </c>
    </row>
    <row r="1527" spans="1:12" x14ac:dyDescent="0.3">
      <c r="A1527">
        <v>1526</v>
      </c>
      <c r="B1527" t="s">
        <v>1356</v>
      </c>
      <c r="C1527">
        <v>44522.630555555559</v>
      </c>
      <c r="D1527">
        <v>2021</v>
      </c>
      <c r="E1527" t="s">
        <v>10</v>
      </c>
      <c r="F1527" t="s">
        <v>1554</v>
      </c>
      <c r="G1527" t="s">
        <v>11</v>
      </c>
      <c r="H1527" s="1" t="s">
        <v>1566</v>
      </c>
      <c r="I1527" t="s">
        <v>1577</v>
      </c>
      <c r="J1527" s="2">
        <v>4734488</v>
      </c>
      <c r="K1527" t="s">
        <v>121</v>
      </c>
      <c r="L1527" t="s">
        <v>1652</v>
      </c>
    </row>
    <row r="1528" spans="1:12" x14ac:dyDescent="0.3">
      <c r="A1528">
        <v>1527</v>
      </c>
      <c r="B1528" t="s">
        <v>1356</v>
      </c>
      <c r="C1528">
        <v>44522.631249999999</v>
      </c>
      <c r="D1528">
        <v>2021</v>
      </c>
      <c r="E1528" t="s">
        <v>10</v>
      </c>
      <c r="F1528" t="s">
        <v>1554</v>
      </c>
      <c r="G1528" t="s">
        <v>11</v>
      </c>
      <c r="H1528" s="1" t="s">
        <v>1568</v>
      </c>
      <c r="I1528" t="s">
        <v>1577</v>
      </c>
      <c r="J1528" s="2">
        <v>1108053</v>
      </c>
      <c r="K1528" t="s">
        <v>121</v>
      </c>
      <c r="L1528" t="s">
        <v>1652</v>
      </c>
    </row>
    <row r="1529" spans="1:12" x14ac:dyDescent="0.3">
      <c r="A1529">
        <v>1528</v>
      </c>
      <c r="B1529" t="s">
        <v>919</v>
      </c>
      <c r="C1529">
        <v>44523.366666666669</v>
      </c>
      <c r="D1529">
        <v>2021</v>
      </c>
      <c r="E1529" t="s">
        <v>10</v>
      </c>
      <c r="F1529" t="s">
        <v>1554</v>
      </c>
      <c r="G1529" t="s">
        <v>44</v>
      </c>
      <c r="H1529" s="1" t="s">
        <v>1562</v>
      </c>
      <c r="I1529" t="s">
        <v>1635</v>
      </c>
      <c r="J1529" s="2">
        <v>1091328</v>
      </c>
      <c r="K1529" t="s">
        <v>12</v>
      </c>
      <c r="L1529" t="s">
        <v>1648</v>
      </c>
    </row>
    <row r="1530" spans="1:12" x14ac:dyDescent="0.3">
      <c r="A1530">
        <v>1529</v>
      </c>
      <c r="B1530" t="s">
        <v>1357</v>
      </c>
      <c r="C1530">
        <v>44524.673611111109</v>
      </c>
      <c r="D1530">
        <v>2021</v>
      </c>
      <c r="E1530" t="s">
        <v>10</v>
      </c>
      <c r="F1530" t="s">
        <v>1554</v>
      </c>
      <c r="G1530" t="s">
        <v>18</v>
      </c>
      <c r="H1530" s="1" t="s">
        <v>1572</v>
      </c>
      <c r="I1530" t="s">
        <v>1579</v>
      </c>
      <c r="J1530" s="2">
        <v>2301422</v>
      </c>
      <c r="K1530" t="s">
        <v>12</v>
      </c>
      <c r="L1530" t="s">
        <v>1650</v>
      </c>
    </row>
    <row r="1531" spans="1:12" x14ac:dyDescent="0.3">
      <c r="A1531">
        <v>1530</v>
      </c>
      <c r="B1531" t="s">
        <v>1358</v>
      </c>
      <c r="C1531">
        <v>44525.645833333336</v>
      </c>
      <c r="D1531">
        <v>2021</v>
      </c>
      <c r="E1531" t="s">
        <v>10</v>
      </c>
      <c r="F1531" t="s">
        <v>1554</v>
      </c>
      <c r="G1531" t="s">
        <v>57</v>
      </c>
      <c r="H1531" s="1" t="s">
        <v>1569</v>
      </c>
      <c r="I1531" t="s">
        <v>1582</v>
      </c>
      <c r="J1531" s="2">
        <v>1162011</v>
      </c>
      <c r="K1531" t="s">
        <v>16</v>
      </c>
      <c r="L1531" t="s">
        <v>1653</v>
      </c>
    </row>
    <row r="1532" spans="1:12" x14ac:dyDescent="0.3">
      <c r="A1532">
        <v>1531</v>
      </c>
      <c r="B1532" t="s">
        <v>1359</v>
      </c>
      <c r="C1532">
        <v>44526.357638888891</v>
      </c>
      <c r="D1532">
        <v>2021</v>
      </c>
      <c r="E1532" t="s">
        <v>10</v>
      </c>
      <c r="F1532" t="s">
        <v>1554</v>
      </c>
      <c r="G1532" t="s">
        <v>18</v>
      </c>
      <c r="H1532" s="1" t="s">
        <v>1569</v>
      </c>
      <c r="I1532" t="s">
        <v>1582</v>
      </c>
      <c r="J1532" s="2">
        <v>1899641</v>
      </c>
      <c r="K1532" t="s">
        <v>16</v>
      </c>
      <c r="L1532" t="s">
        <v>1652</v>
      </c>
    </row>
    <row r="1533" spans="1:12" x14ac:dyDescent="0.3">
      <c r="A1533">
        <v>1532</v>
      </c>
      <c r="B1533" t="s">
        <v>1360</v>
      </c>
      <c r="C1533">
        <v>44529.609027777777</v>
      </c>
      <c r="D1533">
        <v>2021</v>
      </c>
      <c r="E1533" t="s">
        <v>10</v>
      </c>
      <c r="F1533" t="s">
        <v>1554</v>
      </c>
      <c r="G1533" t="s">
        <v>11</v>
      </c>
      <c r="H1533" s="1" t="s">
        <v>1574</v>
      </c>
      <c r="I1533" t="s">
        <v>1577</v>
      </c>
      <c r="J1533" s="2">
        <v>1315957</v>
      </c>
      <c r="K1533" t="s">
        <v>121</v>
      </c>
      <c r="L1533" t="s">
        <v>1652</v>
      </c>
    </row>
    <row r="1534" spans="1:12" x14ac:dyDescent="0.3">
      <c r="A1534">
        <v>1533</v>
      </c>
      <c r="B1534" t="s">
        <v>1361</v>
      </c>
      <c r="C1534">
        <v>44531.359027777777</v>
      </c>
      <c r="D1534">
        <v>2021</v>
      </c>
      <c r="E1534" t="s">
        <v>10</v>
      </c>
      <c r="F1534" t="s">
        <v>1554</v>
      </c>
      <c r="G1534" t="s">
        <v>42</v>
      </c>
      <c r="H1534" s="1" t="s">
        <v>1575</v>
      </c>
      <c r="I1534" t="s">
        <v>1579</v>
      </c>
      <c r="J1534" s="2">
        <v>3652175</v>
      </c>
      <c r="K1534" t="s">
        <v>12</v>
      </c>
      <c r="L1534" t="s">
        <v>1651</v>
      </c>
    </row>
    <row r="1535" spans="1:12" x14ac:dyDescent="0.3">
      <c r="A1535">
        <v>1534</v>
      </c>
      <c r="B1535" t="s">
        <v>1362</v>
      </c>
      <c r="C1535">
        <v>44531.676388888889</v>
      </c>
      <c r="D1535">
        <v>2021</v>
      </c>
      <c r="E1535" t="s">
        <v>10</v>
      </c>
      <c r="F1535" t="s">
        <v>1554</v>
      </c>
      <c r="G1535" t="s">
        <v>591</v>
      </c>
      <c r="H1535" s="1" t="s">
        <v>1576</v>
      </c>
      <c r="I1535" t="s">
        <v>1579</v>
      </c>
      <c r="J1535" s="2">
        <v>3518261</v>
      </c>
      <c r="K1535" t="s">
        <v>12</v>
      </c>
      <c r="L1535" t="s">
        <v>1649</v>
      </c>
    </row>
    <row r="1536" spans="1:12" x14ac:dyDescent="0.3">
      <c r="A1536">
        <v>1535</v>
      </c>
      <c r="B1536" t="s">
        <v>1363</v>
      </c>
      <c r="C1536">
        <v>44531.680555555555</v>
      </c>
      <c r="D1536">
        <v>2021</v>
      </c>
      <c r="E1536" t="s">
        <v>10</v>
      </c>
      <c r="F1536" t="s">
        <v>1554</v>
      </c>
      <c r="G1536" t="s">
        <v>591</v>
      </c>
      <c r="H1536" s="1" t="s">
        <v>1571</v>
      </c>
      <c r="I1536" t="s">
        <v>1579</v>
      </c>
      <c r="J1536" s="2">
        <v>4108837</v>
      </c>
      <c r="K1536" t="s">
        <v>12</v>
      </c>
      <c r="L1536" t="s">
        <v>1649</v>
      </c>
    </row>
    <row r="1537" spans="1:12" x14ac:dyDescent="0.3">
      <c r="A1537">
        <v>1536</v>
      </c>
      <c r="B1537" t="s">
        <v>769</v>
      </c>
      <c r="C1537">
        <v>44532.337500000001</v>
      </c>
      <c r="D1537">
        <v>2021</v>
      </c>
      <c r="E1537" t="s">
        <v>10</v>
      </c>
      <c r="F1537" t="s">
        <v>1554</v>
      </c>
      <c r="G1537" t="s">
        <v>18</v>
      </c>
      <c r="H1537" s="1" t="s">
        <v>1562</v>
      </c>
      <c r="I1537" t="s">
        <v>1582</v>
      </c>
      <c r="J1537" s="2">
        <v>1286563</v>
      </c>
      <c r="K1537" t="s">
        <v>1364</v>
      </c>
      <c r="L1537" t="s">
        <v>1651</v>
      </c>
    </row>
    <row r="1538" spans="1:12" x14ac:dyDescent="0.3">
      <c r="A1538">
        <v>1537</v>
      </c>
      <c r="B1538" t="s">
        <v>1365</v>
      </c>
      <c r="C1538">
        <v>44533.5</v>
      </c>
      <c r="D1538">
        <v>2021</v>
      </c>
      <c r="E1538" t="s">
        <v>10</v>
      </c>
      <c r="F1538" t="s">
        <v>1554</v>
      </c>
      <c r="G1538" t="s">
        <v>23</v>
      </c>
      <c r="H1538" s="1" t="s">
        <v>1567</v>
      </c>
      <c r="I1538" t="s">
        <v>1579</v>
      </c>
      <c r="J1538" s="2">
        <v>1806202</v>
      </c>
      <c r="K1538" t="s">
        <v>12</v>
      </c>
      <c r="L1538" t="s">
        <v>1652</v>
      </c>
    </row>
    <row r="1539" spans="1:12" x14ac:dyDescent="0.3">
      <c r="A1539">
        <v>1538</v>
      </c>
      <c r="B1539" t="s">
        <v>1366</v>
      </c>
      <c r="C1539">
        <v>44533.518750000003</v>
      </c>
      <c r="D1539">
        <v>2021</v>
      </c>
      <c r="E1539" t="s">
        <v>10</v>
      </c>
      <c r="F1539" t="s">
        <v>1554</v>
      </c>
      <c r="G1539" t="s">
        <v>11</v>
      </c>
      <c r="H1539" s="1" t="s">
        <v>1566</v>
      </c>
      <c r="I1539" t="s">
        <v>1577</v>
      </c>
      <c r="J1539" s="2">
        <v>2006923</v>
      </c>
      <c r="K1539" t="s">
        <v>121</v>
      </c>
      <c r="L1539" t="s">
        <v>1652</v>
      </c>
    </row>
    <row r="1540" spans="1:12" x14ac:dyDescent="0.3">
      <c r="A1540">
        <v>1539</v>
      </c>
      <c r="B1540" t="s">
        <v>1367</v>
      </c>
      <c r="C1540">
        <v>44536.378472222219</v>
      </c>
      <c r="D1540">
        <v>2021</v>
      </c>
      <c r="E1540" t="s">
        <v>10</v>
      </c>
      <c r="F1540" t="s">
        <v>1554</v>
      </c>
      <c r="G1540" t="s">
        <v>62</v>
      </c>
      <c r="H1540" s="1" t="s">
        <v>1562</v>
      </c>
      <c r="I1540" t="s">
        <v>1603</v>
      </c>
      <c r="J1540" s="2">
        <v>4483105</v>
      </c>
      <c r="K1540" t="s">
        <v>121</v>
      </c>
      <c r="L1540" t="s">
        <v>1650</v>
      </c>
    </row>
    <row r="1541" spans="1:12" x14ac:dyDescent="0.3">
      <c r="A1541">
        <v>1540</v>
      </c>
      <c r="B1541" t="s">
        <v>1368</v>
      </c>
      <c r="C1541">
        <v>44537.412499999999</v>
      </c>
      <c r="D1541">
        <v>2021</v>
      </c>
      <c r="E1541" t="s">
        <v>10</v>
      </c>
      <c r="F1541" t="s">
        <v>1554</v>
      </c>
      <c r="G1541" t="s">
        <v>23</v>
      </c>
      <c r="H1541" s="1" t="s">
        <v>1568</v>
      </c>
      <c r="I1541" t="s">
        <v>1579</v>
      </c>
      <c r="J1541" s="2">
        <v>1825644</v>
      </c>
      <c r="K1541" t="s">
        <v>12</v>
      </c>
      <c r="L1541" t="s">
        <v>1652</v>
      </c>
    </row>
    <row r="1542" spans="1:12" x14ac:dyDescent="0.3">
      <c r="A1542">
        <v>1541</v>
      </c>
      <c r="B1542" t="s">
        <v>1369</v>
      </c>
      <c r="C1542">
        <v>44537.456250000003</v>
      </c>
      <c r="D1542">
        <v>2021</v>
      </c>
      <c r="E1542" t="s">
        <v>10</v>
      </c>
      <c r="F1542" t="s">
        <v>1554</v>
      </c>
      <c r="G1542" t="s">
        <v>23</v>
      </c>
      <c r="H1542" s="1" t="s">
        <v>1575</v>
      </c>
      <c r="I1542" t="s">
        <v>1579</v>
      </c>
      <c r="J1542" s="2">
        <v>4784827</v>
      </c>
      <c r="K1542" t="s">
        <v>12</v>
      </c>
      <c r="L1542" t="s">
        <v>1648</v>
      </c>
    </row>
    <row r="1543" spans="1:12" x14ac:dyDescent="0.3">
      <c r="A1543">
        <v>1542</v>
      </c>
      <c r="B1543" t="s">
        <v>1370</v>
      </c>
      <c r="C1543">
        <v>44539.306944444441</v>
      </c>
      <c r="D1543">
        <v>2021</v>
      </c>
      <c r="E1543" t="s">
        <v>10</v>
      </c>
      <c r="F1543" t="s">
        <v>1554</v>
      </c>
      <c r="G1543" t="s">
        <v>11</v>
      </c>
      <c r="H1543" s="1" t="s">
        <v>1562</v>
      </c>
      <c r="I1543" t="s">
        <v>1577</v>
      </c>
      <c r="J1543" s="2">
        <v>4281626</v>
      </c>
      <c r="K1543" t="s">
        <v>121</v>
      </c>
      <c r="L1543" t="s">
        <v>1648</v>
      </c>
    </row>
    <row r="1544" spans="1:12" x14ac:dyDescent="0.3">
      <c r="A1544">
        <v>1543</v>
      </c>
      <c r="B1544" t="s">
        <v>1371</v>
      </c>
      <c r="C1544">
        <v>44539.356249999997</v>
      </c>
      <c r="D1544">
        <v>2021</v>
      </c>
      <c r="E1544" t="s">
        <v>10</v>
      </c>
      <c r="F1544" t="s">
        <v>1559</v>
      </c>
      <c r="G1544" t="s">
        <v>591</v>
      </c>
      <c r="H1544" s="1" t="s">
        <v>1572</v>
      </c>
      <c r="I1544" t="s">
        <v>1579</v>
      </c>
      <c r="J1544" s="2">
        <v>970791</v>
      </c>
      <c r="K1544" t="s">
        <v>12</v>
      </c>
      <c r="L1544" t="s">
        <v>1653</v>
      </c>
    </row>
    <row r="1545" spans="1:12" x14ac:dyDescent="0.3">
      <c r="A1545">
        <v>1544</v>
      </c>
      <c r="B1545" t="s">
        <v>1372</v>
      </c>
      <c r="C1545">
        <v>44543.7</v>
      </c>
      <c r="D1545">
        <v>2021</v>
      </c>
      <c r="E1545" t="s">
        <v>10</v>
      </c>
      <c r="F1545" t="s">
        <v>1559</v>
      </c>
      <c r="G1545" t="s">
        <v>62</v>
      </c>
      <c r="H1545" s="1" t="s">
        <v>1570</v>
      </c>
      <c r="I1545" t="s">
        <v>1639</v>
      </c>
      <c r="J1545" s="2">
        <v>1350276</v>
      </c>
      <c r="K1545" t="s">
        <v>12</v>
      </c>
      <c r="L1545" t="s">
        <v>1650</v>
      </c>
    </row>
    <row r="1546" spans="1:12" x14ac:dyDescent="0.3">
      <c r="A1546">
        <v>1545</v>
      </c>
      <c r="B1546" t="s">
        <v>1373</v>
      </c>
      <c r="C1546">
        <v>44543.70416666667</v>
      </c>
      <c r="D1546">
        <v>2021</v>
      </c>
      <c r="E1546" t="s">
        <v>10</v>
      </c>
      <c r="F1546" t="s">
        <v>1559</v>
      </c>
      <c r="G1546" t="s">
        <v>62</v>
      </c>
      <c r="H1546" s="1" t="s">
        <v>1576</v>
      </c>
      <c r="I1546" t="s">
        <v>1639</v>
      </c>
      <c r="J1546" s="2">
        <v>2504440</v>
      </c>
      <c r="K1546" t="s">
        <v>12</v>
      </c>
      <c r="L1546" t="s">
        <v>1648</v>
      </c>
    </row>
    <row r="1547" spans="1:12" x14ac:dyDescent="0.3">
      <c r="A1547">
        <v>1546</v>
      </c>
      <c r="B1547" t="s">
        <v>1374</v>
      </c>
      <c r="C1547">
        <v>44546.352777777778</v>
      </c>
      <c r="D1547">
        <v>2021</v>
      </c>
      <c r="E1547" t="s">
        <v>10</v>
      </c>
      <c r="F1547" t="s">
        <v>1559</v>
      </c>
      <c r="G1547" t="s">
        <v>21</v>
      </c>
      <c r="H1547" s="1" t="s">
        <v>1574</v>
      </c>
      <c r="I1547" t="s">
        <v>1616</v>
      </c>
      <c r="J1547" s="2">
        <v>3534969</v>
      </c>
      <c r="K1547" t="s">
        <v>12</v>
      </c>
      <c r="L1547" t="s">
        <v>1649</v>
      </c>
    </row>
    <row r="1548" spans="1:12" x14ac:dyDescent="0.3">
      <c r="A1548">
        <v>1547</v>
      </c>
      <c r="B1548" t="s">
        <v>1375</v>
      </c>
      <c r="C1548">
        <v>44546.479166666664</v>
      </c>
      <c r="D1548">
        <v>2021</v>
      </c>
      <c r="E1548" t="s">
        <v>10</v>
      </c>
      <c r="F1548" t="s">
        <v>1559</v>
      </c>
      <c r="G1548" t="s">
        <v>23</v>
      </c>
      <c r="H1548" s="1" t="s">
        <v>1573</v>
      </c>
      <c r="I1548" t="s">
        <v>1600</v>
      </c>
      <c r="J1548" s="2">
        <v>2071034</v>
      </c>
      <c r="K1548" t="s">
        <v>121</v>
      </c>
      <c r="L1548" t="s">
        <v>1651</v>
      </c>
    </row>
    <row r="1549" spans="1:12" x14ac:dyDescent="0.3">
      <c r="A1549">
        <v>1548</v>
      </c>
      <c r="B1549" t="s">
        <v>1376</v>
      </c>
      <c r="C1549">
        <v>44550.423611111109</v>
      </c>
      <c r="D1549">
        <v>2021</v>
      </c>
      <c r="E1549" t="s">
        <v>10</v>
      </c>
      <c r="F1549" t="s">
        <v>1553</v>
      </c>
      <c r="G1549" t="s">
        <v>11</v>
      </c>
      <c r="H1549" s="1" t="s">
        <v>1566</v>
      </c>
      <c r="I1549" t="s">
        <v>1577</v>
      </c>
      <c r="J1549" s="2">
        <v>1693834</v>
      </c>
      <c r="K1549" t="s">
        <v>121</v>
      </c>
      <c r="L1549" t="s">
        <v>1649</v>
      </c>
    </row>
    <row r="1550" spans="1:12" x14ac:dyDescent="0.3">
      <c r="A1550">
        <v>1549</v>
      </c>
      <c r="B1550" t="s">
        <v>1377</v>
      </c>
      <c r="C1550">
        <v>44550.517361111109</v>
      </c>
      <c r="D1550">
        <v>2021</v>
      </c>
      <c r="E1550" t="s">
        <v>10</v>
      </c>
      <c r="F1550" t="s">
        <v>1553</v>
      </c>
      <c r="G1550" t="s">
        <v>11</v>
      </c>
      <c r="H1550" s="1" t="s">
        <v>1574</v>
      </c>
      <c r="I1550" t="s">
        <v>1577</v>
      </c>
      <c r="J1550" s="2">
        <v>1181604</v>
      </c>
      <c r="K1550" t="s">
        <v>121</v>
      </c>
      <c r="L1550" t="s">
        <v>1648</v>
      </c>
    </row>
    <row r="1551" spans="1:12" x14ac:dyDescent="0.3">
      <c r="A1551">
        <v>1550</v>
      </c>
      <c r="B1551" t="s">
        <v>1378</v>
      </c>
      <c r="C1551">
        <v>44550.522916666669</v>
      </c>
      <c r="D1551">
        <v>2021</v>
      </c>
      <c r="E1551" t="s">
        <v>10</v>
      </c>
      <c r="F1551" t="s">
        <v>1553</v>
      </c>
      <c r="G1551" t="s">
        <v>11</v>
      </c>
      <c r="H1551" s="1" t="s">
        <v>1564</v>
      </c>
      <c r="I1551" t="s">
        <v>1577</v>
      </c>
      <c r="J1551" s="2">
        <v>3093840</v>
      </c>
      <c r="K1551" t="s">
        <v>121</v>
      </c>
      <c r="L1551" t="s">
        <v>1648</v>
      </c>
    </row>
    <row r="1552" spans="1:12" x14ac:dyDescent="0.3">
      <c r="A1552">
        <v>1551</v>
      </c>
      <c r="B1552" t="s">
        <v>1379</v>
      </c>
      <c r="C1552">
        <v>44551.670138888891</v>
      </c>
      <c r="D1552">
        <v>2021</v>
      </c>
      <c r="E1552" t="s">
        <v>10</v>
      </c>
      <c r="F1552" t="s">
        <v>1553</v>
      </c>
      <c r="G1552" t="s">
        <v>11</v>
      </c>
      <c r="H1552" s="1" t="s">
        <v>1575</v>
      </c>
      <c r="I1552" t="s">
        <v>1577</v>
      </c>
      <c r="J1552" s="2">
        <v>2952781</v>
      </c>
      <c r="K1552" t="s">
        <v>121</v>
      </c>
      <c r="L1552" t="s">
        <v>1650</v>
      </c>
    </row>
    <row r="1553" spans="1:12" x14ac:dyDescent="0.3">
      <c r="A1553">
        <v>1552</v>
      </c>
      <c r="B1553" t="s">
        <v>1380</v>
      </c>
      <c r="C1553">
        <v>44551.676388888889</v>
      </c>
      <c r="D1553">
        <v>2021</v>
      </c>
      <c r="E1553" t="s">
        <v>10</v>
      </c>
      <c r="F1553" t="s">
        <v>1553</v>
      </c>
      <c r="G1553" t="s">
        <v>11</v>
      </c>
      <c r="H1553" s="1" t="s">
        <v>1575</v>
      </c>
      <c r="I1553" t="s">
        <v>1577</v>
      </c>
      <c r="J1553" s="2">
        <v>4271472</v>
      </c>
      <c r="K1553" t="s">
        <v>121</v>
      </c>
      <c r="L1553" t="s">
        <v>1649</v>
      </c>
    </row>
    <row r="1554" spans="1:12" x14ac:dyDescent="0.3">
      <c r="A1554">
        <v>1553</v>
      </c>
      <c r="B1554" t="s">
        <v>1381</v>
      </c>
      <c r="C1554">
        <v>44564.68472222222</v>
      </c>
      <c r="D1554">
        <v>2022</v>
      </c>
      <c r="E1554" t="s">
        <v>10</v>
      </c>
      <c r="F1554" t="s">
        <v>1553</v>
      </c>
      <c r="G1554" t="s">
        <v>11</v>
      </c>
      <c r="H1554" s="1" t="s">
        <v>1575</v>
      </c>
      <c r="I1554" t="s">
        <v>1577</v>
      </c>
      <c r="J1554" s="2">
        <v>1543068</v>
      </c>
      <c r="K1554" t="s">
        <v>121</v>
      </c>
      <c r="L1554" t="s">
        <v>1648</v>
      </c>
    </row>
    <row r="1555" spans="1:12" x14ac:dyDescent="0.3">
      <c r="A1555">
        <v>1554</v>
      </c>
      <c r="B1555" t="s">
        <v>1382</v>
      </c>
      <c r="C1555">
        <v>44565.434027777781</v>
      </c>
      <c r="D1555">
        <v>2022</v>
      </c>
      <c r="E1555" t="s">
        <v>10</v>
      </c>
      <c r="F1555" t="s">
        <v>1553</v>
      </c>
      <c r="G1555" t="s">
        <v>18</v>
      </c>
      <c r="H1555" s="1" t="s">
        <v>1575</v>
      </c>
      <c r="J1555" s="2">
        <v>2082144</v>
      </c>
      <c r="L1555" t="s">
        <v>1651</v>
      </c>
    </row>
    <row r="1556" spans="1:12" x14ac:dyDescent="0.3">
      <c r="A1556">
        <v>1555</v>
      </c>
      <c r="B1556" t="s">
        <v>1383</v>
      </c>
      <c r="C1556">
        <v>44566.530555555553</v>
      </c>
      <c r="D1556">
        <v>2022</v>
      </c>
      <c r="E1556" t="s">
        <v>10</v>
      </c>
      <c r="F1556" t="s">
        <v>1553</v>
      </c>
      <c r="G1556" t="s">
        <v>11</v>
      </c>
      <c r="H1556" s="1" t="s">
        <v>1575</v>
      </c>
      <c r="I1556" t="s">
        <v>1577</v>
      </c>
      <c r="J1556" s="2">
        <v>2540245</v>
      </c>
      <c r="K1556" t="s">
        <v>121</v>
      </c>
      <c r="L1556" t="s">
        <v>1652</v>
      </c>
    </row>
    <row r="1557" spans="1:12" x14ac:dyDescent="0.3">
      <c r="A1557">
        <v>1556</v>
      </c>
      <c r="B1557" t="s">
        <v>1384</v>
      </c>
      <c r="C1557">
        <v>44567.50277777778</v>
      </c>
      <c r="D1557">
        <v>2022</v>
      </c>
      <c r="E1557" t="s">
        <v>10</v>
      </c>
      <c r="F1557" t="s">
        <v>1553</v>
      </c>
      <c r="G1557" t="s">
        <v>11</v>
      </c>
      <c r="H1557" s="1" t="s">
        <v>1575</v>
      </c>
      <c r="I1557" t="s">
        <v>1577</v>
      </c>
      <c r="J1557" s="2">
        <v>3144631</v>
      </c>
      <c r="K1557" t="s">
        <v>121</v>
      </c>
      <c r="L1557" t="s">
        <v>1650</v>
      </c>
    </row>
    <row r="1558" spans="1:12" x14ac:dyDescent="0.3">
      <c r="A1558">
        <v>1557</v>
      </c>
      <c r="B1558" t="s">
        <v>1385</v>
      </c>
      <c r="C1558">
        <v>44573.697916666664</v>
      </c>
      <c r="D1558">
        <v>2022</v>
      </c>
      <c r="E1558" t="s">
        <v>10</v>
      </c>
      <c r="F1558" t="s">
        <v>1553</v>
      </c>
      <c r="G1558" t="s">
        <v>11</v>
      </c>
      <c r="H1558" s="1" t="s">
        <v>1575</v>
      </c>
      <c r="I1558" t="s">
        <v>1577</v>
      </c>
      <c r="J1558" s="2">
        <v>1442110</v>
      </c>
      <c r="K1558" t="s">
        <v>121</v>
      </c>
      <c r="L1558" t="s">
        <v>1648</v>
      </c>
    </row>
    <row r="1559" spans="1:12" x14ac:dyDescent="0.3">
      <c r="A1559">
        <v>1558</v>
      </c>
      <c r="B1559" t="s">
        <v>1386</v>
      </c>
      <c r="C1559">
        <v>44574.504861111112</v>
      </c>
      <c r="D1559">
        <v>2022</v>
      </c>
      <c r="E1559" t="s">
        <v>741</v>
      </c>
      <c r="F1559" t="s">
        <v>1553</v>
      </c>
      <c r="G1559" t="s">
        <v>11</v>
      </c>
      <c r="H1559" s="1" t="s">
        <v>1575</v>
      </c>
      <c r="I1559" t="s">
        <v>1577</v>
      </c>
      <c r="J1559" s="2">
        <v>3250349</v>
      </c>
      <c r="K1559" t="s">
        <v>121</v>
      </c>
      <c r="L1559" t="s">
        <v>1652</v>
      </c>
    </row>
    <row r="1560" spans="1:12" x14ac:dyDescent="0.3">
      <c r="A1560">
        <v>1559</v>
      </c>
      <c r="B1560" t="s">
        <v>1387</v>
      </c>
      <c r="C1560">
        <v>44574.681250000001</v>
      </c>
      <c r="D1560">
        <v>2022</v>
      </c>
      <c r="E1560" t="s">
        <v>10</v>
      </c>
      <c r="F1560" t="s">
        <v>1553</v>
      </c>
      <c r="G1560" t="s">
        <v>11</v>
      </c>
      <c r="H1560" s="1" t="s">
        <v>1575</v>
      </c>
      <c r="I1560" t="s">
        <v>1577</v>
      </c>
      <c r="J1560" s="2">
        <v>4629920</v>
      </c>
      <c r="K1560" t="s">
        <v>121</v>
      </c>
      <c r="L1560" t="s">
        <v>1652</v>
      </c>
    </row>
    <row r="1561" spans="1:12" x14ac:dyDescent="0.3">
      <c r="A1561">
        <v>1560</v>
      </c>
      <c r="B1561" t="s">
        <v>1388</v>
      </c>
      <c r="C1561">
        <v>44578.53402777778</v>
      </c>
      <c r="D1561">
        <v>2022</v>
      </c>
      <c r="E1561" t="s">
        <v>10</v>
      </c>
      <c r="F1561" t="s">
        <v>1553</v>
      </c>
      <c r="G1561" t="s">
        <v>15</v>
      </c>
      <c r="H1561" s="1" t="s">
        <v>1575</v>
      </c>
      <c r="I1561" t="s">
        <v>1582</v>
      </c>
      <c r="J1561" s="2">
        <v>3072888</v>
      </c>
      <c r="K1561" t="s">
        <v>1364</v>
      </c>
      <c r="L1561" t="s">
        <v>1648</v>
      </c>
    </row>
    <row r="1562" spans="1:12" x14ac:dyDescent="0.3">
      <c r="A1562">
        <v>1561</v>
      </c>
      <c r="B1562" t="s">
        <v>992</v>
      </c>
      <c r="C1562">
        <v>44579.300694444442</v>
      </c>
      <c r="D1562">
        <v>2022</v>
      </c>
      <c r="E1562" t="s">
        <v>10</v>
      </c>
      <c r="F1562" t="s">
        <v>1554</v>
      </c>
      <c r="G1562" t="s">
        <v>18</v>
      </c>
      <c r="H1562" s="1" t="s">
        <v>1575</v>
      </c>
      <c r="I1562" t="s">
        <v>1579</v>
      </c>
      <c r="J1562" s="2">
        <v>1103192</v>
      </c>
      <c r="K1562" t="s">
        <v>12</v>
      </c>
      <c r="L1562" t="s">
        <v>1652</v>
      </c>
    </row>
    <row r="1563" spans="1:12" x14ac:dyDescent="0.3">
      <c r="A1563">
        <v>1562</v>
      </c>
      <c r="B1563" t="s">
        <v>1389</v>
      </c>
      <c r="C1563">
        <v>44579.645833333336</v>
      </c>
      <c r="D1563">
        <v>2022</v>
      </c>
      <c r="E1563" t="s">
        <v>10</v>
      </c>
      <c r="F1563" t="s">
        <v>1554</v>
      </c>
      <c r="G1563" t="s">
        <v>11</v>
      </c>
      <c r="H1563" s="1" t="s">
        <v>1575</v>
      </c>
      <c r="I1563" t="s">
        <v>1577</v>
      </c>
      <c r="J1563" s="2">
        <v>2667934</v>
      </c>
      <c r="K1563" t="s">
        <v>121</v>
      </c>
      <c r="L1563" t="s">
        <v>1651</v>
      </c>
    </row>
    <row r="1564" spans="1:12" x14ac:dyDescent="0.3">
      <c r="A1564">
        <v>1563</v>
      </c>
      <c r="B1564" t="s">
        <v>1390</v>
      </c>
      <c r="C1564">
        <v>44585.288194444445</v>
      </c>
      <c r="D1564">
        <v>2022</v>
      </c>
      <c r="E1564" t="s">
        <v>10</v>
      </c>
      <c r="F1564" t="s">
        <v>1554</v>
      </c>
      <c r="G1564" t="s">
        <v>23</v>
      </c>
      <c r="H1564" s="1" t="s">
        <v>1575</v>
      </c>
      <c r="I1564" t="s">
        <v>1579</v>
      </c>
      <c r="J1564" s="2">
        <v>1060883</v>
      </c>
      <c r="K1564" t="s">
        <v>12</v>
      </c>
      <c r="L1564" t="s">
        <v>1652</v>
      </c>
    </row>
    <row r="1565" spans="1:12" x14ac:dyDescent="0.3">
      <c r="A1565">
        <v>1564</v>
      </c>
      <c r="B1565" t="s">
        <v>1391</v>
      </c>
      <c r="C1565">
        <v>44585.509722222225</v>
      </c>
      <c r="D1565">
        <v>2022</v>
      </c>
      <c r="E1565" t="s">
        <v>10</v>
      </c>
      <c r="F1565" t="s">
        <v>1554</v>
      </c>
      <c r="G1565" t="s">
        <v>11</v>
      </c>
      <c r="H1565" s="1" t="s">
        <v>1575</v>
      </c>
      <c r="I1565" t="s">
        <v>1577</v>
      </c>
      <c r="J1565" s="2">
        <v>3603799</v>
      </c>
      <c r="K1565" t="s">
        <v>121</v>
      </c>
      <c r="L1565" t="s">
        <v>1653</v>
      </c>
    </row>
    <row r="1566" spans="1:12" x14ac:dyDescent="0.3">
      <c r="A1566">
        <v>1565</v>
      </c>
      <c r="B1566" t="s">
        <v>1392</v>
      </c>
      <c r="C1566">
        <v>44586.29791666667</v>
      </c>
      <c r="D1566">
        <v>2022</v>
      </c>
      <c r="E1566" t="s">
        <v>10</v>
      </c>
      <c r="F1566" t="s">
        <v>1554</v>
      </c>
      <c r="G1566" t="s">
        <v>23</v>
      </c>
      <c r="H1566" s="1" t="s">
        <v>1575</v>
      </c>
      <c r="I1566" t="s">
        <v>1579</v>
      </c>
      <c r="J1566" s="2">
        <v>1457475</v>
      </c>
      <c r="K1566" t="s">
        <v>12</v>
      </c>
      <c r="L1566" t="s">
        <v>1649</v>
      </c>
    </row>
    <row r="1567" spans="1:12" x14ac:dyDescent="0.3">
      <c r="A1567">
        <v>1566</v>
      </c>
      <c r="B1567" t="s">
        <v>1393</v>
      </c>
      <c r="C1567">
        <v>44586.39166666667</v>
      </c>
      <c r="D1567">
        <v>2022</v>
      </c>
      <c r="E1567" t="s">
        <v>10</v>
      </c>
      <c r="F1567" t="s">
        <v>1554</v>
      </c>
      <c r="G1567" t="s">
        <v>49</v>
      </c>
      <c r="H1567" s="1" t="s">
        <v>1575</v>
      </c>
      <c r="I1567" t="s">
        <v>1579</v>
      </c>
      <c r="J1567" s="2">
        <v>4337129</v>
      </c>
      <c r="K1567" t="s">
        <v>12</v>
      </c>
      <c r="L1567" t="s">
        <v>1652</v>
      </c>
    </row>
    <row r="1568" spans="1:12" x14ac:dyDescent="0.3">
      <c r="A1568">
        <v>1567</v>
      </c>
      <c r="B1568" t="s">
        <v>1394</v>
      </c>
      <c r="C1568">
        <v>44587.375694444447</v>
      </c>
      <c r="D1568">
        <v>2022</v>
      </c>
      <c r="E1568" t="s">
        <v>10</v>
      </c>
      <c r="F1568" t="s">
        <v>1554</v>
      </c>
      <c r="G1568" t="s">
        <v>11</v>
      </c>
      <c r="H1568" s="1" t="s">
        <v>1575</v>
      </c>
      <c r="I1568" t="s">
        <v>1577</v>
      </c>
      <c r="J1568" s="2">
        <v>1729442</v>
      </c>
      <c r="K1568" t="s">
        <v>121</v>
      </c>
      <c r="L1568" t="s">
        <v>1650</v>
      </c>
    </row>
    <row r="1569" spans="1:12" x14ac:dyDescent="0.3">
      <c r="A1569">
        <v>1568</v>
      </c>
      <c r="B1569" t="s">
        <v>1395</v>
      </c>
      <c r="C1569">
        <v>44587.421527777777</v>
      </c>
      <c r="D1569">
        <v>2022</v>
      </c>
      <c r="E1569" t="s">
        <v>10</v>
      </c>
      <c r="F1569" t="s">
        <v>1554</v>
      </c>
      <c r="G1569" t="s">
        <v>11</v>
      </c>
      <c r="H1569" s="1" t="s">
        <v>1575</v>
      </c>
      <c r="I1569" t="s">
        <v>1577</v>
      </c>
      <c r="J1569" s="2">
        <v>2882552</v>
      </c>
      <c r="K1569" t="s">
        <v>121</v>
      </c>
      <c r="L1569" t="s">
        <v>1649</v>
      </c>
    </row>
    <row r="1570" spans="1:12" x14ac:dyDescent="0.3">
      <c r="A1570">
        <v>1569</v>
      </c>
      <c r="B1570" t="s">
        <v>1396</v>
      </c>
      <c r="C1570">
        <v>44587.448611111111</v>
      </c>
      <c r="D1570">
        <v>2022</v>
      </c>
      <c r="E1570" t="s">
        <v>10</v>
      </c>
      <c r="F1570" t="s">
        <v>1554</v>
      </c>
      <c r="G1570" t="s">
        <v>11</v>
      </c>
      <c r="H1570" s="1" t="s">
        <v>1575</v>
      </c>
      <c r="I1570" t="s">
        <v>1577</v>
      </c>
      <c r="J1570" s="2">
        <v>1083656</v>
      </c>
      <c r="K1570" t="s">
        <v>121</v>
      </c>
      <c r="L1570" t="s">
        <v>1650</v>
      </c>
    </row>
    <row r="1571" spans="1:12" x14ac:dyDescent="0.3">
      <c r="A1571">
        <v>1570</v>
      </c>
      <c r="B1571" t="s">
        <v>1397</v>
      </c>
      <c r="C1571">
        <v>44587.467361111114</v>
      </c>
      <c r="D1571">
        <v>2022</v>
      </c>
      <c r="E1571" t="s">
        <v>10</v>
      </c>
      <c r="F1571" t="s">
        <v>1554</v>
      </c>
      <c r="G1571" t="s">
        <v>11</v>
      </c>
      <c r="H1571" s="1" t="s">
        <v>1575</v>
      </c>
      <c r="I1571" t="s">
        <v>1577</v>
      </c>
      <c r="J1571" s="2">
        <v>3411068</v>
      </c>
      <c r="K1571" t="s">
        <v>121</v>
      </c>
      <c r="L1571" t="s">
        <v>1652</v>
      </c>
    </row>
    <row r="1572" spans="1:12" x14ac:dyDescent="0.3">
      <c r="A1572">
        <v>1571</v>
      </c>
      <c r="B1572" t="s">
        <v>1398</v>
      </c>
      <c r="C1572">
        <v>44588.632638888892</v>
      </c>
      <c r="D1572">
        <v>2022</v>
      </c>
      <c r="E1572" t="s">
        <v>10</v>
      </c>
      <c r="F1572" t="s">
        <v>1554</v>
      </c>
      <c r="G1572" t="s">
        <v>44</v>
      </c>
      <c r="H1572" s="1" t="s">
        <v>1575</v>
      </c>
      <c r="I1572" t="s">
        <v>1636</v>
      </c>
      <c r="J1572" s="2">
        <v>1600632</v>
      </c>
      <c r="K1572" t="s">
        <v>16</v>
      </c>
      <c r="L1572" t="s">
        <v>1649</v>
      </c>
    </row>
    <row r="1573" spans="1:12" x14ac:dyDescent="0.3">
      <c r="A1573">
        <v>1572</v>
      </c>
      <c r="B1573" t="s">
        <v>1399</v>
      </c>
      <c r="C1573">
        <v>44588.63958333333</v>
      </c>
      <c r="D1573">
        <v>2022</v>
      </c>
      <c r="E1573" t="s">
        <v>10</v>
      </c>
      <c r="F1573" t="s">
        <v>1554</v>
      </c>
      <c r="G1573" t="s">
        <v>44</v>
      </c>
      <c r="H1573" s="1" t="s">
        <v>1575</v>
      </c>
      <c r="I1573" t="s">
        <v>1586</v>
      </c>
      <c r="J1573" s="2">
        <v>3376010</v>
      </c>
      <c r="K1573" t="s">
        <v>59</v>
      </c>
      <c r="L1573" t="s">
        <v>1652</v>
      </c>
    </row>
    <row r="1574" spans="1:12" x14ac:dyDescent="0.3">
      <c r="A1574">
        <v>1573</v>
      </c>
      <c r="B1574" t="s">
        <v>1400</v>
      </c>
      <c r="C1574">
        <v>44593.499305555553</v>
      </c>
      <c r="D1574">
        <v>2022</v>
      </c>
      <c r="E1574" t="s">
        <v>10</v>
      </c>
      <c r="F1574" t="s">
        <v>1554</v>
      </c>
      <c r="G1574" t="s">
        <v>290</v>
      </c>
      <c r="H1574" s="1" t="s">
        <v>1576</v>
      </c>
      <c r="I1574" t="s">
        <v>1579</v>
      </c>
      <c r="J1574" s="2">
        <v>4273862</v>
      </c>
      <c r="K1574" t="s">
        <v>12</v>
      </c>
      <c r="L1574" t="s">
        <v>1652</v>
      </c>
    </row>
    <row r="1575" spans="1:12" x14ac:dyDescent="0.3">
      <c r="A1575">
        <v>1574</v>
      </c>
      <c r="B1575" t="s">
        <v>1401</v>
      </c>
      <c r="C1575">
        <v>44595.412499999999</v>
      </c>
      <c r="D1575">
        <v>2022</v>
      </c>
      <c r="E1575" t="s">
        <v>10</v>
      </c>
      <c r="F1575" t="s">
        <v>1655</v>
      </c>
      <c r="G1575" t="s">
        <v>11</v>
      </c>
      <c r="H1575" s="1" t="s">
        <v>1567</v>
      </c>
      <c r="I1575" t="s">
        <v>1577</v>
      </c>
      <c r="J1575" s="2">
        <v>1811183</v>
      </c>
      <c r="K1575" t="s">
        <v>121</v>
      </c>
      <c r="L1575" t="s">
        <v>1652</v>
      </c>
    </row>
    <row r="1576" spans="1:12" x14ac:dyDescent="0.3">
      <c r="A1576">
        <v>1575</v>
      </c>
      <c r="B1576" t="s">
        <v>50</v>
      </c>
      <c r="C1576">
        <v>44599.645138888889</v>
      </c>
      <c r="D1576">
        <v>2022</v>
      </c>
      <c r="E1576" t="s">
        <v>10</v>
      </c>
      <c r="F1576" t="s">
        <v>1561</v>
      </c>
      <c r="G1576" t="s">
        <v>591</v>
      </c>
      <c r="H1576" s="1" t="s">
        <v>1569</v>
      </c>
      <c r="I1576" t="s">
        <v>1454</v>
      </c>
      <c r="J1576" s="2">
        <v>3851719</v>
      </c>
      <c r="K1576" t="s">
        <v>121</v>
      </c>
      <c r="L1576" t="s">
        <v>1651</v>
      </c>
    </row>
    <row r="1577" spans="1:12" x14ac:dyDescent="0.3">
      <c r="A1577">
        <v>1576</v>
      </c>
      <c r="B1577" t="s">
        <v>1402</v>
      </c>
      <c r="C1577">
        <v>44599.647916666669</v>
      </c>
      <c r="D1577">
        <v>2022</v>
      </c>
      <c r="E1577" t="s">
        <v>10</v>
      </c>
      <c r="F1577" t="s">
        <v>1403</v>
      </c>
      <c r="G1577" t="s">
        <v>57</v>
      </c>
      <c r="H1577" s="1" t="s">
        <v>1573</v>
      </c>
      <c r="I1577" t="s">
        <v>1579</v>
      </c>
      <c r="J1577" s="2">
        <v>3054328</v>
      </c>
      <c r="K1577" t="s">
        <v>12</v>
      </c>
      <c r="L1577" t="s">
        <v>1650</v>
      </c>
    </row>
    <row r="1578" spans="1:12" x14ac:dyDescent="0.3">
      <c r="A1578">
        <v>1577</v>
      </c>
      <c r="B1578" t="s">
        <v>1092</v>
      </c>
      <c r="C1578">
        <v>44600.416666666664</v>
      </c>
      <c r="D1578">
        <v>2022</v>
      </c>
      <c r="E1578" t="s">
        <v>10</v>
      </c>
      <c r="F1578" t="s">
        <v>1555</v>
      </c>
      <c r="G1578" t="s">
        <v>23</v>
      </c>
      <c r="H1578" s="1" t="s">
        <v>1566</v>
      </c>
      <c r="I1578" t="s">
        <v>1579</v>
      </c>
      <c r="J1578" s="2">
        <v>1936934</v>
      </c>
      <c r="K1578" t="s">
        <v>12</v>
      </c>
      <c r="L1578" t="s">
        <v>1653</v>
      </c>
    </row>
    <row r="1579" spans="1:12" x14ac:dyDescent="0.3">
      <c r="A1579">
        <v>1578</v>
      </c>
      <c r="B1579" t="s">
        <v>1404</v>
      </c>
      <c r="C1579">
        <v>44600.442361111112</v>
      </c>
      <c r="D1579">
        <v>2022</v>
      </c>
      <c r="E1579" t="s">
        <v>10</v>
      </c>
      <c r="F1579" t="s">
        <v>1559</v>
      </c>
      <c r="G1579" t="s">
        <v>23</v>
      </c>
      <c r="H1579" s="1" t="s">
        <v>1571</v>
      </c>
      <c r="I1579" t="s">
        <v>1579</v>
      </c>
      <c r="J1579" s="2">
        <v>2429110</v>
      </c>
      <c r="K1579" t="s">
        <v>12</v>
      </c>
      <c r="L1579" t="s">
        <v>1648</v>
      </c>
    </row>
    <row r="1580" spans="1:12" x14ac:dyDescent="0.3">
      <c r="A1580">
        <v>1579</v>
      </c>
      <c r="B1580" t="s">
        <v>1405</v>
      </c>
      <c r="C1580">
        <v>44600.453472222223</v>
      </c>
      <c r="D1580">
        <v>2022</v>
      </c>
      <c r="E1580" t="s">
        <v>10</v>
      </c>
      <c r="F1580" t="s">
        <v>1559</v>
      </c>
      <c r="G1580" t="s">
        <v>23</v>
      </c>
      <c r="H1580" s="1" t="s">
        <v>1573</v>
      </c>
      <c r="I1580" t="s">
        <v>1579</v>
      </c>
      <c r="J1580" s="2">
        <v>4482520</v>
      </c>
      <c r="K1580" t="s">
        <v>12</v>
      </c>
      <c r="L1580" t="s">
        <v>1653</v>
      </c>
    </row>
    <row r="1581" spans="1:12" x14ac:dyDescent="0.3">
      <c r="A1581">
        <v>1580</v>
      </c>
      <c r="B1581" t="s">
        <v>1406</v>
      </c>
      <c r="C1581">
        <v>44601.61041666667</v>
      </c>
      <c r="D1581">
        <v>2022</v>
      </c>
      <c r="E1581" t="s">
        <v>10</v>
      </c>
      <c r="F1581" t="s">
        <v>1559</v>
      </c>
      <c r="G1581" t="s">
        <v>11</v>
      </c>
      <c r="H1581" s="1" t="s">
        <v>1566</v>
      </c>
      <c r="I1581" t="s">
        <v>1577</v>
      </c>
      <c r="J1581" s="2">
        <v>1140177</v>
      </c>
      <c r="K1581" t="s">
        <v>121</v>
      </c>
      <c r="L1581" t="s">
        <v>1649</v>
      </c>
    </row>
    <row r="1582" spans="1:12" x14ac:dyDescent="0.3">
      <c r="A1582">
        <v>1581</v>
      </c>
      <c r="B1582" t="s">
        <v>1288</v>
      </c>
      <c r="C1582">
        <v>44601.679861111108</v>
      </c>
      <c r="D1582">
        <v>2022</v>
      </c>
      <c r="E1582" t="s">
        <v>10</v>
      </c>
      <c r="F1582" t="s">
        <v>1559</v>
      </c>
      <c r="G1582" t="s">
        <v>49</v>
      </c>
      <c r="H1582" s="1" t="s">
        <v>1570</v>
      </c>
      <c r="I1582" t="s">
        <v>1579</v>
      </c>
      <c r="J1582" s="2">
        <v>3312086</v>
      </c>
      <c r="K1582" t="s">
        <v>12</v>
      </c>
      <c r="L1582" t="s">
        <v>1649</v>
      </c>
    </row>
    <row r="1583" spans="1:12" x14ac:dyDescent="0.3">
      <c r="A1583">
        <v>1582</v>
      </c>
      <c r="B1583" t="s">
        <v>1407</v>
      </c>
      <c r="C1583">
        <v>44601.684027777781</v>
      </c>
      <c r="D1583">
        <v>2022</v>
      </c>
      <c r="E1583" t="s">
        <v>10</v>
      </c>
      <c r="F1583" t="s">
        <v>29</v>
      </c>
      <c r="G1583" t="s">
        <v>15</v>
      </c>
      <c r="H1583" s="1" t="s">
        <v>1575</v>
      </c>
      <c r="I1583" t="s">
        <v>1582</v>
      </c>
      <c r="J1583" s="2">
        <v>3085681</v>
      </c>
      <c r="K1583" t="s">
        <v>16</v>
      </c>
      <c r="L1583" t="s">
        <v>1648</v>
      </c>
    </row>
    <row r="1584" spans="1:12" x14ac:dyDescent="0.3">
      <c r="A1584">
        <v>1583</v>
      </c>
      <c r="B1584" t="s">
        <v>987</v>
      </c>
      <c r="C1584">
        <v>44602.420138888891</v>
      </c>
      <c r="D1584">
        <v>2022</v>
      </c>
      <c r="E1584" t="s">
        <v>10</v>
      </c>
      <c r="F1584" t="s">
        <v>1555</v>
      </c>
      <c r="G1584" t="s">
        <v>23</v>
      </c>
      <c r="H1584" s="1" t="s">
        <v>1575</v>
      </c>
      <c r="I1584" t="s">
        <v>1579</v>
      </c>
      <c r="J1584" s="2">
        <v>3026288</v>
      </c>
      <c r="K1584" t="s">
        <v>12</v>
      </c>
      <c r="L1584" t="s">
        <v>1649</v>
      </c>
    </row>
    <row r="1585" spans="1:12" x14ac:dyDescent="0.3">
      <c r="A1585">
        <v>1584</v>
      </c>
      <c r="B1585" t="s">
        <v>734</v>
      </c>
      <c r="C1585">
        <v>44602.504861111112</v>
      </c>
      <c r="D1585">
        <v>2022</v>
      </c>
      <c r="E1585" t="s">
        <v>10</v>
      </c>
      <c r="F1585" t="s">
        <v>1555</v>
      </c>
      <c r="G1585" t="s">
        <v>44</v>
      </c>
      <c r="H1585" s="1" t="s">
        <v>1569</v>
      </c>
      <c r="I1585" t="s">
        <v>1586</v>
      </c>
      <c r="J1585" s="2">
        <v>2883618</v>
      </c>
      <c r="K1585" t="s">
        <v>59</v>
      </c>
      <c r="L1585" t="s">
        <v>1649</v>
      </c>
    </row>
    <row r="1586" spans="1:12" x14ac:dyDescent="0.3">
      <c r="A1586">
        <v>1585</v>
      </c>
      <c r="B1586" t="s">
        <v>1408</v>
      </c>
      <c r="C1586">
        <v>44602.52847222222</v>
      </c>
      <c r="D1586">
        <v>2022</v>
      </c>
      <c r="E1586" t="s">
        <v>10</v>
      </c>
      <c r="F1586" t="s">
        <v>1561</v>
      </c>
      <c r="G1586" t="s">
        <v>11</v>
      </c>
      <c r="H1586" s="1" t="s">
        <v>1567</v>
      </c>
      <c r="I1586" t="s">
        <v>1600</v>
      </c>
      <c r="J1586" s="2">
        <v>4870366</v>
      </c>
      <c r="K1586" t="s">
        <v>121</v>
      </c>
      <c r="L1586" t="s">
        <v>1652</v>
      </c>
    </row>
    <row r="1587" spans="1:12" x14ac:dyDescent="0.3">
      <c r="A1587">
        <v>1586</v>
      </c>
      <c r="B1587" t="s">
        <v>1409</v>
      </c>
      <c r="C1587">
        <v>44602.752083333333</v>
      </c>
      <c r="D1587">
        <v>2022</v>
      </c>
      <c r="E1587" t="s">
        <v>10</v>
      </c>
      <c r="F1587" t="s">
        <v>1655</v>
      </c>
      <c r="G1587" t="s">
        <v>11</v>
      </c>
      <c r="H1587" s="1" t="s">
        <v>1567</v>
      </c>
      <c r="I1587" t="s">
        <v>1600</v>
      </c>
      <c r="J1587" s="2">
        <v>1256932</v>
      </c>
      <c r="K1587" t="s">
        <v>121</v>
      </c>
      <c r="L1587" t="s">
        <v>1652</v>
      </c>
    </row>
    <row r="1588" spans="1:12" x14ac:dyDescent="0.3">
      <c r="A1588">
        <v>1587</v>
      </c>
      <c r="B1588" t="s">
        <v>1410</v>
      </c>
      <c r="C1588">
        <v>44603.396527777775</v>
      </c>
      <c r="D1588">
        <v>2022</v>
      </c>
      <c r="E1588" t="s">
        <v>10</v>
      </c>
      <c r="F1588" t="s">
        <v>1655</v>
      </c>
      <c r="G1588" t="s">
        <v>11</v>
      </c>
      <c r="H1588" s="1" t="s">
        <v>1575</v>
      </c>
      <c r="I1588" t="s">
        <v>1577</v>
      </c>
      <c r="J1588" s="2">
        <v>1827721</v>
      </c>
      <c r="K1588" t="s">
        <v>121</v>
      </c>
      <c r="L1588" t="s">
        <v>1648</v>
      </c>
    </row>
    <row r="1589" spans="1:12" x14ac:dyDescent="0.3">
      <c r="A1589">
        <v>1588</v>
      </c>
      <c r="B1589" t="s">
        <v>1411</v>
      </c>
      <c r="C1589">
        <v>44606.439583333333</v>
      </c>
      <c r="D1589">
        <v>2022</v>
      </c>
      <c r="E1589" t="s">
        <v>10</v>
      </c>
      <c r="F1589" t="s">
        <v>1553</v>
      </c>
      <c r="G1589" t="s">
        <v>57</v>
      </c>
      <c r="H1589" s="1" t="s">
        <v>1564</v>
      </c>
      <c r="I1589" t="s">
        <v>1579</v>
      </c>
      <c r="J1589" s="2">
        <v>4116697</v>
      </c>
      <c r="K1589" t="s">
        <v>12</v>
      </c>
      <c r="L1589" t="s">
        <v>1652</v>
      </c>
    </row>
    <row r="1590" spans="1:12" x14ac:dyDescent="0.3">
      <c r="A1590">
        <v>1589</v>
      </c>
      <c r="B1590" t="s">
        <v>1412</v>
      </c>
      <c r="C1590">
        <v>44606.540277777778</v>
      </c>
      <c r="D1590">
        <v>2022</v>
      </c>
      <c r="E1590" t="s">
        <v>741</v>
      </c>
      <c r="F1590" t="s">
        <v>1553</v>
      </c>
      <c r="G1590" t="s">
        <v>23</v>
      </c>
      <c r="H1590" s="1" t="s">
        <v>1564</v>
      </c>
      <c r="I1590" t="s">
        <v>1579</v>
      </c>
      <c r="J1590" s="2">
        <v>1009419</v>
      </c>
      <c r="K1590" t="s">
        <v>12</v>
      </c>
      <c r="L1590" t="s">
        <v>1650</v>
      </c>
    </row>
    <row r="1591" spans="1:12" x14ac:dyDescent="0.3">
      <c r="A1591">
        <v>1590</v>
      </c>
      <c r="B1591" t="s">
        <v>1413</v>
      </c>
      <c r="C1591">
        <v>44607.499305555553</v>
      </c>
      <c r="D1591">
        <v>2022</v>
      </c>
      <c r="E1591" t="s">
        <v>10</v>
      </c>
      <c r="F1591" t="s">
        <v>1553</v>
      </c>
      <c r="G1591" t="s">
        <v>18</v>
      </c>
      <c r="H1591" s="1" t="s">
        <v>1572</v>
      </c>
      <c r="I1591" t="s">
        <v>1579</v>
      </c>
      <c r="J1591" s="2">
        <v>1178988</v>
      </c>
      <c r="K1591" t="s">
        <v>12</v>
      </c>
      <c r="L1591" t="s">
        <v>1650</v>
      </c>
    </row>
    <row r="1592" spans="1:12" x14ac:dyDescent="0.3">
      <c r="A1592">
        <v>1591</v>
      </c>
      <c r="B1592" t="s">
        <v>50</v>
      </c>
      <c r="C1592">
        <v>44607.600694444445</v>
      </c>
      <c r="D1592">
        <v>2022</v>
      </c>
      <c r="E1592" t="s">
        <v>10</v>
      </c>
      <c r="F1592" t="s">
        <v>1553</v>
      </c>
      <c r="G1592" t="s">
        <v>11</v>
      </c>
      <c r="H1592" s="1" t="s">
        <v>1570</v>
      </c>
      <c r="I1592" t="s">
        <v>1591</v>
      </c>
      <c r="J1592" s="2">
        <v>2542680</v>
      </c>
      <c r="K1592" t="s">
        <v>12</v>
      </c>
      <c r="L1592" t="s">
        <v>1648</v>
      </c>
    </row>
    <row r="1593" spans="1:12" x14ac:dyDescent="0.3">
      <c r="A1593">
        <v>1592</v>
      </c>
      <c r="B1593" t="s">
        <v>1414</v>
      </c>
      <c r="C1593">
        <v>44607.630555555559</v>
      </c>
      <c r="D1593">
        <v>2022</v>
      </c>
      <c r="E1593" t="s">
        <v>1415</v>
      </c>
      <c r="F1593" t="s">
        <v>1553</v>
      </c>
      <c r="G1593" t="s">
        <v>23</v>
      </c>
      <c r="H1593" s="1" t="s">
        <v>1576</v>
      </c>
      <c r="I1593" t="s">
        <v>1579</v>
      </c>
      <c r="J1593" s="2">
        <v>3788980</v>
      </c>
      <c r="K1593" t="s">
        <v>12</v>
      </c>
      <c r="L1593" t="s">
        <v>1653</v>
      </c>
    </row>
    <row r="1594" spans="1:12" x14ac:dyDescent="0.3">
      <c r="A1594">
        <v>1593</v>
      </c>
      <c r="B1594" t="s">
        <v>1416</v>
      </c>
      <c r="C1594">
        <v>44609.363194444442</v>
      </c>
      <c r="D1594">
        <v>2022</v>
      </c>
      <c r="E1594" t="s">
        <v>10</v>
      </c>
      <c r="F1594" t="s">
        <v>1553</v>
      </c>
      <c r="G1594" t="s">
        <v>290</v>
      </c>
      <c r="H1594" s="1" t="s">
        <v>1573</v>
      </c>
      <c r="I1594" t="s">
        <v>1579</v>
      </c>
      <c r="J1594" s="2">
        <v>1019168</v>
      </c>
      <c r="K1594" t="s">
        <v>12</v>
      </c>
      <c r="L1594" t="s">
        <v>1652</v>
      </c>
    </row>
    <row r="1595" spans="1:12" x14ac:dyDescent="0.3">
      <c r="A1595">
        <v>1594</v>
      </c>
      <c r="B1595" t="s">
        <v>1417</v>
      </c>
      <c r="C1595">
        <v>44609.531944444447</v>
      </c>
      <c r="D1595">
        <v>2022</v>
      </c>
      <c r="E1595" t="s">
        <v>10</v>
      </c>
      <c r="F1595" t="s">
        <v>1553</v>
      </c>
      <c r="G1595" t="s">
        <v>15</v>
      </c>
      <c r="H1595" s="1" t="s">
        <v>1576</v>
      </c>
      <c r="I1595" t="s">
        <v>1582</v>
      </c>
      <c r="J1595" s="2">
        <v>4006886</v>
      </c>
      <c r="K1595" t="s">
        <v>16</v>
      </c>
      <c r="L1595" t="s">
        <v>1652</v>
      </c>
    </row>
    <row r="1596" spans="1:12" x14ac:dyDescent="0.3">
      <c r="A1596">
        <v>1595</v>
      </c>
      <c r="B1596" t="s">
        <v>1418</v>
      </c>
      <c r="C1596">
        <v>44609.539583333331</v>
      </c>
      <c r="D1596">
        <v>2022</v>
      </c>
      <c r="E1596" t="s">
        <v>10</v>
      </c>
      <c r="F1596" t="s">
        <v>1553</v>
      </c>
      <c r="G1596" t="s">
        <v>15</v>
      </c>
      <c r="H1596" s="1" t="s">
        <v>1575</v>
      </c>
      <c r="I1596" t="s">
        <v>1582</v>
      </c>
      <c r="J1596" s="2">
        <v>1750363</v>
      </c>
      <c r="K1596" t="s">
        <v>16</v>
      </c>
      <c r="L1596" t="s">
        <v>1649</v>
      </c>
    </row>
    <row r="1597" spans="1:12" x14ac:dyDescent="0.3">
      <c r="A1597">
        <v>1596</v>
      </c>
      <c r="B1597" t="s">
        <v>1419</v>
      </c>
      <c r="C1597">
        <v>44609.604166666664</v>
      </c>
      <c r="D1597">
        <v>2022</v>
      </c>
      <c r="E1597" t="s">
        <v>10</v>
      </c>
      <c r="F1597" t="s">
        <v>1559</v>
      </c>
      <c r="G1597" t="s">
        <v>15</v>
      </c>
      <c r="H1597" s="1" t="s">
        <v>1571</v>
      </c>
      <c r="I1597" t="s">
        <v>1582</v>
      </c>
      <c r="J1597" s="2">
        <v>1280013</v>
      </c>
      <c r="K1597" t="s">
        <v>16</v>
      </c>
      <c r="L1597" t="s">
        <v>1650</v>
      </c>
    </row>
    <row r="1598" spans="1:12" x14ac:dyDescent="0.3">
      <c r="A1598">
        <v>1597</v>
      </c>
      <c r="B1598" t="s">
        <v>1420</v>
      </c>
      <c r="C1598">
        <v>44610.270833333336</v>
      </c>
      <c r="D1598">
        <v>2022</v>
      </c>
      <c r="E1598" t="s">
        <v>1415</v>
      </c>
      <c r="F1598" t="s">
        <v>1559</v>
      </c>
      <c r="G1598" t="s">
        <v>23</v>
      </c>
      <c r="H1598" s="1" t="s">
        <v>1562</v>
      </c>
      <c r="I1598" t="s">
        <v>1579</v>
      </c>
      <c r="J1598" s="2">
        <v>1756270</v>
      </c>
      <c r="K1598" t="s">
        <v>12</v>
      </c>
      <c r="L1598" t="s">
        <v>1652</v>
      </c>
    </row>
    <row r="1599" spans="1:12" x14ac:dyDescent="0.3">
      <c r="A1599">
        <v>1598</v>
      </c>
      <c r="B1599" t="s">
        <v>1421</v>
      </c>
      <c r="C1599">
        <v>44610.273611111108</v>
      </c>
      <c r="D1599">
        <v>2022</v>
      </c>
      <c r="E1599" t="s">
        <v>10</v>
      </c>
      <c r="F1599" t="s">
        <v>1559</v>
      </c>
      <c r="G1599" t="s">
        <v>23</v>
      </c>
      <c r="H1599" s="1" t="s">
        <v>1576</v>
      </c>
      <c r="I1599" t="s">
        <v>1579</v>
      </c>
      <c r="J1599" s="2">
        <v>3985791</v>
      </c>
      <c r="K1599" t="s">
        <v>12</v>
      </c>
      <c r="L1599" t="s">
        <v>1653</v>
      </c>
    </row>
    <row r="1600" spans="1:12" x14ac:dyDescent="0.3">
      <c r="A1600">
        <v>1599</v>
      </c>
      <c r="B1600" t="s">
        <v>1422</v>
      </c>
      <c r="C1600">
        <v>44610.332638888889</v>
      </c>
      <c r="D1600">
        <v>2022</v>
      </c>
      <c r="E1600" t="s">
        <v>10</v>
      </c>
      <c r="F1600" t="s">
        <v>1559</v>
      </c>
      <c r="G1600" t="s">
        <v>18</v>
      </c>
      <c r="H1600" s="1" t="s">
        <v>1570</v>
      </c>
      <c r="I1600" t="s">
        <v>1579</v>
      </c>
      <c r="J1600" s="2">
        <v>1560562</v>
      </c>
      <c r="K1600" t="s">
        <v>12</v>
      </c>
      <c r="L1600" t="s">
        <v>1651</v>
      </c>
    </row>
    <row r="1601" spans="1:12" x14ac:dyDescent="0.3">
      <c r="A1601">
        <v>1600</v>
      </c>
      <c r="B1601" t="s">
        <v>1423</v>
      </c>
      <c r="C1601">
        <v>44610.374305555553</v>
      </c>
      <c r="D1601">
        <v>2022</v>
      </c>
      <c r="E1601" t="s">
        <v>10</v>
      </c>
      <c r="F1601" t="s">
        <v>1553</v>
      </c>
      <c r="G1601" t="s">
        <v>23</v>
      </c>
      <c r="H1601" s="1" t="s">
        <v>1574</v>
      </c>
      <c r="I1601" t="s">
        <v>1579</v>
      </c>
      <c r="J1601" s="2">
        <v>4626752</v>
      </c>
      <c r="K1601" t="s">
        <v>12</v>
      </c>
      <c r="L1601" t="s">
        <v>1649</v>
      </c>
    </row>
    <row r="1602" spans="1:12" x14ac:dyDescent="0.3">
      <c r="A1602">
        <v>1601</v>
      </c>
      <c r="B1602" t="s">
        <v>1424</v>
      </c>
      <c r="C1602">
        <v>44610.416666666664</v>
      </c>
      <c r="D1602">
        <v>2022</v>
      </c>
      <c r="E1602" t="s">
        <v>10</v>
      </c>
      <c r="F1602" t="s">
        <v>1553</v>
      </c>
      <c r="G1602" t="s">
        <v>23</v>
      </c>
      <c r="H1602" s="1" t="s">
        <v>1576</v>
      </c>
      <c r="I1602" t="s">
        <v>1579</v>
      </c>
      <c r="J1602" s="2">
        <v>4853667</v>
      </c>
      <c r="K1602" t="s">
        <v>12</v>
      </c>
      <c r="L1602" t="s">
        <v>1652</v>
      </c>
    </row>
    <row r="1603" spans="1:12" x14ac:dyDescent="0.3">
      <c r="A1603">
        <v>1602</v>
      </c>
      <c r="B1603" t="s">
        <v>1425</v>
      </c>
      <c r="C1603">
        <v>44610.460416666669</v>
      </c>
      <c r="D1603">
        <v>2022</v>
      </c>
      <c r="E1603" t="s">
        <v>10</v>
      </c>
      <c r="F1603" t="s">
        <v>1553</v>
      </c>
      <c r="G1603" t="s">
        <v>23</v>
      </c>
      <c r="H1603" s="1" t="s">
        <v>1563</v>
      </c>
      <c r="I1603" t="s">
        <v>1579</v>
      </c>
      <c r="J1603" s="2">
        <v>3121286</v>
      </c>
      <c r="K1603" t="s">
        <v>12</v>
      </c>
      <c r="L1603" t="s">
        <v>1651</v>
      </c>
    </row>
    <row r="1604" spans="1:12" x14ac:dyDescent="0.3">
      <c r="A1604">
        <v>1603</v>
      </c>
      <c r="B1604" t="s">
        <v>1426</v>
      </c>
      <c r="C1604">
        <v>44610.525694444441</v>
      </c>
      <c r="D1604">
        <v>2022</v>
      </c>
      <c r="E1604" t="s">
        <v>10</v>
      </c>
      <c r="F1604" t="s">
        <v>1553</v>
      </c>
      <c r="G1604" t="s">
        <v>23</v>
      </c>
      <c r="H1604" s="1" t="s">
        <v>1566</v>
      </c>
      <c r="I1604" t="s">
        <v>1579</v>
      </c>
      <c r="J1604" s="2">
        <v>3818633</v>
      </c>
      <c r="K1604" t="s">
        <v>12</v>
      </c>
      <c r="L1604" t="s">
        <v>1650</v>
      </c>
    </row>
    <row r="1605" spans="1:12" x14ac:dyDescent="0.3">
      <c r="A1605">
        <v>1604</v>
      </c>
      <c r="B1605" t="s">
        <v>1427</v>
      </c>
      <c r="C1605">
        <v>44610.621527777781</v>
      </c>
      <c r="D1605">
        <v>2022</v>
      </c>
      <c r="E1605" t="s">
        <v>10</v>
      </c>
      <c r="F1605" t="s">
        <v>1553</v>
      </c>
      <c r="G1605" t="s">
        <v>591</v>
      </c>
      <c r="H1605" s="1" t="s">
        <v>1568</v>
      </c>
      <c r="I1605" t="s">
        <v>1579</v>
      </c>
      <c r="J1605" s="2">
        <v>3778644</v>
      </c>
      <c r="K1605" t="s">
        <v>12</v>
      </c>
      <c r="L1605" t="s">
        <v>1649</v>
      </c>
    </row>
    <row r="1606" spans="1:12" x14ac:dyDescent="0.3">
      <c r="A1606">
        <v>1605</v>
      </c>
      <c r="B1606" t="s">
        <v>1428</v>
      </c>
      <c r="C1606">
        <v>44610.698611111111</v>
      </c>
      <c r="D1606">
        <v>2022</v>
      </c>
      <c r="E1606" t="s">
        <v>10</v>
      </c>
      <c r="F1606" t="s">
        <v>1553</v>
      </c>
      <c r="G1606" t="s">
        <v>15</v>
      </c>
      <c r="H1606" s="1" t="s">
        <v>1562</v>
      </c>
      <c r="I1606" t="s">
        <v>1587</v>
      </c>
      <c r="J1606" s="2">
        <v>4465571</v>
      </c>
      <c r="K1606" t="s">
        <v>12</v>
      </c>
      <c r="L1606" t="s">
        <v>1648</v>
      </c>
    </row>
    <row r="1607" spans="1:12" x14ac:dyDescent="0.3">
      <c r="A1607">
        <v>1606</v>
      </c>
      <c r="B1607" t="s">
        <v>1429</v>
      </c>
      <c r="C1607">
        <v>44613.394444444442</v>
      </c>
      <c r="D1607">
        <v>2022</v>
      </c>
      <c r="E1607" t="s">
        <v>10</v>
      </c>
      <c r="F1607" t="s">
        <v>1553</v>
      </c>
      <c r="G1607" t="s">
        <v>57</v>
      </c>
      <c r="H1607" s="1" t="s">
        <v>1569</v>
      </c>
      <c r="I1607" t="s">
        <v>1636</v>
      </c>
      <c r="J1607" s="2">
        <v>2331294</v>
      </c>
      <c r="K1607" t="s">
        <v>16</v>
      </c>
      <c r="L1607" t="s">
        <v>1651</v>
      </c>
    </row>
    <row r="1608" spans="1:12" x14ac:dyDescent="0.3">
      <c r="A1608">
        <v>1607</v>
      </c>
      <c r="B1608" t="s">
        <v>1430</v>
      </c>
      <c r="C1608">
        <v>44613.495833333334</v>
      </c>
      <c r="D1608">
        <v>2022</v>
      </c>
      <c r="E1608" t="s">
        <v>1415</v>
      </c>
      <c r="F1608" t="s">
        <v>1553</v>
      </c>
      <c r="G1608" t="s">
        <v>62</v>
      </c>
      <c r="H1608" s="1" t="s">
        <v>1574</v>
      </c>
      <c r="I1608" t="s">
        <v>1639</v>
      </c>
      <c r="J1608" s="2">
        <v>1421672</v>
      </c>
      <c r="K1608" t="s">
        <v>12</v>
      </c>
      <c r="L1608" t="s">
        <v>1651</v>
      </c>
    </row>
    <row r="1609" spans="1:12" x14ac:dyDescent="0.3">
      <c r="A1609">
        <v>1608</v>
      </c>
      <c r="B1609" t="s">
        <v>642</v>
      </c>
      <c r="C1609">
        <v>44613.542361111111</v>
      </c>
      <c r="D1609">
        <v>2022</v>
      </c>
      <c r="E1609" t="s">
        <v>10</v>
      </c>
      <c r="F1609" t="s">
        <v>1553</v>
      </c>
      <c r="G1609" t="s">
        <v>23</v>
      </c>
      <c r="H1609" s="1" t="s">
        <v>1568</v>
      </c>
      <c r="I1609" t="s">
        <v>1579</v>
      </c>
      <c r="J1609" s="2">
        <v>2233754</v>
      </c>
      <c r="K1609" t="s">
        <v>12</v>
      </c>
      <c r="L1609" t="s">
        <v>1653</v>
      </c>
    </row>
    <row r="1610" spans="1:12" x14ac:dyDescent="0.3">
      <c r="A1610">
        <v>1609</v>
      </c>
      <c r="B1610" t="s">
        <v>1431</v>
      </c>
      <c r="C1610">
        <v>44614.368055555555</v>
      </c>
      <c r="D1610">
        <v>2022</v>
      </c>
      <c r="E1610" t="s">
        <v>10</v>
      </c>
      <c r="F1610" t="s">
        <v>1553</v>
      </c>
      <c r="G1610" t="s">
        <v>18</v>
      </c>
      <c r="H1610" s="1" t="s">
        <v>1570</v>
      </c>
      <c r="I1610" t="s">
        <v>1579</v>
      </c>
      <c r="J1610" s="2">
        <v>2735179</v>
      </c>
      <c r="K1610" t="s">
        <v>12</v>
      </c>
      <c r="L1610" t="s">
        <v>1648</v>
      </c>
    </row>
    <row r="1611" spans="1:12" x14ac:dyDescent="0.3">
      <c r="A1611">
        <v>1610</v>
      </c>
      <c r="B1611" t="s">
        <v>1432</v>
      </c>
      <c r="C1611">
        <v>44614.651388888888</v>
      </c>
      <c r="D1611">
        <v>2022</v>
      </c>
      <c r="E1611" t="s">
        <v>741</v>
      </c>
      <c r="F1611" t="s">
        <v>1554</v>
      </c>
      <c r="G1611" t="s">
        <v>18</v>
      </c>
      <c r="H1611" s="1" t="s">
        <v>1563</v>
      </c>
      <c r="I1611" t="s">
        <v>1579</v>
      </c>
      <c r="J1611" s="2">
        <v>2807931</v>
      </c>
      <c r="K1611" t="s">
        <v>12</v>
      </c>
      <c r="L1611" t="s">
        <v>1651</v>
      </c>
    </row>
    <row r="1612" spans="1:12" x14ac:dyDescent="0.3">
      <c r="A1612">
        <v>1611</v>
      </c>
      <c r="B1612" t="s">
        <v>1433</v>
      </c>
      <c r="C1612">
        <v>44614.695833333331</v>
      </c>
      <c r="D1612">
        <v>2022</v>
      </c>
      <c r="E1612" t="s">
        <v>1415</v>
      </c>
      <c r="F1612" t="s">
        <v>1554</v>
      </c>
      <c r="G1612" t="s">
        <v>62</v>
      </c>
      <c r="H1612" s="1" t="s">
        <v>1564</v>
      </c>
      <c r="I1612" t="s">
        <v>1579</v>
      </c>
      <c r="J1612" s="2">
        <v>2553877</v>
      </c>
      <c r="K1612" t="s">
        <v>12</v>
      </c>
      <c r="L1612" t="s">
        <v>1653</v>
      </c>
    </row>
    <row r="1613" spans="1:12" x14ac:dyDescent="0.3">
      <c r="A1613">
        <v>1612</v>
      </c>
      <c r="B1613" t="s">
        <v>1434</v>
      </c>
      <c r="C1613">
        <v>44615.345833333333</v>
      </c>
      <c r="D1613">
        <v>2022</v>
      </c>
      <c r="E1613" t="s">
        <v>1415</v>
      </c>
      <c r="F1613" t="s">
        <v>1554</v>
      </c>
      <c r="G1613" t="s">
        <v>11</v>
      </c>
      <c r="H1613" s="1" t="s">
        <v>1575</v>
      </c>
      <c r="I1613" t="s">
        <v>1577</v>
      </c>
      <c r="J1613" s="2">
        <v>1060442</v>
      </c>
      <c r="K1613" t="s">
        <v>121</v>
      </c>
      <c r="L1613" t="s">
        <v>1651</v>
      </c>
    </row>
    <row r="1614" spans="1:12" x14ac:dyDescent="0.3">
      <c r="A1614">
        <v>1613</v>
      </c>
      <c r="B1614" t="s">
        <v>1435</v>
      </c>
      <c r="C1614">
        <v>44615.349305555559</v>
      </c>
      <c r="D1614">
        <v>2022</v>
      </c>
      <c r="E1614" t="s">
        <v>1436</v>
      </c>
      <c r="F1614" t="s">
        <v>1554</v>
      </c>
      <c r="G1614" t="s">
        <v>11</v>
      </c>
      <c r="H1614" s="1" t="s">
        <v>1576</v>
      </c>
      <c r="I1614" t="s">
        <v>1577</v>
      </c>
      <c r="J1614" s="2">
        <v>2346483</v>
      </c>
      <c r="K1614" t="s">
        <v>121</v>
      </c>
      <c r="L1614" t="s">
        <v>1651</v>
      </c>
    </row>
    <row r="1615" spans="1:12" x14ac:dyDescent="0.3">
      <c r="A1615">
        <v>1614</v>
      </c>
      <c r="B1615" t="s">
        <v>1437</v>
      </c>
      <c r="C1615">
        <v>44615.464583333334</v>
      </c>
      <c r="D1615">
        <v>2022</v>
      </c>
      <c r="E1615" t="s">
        <v>1415</v>
      </c>
      <c r="F1615" t="s">
        <v>1554</v>
      </c>
      <c r="G1615" t="s">
        <v>18</v>
      </c>
      <c r="H1615" s="1" t="s">
        <v>1574</v>
      </c>
      <c r="I1615" t="s">
        <v>1579</v>
      </c>
      <c r="J1615" s="2">
        <v>3519853</v>
      </c>
      <c r="K1615" t="s">
        <v>12</v>
      </c>
      <c r="L1615" t="s">
        <v>1648</v>
      </c>
    </row>
    <row r="1616" spans="1:12" x14ac:dyDescent="0.3">
      <c r="A1616">
        <v>1615</v>
      </c>
      <c r="B1616" t="s">
        <v>1438</v>
      </c>
      <c r="C1616">
        <v>44616.62222222222</v>
      </c>
      <c r="D1616">
        <v>2022</v>
      </c>
      <c r="E1616" t="s">
        <v>1415</v>
      </c>
      <c r="F1616" t="s">
        <v>1554</v>
      </c>
      <c r="G1616" t="s">
        <v>23</v>
      </c>
      <c r="H1616" s="1" t="s">
        <v>1573</v>
      </c>
      <c r="I1616" t="s">
        <v>1579</v>
      </c>
      <c r="J1616" s="2">
        <v>3210076</v>
      </c>
      <c r="K1616" t="s">
        <v>12</v>
      </c>
      <c r="L1616" t="s">
        <v>1653</v>
      </c>
    </row>
    <row r="1617" spans="1:12" x14ac:dyDescent="0.3">
      <c r="A1617">
        <v>1616</v>
      </c>
      <c r="B1617" t="s">
        <v>1439</v>
      </c>
      <c r="C1617">
        <v>44617.375</v>
      </c>
      <c r="D1617">
        <v>2022</v>
      </c>
      <c r="E1617" t="s">
        <v>1415</v>
      </c>
      <c r="F1617" t="s">
        <v>1554</v>
      </c>
      <c r="G1617" t="s">
        <v>23</v>
      </c>
      <c r="H1617" s="1" t="s">
        <v>1576</v>
      </c>
      <c r="I1617" t="s">
        <v>1579</v>
      </c>
      <c r="J1617" s="2">
        <v>4625565</v>
      </c>
      <c r="K1617" t="s">
        <v>12</v>
      </c>
      <c r="L1617" t="s">
        <v>1648</v>
      </c>
    </row>
    <row r="1618" spans="1:12" x14ac:dyDescent="0.3">
      <c r="A1618">
        <v>1617</v>
      </c>
      <c r="B1618" t="s">
        <v>1440</v>
      </c>
      <c r="C1618">
        <v>44617.51666666667</v>
      </c>
      <c r="D1618">
        <v>2022</v>
      </c>
      <c r="E1618" t="s">
        <v>1415</v>
      </c>
      <c r="F1618" t="s">
        <v>1554</v>
      </c>
      <c r="G1618" t="s">
        <v>15</v>
      </c>
      <c r="H1618" s="1" t="s">
        <v>1574</v>
      </c>
      <c r="I1618" t="s">
        <v>1586</v>
      </c>
      <c r="J1618" s="2">
        <v>2119729</v>
      </c>
      <c r="K1618" t="s">
        <v>59</v>
      </c>
      <c r="L1618" t="s">
        <v>1649</v>
      </c>
    </row>
    <row r="1619" spans="1:12" x14ac:dyDescent="0.3">
      <c r="A1619">
        <v>1618</v>
      </c>
      <c r="B1619" t="s">
        <v>1441</v>
      </c>
      <c r="C1619">
        <v>44620.390972222223</v>
      </c>
      <c r="D1619">
        <v>2022</v>
      </c>
      <c r="E1619" t="s">
        <v>1436</v>
      </c>
      <c r="F1619" t="s">
        <v>1554</v>
      </c>
      <c r="G1619" t="s">
        <v>15</v>
      </c>
      <c r="H1619" s="1" t="s">
        <v>1567</v>
      </c>
      <c r="I1619" t="s">
        <v>1579</v>
      </c>
      <c r="J1619" s="2">
        <v>3558881</v>
      </c>
      <c r="K1619" t="s">
        <v>12</v>
      </c>
      <c r="L1619" t="s">
        <v>1650</v>
      </c>
    </row>
    <row r="1620" spans="1:12" x14ac:dyDescent="0.3">
      <c r="A1620">
        <v>1619</v>
      </c>
      <c r="B1620" t="s">
        <v>1202</v>
      </c>
      <c r="C1620">
        <v>44643.523611111108</v>
      </c>
      <c r="D1620">
        <v>2022</v>
      </c>
      <c r="E1620" t="s">
        <v>10</v>
      </c>
      <c r="F1620" t="s">
        <v>1554</v>
      </c>
      <c r="G1620" t="s">
        <v>49</v>
      </c>
      <c r="H1620" s="1" t="s">
        <v>1565</v>
      </c>
      <c r="I1620" t="s">
        <v>1582</v>
      </c>
      <c r="J1620" s="2">
        <v>1084948</v>
      </c>
      <c r="K1620" t="s">
        <v>16</v>
      </c>
      <c r="L1620" t="s">
        <v>1649</v>
      </c>
    </row>
    <row r="1621" spans="1:12" x14ac:dyDescent="0.3">
      <c r="A1621">
        <v>1620</v>
      </c>
      <c r="B1621" t="s">
        <v>1442</v>
      </c>
      <c r="C1621">
        <v>44644.349305555559</v>
      </c>
      <c r="D1621">
        <v>2022</v>
      </c>
      <c r="E1621" t="s">
        <v>10</v>
      </c>
      <c r="F1621" t="s">
        <v>1554</v>
      </c>
      <c r="G1621" t="s">
        <v>11</v>
      </c>
      <c r="H1621" s="1" t="s">
        <v>1575</v>
      </c>
      <c r="I1621" t="s">
        <v>1577</v>
      </c>
      <c r="J1621" s="2">
        <v>2135534</v>
      </c>
      <c r="K1621" t="s">
        <v>121</v>
      </c>
      <c r="L1621" t="s">
        <v>1648</v>
      </c>
    </row>
    <row r="1622" spans="1:12" x14ac:dyDescent="0.3">
      <c r="A1622">
        <v>1621</v>
      </c>
      <c r="B1622" t="s">
        <v>1443</v>
      </c>
      <c r="C1622">
        <v>44634.37777777778</v>
      </c>
      <c r="D1622">
        <v>2022</v>
      </c>
      <c r="E1622" t="s">
        <v>10</v>
      </c>
      <c r="F1622" t="s">
        <v>1554</v>
      </c>
      <c r="G1622" t="s">
        <v>11</v>
      </c>
      <c r="H1622" s="1" t="s">
        <v>1575</v>
      </c>
      <c r="I1622" t="s">
        <v>1577</v>
      </c>
      <c r="J1622" s="2">
        <v>2590233</v>
      </c>
      <c r="K1622" t="s">
        <v>121</v>
      </c>
      <c r="L1622" t="s">
        <v>1649</v>
      </c>
    </row>
    <row r="1623" spans="1:12" x14ac:dyDescent="0.3">
      <c r="A1623">
        <v>1622</v>
      </c>
      <c r="B1623" t="s">
        <v>1444</v>
      </c>
      <c r="C1623">
        <v>44628.70208333333</v>
      </c>
      <c r="D1623">
        <v>2022</v>
      </c>
      <c r="E1623" t="s">
        <v>10</v>
      </c>
      <c r="F1623" t="s">
        <v>1554</v>
      </c>
      <c r="G1623" t="s">
        <v>1445</v>
      </c>
      <c r="H1623" s="1" t="s">
        <v>1575</v>
      </c>
      <c r="I1623" t="s">
        <v>1579</v>
      </c>
      <c r="J1623" s="2">
        <v>4527980</v>
      </c>
      <c r="K1623" t="s">
        <v>12</v>
      </c>
      <c r="L1623" t="s">
        <v>1653</v>
      </c>
    </row>
    <row r="1624" spans="1:12" x14ac:dyDescent="0.3">
      <c r="A1624">
        <v>1623</v>
      </c>
      <c r="B1624" t="s">
        <v>1446</v>
      </c>
      <c r="C1624">
        <v>44645.381944444445</v>
      </c>
      <c r="D1624">
        <v>2022</v>
      </c>
      <c r="E1624" t="s">
        <v>1436</v>
      </c>
      <c r="F1624" t="s">
        <v>1554</v>
      </c>
      <c r="G1624" t="s">
        <v>15</v>
      </c>
      <c r="H1624" s="1" t="s">
        <v>1575</v>
      </c>
      <c r="I1624" t="s">
        <v>1582</v>
      </c>
      <c r="J1624" s="2">
        <v>3403878</v>
      </c>
      <c r="K1624" t="s">
        <v>16</v>
      </c>
      <c r="L1624" t="s">
        <v>1651</v>
      </c>
    </row>
    <row r="1625" spans="1:12" x14ac:dyDescent="0.3">
      <c r="A1625">
        <v>1624</v>
      </c>
      <c r="B1625" t="s">
        <v>1447</v>
      </c>
      <c r="C1625">
        <v>44642.362500000003</v>
      </c>
      <c r="D1625">
        <v>2022</v>
      </c>
      <c r="E1625" t="s">
        <v>741</v>
      </c>
      <c r="F1625" t="s">
        <v>1655</v>
      </c>
      <c r="G1625" t="s">
        <v>62</v>
      </c>
      <c r="H1625" s="1" t="s">
        <v>1575</v>
      </c>
      <c r="I1625" t="s">
        <v>1639</v>
      </c>
      <c r="J1625" s="2">
        <v>4183439</v>
      </c>
      <c r="K1625" t="s">
        <v>12</v>
      </c>
      <c r="L1625" t="s">
        <v>1649</v>
      </c>
    </row>
    <row r="1626" spans="1:12" x14ac:dyDescent="0.3">
      <c r="A1626">
        <v>1625</v>
      </c>
      <c r="B1626" t="s">
        <v>1448</v>
      </c>
      <c r="C1626">
        <v>44637.372916666667</v>
      </c>
      <c r="D1626">
        <v>2022</v>
      </c>
      <c r="E1626" t="s">
        <v>1415</v>
      </c>
      <c r="F1626" t="s">
        <v>1655</v>
      </c>
      <c r="G1626" t="s">
        <v>67</v>
      </c>
      <c r="H1626" s="1" t="s">
        <v>1575</v>
      </c>
      <c r="I1626" t="s">
        <v>1616</v>
      </c>
      <c r="J1626" s="2">
        <v>2297620</v>
      </c>
      <c r="K1626" t="s">
        <v>12</v>
      </c>
      <c r="L1626" t="s">
        <v>1651</v>
      </c>
    </row>
    <row r="1627" spans="1:12" x14ac:dyDescent="0.3">
      <c r="A1627">
        <v>1626</v>
      </c>
      <c r="B1627" t="s">
        <v>1449</v>
      </c>
      <c r="C1627">
        <v>44651.678472222222</v>
      </c>
      <c r="D1627">
        <v>2022</v>
      </c>
      <c r="E1627" t="s">
        <v>1436</v>
      </c>
      <c r="F1627" t="s">
        <v>1655</v>
      </c>
      <c r="G1627" t="s">
        <v>1445</v>
      </c>
      <c r="H1627" s="1" t="s">
        <v>1575</v>
      </c>
      <c r="I1627" t="s">
        <v>1579</v>
      </c>
      <c r="J1627" s="2">
        <v>2036536</v>
      </c>
      <c r="K1627" t="s">
        <v>12</v>
      </c>
      <c r="L1627" t="s">
        <v>1650</v>
      </c>
    </row>
    <row r="1628" spans="1:12" x14ac:dyDescent="0.3">
      <c r="A1628">
        <v>1627</v>
      </c>
      <c r="B1628" t="s">
        <v>1450</v>
      </c>
      <c r="C1628">
        <v>44636.647916666669</v>
      </c>
      <c r="D1628">
        <v>2022</v>
      </c>
      <c r="E1628" t="s">
        <v>10</v>
      </c>
      <c r="F1628" t="s">
        <v>1655</v>
      </c>
      <c r="G1628" t="s">
        <v>18</v>
      </c>
      <c r="H1628" s="1" t="s">
        <v>1575</v>
      </c>
      <c r="I1628" t="s">
        <v>1582</v>
      </c>
      <c r="J1628" s="2">
        <v>2403052</v>
      </c>
      <c r="K1628" t="s">
        <v>16</v>
      </c>
      <c r="L1628" t="s">
        <v>1648</v>
      </c>
    </row>
    <row r="1629" spans="1:12" x14ac:dyDescent="0.3">
      <c r="A1629">
        <v>1628</v>
      </c>
      <c r="B1629" t="s">
        <v>1451</v>
      </c>
      <c r="C1629">
        <v>44649.536111111112</v>
      </c>
      <c r="D1629">
        <v>2022</v>
      </c>
      <c r="E1629" t="s">
        <v>1415</v>
      </c>
      <c r="F1629" t="s">
        <v>1655</v>
      </c>
      <c r="G1629" t="s">
        <v>15</v>
      </c>
      <c r="H1629" s="1" t="s">
        <v>1575</v>
      </c>
      <c r="I1629" t="s">
        <v>1582</v>
      </c>
      <c r="J1629" s="2">
        <v>3407121</v>
      </c>
      <c r="K1629" t="s">
        <v>16</v>
      </c>
      <c r="L1629" t="s">
        <v>1653</v>
      </c>
    </row>
    <row r="1630" spans="1:12" x14ac:dyDescent="0.3">
      <c r="A1630">
        <v>1629</v>
      </c>
      <c r="B1630" t="s">
        <v>1452</v>
      </c>
      <c r="C1630">
        <v>44622.698611111111</v>
      </c>
      <c r="D1630">
        <v>2022</v>
      </c>
      <c r="E1630" t="s">
        <v>10</v>
      </c>
      <c r="F1630" t="s">
        <v>1655</v>
      </c>
      <c r="G1630" t="s">
        <v>67</v>
      </c>
      <c r="H1630" s="1" t="s">
        <v>1575</v>
      </c>
      <c r="I1630" t="s">
        <v>1637</v>
      </c>
      <c r="J1630" s="2">
        <v>2242490</v>
      </c>
      <c r="K1630" t="s">
        <v>12</v>
      </c>
      <c r="L1630" t="s">
        <v>1648</v>
      </c>
    </row>
    <row r="1631" spans="1:12" x14ac:dyDescent="0.3">
      <c r="A1631">
        <v>1630</v>
      </c>
      <c r="B1631" t="s">
        <v>1453</v>
      </c>
      <c r="C1631">
        <v>44638.538888888892</v>
      </c>
      <c r="D1631">
        <v>2022</v>
      </c>
      <c r="E1631" t="s">
        <v>10</v>
      </c>
      <c r="F1631" t="s">
        <v>1559</v>
      </c>
      <c r="G1631" t="s">
        <v>23</v>
      </c>
      <c r="H1631" s="1" t="s">
        <v>1575</v>
      </c>
      <c r="I1631" t="s">
        <v>1579</v>
      </c>
      <c r="J1631" s="2">
        <v>4407479</v>
      </c>
      <c r="K1631" t="s">
        <v>12</v>
      </c>
      <c r="L1631" t="s">
        <v>1653</v>
      </c>
    </row>
    <row r="1632" spans="1:12" x14ac:dyDescent="0.3">
      <c r="A1632">
        <v>1631</v>
      </c>
      <c r="B1632" t="s">
        <v>1454</v>
      </c>
      <c r="C1632">
        <v>44650.407638888886</v>
      </c>
      <c r="D1632">
        <v>2022</v>
      </c>
      <c r="E1632" t="s">
        <v>1436</v>
      </c>
      <c r="F1632" t="s">
        <v>1559</v>
      </c>
      <c r="G1632" t="s">
        <v>44</v>
      </c>
      <c r="H1632" s="1" t="s">
        <v>1575</v>
      </c>
      <c r="I1632" t="s">
        <v>1454</v>
      </c>
      <c r="J1632" s="2">
        <v>4354334</v>
      </c>
      <c r="K1632" t="s">
        <v>121</v>
      </c>
      <c r="L1632" t="s">
        <v>1649</v>
      </c>
    </row>
    <row r="1633" spans="1:12" x14ac:dyDescent="0.3">
      <c r="A1633">
        <v>1632</v>
      </c>
      <c r="B1633" t="s">
        <v>1455</v>
      </c>
      <c r="C1633">
        <v>44645.412499999999</v>
      </c>
      <c r="D1633">
        <v>2022</v>
      </c>
      <c r="E1633" t="s">
        <v>1415</v>
      </c>
      <c r="F1633" t="s">
        <v>1559</v>
      </c>
      <c r="G1633" t="s">
        <v>15</v>
      </c>
      <c r="H1633" s="1" t="s">
        <v>1575</v>
      </c>
      <c r="I1633" t="s">
        <v>1587</v>
      </c>
      <c r="J1633" s="2">
        <v>2415017</v>
      </c>
      <c r="K1633" t="s">
        <v>12</v>
      </c>
      <c r="L1633" t="s">
        <v>1648</v>
      </c>
    </row>
    <row r="1634" spans="1:12" x14ac:dyDescent="0.3">
      <c r="A1634">
        <v>1633</v>
      </c>
      <c r="B1634" t="s">
        <v>1456</v>
      </c>
      <c r="C1634">
        <v>44649.372916666667</v>
      </c>
      <c r="D1634">
        <v>2022</v>
      </c>
      <c r="E1634" t="s">
        <v>1415</v>
      </c>
      <c r="F1634" t="s">
        <v>1559</v>
      </c>
      <c r="G1634" t="s">
        <v>15</v>
      </c>
      <c r="H1634" s="1" t="s">
        <v>1567</v>
      </c>
      <c r="I1634" t="s">
        <v>1579</v>
      </c>
      <c r="J1634" s="2">
        <v>2948831</v>
      </c>
      <c r="K1634" t="s">
        <v>12</v>
      </c>
      <c r="L1634" t="s">
        <v>1650</v>
      </c>
    </row>
    <row r="1635" spans="1:12" x14ac:dyDescent="0.3">
      <c r="A1635">
        <v>1634</v>
      </c>
      <c r="B1635" t="s">
        <v>1457</v>
      </c>
      <c r="C1635">
        <v>44647.794444444444</v>
      </c>
      <c r="D1635">
        <v>2022</v>
      </c>
      <c r="E1635" t="s">
        <v>1415</v>
      </c>
      <c r="F1635" t="s">
        <v>1559</v>
      </c>
      <c r="G1635" t="s">
        <v>23</v>
      </c>
      <c r="H1635" s="1" t="s">
        <v>1576</v>
      </c>
      <c r="I1635" t="s">
        <v>1579</v>
      </c>
      <c r="J1635" s="2">
        <v>3517262</v>
      </c>
      <c r="K1635" t="s">
        <v>12</v>
      </c>
      <c r="L1635" t="s">
        <v>1650</v>
      </c>
    </row>
    <row r="1636" spans="1:12" x14ac:dyDescent="0.3">
      <c r="A1636">
        <v>1635</v>
      </c>
      <c r="B1636" t="s">
        <v>1458</v>
      </c>
      <c r="C1636">
        <v>44628.546527777777</v>
      </c>
      <c r="D1636">
        <v>2022</v>
      </c>
      <c r="E1636" t="s">
        <v>10</v>
      </c>
      <c r="F1636" t="s">
        <v>1559</v>
      </c>
      <c r="G1636" t="s">
        <v>11</v>
      </c>
      <c r="H1636" s="1" t="s">
        <v>1569</v>
      </c>
      <c r="I1636" t="s">
        <v>1577</v>
      </c>
      <c r="J1636" s="2">
        <v>2357350</v>
      </c>
      <c r="K1636" t="s">
        <v>121</v>
      </c>
      <c r="L1636" t="s">
        <v>1649</v>
      </c>
    </row>
    <row r="1637" spans="1:12" x14ac:dyDescent="0.3">
      <c r="A1637">
        <v>1636</v>
      </c>
      <c r="B1637" t="s">
        <v>1459</v>
      </c>
      <c r="C1637">
        <v>44644.353472222225</v>
      </c>
      <c r="D1637">
        <v>2022</v>
      </c>
      <c r="E1637" t="s">
        <v>1415</v>
      </c>
      <c r="F1637" t="s">
        <v>1559</v>
      </c>
      <c r="G1637" t="s">
        <v>15</v>
      </c>
      <c r="H1637" s="1" t="s">
        <v>1562</v>
      </c>
      <c r="I1637" t="s">
        <v>1586</v>
      </c>
      <c r="J1637" s="2">
        <v>1383038</v>
      </c>
      <c r="K1637" t="s">
        <v>59</v>
      </c>
      <c r="L1637" t="s">
        <v>1650</v>
      </c>
    </row>
    <row r="1638" spans="1:12" x14ac:dyDescent="0.3">
      <c r="A1638">
        <v>1637</v>
      </c>
      <c r="B1638" t="s">
        <v>1460</v>
      </c>
      <c r="C1638">
        <v>44650.319444444445</v>
      </c>
      <c r="D1638">
        <v>2022</v>
      </c>
      <c r="E1638" t="s">
        <v>1436</v>
      </c>
      <c r="F1638" t="s">
        <v>1553</v>
      </c>
      <c r="G1638" t="s">
        <v>11</v>
      </c>
      <c r="H1638" s="1" t="s">
        <v>1573</v>
      </c>
      <c r="I1638" t="s">
        <v>1577</v>
      </c>
      <c r="J1638" s="2">
        <v>1781389</v>
      </c>
      <c r="K1638" t="s">
        <v>121</v>
      </c>
      <c r="L1638" t="s">
        <v>1650</v>
      </c>
    </row>
    <row r="1639" spans="1:12" x14ac:dyDescent="0.3">
      <c r="A1639">
        <v>1638</v>
      </c>
      <c r="B1639" t="s">
        <v>1461</v>
      </c>
      <c r="C1639">
        <v>44642.438888888886</v>
      </c>
      <c r="D1639">
        <v>2022</v>
      </c>
      <c r="E1639" t="s">
        <v>1415</v>
      </c>
      <c r="F1639" t="s">
        <v>1553</v>
      </c>
      <c r="G1639" t="s">
        <v>1445</v>
      </c>
      <c r="H1639" s="1" t="s">
        <v>1571</v>
      </c>
      <c r="I1639" t="s">
        <v>1582</v>
      </c>
      <c r="J1639" s="2">
        <v>1391822</v>
      </c>
      <c r="K1639" t="s">
        <v>16</v>
      </c>
      <c r="L1639" t="s">
        <v>1648</v>
      </c>
    </row>
    <row r="1640" spans="1:12" x14ac:dyDescent="0.3">
      <c r="A1640">
        <v>1639</v>
      </c>
      <c r="B1640" t="s">
        <v>1462</v>
      </c>
      <c r="C1640">
        <v>44649.375694444447</v>
      </c>
      <c r="D1640">
        <v>2022</v>
      </c>
      <c r="E1640" t="s">
        <v>1415</v>
      </c>
      <c r="F1640" t="s">
        <v>1553</v>
      </c>
      <c r="G1640" t="s">
        <v>62</v>
      </c>
      <c r="H1640" s="1" t="s">
        <v>1564</v>
      </c>
      <c r="I1640" t="s">
        <v>1639</v>
      </c>
      <c r="J1640" s="2">
        <v>2739377</v>
      </c>
      <c r="K1640" t="s">
        <v>12</v>
      </c>
      <c r="L1640" t="s">
        <v>1649</v>
      </c>
    </row>
    <row r="1641" spans="1:12" x14ac:dyDescent="0.3">
      <c r="A1641">
        <v>1640</v>
      </c>
      <c r="B1641" t="s">
        <v>1463</v>
      </c>
      <c r="C1641">
        <v>44646.188194444447</v>
      </c>
      <c r="D1641">
        <v>2022</v>
      </c>
      <c r="E1641" t="s">
        <v>1415</v>
      </c>
      <c r="F1641" t="s">
        <v>1553</v>
      </c>
      <c r="G1641" t="s">
        <v>23</v>
      </c>
      <c r="H1641" s="1" t="s">
        <v>1565</v>
      </c>
      <c r="I1641" t="s">
        <v>1579</v>
      </c>
      <c r="J1641" s="2">
        <v>2153837</v>
      </c>
      <c r="K1641" t="s">
        <v>12</v>
      </c>
      <c r="L1641" t="s">
        <v>1648</v>
      </c>
    </row>
    <row r="1642" spans="1:12" x14ac:dyDescent="0.3">
      <c r="A1642">
        <v>1641</v>
      </c>
      <c r="B1642" t="s">
        <v>1464</v>
      </c>
      <c r="C1642">
        <v>44645.623611111114</v>
      </c>
      <c r="D1642">
        <v>2022</v>
      </c>
      <c r="E1642" t="s">
        <v>1436</v>
      </c>
      <c r="F1642" t="s">
        <v>1553</v>
      </c>
      <c r="G1642" t="s">
        <v>62</v>
      </c>
      <c r="H1642" s="1" t="s">
        <v>1565</v>
      </c>
      <c r="I1642" t="s">
        <v>1639</v>
      </c>
      <c r="J1642" s="2">
        <v>2906126</v>
      </c>
      <c r="K1642" t="s">
        <v>12</v>
      </c>
      <c r="L1642" t="s">
        <v>1650</v>
      </c>
    </row>
    <row r="1643" spans="1:12" x14ac:dyDescent="0.3">
      <c r="A1643">
        <v>1642</v>
      </c>
      <c r="B1643" t="s">
        <v>1465</v>
      </c>
      <c r="C1643">
        <v>44648.646527777775</v>
      </c>
      <c r="D1643">
        <v>2022</v>
      </c>
      <c r="E1643" t="s">
        <v>1415</v>
      </c>
      <c r="F1643" t="s">
        <v>1553</v>
      </c>
      <c r="G1643" t="s">
        <v>11</v>
      </c>
      <c r="H1643" s="1" t="s">
        <v>1565</v>
      </c>
      <c r="I1643" t="s">
        <v>1600</v>
      </c>
      <c r="J1643" s="2">
        <v>2802600</v>
      </c>
      <c r="K1643" t="s">
        <v>121</v>
      </c>
      <c r="L1643" t="s">
        <v>1648</v>
      </c>
    </row>
    <row r="1644" spans="1:12" x14ac:dyDescent="0.3">
      <c r="A1644">
        <v>1643</v>
      </c>
      <c r="B1644" t="s">
        <v>1465</v>
      </c>
      <c r="C1644">
        <v>44648.640277777777</v>
      </c>
      <c r="D1644">
        <v>2022</v>
      </c>
      <c r="E1644" t="s">
        <v>1415</v>
      </c>
      <c r="F1644" t="s">
        <v>1553</v>
      </c>
      <c r="G1644" t="s">
        <v>11</v>
      </c>
      <c r="H1644" s="1" t="s">
        <v>1565</v>
      </c>
      <c r="I1644" t="s">
        <v>1600</v>
      </c>
      <c r="J1644" s="2">
        <v>1182116</v>
      </c>
      <c r="K1644" t="s">
        <v>121</v>
      </c>
      <c r="L1644" t="s">
        <v>1650</v>
      </c>
    </row>
    <row r="1645" spans="1:12" x14ac:dyDescent="0.3">
      <c r="A1645">
        <v>1644</v>
      </c>
      <c r="B1645" t="s">
        <v>1466</v>
      </c>
      <c r="C1645">
        <v>44649.379861111112</v>
      </c>
      <c r="D1645">
        <v>2022</v>
      </c>
      <c r="E1645" t="s">
        <v>1436</v>
      </c>
      <c r="F1645" t="s">
        <v>1553</v>
      </c>
      <c r="G1645" t="s">
        <v>62</v>
      </c>
      <c r="H1645" s="1" t="s">
        <v>1565</v>
      </c>
      <c r="I1645" t="s">
        <v>1616</v>
      </c>
      <c r="J1645" s="2">
        <v>1756902</v>
      </c>
      <c r="K1645" t="s">
        <v>12</v>
      </c>
      <c r="L1645" t="s">
        <v>1652</v>
      </c>
    </row>
    <row r="1646" spans="1:12" x14ac:dyDescent="0.3">
      <c r="A1646">
        <v>1645</v>
      </c>
      <c r="B1646" t="s">
        <v>1463</v>
      </c>
      <c r="C1646">
        <v>44646.186805555553</v>
      </c>
      <c r="D1646">
        <v>2022</v>
      </c>
      <c r="E1646" t="s">
        <v>10</v>
      </c>
      <c r="F1646" t="s">
        <v>1553</v>
      </c>
      <c r="G1646" t="s">
        <v>23</v>
      </c>
      <c r="H1646" s="1" t="s">
        <v>1565</v>
      </c>
      <c r="I1646" t="s">
        <v>1579</v>
      </c>
      <c r="J1646" s="2">
        <v>3349006</v>
      </c>
      <c r="K1646" t="s">
        <v>12</v>
      </c>
      <c r="L1646" t="s">
        <v>1651</v>
      </c>
    </row>
    <row r="1647" spans="1:12" x14ac:dyDescent="0.3">
      <c r="A1647">
        <v>1646</v>
      </c>
      <c r="B1647" t="s">
        <v>1463</v>
      </c>
      <c r="C1647">
        <v>44646.1875</v>
      </c>
      <c r="D1647">
        <v>2022</v>
      </c>
      <c r="E1647" t="s">
        <v>10</v>
      </c>
      <c r="F1647" t="s">
        <v>1553</v>
      </c>
      <c r="G1647" t="s">
        <v>23</v>
      </c>
      <c r="H1647" s="1" t="s">
        <v>1565</v>
      </c>
      <c r="I1647" t="s">
        <v>1579</v>
      </c>
      <c r="J1647" s="2">
        <v>2006930</v>
      </c>
      <c r="K1647" t="s">
        <v>12</v>
      </c>
      <c r="L1647" t="s">
        <v>1651</v>
      </c>
    </row>
    <row r="1648" spans="1:12" x14ac:dyDescent="0.3">
      <c r="A1648">
        <v>1647</v>
      </c>
      <c r="B1648" t="s">
        <v>1467</v>
      </c>
      <c r="C1648">
        <v>44637.504861111112</v>
      </c>
      <c r="D1648">
        <v>2022</v>
      </c>
      <c r="E1648" t="s">
        <v>10</v>
      </c>
      <c r="F1648" t="s">
        <v>1553</v>
      </c>
      <c r="G1648" t="s">
        <v>591</v>
      </c>
      <c r="H1648" s="1" t="s">
        <v>1565</v>
      </c>
      <c r="I1648" t="s">
        <v>1579</v>
      </c>
      <c r="J1648" s="2">
        <v>2980606</v>
      </c>
      <c r="K1648" t="s">
        <v>12</v>
      </c>
      <c r="L1648" t="s">
        <v>1648</v>
      </c>
    </row>
    <row r="1649" spans="1:12" x14ac:dyDescent="0.3">
      <c r="A1649">
        <v>1648</v>
      </c>
      <c r="B1649" t="s">
        <v>1468</v>
      </c>
      <c r="C1649">
        <v>44637.527083333334</v>
      </c>
      <c r="D1649">
        <v>2022</v>
      </c>
      <c r="E1649" t="s">
        <v>10</v>
      </c>
      <c r="F1649" t="s">
        <v>1553</v>
      </c>
      <c r="G1649" t="s">
        <v>591</v>
      </c>
      <c r="H1649" s="1" t="s">
        <v>1565</v>
      </c>
      <c r="I1649" t="s">
        <v>1579</v>
      </c>
      <c r="J1649" s="2">
        <v>998344</v>
      </c>
      <c r="K1649" t="s">
        <v>12</v>
      </c>
      <c r="L1649" t="s">
        <v>1650</v>
      </c>
    </row>
    <row r="1650" spans="1:12" x14ac:dyDescent="0.3">
      <c r="A1650">
        <v>1649</v>
      </c>
      <c r="B1650" t="s">
        <v>1469</v>
      </c>
      <c r="C1650">
        <v>44637.536111111112</v>
      </c>
      <c r="D1650">
        <v>2022</v>
      </c>
      <c r="E1650" t="s">
        <v>10</v>
      </c>
      <c r="F1650" t="s">
        <v>1559</v>
      </c>
      <c r="G1650" t="s">
        <v>591</v>
      </c>
      <c r="H1650" s="1" t="s">
        <v>1565</v>
      </c>
      <c r="I1650" t="s">
        <v>1579</v>
      </c>
      <c r="J1650" s="2">
        <v>4854137</v>
      </c>
      <c r="K1650" t="s">
        <v>12</v>
      </c>
      <c r="L1650" t="s">
        <v>1650</v>
      </c>
    </row>
    <row r="1651" spans="1:12" x14ac:dyDescent="0.3">
      <c r="A1651">
        <v>1650</v>
      </c>
      <c r="B1651" t="s">
        <v>1470</v>
      </c>
      <c r="C1651">
        <v>44636.731249999997</v>
      </c>
      <c r="D1651">
        <v>2022</v>
      </c>
      <c r="E1651" t="s">
        <v>10</v>
      </c>
      <c r="F1651" t="s">
        <v>1559</v>
      </c>
      <c r="G1651" t="s">
        <v>591</v>
      </c>
      <c r="H1651" s="1" t="s">
        <v>1575</v>
      </c>
      <c r="I1651" t="s">
        <v>1579</v>
      </c>
      <c r="J1651" s="2">
        <v>4736473</v>
      </c>
      <c r="K1651" t="s">
        <v>12</v>
      </c>
      <c r="L1651" t="s">
        <v>1653</v>
      </c>
    </row>
    <row r="1652" spans="1:12" x14ac:dyDescent="0.3">
      <c r="A1652">
        <v>1651</v>
      </c>
      <c r="B1652" t="s">
        <v>1471</v>
      </c>
      <c r="C1652">
        <v>44637.657638888886</v>
      </c>
      <c r="D1652">
        <v>2022</v>
      </c>
      <c r="E1652" t="s">
        <v>1436</v>
      </c>
      <c r="F1652" t="s">
        <v>1559</v>
      </c>
      <c r="G1652" t="s">
        <v>11</v>
      </c>
      <c r="H1652" s="1" t="s">
        <v>1575</v>
      </c>
      <c r="I1652" t="s">
        <v>1577</v>
      </c>
      <c r="J1652" s="2">
        <v>4378628</v>
      </c>
      <c r="K1652" t="s">
        <v>121</v>
      </c>
      <c r="L1652" t="s">
        <v>1650</v>
      </c>
    </row>
    <row r="1653" spans="1:12" x14ac:dyDescent="0.3">
      <c r="A1653">
        <v>1652</v>
      </c>
      <c r="B1653" t="s">
        <v>1472</v>
      </c>
      <c r="C1653">
        <v>44637.599305555559</v>
      </c>
      <c r="D1653">
        <v>2022</v>
      </c>
      <c r="E1653" t="s">
        <v>741</v>
      </c>
      <c r="F1653" t="s">
        <v>1553</v>
      </c>
      <c r="G1653" t="s">
        <v>15</v>
      </c>
      <c r="H1653" s="1" t="s">
        <v>1575</v>
      </c>
      <c r="I1653" t="s">
        <v>1579</v>
      </c>
      <c r="J1653" s="2">
        <v>1118836</v>
      </c>
      <c r="K1653" t="s">
        <v>12</v>
      </c>
      <c r="L1653" t="s">
        <v>1653</v>
      </c>
    </row>
    <row r="1654" spans="1:12" x14ac:dyDescent="0.3">
      <c r="A1654">
        <v>1653</v>
      </c>
      <c r="B1654" t="s">
        <v>1450</v>
      </c>
      <c r="C1654">
        <v>44631.67291666667</v>
      </c>
      <c r="D1654">
        <v>2022</v>
      </c>
      <c r="E1654" t="s">
        <v>10</v>
      </c>
      <c r="F1654" t="s">
        <v>1553</v>
      </c>
      <c r="G1654" t="s">
        <v>18</v>
      </c>
      <c r="H1654" s="1" t="s">
        <v>1575</v>
      </c>
      <c r="I1654" t="s">
        <v>1582</v>
      </c>
      <c r="J1654" s="2">
        <v>2078433</v>
      </c>
      <c r="K1654" t="s">
        <v>16</v>
      </c>
      <c r="L1654" t="s">
        <v>1650</v>
      </c>
    </row>
    <row r="1655" spans="1:12" x14ac:dyDescent="0.3">
      <c r="A1655">
        <v>1654</v>
      </c>
      <c r="B1655" t="s">
        <v>1473</v>
      </c>
      <c r="C1655">
        <v>44636.513888888891</v>
      </c>
      <c r="D1655">
        <v>2022</v>
      </c>
      <c r="E1655" t="s">
        <v>10</v>
      </c>
      <c r="F1655" t="s">
        <v>1553</v>
      </c>
      <c r="G1655" t="s">
        <v>23</v>
      </c>
      <c r="H1655" s="1" t="s">
        <v>1575</v>
      </c>
      <c r="I1655" t="s">
        <v>1579</v>
      </c>
      <c r="J1655" s="2">
        <v>4865829</v>
      </c>
      <c r="K1655" t="s">
        <v>12</v>
      </c>
      <c r="L1655" t="s">
        <v>1649</v>
      </c>
    </row>
    <row r="1656" spans="1:12" x14ac:dyDescent="0.3">
      <c r="A1656">
        <v>1655</v>
      </c>
      <c r="B1656" t="s">
        <v>1474</v>
      </c>
      <c r="C1656">
        <v>44636.660416666666</v>
      </c>
      <c r="D1656">
        <v>2022</v>
      </c>
      <c r="E1656" t="s">
        <v>10</v>
      </c>
      <c r="F1656" t="s">
        <v>1553</v>
      </c>
      <c r="G1656" t="s">
        <v>591</v>
      </c>
      <c r="H1656" s="1" t="s">
        <v>1575</v>
      </c>
      <c r="I1656" t="s">
        <v>1579</v>
      </c>
      <c r="J1656" s="2">
        <v>2950204</v>
      </c>
      <c r="K1656" t="s">
        <v>12</v>
      </c>
      <c r="L1656" t="s">
        <v>1651</v>
      </c>
    </row>
    <row r="1657" spans="1:12" x14ac:dyDescent="0.3">
      <c r="A1657">
        <v>1656</v>
      </c>
      <c r="B1657" t="s">
        <v>1475</v>
      </c>
      <c r="C1657">
        <v>44636.688194444447</v>
      </c>
      <c r="D1657">
        <v>2022</v>
      </c>
      <c r="E1657" t="s">
        <v>10</v>
      </c>
      <c r="F1657" t="s">
        <v>1554</v>
      </c>
      <c r="G1657" t="s">
        <v>591</v>
      </c>
      <c r="H1657" s="1" t="s">
        <v>1575</v>
      </c>
      <c r="I1657" t="s">
        <v>1579</v>
      </c>
      <c r="J1657" s="2">
        <v>2054243</v>
      </c>
      <c r="K1657" t="s">
        <v>12</v>
      </c>
      <c r="L1657" t="s">
        <v>1648</v>
      </c>
    </row>
    <row r="1658" spans="1:12" x14ac:dyDescent="0.3">
      <c r="A1658">
        <v>1657</v>
      </c>
      <c r="B1658" t="s">
        <v>1476</v>
      </c>
      <c r="C1658">
        <v>44636.709027777775</v>
      </c>
      <c r="D1658">
        <v>2022</v>
      </c>
      <c r="E1658" t="s">
        <v>10</v>
      </c>
      <c r="F1658" t="s">
        <v>1554</v>
      </c>
      <c r="G1658" t="s">
        <v>591</v>
      </c>
      <c r="H1658" s="1" t="s">
        <v>1575</v>
      </c>
      <c r="I1658" t="s">
        <v>1579</v>
      </c>
      <c r="J1658" s="2">
        <v>2904519</v>
      </c>
      <c r="K1658" t="s">
        <v>12</v>
      </c>
      <c r="L1658" t="s">
        <v>1653</v>
      </c>
    </row>
    <row r="1659" spans="1:12" x14ac:dyDescent="0.3">
      <c r="A1659">
        <v>1658</v>
      </c>
      <c r="B1659" t="s">
        <v>1477</v>
      </c>
      <c r="C1659">
        <v>44637.411111111112</v>
      </c>
      <c r="D1659">
        <v>2022</v>
      </c>
      <c r="E1659" t="s">
        <v>741</v>
      </c>
      <c r="F1659" t="s">
        <v>1554</v>
      </c>
      <c r="G1659" t="s">
        <v>15</v>
      </c>
      <c r="H1659" s="1" t="s">
        <v>1565</v>
      </c>
      <c r="I1659" t="s">
        <v>1579</v>
      </c>
      <c r="J1659" s="2">
        <v>2016350</v>
      </c>
      <c r="K1659" t="s">
        <v>12</v>
      </c>
      <c r="L1659" t="s">
        <v>1650</v>
      </c>
    </row>
    <row r="1660" spans="1:12" x14ac:dyDescent="0.3">
      <c r="A1660">
        <v>1659</v>
      </c>
      <c r="B1660" t="s">
        <v>1478</v>
      </c>
      <c r="C1660">
        <v>44631.381944444445</v>
      </c>
      <c r="D1660">
        <v>2022</v>
      </c>
      <c r="E1660" t="s">
        <v>10</v>
      </c>
      <c r="F1660" t="s">
        <v>1554</v>
      </c>
      <c r="G1660" t="s">
        <v>23</v>
      </c>
      <c r="H1660" s="1" t="s">
        <v>1565</v>
      </c>
      <c r="I1660" t="s">
        <v>1579</v>
      </c>
      <c r="J1660" s="2">
        <v>3408727</v>
      </c>
      <c r="K1660" t="s">
        <v>12</v>
      </c>
      <c r="L1660" t="s">
        <v>1651</v>
      </c>
    </row>
    <row r="1661" spans="1:12" x14ac:dyDescent="0.3">
      <c r="A1661">
        <v>1660</v>
      </c>
      <c r="B1661" t="s">
        <v>1479</v>
      </c>
      <c r="C1661">
        <v>44629.640277777777</v>
      </c>
      <c r="D1661">
        <v>2022</v>
      </c>
      <c r="E1661" t="s">
        <v>10</v>
      </c>
      <c r="F1661" t="s">
        <v>1554</v>
      </c>
      <c r="G1661" t="s">
        <v>15</v>
      </c>
      <c r="H1661" s="1" t="s">
        <v>1565</v>
      </c>
      <c r="I1661" t="s">
        <v>1582</v>
      </c>
      <c r="J1661" s="2">
        <v>2483549</v>
      </c>
      <c r="K1661" t="s">
        <v>16</v>
      </c>
      <c r="L1661" t="s">
        <v>1651</v>
      </c>
    </row>
    <row r="1662" spans="1:12" x14ac:dyDescent="0.3">
      <c r="A1662">
        <v>1661</v>
      </c>
      <c r="B1662" t="s">
        <v>1480</v>
      </c>
      <c r="C1662">
        <v>44635.630555555559</v>
      </c>
      <c r="D1662">
        <v>2022</v>
      </c>
      <c r="E1662" t="s">
        <v>10</v>
      </c>
      <c r="F1662" t="s">
        <v>1554</v>
      </c>
      <c r="G1662" t="s">
        <v>290</v>
      </c>
      <c r="H1662" s="1" t="s">
        <v>1565</v>
      </c>
      <c r="I1662" t="s">
        <v>1579</v>
      </c>
      <c r="J1662" s="2">
        <v>2815348</v>
      </c>
      <c r="K1662" t="s">
        <v>12</v>
      </c>
      <c r="L1662" t="s">
        <v>1652</v>
      </c>
    </row>
    <row r="1663" spans="1:12" x14ac:dyDescent="0.3">
      <c r="A1663">
        <v>1662</v>
      </c>
      <c r="B1663" t="s">
        <v>1474</v>
      </c>
      <c r="C1663">
        <v>44631.675694444442</v>
      </c>
      <c r="D1663">
        <v>2022</v>
      </c>
      <c r="E1663" t="s">
        <v>10</v>
      </c>
      <c r="F1663" t="s">
        <v>1554</v>
      </c>
      <c r="G1663" t="s">
        <v>591</v>
      </c>
      <c r="H1663" s="1" t="s">
        <v>1565</v>
      </c>
      <c r="I1663" t="s">
        <v>1579</v>
      </c>
      <c r="J1663" s="2">
        <v>1995195</v>
      </c>
      <c r="K1663" t="s">
        <v>12</v>
      </c>
      <c r="L1663" t="s">
        <v>1651</v>
      </c>
    </row>
    <row r="1664" spans="1:12" x14ac:dyDescent="0.3">
      <c r="A1664">
        <v>1663</v>
      </c>
      <c r="B1664" t="s">
        <v>1481</v>
      </c>
      <c r="C1664">
        <v>44627.677083333336</v>
      </c>
      <c r="D1664">
        <v>2022</v>
      </c>
      <c r="E1664" t="s">
        <v>10</v>
      </c>
      <c r="F1664" t="s">
        <v>1554</v>
      </c>
      <c r="G1664" t="s">
        <v>11</v>
      </c>
      <c r="H1664" s="1" t="s">
        <v>1565</v>
      </c>
      <c r="I1664" t="s">
        <v>1600</v>
      </c>
      <c r="J1664" s="2">
        <v>3128193</v>
      </c>
      <c r="K1664" t="s">
        <v>121</v>
      </c>
      <c r="L1664" t="s">
        <v>1651</v>
      </c>
    </row>
    <row r="1665" spans="1:12" x14ac:dyDescent="0.3">
      <c r="A1665">
        <v>1664</v>
      </c>
      <c r="B1665" t="s">
        <v>1475</v>
      </c>
      <c r="C1665">
        <v>44630.699305555558</v>
      </c>
      <c r="D1665">
        <v>2022</v>
      </c>
      <c r="E1665" t="s">
        <v>10</v>
      </c>
      <c r="F1665" t="s">
        <v>1554</v>
      </c>
      <c r="G1665" t="s">
        <v>591</v>
      </c>
      <c r="H1665" s="1" t="s">
        <v>1565</v>
      </c>
      <c r="I1665" t="s">
        <v>1579</v>
      </c>
      <c r="J1665" s="2">
        <v>1932990</v>
      </c>
      <c r="K1665" t="s">
        <v>12</v>
      </c>
      <c r="L1665" t="s">
        <v>1652</v>
      </c>
    </row>
    <row r="1666" spans="1:12" x14ac:dyDescent="0.3">
      <c r="A1666">
        <v>1665</v>
      </c>
      <c r="B1666" t="s">
        <v>1467</v>
      </c>
      <c r="C1666">
        <v>44629.741666666669</v>
      </c>
      <c r="D1666">
        <v>2022</v>
      </c>
      <c r="E1666" t="s">
        <v>10</v>
      </c>
      <c r="F1666" t="s">
        <v>1554</v>
      </c>
      <c r="G1666" t="s">
        <v>591</v>
      </c>
      <c r="H1666" s="1" t="s">
        <v>1565</v>
      </c>
      <c r="I1666" t="s">
        <v>1579</v>
      </c>
      <c r="J1666" s="2">
        <v>3848390</v>
      </c>
      <c r="K1666" t="s">
        <v>12</v>
      </c>
      <c r="L1666" t="s">
        <v>1649</v>
      </c>
    </row>
    <row r="1667" spans="1:12" x14ac:dyDescent="0.3">
      <c r="A1667">
        <v>1666</v>
      </c>
      <c r="B1667" t="s">
        <v>1482</v>
      </c>
      <c r="C1667">
        <v>44621.338194444441</v>
      </c>
      <c r="D1667">
        <v>2022</v>
      </c>
      <c r="E1667" t="s">
        <v>10</v>
      </c>
      <c r="F1667" t="s">
        <v>1554</v>
      </c>
      <c r="G1667" t="s">
        <v>11</v>
      </c>
      <c r="H1667" s="1" t="s">
        <v>1565</v>
      </c>
      <c r="I1667" t="s">
        <v>1577</v>
      </c>
      <c r="J1667" s="2">
        <v>4214209</v>
      </c>
      <c r="K1667" t="s">
        <v>121</v>
      </c>
      <c r="L1667" t="s">
        <v>1649</v>
      </c>
    </row>
    <row r="1668" spans="1:12" x14ac:dyDescent="0.3">
      <c r="A1668">
        <v>1667</v>
      </c>
      <c r="B1668" t="s">
        <v>1483</v>
      </c>
      <c r="C1668">
        <v>44622.693055555559</v>
      </c>
      <c r="D1668">
        <v>2022</v>
      </c>
      <c r="E1668" t="s">
        <v>10</v>
      </c>
      <c r="F1668" t="s">
        <v>1554</v>
      </c>
      <c r="G1668" t="s">
        <v>67</v>
      </c>
      <c r="H1668" s="1" t="s">
        <v>1565</v>
      </c>
      <c r="I1668" t="s">
        <v>1637</v>
      </c>
      <c r="J1668" s="2">
        <v>1150664</v>
      </c>
      <c r="K1668" t="s">
        <v>12</v>
      </c>
      <c r="L1668" t="s">
        <v>1649</v>
      </c>
    </row>
    <row r="1669" spans="1:12" x14ac:dyDescent="0.3">
      <c r="A1669">
        <v>1668</v>
      </c>
      <c r="B1669" t="s">
        <v>1484</v>
      </c>
      <c r="C1669">
        <v>44627.694444444445</v>
      </c>
      <c r="D1669">
        <v>2022</v>
      </c>
      <c r="E1669" t="s">
        <v>10</v>
      </c>
      <c r="F1669" t="s">
        <v>1554</v>
      </c>
      <c r="G1669" t="s">
        <v>11</v>
      </c>
      <c r="H1669" s="1" t="s">
        <v>1565</v>
      </c>
      <c r="I1669" t="s">
        <v>1600</v>
      </c>
      <c r="J1669" s="2">
        <v>3009623</v>
      </c>
      <c r="K1669" t="s">
        <v>121</v>
      </c>
      <c r="L1669" t="s">
        <v>1651</v>
      </c>
    </row>
    <row r="1670" spans="1:12" x14ac:dyDescent="0.3">
      <c r="A1670">
        <v>1669</v>
      </c>
      <c r="B1670" t="s">
        <v>1485</v>
      </c>
      <c r="C1670">
        <v>44636.347222222219</v>
      </c>
      <c r="D1670">
        <v>2022</v>
      </c>
      <c r="E1670" t="s">
        <v>10</v>
      </c>
      <c r="F1670" t="s">
        <v>1553</v>
      </c>
      <c r="G1670" t="s">
        <v>11</v>
      </c>
      <c r="H1670" s="1" t="s">
        <v>1565</v>
      </c>
      <c r="I1670" t="s">
        <v>1600</v>
      </c>
      <c r="J1670" s="2">
        <v>3445846</v>
      </c>
      <c r="K1670" t="s">
        <v>121</v>
      </c>
      <c r="L1670" t="s">
        <v>1650</v>
      </c>
    </row>
    <row r="1671" spans="1:12" x14ac:dyDescent="0.3">
      <c r="A1671">
        <v>1670</v>
      </c>
      <c r="B1671" t="s">
        <v>1486</v>
      </c>
      <c r="C1671">
        <v>44621.342361111114</v>
      </c>
      <c r="D1671">
        <v>2022</v>
      </c>
      <c r="E1671" t="s">
        <v>10</v>
      </c>
      <c r="F1671" t="s">
        <v>1553</v>
      </c>
      <c r="G1671" t="s">
        <v>18</v>
      </c>
      <c r="H1671" s="1" t="s">
        <v>1565</v>
      </c>
      <c r="I1671" t="s">
        <v>1579</v>
      </c>
      <c r="J1671" s="2">
        <v>1068486</v>
      </c>
      <c r="K1671" t="s">
        <v>12</v>
      </c>
      <c r="L1671" t="s">
        <v>1652</v>
      </c>
    </row>
    <row r="1672" spans="1:12" x14ac:dyDescent="0.3">
      <c r="A1672">
        <v>1671</v>
      </c>
      <c r="B1672" t="s">
        <v>1487</v>
      </c>
      <c r="C1672">
        <v>44622.677083333336</v>
      </c>
      <c r="D1672">
        <v>2022</v>
      </c>
      <c r="E1672" t="s">
        <v>10</v>
      </c>
      <c r="F1672" t="s">
        <v>1553</v>
      </c>
      <c r="G1672" t="s">
        <v>15</v>
      </c>
      <c r="H1672" s="1" t="s">
        <v>1565</v>
      </c>
      <c r="I1672" t="s">
        <v>1587</v>
      </c>
      <c r="J1672" s="2">
        <v>3392547</v>
      </c>
      <c r="K1672" t="s">
        <v>12</v>
      </c>
      <c r="L1672" t="s">
        <v>1650</v>
      </c>
    </row>
    <row r="1673" spans="1:12" x14ac:dyDescent="0.3">
      <c r="A1673">
        <v>1672</v>
      </c>
      <c r="B1673" t="s">
        <v>1488</v>
      </c>
      <c r="C1673">
        <v>44623.790277777778</v>
      </c>
      <c r="D1673">
        <v>2022</v>
      </c>
      <c r="E1673" t="s">
        <v>10</v>
      </c>
      <c r="F1673" t="s">
        <v>1553</v>
      </c>
      <c r="G1673" t="s">
        <v>11</v>
      </c>
      <c r="H1673" s="1" t="s">
        <v>1575</v>
      </c>
      <c r="I1673" t="s">
        <v>1577</v>
      </c>
      <c r="J1673" s="2">
        <v>1149198</v>
      </c>
      <c r="K1673" t="s">
        <v>121</v>
      </c>
      <c r="L1673" t="s">
        <v>1649</v>
      </c>
    </row>
    <row r="1674" spans="1:12" x14ac:dyDescent="0.3">
      <c r="A1674">
        <v>1673</v>
      </c>
      <c r="B1674" t="s">
        <v>1489</v>
      </c>
      <c r="C1674">
        <v>44627.479861111111</v>
      </c>
      <c r="D1674">
        <v>2022</v>
      </c>
      <c r="E1674" t="s">
        <v>10</v>
      </c>
      <c r="F1674" t="s">
        <v>1553</v>
      </c>
      <c r="G1674" t="s">
        <v>15</v>
      </c>
      <c r="H1674" s="1" t="s">
        <v>1575</v>
      </c>
      <c r="I1674" t="s">
        <v>1582</v>
      </c>
      <c r="J1674" s="2">
        <v>3825689</v>
      </c>
      <c r="K1674" t="s">
        <v>16</v>
      </c>
      <c r="L1674" t="s">
        <v>1651</v>
      </c>
    </row>
    <row r="1675" spans="1:12" x14ac:dyDescent="0.3">
      <c r="A1675">
        <v>1674</v>
      </c>
      <c r="B1675" t="s">
        <v>1490</v>
      </c>
      <c r="C1675">
        <v>44628.619444444441</v>
      </c>
      <c r="D1675">
        <v>2022</v>
      </c>
      <c r="E1675" t="s">
        <v>10</v>
      </c>
      <c r="F1675" t="s">
        <v>1553</v>
      </c>
      <c r="G1675" t="s">
        <v>18</v>
      </c>
      <c r="H1675" s="1" t="s">
        <v>1575</v>
      </c>
      <c r="I1675" t="s">
        <v>1579</v>
      </c>
      <c r="J1675" s="2">
        <v>1664824</v>
      </c>
      <c r="K1675" t="s">
        <v>12</v>
      </c>
      <c r="L1675" t="s">
        <v>1649</v>
      </c>
    </row>
    <row r="1676" spans="1:12" x14ac:dyDescent="0.3">
      <c r="A1676">
        <v>1675</v>
      </c>
      <c r="B1676" t="s">
        <v>1450</v>
      </c>
      <c r="C1676">
        <v>44631.669444444444</v>
      </c>
      <c r="D1676">
        <v>2022</v>
      </c>
      <c r="E1676" t="s">
        <v>10</v>
      </c>
      <c r="F1676" t="s">
        <v>1553</v>
      </c>
      <c r="G1676" t="s">
        <v>18</v>
      </c>
      <c r="H1676" s="1" t="s">
        <v>1575</v>
      </c>
      <c r="I1676" t="s">
        <v>1582</v>
      </c>
      <c r="J1676" s="2">
        <v>4615342</v>
      </c>
      <c r="K1676" t="s">
        <v>16</v>
      </c>
      <c r="L1676" t="s">
        <v>1648</v>
      </c>
    </row>
    <row r="1677" spans="1:12" x14ac:dyDescent="0.3">
      <c r="A1677">
        <v>1676</v>
      </c>
      <c r="B1677" t="s">
        <v>1491</v>
      </c>
      <c r="C1677">
        <v>44627.738194444442</v>
      </c>
      <c r="D1677">
        <v>2022</v>
      </c>
      <c r="E1677" t="s">
        <v>10</v>
      </c>
      <c r="F1677" t="s">
        <v>1553</v>
      </c>
      <c r="G1677" t="s">
        <v>11</v>
      </c>
      <c r="H1677" s="1" t="s">
        <v>1575</v>
      </c>
      <c r="I1677" t="s">
        <v>1642</v>
      </c>
      <c r="J1677" s="2">
        <v>3202685</v>
      </c>
      <c r="K1677" t="s">
        <v>16</v>
      </c>
      <c r="L1677" t="s">
        <v>1648</v>
      </c>
    </row>
    <row r="1678" spans="1:12" x14ac:dyDescent="0.3">
      <c r="A1678">
        <v>1677</v>
      </c>
      <c r="B1678" t="s">
        <v>1492</v>
      </c>
      <c r="C1678">
        <v>44624.477083333331</v>
      </c>
      <c r="D1678">
        <v>2022</v>
      </c>
      <c r="E1678" t="s">
        <v>10</v>
      </c>
      <c r="F1678" t="s">
        <v>1553</v>
      </c>
      <c r="G1678" t="s">
        <v>15</v>
      </c>
      <c r="H1678" s="1" t="s">
        <v>1575</v>
      </c>
      <c r="I1678" t="s">
        <v>1587</v>
      </c>
      <c r="J1678" s="2">
        <v>4361191</v>
      </c>
      <c r="K1678" t="s">
        <v>12</v>
      </c>
      <c r="L1678" t="s">
        <v>1650</v>
      </c>
    </row>
    <row r="1679" spans="1:12" x14ac:dyDescent="0.3">
      <c r="A1679">
        <v>1678</v>
      </c>
      <c r="B1679" t="s">
        <v>1493</v>
      </c>
      <c r="C1679">
        <v>44621.506944444445</v>
      </c>
      <c r="D1679">
        <v>2022</v>
      </c>
      <c r="E1679" t="s">
        <v>10</v>
      </c>
      <c r="F1679" t="s">
        <v>1553</v>
      </c>
      <c r="G1679" t="s">
        <v>15</v>
      </c>
      <c r="H1679" s="1" t="s">
        <v>1575</v>
      </c>
      <c r="I1679" t="s">
        <v>1587</v>
      </c>
      <c r="J1679" s="2">
        <v>2511279</v>
      </c>
      <c r="K1679" t="s">
        <v>12</v>
      </c>
      <c r="L1679" t="s">
        <v>1652</v>
      </c>
    </row>
    <row r="1680" spans="1:12" x14ac:dyDescent="0.3">
      <c r="A1680">
        <v>1679</v>
      </c>
      <c r="B1680" t="s">
        <v>1494</v>
      </c>
      <c r="C1680">
        <v>44623.736805555556</v>
      </c>
      <c r="D1680">
        <v>2022</v>
      </c>
      <c r="E1680" t="s">
        <v>10</v>
      </c>
      <c r="F1680" t="s">
        <v>1553</v>
      </c>
      <c r="G1680" t="s">
        <v>591</v>
      </c>
      <c r="H1680" s="1" t="s">
        <v>1575</v>
      </c>
      <c r="I1680" t="s">
        <v>1579</v>
      </c>
      <c r="J1680" s="2">
        <v>2469493</v>
      </c>
      <c r="K1680" t="s">
        <v>12</v>
      </c>
      <c r="L1680" t="s">
        <v>1649</v>
      </c>
    </row>
    <row r="1681" spans="1:12" x14ac:dyDescent="0.3">
      <c r="A1681">
        <v>1680</v>
      </c>
      <c r="B1681" t="s">
        <v>1495</v>
      </c>
      <c r="C1681">
        <v>44622.727083333331</v>
      </c>
      <c r="D1681">
        <v>2022</v>
      </c>
      <c r="E1681" t="s">
        <v>10</v>
      </c>
      <c r="F1681" t="s">
        <v>1553</v>
      </c>
      <c r="G1681" t="s">
        <v>591</v>
      </c>
      <c r="H1681" s="1" t="s">
        <v>1571</v>
      </c>
      <c r="I1681" t="s">
        <v>1579</v>
      </c>
      <c r="J1681" s="2">
        <v>4634413</v>
      </c>
      <c r="K1681" t="s">
        <v>12</v>
      </c>
      <c r="L1681" t="s">
        <v>1652</v>
      </c>
    </row>
    <row r="1682" spans="1:12" x14ac:dyDescent="0.3">
      <c r="A1682">
        <v>1681</v>
      </c>
      <c r="B1682" t="s">
        <v>1496</v>
      </c>
      <c r="C1682">
        <v>44623.30972222222</v>
      </c>
      <c r="D1682">
        <v>2022</v>
      </c>
      <c r="E1682" t="s">
        <v>10</v>
      </c>
      <c r="F1682" t="s">
        <v>1553</v>
      </c>
      <c r="G1682" t="s">
        <v>62</v>
      </c>
      <c r="H1682" s="1" t="s">
        <v>1562</v>
      </c>
      <c r="I1682" t="s">
        <v>1582</v>
      </c>
      <c r="J1682" s="2">
        <v>3499398</v>
      </c>
      <c r="K1682" t="s">
        <v>16</v>
      </c>
      <c r="L1682" t="s">
        <v>1653</v>
      </c>
    </row>
    <row r="1683" spans="1:12" x14ac:dyDescent="0.3">
      <c r="A1683">
        <v>1682</v>
      </c>
      <c r="B1683" t="s">
        <v>1230</v>
      </c>
      <c r="C1683">
        <v>44621.654166666667</v>
      </c>
      <c r="D1683">
        <v>2022</v>
      </c>
      <c r="E1683" t="s">
        <v>10</v>
      </c>
      <c r="F1683" t="s">
        <v>1553</v>
      </c>
      <c r="G1683" t="s">
        <v>591</v>
      </c>
      <c r="H1683" s="1" t="s">
        <v>1567</v>
      </c>
      <c r="I1683" t="s">
        <v>1579</v>
      </c>
      <c r="J1683" s="2">
        <v>2569018</v>
      </c>
      <c r="K1683" t="s">
        <v>12</v>
      </c>
      <c r="L1683" t="s">
        <v>1649</v>
      </c>
    </row>
    <row r="1684" spans="1:12" x14ac:dyDescent="0.3">
      <c r="A1684">
        <v>1683</v>
      </c>
      <c r="B1684" t="s">
        <v>1497</v>
      </c>
      <c r="C1684">
        <v>44621.813888888886</v>
      </c>
      <c r="D1684">
        <v>2022</v>
      </c>
      <c r="E1684" t="s">
        <v>10</v>
      </c>
      <c r="F1684" t="s">
        <v>1553</v>
      </c>
      <c r="G1684" t="s">
        <v>591</v>
      </c>
      <c r="H1684" s="1" t="s">
        <v>1573</v>
      </c>
      <c r="I1684" t="s">
        <v>1579</v>
      </c>
      <c r="J1684" s="2">
        <v>3223083</v>
      </c>
      <c r="K1684" t="s">
        <v>12</v>
      </c>
      <c r="L1684" t="s">
        <v>1651</v>
      </c>
    </row>
    <row r="1685" spans="1:12" x14ac:dyDescent="0.3">
      <c r="A1685">
        <v>1684</v>
      </c>
      <c r="B1685" t="s">
        <v>1498</v>
      </c>
      <c r="C1685">
        <v>44624.467361111114</v>
      </c>
      <c r="D1685">
        <v>2022</v>
      </c>
      <c r="E1685" t="s">
        <v>10</v>
      </c>
      <c r="F1685" t="s">
        <v>1559</v>
      </c>
      <c r="G1685" t="s">
        <v>11</v>
      </c>
      <c r="H1685" s="1" t="s">
        <v>1564</v>
      </c>
      <c r="I1685" t="s">
        <v>1600</v>
      </c>
      <c r="J1685" s="2">
        <v>1811635</v>
      </c>
      <c r="K1685" t="s">
        <v>121</v>
      </c>
      <c r="L1685" t="s">
        <v>1653</v>
      </c>
    </row>
    <row r="1686" spans="1:12" x14ac:dyDescent="0.3">
      <c r="A1686">
        <v>1685</v>
      </c>
      <c r="B1686" t="s">
        <v>293</v>
      </c>
      <c r="C1686">
        <v>44621.393750000003</v>
      </c>
      <c r="D1686">
        <v>2022</v>
      </c>
      <c r="E1686" t="s">
        <v>10</v>
      </c>
      <c r="F1686" t="s">
        <v>1559</v>
      </c>
      <c r="G1686" t="s">
        <v>290</v>
      </c>
      <c r="H1686" s="1" t="s">
        <v>1575</v>
      </c>
      <c r="I1686" t="s">
        <v>1579</v>
      </c>
      <c r="J1686" s="2">
        <v>4597041</v>
      </c>
      <c r="K1686" t="s">
        <v>12</v>
      </c>
      <c r="L1686" t="s">
        <v>1651</v>
      </c>
    </row>
    <row r="1687" spans="1:12" x14ac:dyDescent="0.3">
      <c r="A1687">
        <v>1686</v>
      </c>
      <c r="B1687" t="s">
        <v>1499</v>
      </c>
      <c r="C1687">
        <v>44652.475694444445</v>
      </c>
      <c r="D1687">
        <v>2022</v>
      </c>
      <c r="E1687" t="s">
        <v>10</v>
      </c>
      <c r="F1687" t="s">
        <v>1559</v>
      </c>
      <c r="G1687" t="s">
        <v>18</v>
      </c>
      <c r="H1687" s="1" t="s">
        <v>1575</v>
      </c>
      <c r="I1687" t="s">
        <v>1579</v>
      </c>
      <c r="J1687" s="2">
        <v>2848804</v>
      </c>
      <c r="K1687" t="s">
        <v>12</v>
      </c>
      <c r="L1687" t="s">
        <v>1648</v>
      </c>
    </row>
    <row r="1688" spans="1:12" x14ac:dyDescent="0.3">
      <c r="A1688">
        <v>1687</v>
      </c>
      <c r="B1688" t="s">
        <v>1500</v>
      </c>
      <c r="C1688">
        <v>44652.498611111114</v>
      </c>
      <c r="D1688">
        <v>2022</v>
      </c>
      <c r="E1688" t="s">
        <v>10</v>
      </c>
      <c r="F1688" t="s">
        <v>1559</v>
      </c>
      <c r="G1688" t="s">
        <v>18</v>
      </c>
      <c r="H1688" s="1" t="s">
        <v>1575</v>
      </c>
      <c r="I1688" t="s">
        <v>1579</v>
      </c>
      <c r="J1688" s="2">
        <v>1536023</v>
      </c>
      <c r="K1688" t="s">
        <v>12</v>
      </c>
      <c r="L1688" t="s">
        <v>1650</v>
      </c>
    </row>
    <row r="1689" spans="1:12" x14ac:dyDescent="0.3">
      <c r="A1689">
        <v>1688</v>
      </c>
      <c r="B1689" t="s">
        <v>1501</v>
      </c>
      <c r="C1689">
        <v>44653.527777777781</v>
      </c>
      <c r="D1689">
        <v>2022</v>
      </c>
      <c r="E1689" t="s">
        <v>10</v>
      </c>
      <c r="F1689" t="s">
        <v>1559</v>
      </c>
      <c r="G1689" t="s">
        <v>229</v>
      </c>
      <c r="H1689" s="1" t="s">
        <v>1575</v>
      </c>
      <c r="I1689" t="s">
        <v>1577</v>
      </c>
      <c r="J1689" s="2">
        <v>4183958</v>
      </c>
      <c r="K1689" t="s">
        <v>121</v>
      </c>
      <c r="L1689" t="s">
        <v>1653</v>
      </c>
    </row>
    <row r="1690" spans="1:12" x14ac:dyDescent="0.3">
      <c r="A1690">
        <v>1689</v>
      </c>
      <c r="B1690" t="s">
        <v>1502</v>
      </c>
      <c r="C1690">
        <v>44655.374305555553</v>
      </c>
      <c r="D1690">
        <v>2022</v>
      </c>
      <c r="E1690" t="s">
        <v>10</v>
      </c>
      <c r="F1690" t="s">
        <v>1553</v>
      </c>
      <c r="G1690" t="s">
        <v>290</v>
      </c>
      <c r="H1690" s="1" t="s">
        <v>1575</v>
      </c>
      <c r="I1690" t="s">
        <v>1634</v>
      </c>
      <c r="J1690" s="2">
        <v>4626934</v>
      </c>
      <c r="K1690" t="s">
        <v>121</v>
      </c>
      <c r="L1690" t="s">
        <v>1649</v>
      </c>
    </row>
    <row r="1691" spans="1:12" x14ac:dyDescent="0.3">
      <c r="A1691">
        <v>1690</v>
      </c>
      <c r="B1691" t="s">
        <v>1503</v>
      </c>
      <c r="C1691">
        <v>44656.390277777777</v>
      </c>
      <c r="D1691">
        <v>2022</v>
      </c>
      <c r="E1691" t="s">
        <v>10</v>
      </c>
      <c r="F1691" t="s">
        <v>1553</v>
      </c>
      <c r="G1691" t="s">
        <v>15</v>
      </c>
      <c r="H1691" s="1" t="s">
        <v>1575</v>
      </c>
      <c r="I1691" t="s">
        <v>1587</v>
      </c>
      <c r="J1691" s="2">
        <v>1805518</v>
      </c>
      <c r="K1691" t="s">
        <v>12</v>
      </c>
      <c r="L1691" t="s">
        <v>1653</v>
      </c>
    </row>
    <row r="1692" spans="1:12" x14ac:dyDescent="0.3">
      <c r="A1692">
        <v>1691</v>
      </c>
      <c r="B1692" t="s">
        <v>1504</v>
      </c>
      <c r="C1692">
        <v>44656.680555555555</v>
      </c>
      <c r="D1692">
        <v>2022</v>
      </c>
      <c r="E1692" t="s">
        <v>10</v>
      </c>
      <c r="F1692" t="s">
        <v>1553</v>
      </c>
      <c r="G1692" t="s">
        <v>18</v>
      </c>
      <c r="H1692" s="1" t="s">
        <v>1575</v>
      </c>
      <c r="I1692" t="s">
        <v>1582</v>
      </c>
      <c r="J1692" s="2">
        <v>1211076</v>
      </c>
      <c r="K1692" t="s">
        <v>16</v>
      </c>
      <c r="L1692" t="s">
        <v>1653</v>
      </c>
    </row>
    <row r="1693" spans="1:12" x14ac:dyDescent="0.3">
      <c r="A1693">
        <v>1692</v>
      </c>
      <c r="B1693" t="s">
        <v>1505</v>
      </c>
      <c r="C1693">
        <v>44657.443055555559</v>
      </c>
      <c r="D1693">
        <v>2022</v>
      </c>
      <c r="E1693" t="s">
        <v>10</v>
      </c>
      <c r="F1693" t="s">
        <v>1553</v>
      </c>
      <c r="G1693" t="s">
        <v>18</v>
      </c>
      <c r="H1693" s="1" t="s">
        <v>1575</v>
      </c>
      <c r="I1693" t="s">
        <v>1579</v>
      </c>
      <c r="J1693" s="2">
        <v>2075139</v>
      </c>
      <c r="K1693" t="s">
        <v>12</v>
      </c>
      <c r="L1693" t="s">
        <v>1648</v>
      </c>
    </row>
    <row r="1694" spans="1:12" x14ac:dyDescent="0.3">
      <c r="A1694">
        <v>1693</v>
      </c>
      <c r="B1694" t="s">
        <v>1506</v>
      </c>
      <c r="C1694">
        <v>44658.354166666664</v>
      </c>
      <c r="D1694">
        <v>2022</v>
      </c>
      <c r="E1694" t="s">
        <v>10</v>
      </c>
      <c r="F1694" t="s">
        <v>1553</v>
      </c>
      <c r="G1694" t="s">
        <v>62</v>
      </c>
      <c r="H1694" s="1" t="s">
        <v>1575</v>
      </c>
      <c r="I1694" t="s">
        <v>1639</v>
      </c>
      <c r="J1694" s="2">
        <v>2422931</v>
      </c>
      <c r="K1694" t="s">
        <v>12</v>
      </c>
      <c r="L1694" t="s">
        <v>1651</v>
      </c>
    </row>
    <row r="1695" spans="1:12" x14ac:dyDescent="0.3">
      <c r="A1695">
        <v>1694</v>
      </c>
      <c r="B1695" t="s">
        <v>1507</v>
      </c>
      <c r="C1695">
        <v>44658.536805555559</v>
      </c>
      <c r="D1695">
        <v>2022</v>
      </c>
      <c r="E1695" t="s">
        <v>741</v>
      </c>
      <c r="F1695" t="s">
        <v>1553</v>
      </c>
      <c r="G1695" t="s">
        <v>15</v>
      </c>
      <c r="H1695" s="1" t="s">
        <v>1575</v>
      </c>
      <c r="I1695" t="s">
        <v>1579</v>
      </c>
      <c r="J1695" s="2">
        <v>1782406</v>
      </c>
      <c r="K1695" t="s">
        <v>12</v>
      </c>
      <c r="L1695" t="s">
        <v>1653</v>
      </c>
    </row>
    <row r="1696" spans="1:12" x14ac:dyDescent="0.3">
      <c r="A1696">
        <v>1695</v>
      </c>
      <c r="B1696" t="s">
        <v>1508</v>
      </c>
      <c r="C1696">
        <v>44658.540277777778</v>
      </c>
      <c r="D1696">
        <v>2022</v>
      </c>
      <c r="E1696" t="s">
        <v>10</v>
      </c>
      <c r="F1696" t="s">
        <v>1553</v>
      </c>
      <c r="G1696" t="s">
        <v>15</v>
      </c>
      <c r="H1696" s="1" t="s">
        <v>1575</v>
      </c>
      <c r="I1696" t="s">
        <v>1579</v>
      </c>
      <c r="J1696" s="2">
        <v>3501102</v>
      </c>
      <c r="K1696" t="s">
        <v>12</v>
      </c>
      <c r="L1696" t="s">
        <v>1652</v>
      </c>
    </row>
    <row r="1697" spans="1:12" x14ac:dyDescent="0.3">
      <c r="A1697">
        <v>1696</v>
      </c>
      <c r="B1697" t="s">
        <v>1509</v>
      </c>
      <c r="C1697">
        <v>44659.535416666666</v>
      </c>
      <c r="D1697">
        <v>2022</v>
      </c>
      <c r="E1697" t="s">
        <v>1415</v>
      </c>
      <c r="F1697" t="s">
        <v>1553</v>
      </c>
      <c r="G1697" t="s">
        <v>23</v>
      </c>
      <c r="H1697" s="1" t="s">
        <v>1575</v>
      </c>
      <c r="I1697" t="s">
        <v>1579</v>
      </c>
      <c r="J1697" s="2">
        <v>2018899</v>
      </c>
      <c r="K1697" t="s">
        <v>12</v>
      </c>
      <c r="L1697" t="s">
        <v>1652</v>
      </c>
    </row>
    <row r="1698" spans="1:12" x14ac:dyDescent="0.3">
      <c r="A1698">
        <v>1697</v>
      </c>
      <c r="B1698" t="s">
        <v>1510</v>
      </c>
      <c r="C1698">
        <v>44659.775694444441</v>
      </c>
      <c r="D1698">
        <v>2022</v>
      </c>
      <c r="E1698" t="s">
        <v>10</v>
      </c>
      <c r="F1698" t="s">
        <v>1559</v>
      </c>
      <c r="G1698" t="s">
        <v>23</v>
      </c>
      <c r="H1698" s="1" t="s">
        <v>1575</v>
      </c>
      <c r="I1698" t="s">
        <v>1579</v>
      </c>
      <c r="J1698" s="2">
        <v>2182500</v>
      </c>
      <c r="K1698" t="s">
        <v>12</v>
      </c>
      <c r="L1698" t="s">
        <v>1653</v>
      </c>
    </row>
    <row r="1699" spans="1:12" x14ac:dyDescent="0.3">
      <c r="A1699">
        <v>1698</v>
      </c>
      <c r="B1699" t="s">
        <v>1202</v>
      </c>
      <c r="C1699">
        <v>44669.661805555559</v>
      </c>
      <c r="D1699">
        <v>2022</v>
      </c>
      <c r="E1699" t="s">
        <v>10</v>
      </c>
      <c r="F1699" t="s">
        <v>1559</v>
      </c>
      <c r="G1699" t="s">
        <v>49</v>
      </c>
      <c r="H1699" s="1" t="s">
        <v>1575</v>
      </c>
      <c r="I1699" t="s">
        <v>1582</v>
      </c>
      <c r="J1699" s="2">
        <v>999137</v>
      </c>
      <c r="K1699" t="s">
        <v>16</v>
      </c>
      <c r="L1699" t="s">
        <v>1650</v>
      </c>
    </row>
    <row r="1700" spans="1:12" x14ac:dyDescent="0.3">
      <c r="A1700">
        <v>1699</v>
      </c>
      <c r="B1700" t="s">
        <v>1511</v>
      </c>
      <c r="C1700">
        <v>44670.59652777778</v>
      </c>
      <c r="D1700">
        <v>2022</v>
      </c>
      <c r="E1700" t="s">
        <v>10</v>
      </c>
      <c r="F1700" t="s">
        <v>1559</v>
      </c>
      <c r="G1700" t="s">
        <v>15</v>
      </c>
      <c r="H1700" s="1" t="s">
        <v>1575</v>
      </c>
      <c r="I1700" t="s">
        <v>1582</v>
      </c>
      <c r="J1700" s="2">
        <v>4648089</v>
      </c>
      <c r="K1700" t="s">
        <v>16</v>
      </c>
      <c r="L1700" t="s">
        <v>1653</v>
      </c>
    </row>
    <row r="1701" spans="1:12" x14ac:dyDescent="0.3">
      <c r="A1701">
        <v>1700</v>
      </c>
      <c r="B1701" t="s">
        <v>1512</v>
      </c>
      <c r="C1701">
        <v>44670.713194444441</v>
      </c>
      <c r="D1701">
        <v>2022</v>
      </c>
      <c r="E1701" t="s">
        <v>10</v>
      </c>
      <c r="F1701" t="s">
        <v>1559</v>
      </c>
      <c r="G1701" t="s">
        <v>15</v>
      </c>
      <c r="H1701" s="1" t="s">
        <v>1574</v>
      </c>
      <c r="I1701" t="s">
        <v>1579</v>
      </c>
      <c r="J1701" s="2">
        <v>3669258</v>
      </c>
      <c r="K1701" t="s">
        <v>12</v>
      </c>
      <c r="L1701" t="s">
        <v>1650</v>
      </c>
    </row>
    <row r="1702" spans="1:12" x14ac:dyDescent="0.3">
      <c r="A1702">
        <v>1701</v>
      </c>
      <c r="B1702" t="s">
        <v>1513</v>
      </c>
      <c r="C1702">
        <v>44671.435416666667</v>
      </c>
      <c r="D1702">
        <v>2022</v>
      </c>
      <c r="E1702" t="s">
        <v>10</v>
      </c>
      <c r="F1702" t="s">
        <v>1559</v>
      </c>
      <c r="G1702" t="s">
        <v>18</v>
      </c>
      <c r="H1702" s="1" t="s">
        <v>1567</v>
      </c>
      <c r="I1702" t="s">
        <v>1579</v>
      </c>
      <c r="J1702" s="2">
        <v>3943897</v>
      </c>
      <c r="K1702" t="s">
        <v>12</v>
      </c>
      <c r="L1702" t="s">
        <v>1651</v>
      </c>
    </row>
    <row r="1703" spans="1:12" x14ac:dyDescent="0.3">
      <c r="A1703">
        <v>1702</v>
      </c>
      <c r="B1703" t="s">
        <v>1514</v>
      </c>
      <c r="C1703">
        <v>44672.395833333336</v>
      </c>
      <c r="D1703">
        <v>2022</v>
      </c>
      <c r="E1703" t="s">
        <v>10</v>
      </c>
      <c r="F1703" t="s">
        <v>1553</v>
      </c>
      <c r="G1703" t="s">
        <v>62</v>
      </c>
      <c r="H1703" s="1" t="s">
        <v>1573</v>
      </c>
      <c r="I1703" t="s">
        <v>1616</v>
      </c>
      <c r="J1703" s="2">
        <v>1886511</v>
      </c>
      <c r="K1703" t="s">
        <v>12</v>
      </c>
      <c r="L1703" t="s">
        <v>1652</v>
      </c>
    </row>
    <row r="1704" spans="1:12" x14ac:dyDescent="0.3">
      <c r="A1704">
        <v>1703</v>
      </c>
      <c r="B1704" t="s">
        <v>1515</v>
      </c>
      <c r="C1704">
        <v>44676.709722222222</v>
      </c>
      <c r="D1704">
        <v>2022</v>
      </c>
      <c r="E1704" t="s">
        <v>1415</v>
      </c>
      <c r="F1704" t="s">
        <v>1553</v>
      </c>
      <c r="G1704" t="s">
        <v>15</v>
      </c>
      <c r="H1704" s="1" t="s">
        <v>1568</v>
      </c>
      <c r="I1704" t="s">
        <v>1579</v>
      </c>
      <c r="J1704" s="2">
        <v>4096073</v>
      </c>
      <c r="K1704" t="s">
        <v>12</v>
      </c>
      <c r="L1704" t="s">
        <v>1650</v>
      </c>
    </row>
    <row r="1705" spans="1:12" x14ac:dyDescent="0.3">
      <c r="A1705">
        <v>1704</v>
      </c>
      <c r="B1705" t="s">
        <v>1516</v>
      </c>
      <c r="C1705">
        <v>44677.35833333333</v>
      </c>
      <c r="D1705">
        <v>2022</v>
      </c>
      <c r="E1705" t="s">
        <v>10</v>
      </c>
      <c r="F1705" t="s">
        <v>1553</v>
      </c>
      <c r="G1705" t="s">
        <v>15</v>
      </c>
      <c r="H1705" s="1" t="s">
        <v>1572</v>
      </c>
      <c r="I1705" t="s">
        <v>1579</v>
      </c>
      <c r="J1705" s="2">
        <v>3134413</v>
      </c>
      <c r="K1705" t="s">
        <v>12</v>
      </c>
      <c r="L1705" t="s">
        <v>1653</v>
      </c>
    </row>
    <row r="1706" spans="1:12" x14ac:dyDescent="0.3">
      <c r="A1706">
        <v>1705</v>
      </c>
      <c r="B1706" t="s">
        <v>1517</v>
      </c>
      <c r="C1706">
        <v>44677.712500000001</v>
      </c>
      <c r="D1706">
        <v>2022</v>
      </c>
      <c r="E1706" t="s">
        <v>10</v>
      </c>
      <c r="F1706" t="s">
        <v>1553</v>
      </c>
      <c r="G1706" t="s">
        <v>15</v>
      </c>
      <c r="H1706" s="1" t="s">
        <v>1562</v>
      </c>
      <c r="I1706" t="s">
        <v>1586</v>
      </c>
      <c r="J1706" s="2">
        <v>1206333</v>
      </c>
      <c r="K1706" t="s">
        <v>59</v>
      </c>
      <c r="L1706" t="s">
        <v>1651</v>
      </c>
    </row>
    <row r="1707" spans="1:12" x14ac:dyDescent="0.3">
      <c r="A1707">
        <v>1706</v>
      </c>
      <c r="B1707" t="s">
        <v>1518</v>
      </c>
      <c r="C1707">
        <v>44678.77847222222</v>
      </c>
      <c r="D1707">
        <v>2022</v>
      </c>
      <c r="E1707" t="s">
        <v>10</v>
      </c>
      <c r="F1707" t="s">
        <v>1553</v>
      </c>
      <c r="G1707" t="s">
        <v>15</v>
      </c>
      <c r="H1707" s="1" t="s">
        <v>1566</v>
      </c>
      <c r="I1707" t="s">
        <v>1579</v>
      </c>
      <c r="J1707" s="2">
        <v>3170846</v>
      </c>
      <c r="K1707" t="s">
        <v>12</v>
      </c>
      <c r="L1707" t="s">
        <v>1652</v>
      </c>
    </row>
    <row r="1708" spans="1:12" x14ac:dyDescent="0.3">
      <c r="A1708">
        <v>1707</v>
      </c>
      <c r="B1708" t="s">
        <v>1519</v>
      </c>
      <c r="C1708">
        <v>44679.65902777778</v>
      </c>
      <c r="D1708">
        <v>2022</v>
      </c>
      <c r="E1708" t="s">
        <v>10</v>
      </c>
      <c r="F1708" t="s">
        <v>1553</v>
      </c>
      <c r="G1708" t="s">
        <v>62</v>
      </c>
      <c r="H1708" s="1" t="s">
        <v>1565</v>
      </c>
      <c r="I1708" t="s">
        <v>1579</v>
      </c>
      <c r="J1708" s="2">
        <v>2849608</v>
      </c>
      <c r="K1708" t="s">
        <v>12</v>
      </c>
      <c r="L1708" t="s">
        <v>1650</v>
      </c>
    </row>
    <row r="1709" spans="1:12" x14ac:dyDescent="0.3">
      <c r="A1709">
        <v>1708</v>
      </c>
      <c r="B1709" t="s">
        <v>1520</v>
      </c>
      <c r="C1709">
        <v>44680.395138888889</v>
      </c>
      <c r="D1709">
        <v>2022</v>
      </c>
      <c r="E1709" t="s">
        <v>10</v>
      </c>
      <c r="F1709" t="s">
        <v>1553</v>
      </c>
      <c r="G1709" t="s">
        <v>15</v>
      </c>
      <c r="H1709" s="1" t="s">
        <v>1568</v>
      </c>
      <c r="I1709" t="s">
        <v>1582</v>
      </c>
      <c r="J1709" s="2">
        <v>2670195</v>
      </c>
      <c r="K1709" t="s">
        <v>16</v>
      </c>
      <c r="L1709" t="s">
        <v>1651</v>
      </c>
    </row>
    <row r="1710" spans="1:12" x14ac:dyDescent="0.3">
      <c r="A1710">
        <v>1709</v>
      </c>
      <c r="B1710" t="s">
        <v>1521</v>
      </c>
      <c r="C1710">
        <v>44683.413888888892</v>
      </c>
      <c r="D1710">
        <v>2022</v>
      </c>
      <c r="E1710" t="s">
        <v>1415</v>
      </c>
      <c r="F1710" t="s">
        <v>1553</v>
      </c>
      <c r="G1710" t="s">
        <v>15</v>
      </c>
      <c r="H1710" s="1" t="s">
        <v>1571</v>
      </c>
      <c r="I1710" t="s">
        <v>1579</v>
      </c>
      <c r="J1710" s="2">
        <v>3348151</v>
      </c>
      <c r="K1710" t="s">
        <v>12</v>
      </c>
      <c r="L1710" t="s">
        <v>1652</v>
      </c>
    </row>
    <row r="1711" spans="1:12" x14ac:dyDescent="0.3">
      <c r="A1711">
        <v>1710</v>
      </c>
      <c r="B1711" t="s">
        <v>1522</v>
      </c>
      <c r="C1711">
        <v>44683.422222222223</v>
      </c>
      <c r="D1711">
        <v>2022</v>
      </c>
      <c r="E1711" t="s">
        <v>741</v>
      </c>
      <c r="F1711" t="s">
        <v>1553</v>
      </c>
      <c r="G1711" t="s">
        <v>15</v>
      </c>
      <c r="H1711" s="1" t="s">
        <v>1568</v>
      </c>
      <c r="I1711" t="s">
        <v>1579</v>
      </c>
      <c r="J1711" s="2">
        <v>3131700</v>
      </c>
      <c r="K1711" t="s">
        <v>12</v>
      </c>
      <c r="L1711" t="s">
        <v>1652</v>
      </c>
    </row>
    <row r="1712" spans="1:12" x14ac:dyDescent="0.3">
      <c r="A1712">
        <v>1711</v>
      </c>
      <c r="B1712" t="s">
        <v>1523</v>
      </c>
      <c r="C1712">
        <v>44683.434027777781</v>
      </c>
      <c r="D1712">
        <v>2022</v>
      </c>
      <c r="E1712" t="s">
        <v>1415</v>
      </c>
      <c r="F1712" t="s">
        <v>1554</v>
      </c>
      <c r="G1712" t="s">
        <v>15</v>
      </c>
      <c r="H1712" s="1" t="s">
        <v>1566</v>
      </c>
      <c r="I1712" t="s">
        <v>1587</v>
      </c>
      <c r="J1712" s="2">
        <v>2272892</v>
      </c>
      <c r="K1712" t="s">
        <v>12</v>
      </c>
      <c r="L1712" t="s">
        <v>1651</v>
      </c>
    </row>
    <row r="1713" spans="1:12" x14ac:dyDescent="0.3">
      <c r="A1713">
        <v>1712</v>
      </c>
      <c r="B1713" t="s">
        <v>1524</v>
      </c>
      <c r="C1713">
        <v>44683.497916666667</v>
      </c>
      <c r="D1713">
        <v>2022</v>
      </c>
      <c r="E1713" t="s">
        <v>10</v>
      </c>
      <c r="F1713" t="s">
        <v>1554</v>
      </c>
      <c r="G1713" t="s">
        <v>65</v>
      </c>
      <c r="H1713" s="1" t="s">
        <v>1565</v>
      </c>
      <c r="I1713" t="s">
        <v>1586</v>
      </c>
      <c r="J1713" s="2">
        <v>3817799</v>
      </c>
      <c r="K1713" t="s">
        <v>59</v>
      </c>
      <c r="L1713" t="s">
        <v>1652</v>
      </c>
    </row>
    <row r="1714" spans="1:12" x14ac:dyDescent="0.3">
      <c r="A1714">
        <v>1713</v>
      </c>
      <c r="B1714" t="s">
        <v>1525</v>
      </c>
      <c r="C1714">
        <v>44683.583333333336</v>
      </c>
      <c r="D1714">
        <v>2022</v>
      </c>
      <c r="E1714" t="s">
        <v>10</v>
      </c>
      <c r="F1714" t="s">
        <v>1554</v>
      </c>
      <c r="G1714" t="s">
        <v>1445</v>
      </c>
      <c r="H1714" s="1" t="s">
        <v>1565</v>
      </c>
      <c r="I1714" t="s">
        <v>1582</v>
      </c>
      <c r="J1714" s="2">
        <v>4706705</v>
      </c>
      <c r="L1714" t="s">
        <v>1650</v>
      </c>
    </row>
    <row r="1715" spans="1:12" x14ac:dyDescent="0.3">
      <c r="A1715">
        <v>1714</v>
      </c>
      <c r="B1715" t="s">
        <v>1526</v>
      </c>
      <c r="C1715">
        <v>44683.623611111114</v>
      </c>
      <c r="D1715">
        <v>2022</v>
      </c>
      <c r="E1715" t="s">
        <v>10</v>
      </c>
      <c r="F1715" t="s">
        <v>1554</v>
      </c>
      <c r="G1715" t="s">
        <v>15</v>
      </c>
      <c r="H1715" s="1" t="s">
        <v>1565</v>
      </c>
      <c r="I1715" t="s">
        <v>1587</v>
      </c>
      <c r="J1715" s="2">
        <v>1119098</v>
      </c>
      <c r="K1715" t="s">
        <v>12</v>
      </c>
      <c r="L1715" t="s">
        <v>1651</v>
      </c>
    </row>
    <row r="1716" spans="1:12" x14ac:dyDescent="0.3">
      <c r="A1716">
        <v>1715</v>
      </c>
      <c r="B1716" t="s">
        <v>1446</v>
      </c>
      <c r="C1716">
        <v>44684.355555555558</v>
      </c>
      <c r="D1716">
        <v>2022</v>
      </c>
      <c r="E1716" t="s">
        <v>1436</v>
      </c>
      <c r="F1716" t="s">
        <v>1554</v>
      </c>
      <c r="G1716" t="s">
        <v>15</v>
      </c>
      <c r="H1716" s="1" t="s">
        <v>1565</v>
      </c>
      <c r="I1716" t="s">
        <v>1582</v>
      </c>
      <c r="J1716" s="2">
        <v>3688180</v>
      </c>
      <c r="L1716" t="s">
        <v>1651</v>
      </c>
    </row>
    <row r="1717" spans="1:12" x14ac:dyDescent="0.3">
      <c r="A1717">
        <v>1716</v>
      </c>
      <c r="B1717" t="s">
        <v>1527</v>
      </c>
      <c r="C1717">
        <v>44684.390972222223</v>
      </c>
      <c r="D1717">
        <v>2022</v>
      </c>
      <c r="E1717" t="s">
        <v>1415</v>
      </c>
      <c r="F1717" t="s">
        <v>1554</v>
      </c>
      <c r="G1717" t="s">
        <v>44</v>
      </c>
      <c r="H1717" s="1" t="s">
        <v>1565</v>
      </c>
      <c r="I1717" t="s">
        <v>1586</v>
      </c>
      <c r="J1717" s="2">
        <v>3593684</v>
      </c>
      <c r="K1717" t="s">
        <v>59</v>
      </c>
      <c r="L1717" t="s">
        <v>1651</v>
      </c>
    </row>
    <row r="1718" spans="1:12" x14ac:dyDescent="0.3">
      <c r="A1718">
        <v>1717</v>
      </c>
      <c r="B1718" t="s">
        <v>1528</v>
      </c>
      <c r="C1718">
        <v>44684.406944444447</v>
      </c>
      <c r="D1718">
        <v>2022</v>
      </c>
      <c r="E1718" t="s">
        <v>10</v>
      </c>
      <c r="F1718" t="s">
        <v>1554</v>
      </c>
      <c r="G1718" t="s">
        <v>15</v>
      </c>
      <c r="H1718" s="1" t="s">
        <v>1565</v>
      </c>
      <c r="I1718" t="s">
        <v>1582</v>
      </c>
      <c r="J1718" s="2">
        <v>2566016</v>
      </c>
      <c r="L1718" t="s">
        <v>1652</v>
      </c>
    </row>
    <row r="1719" spans="1:12" x14ac:dyDescent="0.3">
      <c r="A1719">
        <v>1718</v>
      </c>
      <c r="B1719" t="s">
        <v>1529</v>
      </c>
      <c r="C1719">
        <v>44684.410416666666</v>
      </c>
      <c r="D1719">
        <v>2022</v>
      </c>
      <c r="E1719" t="s">
        <v>10</v>
      </c>
      <c r="F1719" t="s">
        <v>1554</v>
      </c>
      <c r="G1719" t="s">
        <v>15</v>
      </c>
      <c r="H1719" s="1" t="s">
        <v>1565</v>
      </c>
      <c r="I1719" t="s">
        <v>1582</v>
      </c>
      <c r="J1719" s="2">
        <v>971201</v>
      </c>
      <c r="L1719" t="s">
        <v>1651</v>
      </c>
    </row>
    <row r="1720" spans="1:12" x14ac:dyDescent="0.3">
      <c r="A1720">
        <v>1719</v>
      </c>
      <c r="B1720" t="s">
        <v>1530</v>
      </c>
      <c r="C1720">
        <v>44684.456944444442</v>
      </c>
      <c r="D1720">
        <v>2022</v>
      </c>
      <c r="E1720" t="s">
        <v>10</v>
      </c>
      <c r="F1720" t="s">
        <v>1554</v>
      </c>
      <c r="G1720" t="s">
        <v>65</v>
      </c>
      <c r="H1720" s="1" t="s">
        <v>1565</v>
      </c>
      <c r="I1720" t="s">
        <v>1579</v>
      </c>
      <c r="J1720" s="2">
        <v>2207223</v>
      </c>
      <c r="K1720" t="s">
        <v>12</v>
      </c>
      <c r="L1720" t="s">
        <v>1649</v>
      </c>
    </row>
    <row r="1721" spans="1:12" x14ac:dyDescent="0.3">
      <c r="A1721">
        <v>1720</v>
      </c>
      <c r="B1721" t="s">
        <v>1531</v>
      </c>
      <c r="C1721">
        <v>44684.628472222219</v>
      </c>
      <c r="D1721">
        <v>2022</v>
      </c>
      <c r="E1721" t="s">
        <v>1415</v>
      </c>
      <c r="F1721" t="s">
        <v>1554</v>
      </c>
      <c r="G1721" t="s">
        <v>57</v>
      </c>
      <c r="H1721" s="1" t="s">
        <v>1565</v>
      </c>
      <c r="I1721" t="s">
        <v>1579</v>
      </c>
      <c r="J1721" s="2">
        <v>3786801</v>
      </c>
      <c r="K1721" t="s">
        <v>12</v>
      </c>
      <c r="L1721" t="s">
        <v>1652</v>
      </c>
    </row>
    <row r="1722" spans="1:12" x14ac:dyDescent="0.3">
      <c r="A1722">
        <v>1721</v>
      </c>
      <c r="B1722" t="s">
        <v>1532</v>
      </c>
      <c r="C1722">
        <v>44685.35</v>
      </c>
      <c r="D1722">
        <v>2022</v>
      </c>
      <c r="E1722" t="s">
        <v>1436</v>
      </c>
      <c r="F1722" t="s">
        <v>1554</v>
      </c>
      <c r="G1722" t="s">
        <v>229</v>
      </c>
      <c r="H1722" s="1" t="s">
        <v>1565</v>
      </c>
      <c r="I1722" t="s">
        <v>1600</v>
      </c>
      <c r="J1722" s="2">
        <v>4814512</v>
      </c>
      <c r="K1722" t="s">
        <v>121</v>
      </c>
      <c r="L1722" t="s">
        <v>1651</v>
      </c>
    </row>
    <row r="1723" spans="1:12" x14ac:dyDescent="0.3">
      <c r="A1723">
        <v>1722</v>
      </c>
      <c r="B1723" t="s">
        <v>1533</v>
      </c>
      <c r="C1723">
        <v>44685.381944444445</v>
      </c>
      <c r="D1723">
        <v>2022</v>
      </c>
      <c r="E1723" t="s">
        <v>1415</v>
      </c>
      <c r="F1723" t="s">
        <v>1554</v>
      </c>
      <c r="G1723" t="s">
        <v>44</v>
      </c>
      <c r="H1723" s="1" t="s">
        <v>1565</v>
      </c>
      <c r="I1723" t="s">
        <v>1579</v>
      </c>
      <c r="J1723" s="2">
        <v>3157084</v>
      </c>
      <c r="K1723" t="s">
        <v>12</v>
      </c>
      <c r="L1723" t="s">
        <v>1652</v>
      </c>
    </row>
    <row r="1724" spans="1:12" x14ac:dyDescent="0.3">
      <c r="A1724">
        <v>1723</v>
      </c>
      <c r="B1724" t="s">
        <v>1534</v>
      </c>
      <c r="C1724">
        <v>44686.376388888886</v>
      </c>
      <c r="D1724">
        <v>2022</v>
      </c>
      <c r="E1724" t="s">
        <v>1415</v>
      </c>
      <c r="F1724" t="s">
        <v>1554</v>
      </c>
      <c r="G1724" t="s">
        <v>15</v>
      </c>
      <c r="H1724" s="1" t="s">
        <v>1565</v>
      </c>
      <c r="I1724" t="s">
        <v>1579</v>
      </c>
      <c r="J1724" s="2">
        <v>2595675</v>
      </c>
      <c r="K1724" t="s">
        <v>12</v>
      </c>
      <c r="L1724" t="s">
        <v>1652</v>
      </c>
    </row>
    <row r="1725" spans="1:12" x14ac:dyDescent="0.3">
      <c r="A1725">
        <v>1724</v>
      </c>
      <c r="B1725" t="s">
        <v>1535</v>
      </c>
      <c r="C1725">
        <v>44687.489583333336</v>
      </c>
      <c r="D1725">
        <v>2022</v>
      </c>
      <c r="E1725" t="s">
        <v>1415</v>
      </c>
      <c r="F1725" t="s">
        <v>1554</v>
      </c>
      <c r="G1725" t="s">
        <v>15</v>
      </c>
      <c r="H1725" s="1" t="s">
        <v>1565</v>
      </c>
      <c r="I1725" t="s">
        <v>1582</v>
      </c>
      <c r="J1725" s="2">
        <v>1304093</v>
      </c>
      <c r="L1725" t="s">
        <v>1653</v>
      </c>
    </row>
    <row r="1726" spans="1:12" x14ac:dyDescent="0.3">
      <c r="A1726">
        <v>1725</v>
      </c>
      <c r="B1726" t="s">
        <v>1536</v>
      </c>
      <c r="C1726">
        <v>44690.401388888888</v>
      </c>
      <c r="D1726">
        <v>2022</v>
      </c>
      <c r="E1726" t="s">
        <v>1436</v>
      </c>
      <c r="F1726" t="s">
        <v>1554</v>
      </c>
      <c r="G1726" t="s">
        <v>57</v>
      </c>
      <c r="H1726" s="1" t="s">
        <v>1565</v>
      </c>
      <c r="I1726" t="s">
        <v>1598</v>
      </c>
      <c r="J1726" s="2">
        <v>2652550</v>
      </c>
      <c r="K1726" t="s">
        <v>53</v>
      </c>
      <c r="L1726" t="s">
        <v>1649</v>
      </c>
    </row>
    <row r="1727" spans="1:12" x14ac:dyDescent="0.3">
      <c r="A1727">
        <v>1726</v>
      </c>
      <c r="B1727" t="s">
        <v>1537</v>
      </c>
      <c r="C1727">
        <v>44690.402083333334</v>
      </c>
      <c r="D1727">
        <v>2022</v>
      </c>
      <c r="E1727" t="s">
        <v>1415</v>
      </c>
      <c r="F1727" t="s">
        <v>1554</v>
      </c>
      <c r="G1727" t="s">
        <v>15</v>
      </c>
      <c r="H1727" s="1" t="s">
        <v>1565</v>
      </c>
      <c r="I1727" t="s">
        <v>1582</v>
      </c>
      <c r="J1727" s="2">
        <v>1004405</v>
      </c>
      <c r="L1727" t="s">
        <v>1652</v>
      </c>
    </row>
    <row r="1728" spans="1:12" x14ac:dyDescent="0.3">
      <c r="A1728">
        <v>1727</v>
      </c>
      <c r="B1728" t="s">
        <v>1538</v>
      </c>
      <c r="C1728">
        <v>44690.425694444442</v>
      </c>
      <c r="D1728">
        <v>2022</v>
      </c>
      <c r="E1728" t="s">
        <v>741</v>
      </c>
      <c r="F1728" t="s">
        <v>1554</v>
      </c>
      <c r="G1728" t="s">
        <v>67</v>
      </c>
      <c r="H1728" s="1" t="s">
        <v>1565</v>
      </c>
      <c r="I1728" t="s">
        <v>1637</v>
      </c>
      <c r="J1728" s="2">
        <v>4735288</v>
      </c>
      <c r="K1728" t="s">
        <v>12</v>
      </c>
      <c r="L1728" t="s">
        <v>1648</v>
      </c>
    </row>
    <row r="1729" spans="1:12" x14ac:dyDescent="0.3">
      <c r="A1729">
        <v>1728</v>
      </c>
      <c r="B1729" t="s">
        <v>1539</v>
      </c>
      <c r="C1729">
        <v>44690.439583333333</v>
      </c>
      <c r="D1729">
        <v>2022</v>
      </c>
      <c r="E1729" t="s">
        <v>1415</v>
      </c>
      <c r="F1729" t="s">
        <v>1554</v>
      </c>
      <c r="G1729" t="s">
        <v>57</v>
      </c>
      <c r="H1729" s="1" t="s">
        <v>1565</v>
      </c>
      <c r="I1729" t="s">
        <v>1579</v>
      </c>
      <c r="J1729" s="2">
        <v>4798261</v>
      </c>
      <c r="K1729" t="s">
        <v>12</v>
      </c>
      <c r="L1729" t="s">
        <v>1653</v>
      </c>
    </row>
    <row r="1730" spans="1:12" x14ac:dyDescent="0.3">
      <c r="A1730">
        <v>1729</v>
      </c>
      <c r="B1730" t="s">
        <v>1540</v>
      </c>
      <c r="C1730">
        <v>44690.463194444441</v>
      </c>
      <c r="D1730">
        <v>2022</v>
      </c>
      <c r="E1730" t="s">
        <v>1436</v>
      </c>
      <c r="F1730" t="s">
        <v>1655</v>
      </c>
      <c r="G1730" t="s">
        <v>57</v>
      </c>
      <c r="H1730" s="1" t="s">
        <v>1565</v>
      </c>
      <c r="I1730" t="s">
        <v>1579</v>
      </c>
      <c r="J1730" s="2">
        <v>1657765</v>
      </c>
      <c r="K1730" t="s">
        <v>12</v>
      </c>
      <c r="L1730" t="s">
        <v>1653</v>
      </c>
    </row>
    <row r="1731" spans="1:12" x14ac:dyDescent="0.3">
      <c r="A1731">
        <v>1730</v>
      </c>
      <c r="B1731" t="s">
        <v>50</v>
      </c>
      <c r="C1731">
        <v>44690.613194444442</v>
      </c>
      <c r="D1731">
        <v>2022</v>
      </c>
      <c r="E1731" t="s">
        <v>1415</v>
      </c>
      <c r="F1731" t="s">
        <v>1655</v>
      </c>
      <c r="G1731" t="s">
        <v>67</v>
      </c>
      <c r="H1731" s="1" t="s">
        <v>1568</v>
      </c>
      <c r="I1731" t="s">
        <v>1591</v>
      </c>
      <c r="J1731" s="2">
        <v>1075723</v>
      </c>
      <c r="K1731" t="s">
        <v>12</v>
      </c>
      <c r="L1731" t="s">
        <v>1649</v>
      </c>
    </row>
    <row r="1732" spans="1:12" x14ac:dyDescent="0.3">
      <c r="A1732">
        <v>1731</v>
      </c>
      <c r="B1732" t="s">
        <v>1541</v>
      </c>
      <c r="C1732">
        <v>44690.661805555559</v>
      </c>
      <c r="D1732">
        <v>2022</v>
      </c>
      <c r="E1732" t="s">
        <v>1415</v>
      </c>
      <c r="F1732" t="s">
        <v>1655</v>
      </c>
      <c r="G1732" t="s">
        <v>591</v>
      </c>
      <c r="H1732" s="1" t="s">
        <v>1570</v>
      </c>
      <c r="I1732" t="s">
        <v>1579</v>
      </c>
      <c r="J1732" s="2">
        <v>4083151</v>
      </c>
      <c r="K1732" t="s">
        <v>12</v>
      </c>
      <c r="L1732" t="s">
        <v>1650</v>
      </c>
    </row>
    <row r="1733" spans="1:12" x14ac:dyDescent="0.3">
      <c r="A1733">
        <v>1732</v>
      </c>
      <c r="B1733" t="s">
        <v>1542</v>
      </c>
      <c r="C1733">
        <v>44691.433333333334</v>
      </c>
      <c r="D1733">
        <v>2022</v>
      </c>
      <c r="E1733" t="s">
        <v>1436</v>
      </c>
      <c r="F1733" t="s">
        <v>1655</v>
      </c>
      <c r="G1733" t="s">
        <v>229</v>
      </c>
      <c r="H1733" s="1" t="s">
        <v>1564</v>
      </c>
      <c r="I1733" t="s">
        <v>1586</v>
      </c>
      <c r="J1733" s="2">
        <v>1213700</v>
      </c>
      <c r="K1733" t="s">
        <v>59</v>
      </c>
      <c r="L1733" t="s">
        <v>1651</v>
      </c>
    </row>
    <row r="1734" spans="1:12" x14ac:dyDescent="0.3">
      <c r="A1734">
        <v>1733</v>
      </c>
      <c r="B1734" t="s">
        <v>50</v>
      </c>
      <c r="C1734">
        <v>44691.498611111114</v>
      </c>
      <c r="D1734">
        <v>2022</v>
      </c>
      <c r="E1734" t="s">
        <v>10</v>
      </c>
      <c r="F1734" t="s">
        <v>1559</v>
      </c>
      <c r="G1734" t="s">
        <v>62</v>
      </c>
      <c r="H1734" s="1" t="s">
        <v>1573</v>
      </c>
      <c r="I1734" t="s">
        <v>1591</v>
      </c>
      <c r="J1734" s="2">
        <v>1503920</v>
      </c>
      <c r="K1734" t="s">
        <v>12</v>
      </c>
      <c r="L1734" t="s">
        <v>1648</v>
      </c>
    </row>
    <row r="1735" spans="1:12" x14ac:dyDescent="0.3">
      <c r="A1735">
        <v>1734</v>
      </c>
      <c r="B1735" t="s">
        <v>50</v>
      </c>
      <c r="C1735">
        <v>44691.625</v>
      </c>
      <c r="D1735">
        <v>2022</v>
      </c>
      <c r="E1735" t="s">
        <v>1415</v>
      </c>
      <c r="F1735" t="s">
        <v>1559</v>
      </c>
      <c r="G1735" t="s">
        <v>62</v>
      </c>
      <c r="H1735" s="1" t="s">
        <v>1566</v>
      </c>
      <c r="I1735" t="s">
        <v>1591</v>
      </c>
      <c r="J1735" s="2">
        <v>4011916</v>
      </c>
      <c r="K1735" t="s">
        <v>12</v>
      </c>
      <c r="L1735" t="s">
        <v>1652</v>
      </c>
    </row>
    <row r="1736" spans="1:12" x14ac:dyDescent="0.3">
      <c r="A1736">
        <v>1735</v>
      </c>
      <c r="B1736" t="s">
        <v>1454</v>
      </c>
      <c r="C1736">
        <v>44692.689583333333</v>
      </c>
      <c r="D1736">
        <v>2022</v>
      </c>
      <c r="E1736" t="s">
        <v>1436</v>
      </c>
      <c r="F1736" t="s">
        <v>1559</v>
      </c>
      <c r="G1736" t="s">
        <v>44</v>
      </c>
      <c r="H1736" s="1" t="s">
        <v>1565</v>
      </c>
      <c r="I1736" t="s">
        <v>1454</v>
      </c>
      <c r="J1736" s="2">
        <v>2062407</v>
      </c>
      <c r="K1736" t="s">
        <v>121</v>
      </c>
      <c r="L1736" t="s">
        <v>1653</v>
      </c>
    </row>
    <row r="1737" spans="1:12" x14ac:dyDescent="0.3">
      <c r="A1737">
        <v>1736</v>
      </c>
      <c r="B1737" t="s">
        <v>1543</v>
      </c>
      <c r="C1737">
        <v>44693.47152777778</v>
      </c>
      <c r="D1737">
        <v>2022</v>
      </c>
      <c r="E1737" t="s">
        <v>1415</v>
      </c>
      <c r="F1737" t="s">
        <v>1559</v>
      </c>
      <c r="G1737" t="s">
        <v>15</v>
      </c>
      <c r="H1737" s="1" t="s">
        <v>1565</v>
      </c>
      <c r="I1737" t="s">
        <v>1579</v>
      </c>
      <c r="J1737" s="2">
        <v>3598403</v>
      </c>
      <c r="K1737" t="s">
        <v>12</v>
      </c>
      <c r="L1737" t="s">
        <v>1649</v>
      </c>
    </row>
    <row r="1738" spans="1:12" x14ac:dyDescent="0.3">
      <c r="A1738">
        <v>1737</v>
      </c>
      <c r="B1738" t="s">
        <v>1544</v>
      </c>
      <c r="C1738">
        <v>44693.680555555555</v>
      </c>
      <c r="D1738">
        <v>2022</v>
      </c>
      <c r="E1738" t="s">
        <v>1415</v>
      </c>
      <c r="F1738" t="s">
        <v>1559</v>
      </c>
      <c r="G1738" t="s">
        <v>591</v>
      </c>
      <c r="H1738" s="1" t="s">
        <v>1565</v>
      </c>
      <c r="I1738" t="s">
        <v>1579</v>
      </c>
      <c r="J1738" s="2">
        <v>2098621</v>
      </c>
      <c r="K1738" t="s">
        <v>12</v>
      </c>
      <c r="L1738" t="s">
        <v>1650</v>
      </c>
    </row>
    <row r="1739" spans="1:12" x14ac:dyDescent="0.3">
      <c r="A1739">
        <v>1738</v>
      </c>
      <c r="B1739" t="s">
        <v>1545</v>
      </c>
      <c r="C1739">
        <v>44693.711111111108</v>
      </c>
      <c r="D1739">
        <v>2022</v>
      </c>
      <c r="E1739" t="s">
        <v>1436</v>
      </c>
      <c r="F1739" t="s">
        <v>1559</v>
      </c>
      <c r="G1739" t="s">
        <v>15</v>
      </c>
      <c r="H1739" s="1" t="s">
        <v>1565</v>
      </c>
      <c r="I1739" t="s">
        <v>1579</v>
      </c>
      <c r="J1739" s="2">
        <v>1022931</v>
      </c>
      <c r="K1739" t="s">
        <v>12</v>
      </c>
      <c r="L1739" t="s">
        <v>1650</v>
      </c>
    </row>
    <row r="1740" spans="1:12" x14ac:dyDescent="0.3">
      <c r="A1740">
        <v>1739</v>
      </c>
      <c r="B1740" t="s">
        <v>1546</v>
      </c>
      <c r="C1740">
        <v>44694.407638888886</v>
      </c>
      <c r="D1740">
        <v>2022</v>
      </c>
      <c r="E1740" t="s">
        <v>1436</v>
      </c>
      <c r="F1740" t="s">
        <v>1559</v>
      </c>
      <c r="G1740" t="s">
        <v>15</v>
      </c>
      <c r="H1740" s="1" t="s">
        <v>1565</v>
      </c>
      <c r="I1740" t="s">
        <v>1579</v>
      </c>
      <c r="J1740" s="2">
        <v>2819288</v>
      </c>
      <c r="K1740" t="s">
        <v>12</v>
      </c>
      <c r="L1740" t="s">
        <v>1653</v>
      </c>
    </row>
    <row r="1741" spans="1:12" x14ac:dyDescent="0.3">
      <c r="A1741">
        <v>1740</v>
      </c>
      <c r="B1741" t="s">
        <v>1547</v>
      </c>
      <c r="C1741">
        <v>44694.444444444445</v>
      </c>
      <c r="D1741">
        <v>2022</v>
      </c>
      <c r="E1741" t="s">
        <v>1436</v>
      </c>
      <c r="F1741" t="s">
        <v>1655</v>
      </c>
      <c r="G1741" t="s">
        <v>44</v>
      </c>
      <c r="H1741" s="1" t="s">
        <v>1565</v>
      </c>
      <c r="I1741" t="s">
        <v>1622</v>
      </c>
      <c r="J1741" s="2">
        <v>1552838</v>
      </c>
      <c r="K1741" t="s">
        <v>121</v>
      </c>
      <c r="L1741" t="s">
        <v>1652</v>
      </c>
    </row>
    <row r="1742" spans="1:12" x14ac:dyDescent="0.3">
      <c r="A1742">
        <v>1741</v>
      </c>
      <c r="B1742" t="s">
        <v>1548</v>
      </c>
      <c r="C1742">
        <v>44694.651388888888</v>
      </c>
      <c r="D1742">
        <v>2022</v>
      </c>
      <c r="E1742" t="s">
        <v>1436</v>
      </c>
      <c r="F1742" t="s">
        <v>1561</v>
      </c>
      <c r="G1742" t="s">
        <v>23</v>
      </c>
      <c r="H1742" s="1" t="s">
        <v>1565</v>
      </c>
      <c r="I1742" t="s">
        <v>1579</v>
      </c>
      <c r="J1742" s="2">
        <v>4231930</v>
      </c>
      <c r="K1742" t="s">
        <v>12</v>
      </c>
      <c r="L1742" t="s">
        <v>1652</v>
      </c>
    </row>
    <row r="1743" spans="1:12" x14ac:dyDescent="0.3">
      <c r="A1743">
        <v>1742</v>
      </c>
      <c r="B1743" t="s">
        <v>1549</v>
      </c>
      <c r="C1743">
        <v>44697.366666666669</v>
      </c>
      <c r="D1743">
        <v>2022</v>
      </c>
      <c r="E1743" t="s">
        <v>1436</v>
      </c>
      <c r="F1743" t="s">
        <v>1655</v>
      </c>
      <c r="G1743" t="s">
        <v>15</v>
      </c>
      <c r="H1743" s="1" t="s">
        <v>1573</v>
      </c>
      <c r="I1743" t="s">
        <v>1587</v>
      </c>
      <c r="J1743" s="2">
        <v>3168282</v>
      </c>
      <c r="K1743" t="s">
        <v>12</v>
      </c>
      <c r="L1743" t="s">
        <v>1652</v>
      </c>
    </row>
  </sheetData>
  <autoFilter ref="A1:K1743" xr:uid="{DE606D68-111A-4D66-B8E5-EDE999095A6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4995-35A6-4CCC-96A9-86A50594EF62}">
  <dimension ref="A1:H28"/>
  <sheetViews>
    <sheetView zoomScale="85" zoomScaleNormal="85" workbookViewId="0">
      <selection activeCell="A14" sqref="A14"/>
    </sheetView>
  </sheetViews>
  <sheetFormatPr baseColWidth="10" defaultRowHeight="14.4" x14ac:dyDescent="0.3"/>
  <cols>
    <col min="1" max="1" width="20.6640625" customWidth="1"/>
    <col min="2" max="2" width="23.5546875" customWidth="1"/>
    <col min="3" max="3" width="35.6640625" customWidth="1"/>
    <col min="4" max="4" width="28.5546875" customWidth="1"/>
    <col min="5" max="5" width="36.5546875" customWidth="1"/>
    <col min="6" max="6" width="45.88671875" bestFit="1" customWidth="1"/>
    <col min="7" max="7" width="32.33203125" customWidth="1"/>
    <col min="8" max="8" width="57.6640625" bestFit="1" customWidth="1"/>
  </cols>
  <sheetData>
    <row r="1" spans="1:8" x14ac:dyDescent="0.3">
      <c r="A1" s="24" t="s">
        <v>7487</v>
      </c>
      <c r="B1" s="24" t="s">
        <v>7488</v>
      </c>
      <c r="C1" s="25" t="s">
        <v>7489</v>
      </c>
      <c r="D1" s="25" t="s">
        <v>7490</v>
      </c>
      <c r="E1" s="25" t="s">
        <v>7491</v>
      </c>
      <c r="F1" s="26" t="s">
        <v>7492</v>
      </c>
      <c r="G1" s="26" t="s">
        <v>7493</v>
      </c>
      <c r="H1" s="26" t="s">
        <v>7494</v>
      </c>
    </row>
    <row r="2" spans="1:8" x14ac:dyDescent="0.3">
      <c r="A2" s="27">
        <v>5626215</v>
      </c>
      <c r="B2" s="28" t="s">
        <v>1554</v>
      </c>
      <c r="C2" s="29" t="s">
        <v>7495</v>
      </c>
      <c r="D2" s="29" t="s">
        <v>7496</v>
      </c>
      <c r="E2" s="29" t="s">
        <v>7497</v>
      </c>
      <c r="F2" s="28" t="s">
        <v>7498</v>
      </c>
      <c r="G2" s="28" t="s">
        <v>7499</v>
      </c>
      <c r="H2" s="28" t="s">
        <v>7500</v>
      </c>
    </row>
    <row r="3" spans="1:8" x14ac:dyDescent="0.3">
      <c r="A3" s="27">
        <v>2392691</v>
      </c>
      <c r="B3" s="30" t="s">
        <v>1553</v>
      </c>
      <c r="C3" s="31" t="s">
        <v>7495</v>
      </c>
      <c r="D3" s="31" t="s">
        <v>7496</v>
      </c>
      <c r="E3" s="31" t="s">
        <v>7497</v>
      </c>
      <c r="F3" s="28" t="s">
        <v>7501</v>
      </c>
      <c r="G3" s="28" t="s">
        <v>7499</v>
      </c>
      <c r="H3" s="28" t="s">
        <v>7500</v>
      </c>
    </row>
    <row r="4" spans="1:8" x14ac:dyDescent="0.3">
      <c r="A4" s="27">
        <v>8619940</v>
      </c>
      <c r="B4" s="28" t="s">
        <v>1552</v>
      </c>
      <c r="C4" s="29" t="s">
        <v>7495</v>
      </c>
      <c r="D4" s="29" t="s">
        <v>7496</v>
      </c>
      <c r="E4" s="29" t="s">
        <v>7497</v>
      </c>
      <c r="F4" s="28" t="s">
        <v>7502</v>
      </c>
      <c r="G4" s="28" t="s">
        <v>7499</v>
      </c>
      <c r="H4" s="28" t="s">
        <v>7500</v>
      </c>
    </row>
    <row r="5" spans="1:8" x14ac:dyDescent="0.3">
      <c r="A5" s="27">
        <v>7640544</v>
      </c>
      <c r="B5" s="30" t="s">
        <v>20</v>
      </c>
      <c r="C5" s="31" t="s">
        <v>7503</v>
      </c>
      <c r="D5" s="31" t="s">
        <v>7496</v>
      </c>
      <c r="E5" s="31" t="s">
        <v>7497</v>
      </c>
      <c r="F5" s="28" t="s">
        <v>7504</v>
      </c>
      <c r="G5" s="28" t="s">
        <v>7499</v>
      </c>
      <c r="H5" s="28" t="s">
        <v>7505</v>
      </c>
    </row>
    <row r="6" spans="1:8" x14ac:dyDescent="0.3">
      <c r="A6" s="27">
        <v>3735863</v>
      </c>
      <c r="B6" s="28" t="s">
        <v>1555</v>
      </c>
      <c r="C6" s="29" t="s">
        <v>7506</v>
      </c>
      <c r="D6" s="29" t="s">
        <v>7507</v>
      </c>
      <c r="E6" s="29" t="s">
        <v>7508</v>
      </c>
      <c r="F6" s="28" t="s">
        <v>7509</v>
      </c>
      <c r="G6" s="28" t="s">
        <v>7499</v>
      </c>
      <c r="H6" s="28" t="s">
        <v>7505</v>
      </c>
    </row>
    <row r="7" spans="1:8" x14ac:dyDescent="0.3">
      <c r="A7" s="27">
        <v>2344570</v>
      </c>
      <c r="B7" s="30" t="s">
        <v>1556</v>
      </c>
      <c r="C7" s="31" t="s">
        <v>7506</v>
      </c>
      <c r="D7" s="31" t="s">
        <v>7507</v>
      </c>
      <c r="E7" s="31" t="s">
        <v>7508</v>
      </c>
      <c r="F7" s="28" t="s">
        <v>7510</v>
      </c>
      <c r="G7" s="28" t="s">
        <v>7499</v>
      </c>
      <c r="H7" s="30" t="s">
        <v>7505</v>
      </c>
    </row>
    <row r="8" spans="1:8" x14ac:dyDescent="0.3">
      <c r="A8" s="27">
        <v>3674398</v>
      </c>
      <c r="B8" s="28" t="s">
        <v>1557</v>
      </c>
      <c r="C8" s="29" t="s">
        <v>7506</v>
      </c>
      <c r="D8" s="29" t="s">
        <v>7511</v>
      </c>
      <c r="E8" s="29" t="s">
        <v>7512</v>
      </c>
      <c r="F8" s="28" t="s">
        <v>7513</v>
      </c>
      <c r="G8" s="28" t="s">
        <v>7499</v>
      </c>
      <c r="H8" s="28" t="s">
        <v>7514</v>
      </c>
    </row>
    <row r="9" spans="1:8" x14ac:dyDescent="0.3">
      <c r="A9" s="27">
        <v>7919706</v>
      </c>
      <c r="B9" s="30" t="s">
        <v>1561</v>
      </c>
      <c r="C9" s="31" t="s">
        <v>7495</v>
      </c>
      <c r="D9" s="31" t="s">
        <v>7496</v>
      </c>
      <c r="E9" s="31" t="s">
        <v>7497</v>
      </c>
      <c r="F9" s="28" t="s">
        <v>7515</v>
      </c>
      <c r="G9" s="28" t="s">
        <v>7499</v>
      </c>
      <c r="H9" s="28" t="s">
        <v>7514</v>
      </c>
    </row>
    <row r="10" spans="1:8" x14ac:dyDescent="0.3">
      <c r="A10" s="27">
        <v>1463333</v>
      </c>
      <c r="B10" s="28" t="s">
        <v>70</v>
      </c>
      <c r="C10" s="29" t="s">
        <v>7495</v>
      </c>
      <c r="D10" s="29" t="s">
        <v>7496</v>
      </c>
      <c r="E10" s="29" t="s">
        <v>7497</v>
      </c>
      <c r="F10" s="28" t="s">
        <v>7516</v>
      </c>
      <c r="G10" s="28" t="s">
        <v>7499</v>
      </c>
      <c r="H10" s="28" t="s">
        <v>7514</v>
      </c>
    </row>
    <row r="11" spans="1:8" x14ac:dyDescent="0.3">
      <c r="A11" s="27">
        <v>5132399</v>
      </c>
      <c r="B11" s="30" t="s">
        <v>29</v>
      </c>
      <c r="C11" s="31" t="s">
        <v>7506</v>
      </c>
      <c r="D11" s="31" t="s">
        <v>7517</v>
      </c>
      <c r="E11" s="31" t="s">
        <v>7508</v>
      </c>
      <c r="F11" s="28" t="s">
        <v>7518</v>
      </c>
      <c r="G11" s="28" t="s">
        <v>7499</v>
      </c>
      <c r="H11" s="28" t="s">
        <v>7514</v>
      </c>
    </row>
    <row r="12" spans="1:8" x14ac:dyDescent="0.3">
      <c r="A12" s="27">
        <v>5167138</v>
      </c>
      <c r="B12" s="28" t="s">
        <v>1558</v>
      </c>
      <c r="C12" s="29" t="s">
        <v>7506</v>
      </c>
      <c r="D12" s="29" t="s">
        <v>7517</v>
      </c>
      <c r="E12" s="29" t="s">
        <v>7508</v>
      </c>
      <c r="F12" s="28" t="s">
        <v>7519</v>
      </c>
      <c r="G12" s="28" t="s">
        <v>7499</v>
      </c>
      <c r="H12" s="28" t="s">
        <v>7514</v>
      </c>
    </row>
    <row r="13" spans="1:8" x14ac:dyDescent="0.3">
      <c r="A13" s="27">
        <v>8071056</v>
      </c>
      <c r="B13" s="30" t="s">
        <v>78</v>
      </c>
      <c r="C13" s="31" t="s">
        <v>7495</v>
      </c>
      <c r="D13" s="31" t="s">
        <v>7496</v>
      </c>
      <c r="E13" s="31" t="s">
        <v>7497</v>
      </c>
      <c r="F13" s="28" t="s">
        <v>7520</v>
      </c>
      <c r="G13" s="28" t="s">
        <v>7499</v>
      </c>
      <c r="H13" s="28" t="s">
        <v>7514</v>
      </c>
    </row>
    <row r="14" spans="1:8" x14ac:dyDescent="0.3">
      <c r="A14" s="27">
        <v>8090816</v>
      </c>
      <c r="B14" s="28" t="s">
        <v>82</v>
      </c>
      <c r="C14" s="29" t="s">
        <v>7506</v>
      </c>
      <c r="D14" s="29" t="s">
        <v>7507</v>
      </c>
      <c r="E14" s="29" t="s">
        <v>7508</v>
      </c>
      <c r="F14" s="28" t="s">
        <v>7521</v>
      </c>
      <c r="G14" s="28" t="s">
        <v>7499</v>
      </c>
      <c r="H14" s="28" t="s">
        <v>7522</v>
      </c>
    </row>
    <row r="15" spans="1:8" x14ac:dyDescent="0.3">
      <c r="A15" s="27">
        <v>3658578</v>
      </c>
      <c r="B15" s="30" t="s">
        <v>164</v>
      </c>
      <c r="C15" s="31" t="s">
        <v>7495</v>
      </c>
      <c r="D15" s="31" t="s">
        <v>7496</v>
      </c>
      <c r="E15" s="31" t="s">
        <v>7497</v>
      </c>
      <c r="F15" s="28" t="s">
        <v>7523</v>
      </c>
      <c r="G15" s="28" t="s">
        <v>7499</v>
      </c>
      <c r="H15" s="28" t="s">
        <v>7522</v>
      </c>
    </row>
    <row r="16" spans="1:8" x14ac:dyDescent="0.3">
      <c r="A16" s="27">
        <v>7228199</v>
      </c>
      <c r="B16" s="28" t="s">
        <v>48</v>
      </c>
      <c r="C16" s="29" t="s">
        <v>7506</v>
      </c>
      <c r="D16" s="29" t="s">
        <v>7507</v>
      </c>
      <c r="E16" s="29" t="s">
        <v>7508</v>
      </c>
      <c r="F16" s="28" t="s">
        <v>7524</v>
      </c>
      <c r="G16" s="28" t="s">
        <v>7499</v>
      </c>
      <c r="H16" s="28" t="s">
        <v>7522</v>
      </c>
    </row>
    <row r="17" spans="1:8" x14ac:dyDescent="0.3">
      <c r="A17" s="27">
        <v>2615311</v>
      </c>
      <c r="B17" s="30" t="s">
        <v>80</v>
      </c>
      <c r="C17" s="31" t="s">
        <v>7503</v>
      </c>
      <c r="D17" s="31" t="s">
        <v>7496</v>
      </c>
      <c r="E17" s="31" t="s">
        <v>7497</v>
      </c>
      <c r="F17" s="28" t="s">
        <v>7525</v>
      </c>
      <c r="G17" s="28" t="s">
        <v>7499</v>
      </c>
      <c r="H17" s="28" t="s">
        <v>7522</v>
      </c>
    </row>
    <row r="18" spans="1:8" x14ac:dyDescent="0.3">
      <c r="A18" s="27">
        <v>4860023</v>
      </c>
      <c r="B18" s="28" t="s">
        <v>231</v>
      </c>
      <c r="C18" s="29" t="s">
        <v>7495</v>
      </c>
      <c r="D18" s="29" t="s">
        <v>7496</v>
      </c>
      <c r="E18" s="29" t="s">
        <v>7497</v>
      </c>
      <c r="F18" s="28" t="s">
        <v>7526</v>
      </c>
      <c r="G18" s="28" t="s">
        <v>7499</v>
      </c>
      <c r="H18" s="28" t="s">
        <v>7522</v>
      </c>
    </row>
    <row r="19" spans="1:8" x14ac:dyDescent="0.3">
      <c r="A19" s="27">
        <v>6399710</v>
      </c>
      <c r="B19" s="30" t="s">
        <v>1654</v>
      </c>
      <c r="C19" s="31" t="s">
        <v>7495</v>
      </c>
      <c r="D19" s="31" t="s">
        <v>7496</v>
      </c>
      <c r="E19" s="31" t="s">
        <v>7497</v>
      </c>
      <c r="F19" s="28" t="s">
        <v>7527</v>
      </c>
      <c r="G19" s="28" t="s">
        <v>7499</v>
      </c>
      <c r="H19" s="30" t="s">
        <v>7528</v>
      </c>
    </row>
    <row r="20" spans="1:8" x14ac:dyDescent="0.3">
      <c r="A20" s="27">
        <v>2728842</v>
      </c>
      <c r="B20" s="28" t="s">
        <v>1559</v>
      </c>
      <c r="C20" s="29" t="s">
        <v>7495</v>
      </c>
      <c r="D20" s="29" t="s">
        <v>7496</v>
      </c>
      <c r="E20" s="29" t="s">
        <v>7497</v>
      </c>
      <c r="F20" s="28" t="s">
        <v>7529</v>
      </c>
      <c r="G20" s="28" t="s">
        <v>7499</v>
      </c>
      <c r="H20" s="30" t="s">
        <v>7528</v>
      </c>
    </row>
    <row r="21" spans="1:8" x14ac:dyDescent="0.3">
      <c r="A21" s="27">
        <v>7164753</v>
      </c>
      <c r="B21" s="30" t="s">
        <v>391</v>
      </c>
      <c r="C21" s="31" t="s">
        <v>7495</v>
      </c>
      <c r="D21" s="31" t="s">
        <v>7496</v>
      </c>
      <c r="E21" s="31" t="s">
        <v>7497</v>
      </c>
      <c r="F21" s="28" t="s">
        <v>7530</v>
      </c>
      <c r="G21" s="28" t="s">
        <v>7499</v>
      </c>
      <c r="H21" s="30" t="s">
        <v>7531</v>
      </c>
    </row>
    <row r="22" spans="1:8" x14ac:dyDescent="0.3">
      <c r="A22" s="27">
        <v>3682104</v>
      </c>
      <c r="B22" s="28" t="s">
        <v>590</v>
      </c>
      <c r="C22" s="29" t="s">
        <v>7506</v>
      </c>
      <c r="D22" s="29" t="s">
        <v>7517</v>
      </c>
      <c r="E22" s="29" t="s">
        <v>7512</v>
      </c>
      <c r="F22" s="28" t="s">
        <v>7532</v>
      </c>
      <c r="G22" s="28" t="s">
        <v>7499</v>
      </c>
      <c r="H22" s="28" t="s">
        <v>7533</v>
      </c>
    </row>
    <row r="23" spans="1:8" x14ac:dyDescent="0.3">
      <c r="A23" s="27">
        <v>5667110</v>
      </c>
      <c r="B23" s="30" t="s">
        <v>414</v>
      </c>
      <c r="C23" s="31" t="s">
        <v>7503</v>
      </c>
      <c r="D23" s="31" t="s">
        <v>7496</v>
      </c>
      <c r="E23" s="31" t="s">
        <v>7497</v>
      </c>
      <c r="F23" s="28" t="s">
        <v>7534</v>
      </c>
      <c r="G23" s="28" t="s">
        <v>7499</v>
      </c>
      <c r="H23" s="30" t="s">
        <v>7535</v>
      </c>
    </row>
    <row r="24" spans="1:8" x14ac:dyDescent="0.3">
      <c r="A24" s="27">
        <v>8928051</v>
      </c>
      <c r="B24" s="28" t="s">
        <v>1032</v>
      </c>
      <c r="C24" s="29" t="s">
        <v>7503</v>
      </c>
      <c r="D24" s="29" t="s">
        <v>7496</v>
      </c>
      <c r="E24" s="29" t="s">
        <v>7497</v>
      </c>
      <c r="F24" s="28" t="s">
        <v>7536</v>
      </c>
      <c r="G24" s="28" t="s">
        <v>7499</v>
      </c>
      <c r="H24" s="28" t="s">
        <v>7537</v>
      </c>
    </row>
    <row r="25" spans="1:8" x14ac:dyDescent="0.3">
      <c r="A25" s="27">
        <v>6158103</v>
      </c>
      <c r="B25" s="30" t="s">
        <v>874</v>
      </c>
      <c r="C25" s="31" t="s">
        <v>7503</v>
      </c>
      <c r="D25" s="31" t="s">
        <v>7496</v>
      </c>
      <c r="E25" s="31" t="s">
        <v>7497</v>
      </c>
      <c r="F25" s="28" t="s">
        <v>7538</v>
      </c>
      <c r="G25" s="28" t="s">
        <v>7499</v>
      </c>
      <c r="H25" s="30" t="s">
        <v>7539</v>
      </c>
    </row>
    <row r="26" spans="1:8" x14ac:dyDescent="0.3">
      <c r="A26" s="27">
        <v>9999638</v>
      </c>
      <c r="B26" s="28" t="s">
        <v>1560</v>
      </c>
      <c r="C26" s="29" t="s">
        <v>7503</v>
      </c>
      <c r="D26" s="29" t="s">
        <v>7496</v>
      </c>
      <c r="E26" s="29" t="s">
        <v>7497</v>
      </c>
      <c r="F26" s="28" t="s">
        <v>7540</v>
      </c>
      <c r="G26" s="28" t="s">
        <v>7499</v>
      </c>
      <c r="H26" s="28" t="s">
        <v>7541</v>
      </c>
    </row>
    <row r="27" spans="1:8" x14ac:dyDescent="0.3">
      <c r="A27" s="27">
        <v>1872570</v>
      </c>
      <c r="B27" s="30" t="s">
        <v>1655</v>
      </c>
      <c r="C27" s="31" t="s">
        <v>7503</v>
      </c>
      <c r="D27" s="31" t="s">
        <v>7496</v>
      </c>
      <c r="E27" s="31" t="s">
        <v>7497</v>
      </c>
      <c r="F27" s="30" t="s">
        <v>7542</v>
      </c>
      <c r="G27" s="28" t="s">
        <v>7499</v>
      </c>
      <c r="H27" s="30" t="s">
        <v>7543</v>
      </c>
    </row>
    <row r="28" spans="1:8" x14ac:dyDescent="0.3">
      <c r="A28" s="27">
        <v>7257137</v>
      </c>
      <c r="B28" s="28" t="s">
        <v>1403</v>
      </c>
      <c r="C28" s="29" t="s">
        <v>7495</v>
      </c>
      <c r="D28" s="29" t="s">
        <v>7496</v>
      </c>
      <c r="E28" s="29" t="s">
        <v>7497</v>
      </c>
      <c r="F28" s="28" t="s">
        <v>7544</v>
      </c>
      <c r="G28" s="28" t="s">
        <v>7499</v>
      </c>
      <c r="H28" s="28" t="s">
        <v>7545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05319-1ED5-4C9D-BDEE-03F2DF574297}">
  <dimension ref="A1:C7"/>
  <sheetViews>
    <sheetView workbookViewId="0">
      <selection activeCell="A2" sqref="A2"/>
    </sheetView>
  </sheetViews>
  <sheetFormatPr baseColWidth="10" defaultRowHeight="14.4" x14ac:dyDescent="0.3"/>
  <cols>
    <col min="2" max="2" width="18.33203125" bestFit="1" customWidth="1"/>
  </cols>
  <sheetData>
    <row r="1" spans="1:3" x14ac:dyDescent="0.3">
      <c r="A1" t="s">
        <v>1645</v>
      </c>
      <c r="B1" t="s">
        <v>1646</v>
      </c>
      <c r="C1" t="s">
        <v>1647</v>
      </c>
    </row>
    <row r="2" spans="1:3" x14ac:dyDescent="0.3">
      <c r="A2" t="s">
        <v>1648</v>
      </c>
      <c r="B2" s="3">
        <v>4.89048646027027</v>
      </c>
      <c r="C2">
        <v>-74.032415476088204</v>
      </c>
    </row>
    <row r="3" spans="1:3" x14ac:dyDescent="0.3">
      <c r="A3" t="s">
        <v>1649</v>
      </c>
      <c r="B3">
        <v>4.7044494926706504</v>
      </c>
      <c r="C3">
        <v>-74.0466969749383</v>
      </c>
    </row>
    <row r="4" spans="1:3" x14ac:dyDescent="0.3">
      <c r="A4" t="s">
        <v>1650</v>
      </c>
      <c r="B4">
        <v>4.6982904756415103</v>
      </c>
      <c r="C4">
        <v>-74.100598650097496</v>
      </c>
    </row>
    <row r="5" spans="1:3" x14ac:dyDescent="0.3">
      <c r="A5" t="s">
        <v>1651</v>
      </c>
      <c r="B5">
        <v>4.60933460269906</v>
      </c>
      <c r="C5">
        <v>-74.1909462516291</v>
      </c>
    </row>
    <row r="6" spans="1:3" x14ac:dyDescent="0.3">
      <c r="A6" t="s">
        <v>1652</v>
      </c>
      <c r="B6">
        <v>4.5788061666638997</v>
      </c>
      <c r="C6">
        <v>-74.130285716217799</v>
      </c>
    </row>
    <row r="7" spans="1:3" x14ac:dyDescent="0.3">
      <c r="A7" t="s">
        <v>1653</v>
      </c>
      <c r="B7">
        <v>4.5843137063484303</v>
      </c>
      <c r="C7">
        <v>-74.212102475606102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1DE1C-B506-4125-BC97-53486F4CC1B9}">
  <dimension ref="B1:H471"/>
  <sheetViews>
    <sheetView showGridLines="0" zoomScale="70" zoomScaleNormal="70" workbookViewId="0">
      <selection activeCell="B12" sqref="B12"/>
    </sheetView>
  </sheetViews>
  <sheetFormatPr baseColWidth="10" defaultColWidth="15.6640625" defaultRowHeight="14.4" x14ac:dyDescent="0.3"/>
  <cols>
    <col min="1" max="1" width="4.88671875" customWidth="1"/>
    <col min="6" max="6" width="18.5546875" customWidth="1"/>
  </cols>
  <sheetData>
    <row r="1" spans="2:6" x14ac:dyDescent="0.3">
      <c r="B1" s="32" t="s">
        <v>7547</v>
      </c>
      <c r="C1" s="33"/>
      <c r="D1" s="33"/>
      <c r="E1" s="33"/>
    </row>
    <row r="2" spans="2:6" x14ac:dyDescent="0.3">
      <c r="B2" s="4" t="s">
        <v>1656</v>
      </c>
      <c r="C2" s="5" t="s">
        <v>1657</v>
      </c>
      <c r="D2" s="5" t="s">
        <v>1658</v>
      </c>
      <c r="E2" s="6" t="s">
        <v>1659</v>
      </c>
      <c r="F2" s="7" t="s">
        <v>7546</v>
      </c>
    </row>
    <row r="3" spans="2:6" x14ac:dyDescent="0.3">
      <c r="B3" s="8" t="s">
        <v>1653</v>
      </c>
      <c r="C3" s="8" t="s">
        <v>1660</v>
      </c>
      <c r="D3" s="9">
        <v>43466</v>
      </c>
      <c r="E3" s="10">
        <v>494660</v>
      </c>
      <c r="F3" s="11">
        <f>+Tabla2[[#This Row],[CONSUMO $]]/2500</f>
        <v>197.864</v>
      </c>
    </row>
    <row r="4" spans="2:6" x14ac:dyDescent="0.3">
      <c r="B4" s="8" t="s">
        <v>1652</v>
      </c>
      <c r="C4" s="8" t="s">
        <v>1661</v>
      </c>
      <c r="D4" s="9">
        <v>43466</v>
      </c>
      <c r="E4" s="10">
        <v>411170</v>
      </c>
      <c r="F4" s="11">
        <f>+Tabla2[[#This Row],[CONSUMO $]]/2500</f>
        <v>164.46799999999999</v>
      </c>
    </row>
    <row r="5" spans="2:6" x14ac:dyDescent="0.3">
      <c r="B5" s="8" t="s">
        <v>1651</v>
      </c>
      <c r="C5" s="8" t="s">
        <v>1662</v>
      </c>
      <c r="D5" s="9">
        <v>43466</v>
      </c>
      <c r="E5" s="10">
        <v>7810</v>
      </c>
      <c r="F5" s="11">
        <f>+Tabla2[[#This Row],[CONSUMO $]]/2500</f>
        <v>3.1240000000000001</v>
      </c>
    </row>
    <row r="6" spans="2:6" x14ac:dyDescent="0.3">
      <c r="B6" s="8" t="s">
        <v>1650</v>
      </c>
      <c r="C6" s="8" t="s">
        <v>1663</v>
      </c>
      <c r="D6" s="9">
        <v>43466</v>
      </c>
      <c r="E6" s="10">
        <v>506420</v>
      </c>
      <c r="F6" s="11">
        <f>+Tabla2[[#This Row],[CONSUMO $]]/2500</f>
        <v>202.56800000000001</v>
      </c>
    </row>
    <row r="7" spans="2:6" x14ac:dyDescent="0.3">
      <c r="B7" s="8" t="s">
        <v>1649</v>
      </c>
      <c r="C7" s="8" t="s">
        <v>1664</v>
      </c>
      <c r="D7" s="9">
        <v>43466</v>
      </c>
      <c r="E7" s="10">
        <v>96290</v>
      </c>
      <c r="F7" s="11">
        <f>+Tabla2[[#This Row],[CONSUMO $]]/2500</f>
        <v>38.515999999999998</v>
      </c>
    </row>
    <row r="8" spans="2:6" x14ac:dyDescent="0.3">
      <c r="B8" s="8" t="s">
        <v>1648</v>
      </c>
      <c r="C8" s="8" t="s">
        <v>1668</v>
      </c>
      <c r="D8" s="9">
        <v>43466</v>
      </c>
      <c r="E8" s="10">
        <v>74350</v>
      </c>
      <c r="F8" s="11">
        <f>+Tabla2[[#This Row],[CONSUMO $]]/2500</f>
        <v>29.74</v>
      </c>
    </row>
    <row r="9" spans="2:6" x14ac:dyDescent="0.3">
      <c r="B9" s="8" t="s">
        <v>1648</v>
      </c>
      <c r="C9" s="8" t="s">
        <v>1667</v>
      </c>
      <c r="D9" s="9">
        <v>43466</v>
      </c>
      <c r="E9" s="10">
        <v>982130</v>
      </c>
      <c r="F9" s="11">
        <f>+Tabla2[[#This Row],[CONSUMO $]]/2500</f>
        <v>392.85199999999998</v>
      </c>
    </row>
    <row r="10" spans="2:6" x14ac:dyDescent="0.3">
      <c r="B10" s="8" t="s">
        <v>1648</v>
      </c>
      <c r="C10" s="8" t="s">
        <v>1669</v>
      </c>
      <c r="D10" s="9">
        <v>43466</v>
      </c>
      <c r="E10" s="10">
        <v>3929140</v>
      </c>
      <c r="F10" s="11">
        <f>+Tabla2[[#This Row],[CONSUMO $]]/2500</f>
        <v>1571.6559999999999</v>
      </c>
    </row>
    <row r="11" spans="2:6" x14ac:dyDescent="0.3">
      <c r="B11" s="8" t="s">
        <v>1649</v>
      </c>
      <c r="C11" s="8" t="s">
        <v>1665</v>
      </c>
      <c r="D11" s="9">
        <v>43466</v>
      </c>
      <c r="E11" s="10">
        <v>0</v>
      </c>
      <c r="F11" s="11">
        <f>+Tabla2[[#This Row],[CONSUMO $]]/2500</f>
        <v>0</v>
      </c>
    </row>
    <row r="12" spans="2:6" x14ac:dyDescent="0.3">
      <c r="B12" s="8" t="s">
        <v>1653</v>
      </c>
      <c r="C12" s="8" t="s">
        <v>1660</v>
      </c>
      <c r="D12" s="9">
        <v>43497</v>
      </c>
      <c r="E12" s="10">
        <v>671930</v>
      </c>
      <c r="F12" s="11">
        <f>+Tabla2[[#This Row],[CONSUMO $]]/2500</f>
        <v>268.77199999999999</v>
      </c>
    </row>
    <row r="13" spans="2:6" x14ac:dyDescent="0.3">
      <c r="B13" s="8" t="s">
        <v>1652</v>
      </c>
      <c r="C13" s="8" t="s">
        <v>1661</v>
      </c>
      <c r="D13" s="9">
        <v>43497</v>
      </c>
      <c r="E13" s="10">
        <v>440720</v>
      </c>
      <c r="F13" s="11">
        <f>+Tabla2[[#This Row],[CONSUMO $]]/2500</f>
        <v>176.28800000000001</v>
      </c>
    </row>
    <row r="14" spans="2:6" x14ac:dyDescent="0.3">
      <c r="B14" s="8" t="s">
        <v>1651</v>
      </c>
      <c r="C14" s="8" t="s">
        <v>1662</v>
      </c>
      <c r="D14" s="9">
        <v>43497</v>
      </c>
      <c r="E14" s="10">
        <v>52480</v>
      </c>
      <c r="F14" s="11">
        <f>+Tabla2[[#This Row],[CONSUMO $]]/2500</f>
        <v>20.992000000000001</v>
      </c>
    </row>
    <row r="15" spans="2:6" x14ac:dyDescent="0.3">
      <c r="B15" s="8" t="s">
        <v>1650</v>
      </c>
      <c r="C15" s="8" t="s">
        <v>1663</v>
      </c>
      <c r="D15" s="9">
        <v>43497</v>
      </c>
      <c r="E15" s="10">
        <v>395370</v>
      </c>
      <c r="F15" s="11">
        <f>+Tabla2[[#This Row],[CONSUMO $]]/2500</f>
        <v>158.148</v>
      </c>
    </row>
    <row r="16" spans="2:6" x14ac:dyDescent="0.3">
      <c r="B16" s="8" t="s">
        <v>1649</v>
      </c>
      <c r="C16" s="8" t="s">
        <v>1664</v>
      </c>
      <c r="D16" s="9">
        <v>43497</v>
      </c>
      <c r="E16" s="10">
        <v>356140</v>
      </c>
      <c r="F16" s="11">
        <f>+Tabla2[[#This Row],[CONSUMO $]]/2500</f>
        <v>142.45599999999999</v>
      </c>
    </row>
    <row r="17" spans="2:6" x14ac:dyDescent="0.3">
      <c r="B17" s="8" t="s">
        <v>1648</v>
      </c>
      <c r="C17" s="8" t="s">
        <v>1668</v>
      </c>
      <c r="D17" s="9">
        <v>43497</v>
      </c>
      <c r="E17" s="10">
        <v>109030</v>
      </c>
      <c r="F17" s="11">
        <f>+Tabla2[[#This Row],[CONSUMO $]]/2500</f>
        <v>43.612000000000002</v>
      </c>
    </row>
    <row r="18" spans="2:6" x14ac:dyDescent="0.3">
      <c r="B18" s="8" t="s">
        <v>1648</v>
      </c>
      <c r="C18" s="8" t="s">
        <v>1667</v>
      </c>
      <c r="D18" s="9">
        <v>43497</v>
      </c>
      <c r="E18" s="10">
        <v>948690</v>
      </c>
      <c r="F18" s="11">
        <f>+Tabla2[[#This Row],[CONSUMO $]]/2500</f>
        <v>379.476</v>
      </c>
    </row>
    <row r="19" spans="2:6" x14ac:dyDescent="0.3">
      <c r="B19" s="8" t="s">
        <v>1648</v>
      </c>
      <c r="C19" s="8" t="s">
        <v>1669</v>
      </c>
      <c r="D19" s="9">
        <v>43497</v>
      </c>
      <c r="E19" s="10">
        <v>3908090</v>
      </c>
      <c r="F19" s="11">
        <f>+Tabla2[[#This Row],[CONSUMO $]]/2500</f>
        <v>1563.2360000000001</v>
      </c>
    </row>
    <row r="20" spans="2:6" x14ac:dyDescent="0.3">
      <c r="B20" s="8" t="s">
        <v>1649</v>
      </c>
      <c r="C20" s="8" t="s">
        <v>1665</v>
      </c>
      <c r="D20" s="9">
        <v>43497</v>
      </c>
      <c r="E20" s="10">
        <v>0</v>
      </c>
      <c r="F20" s="11">
        <f>+Tabla2[[#This Row],[CONSUMO $]]/2500</f>
        <v>0</v>
      </c>
    </row>
    <row r="21" spans="2:6" x14ac:dyDescent="0.3">
      <c r="B21" s="8" t="s">
        <v>1653</v>
      </c>
      <c r="C21" s="8" t="s">
        <v>1660</v>
      </c>
      <c r="D21" s="9">
        <v>43525</v>
      </c>
      <c r="E21" s="10">
        <v>666420</v>
      </c>
      <c r="F21" s="11">
        <f>+Tabla2[[#This Row],[CONSUMO $]]/2500</f>
        <v>266.56799999999998</v>
      </c>
    </row>
    <row r="22" spans="2:6" x14ac:dyDescent="0.3">
      <c r="B22" s="8" t="s">
        <v>1652</v>
      </c>
      <c r="C22" s="8" t="s">
        <v>1661</v>
      </c>
      <c r="D22" s="9">
        <v>43525</v>
      </c>
      <c r="E22" s="10">
        <v>707850</v>
      </c>
      <c r="F22" s="11">
        <f>+Tabla2[[#This Row],[CONSUMO $]]/2500</f>
        <v>283.14</v>
      </c>
    </row>
    <row r="23" spans="2:6" x14ac:dyDescent="0.3">
      <c r="B23" s="8" t="s">
        <v>1651</v>
      </c>
      <c r="C23" s="8" t="s">
        <v>1662</v>
      </c>
      <c r="D23" s="9">
        <v>43525</v>
      </c>
      <c r="E23" s="10">
        <v>94130</v>
      </c>
      <c r="F23" s="11">
        <f>+Tabla2[[#This Row],[CONSUMO $]]/2500</f>
        <v>37.652000000000001</v>
      </c>
    </row>
    <row r="24" spans="2:6" x14ac:dyDescent="0.3">
      <c r="B24" s="8" t="s">
        <v>1650</v>
      </c>
      <c r="C24" s="8" t="s">
        <v>1663</v>
      </c>
      <c r="D24" s="9">
        <v>43525</v>
      </c>
      <c r="E24" s="10">
        <v>413180</v>
      </c>
      <c r="F24" s="11">
        <f>+Tabla2[[#This Row],[CONSUMO $]]/2500</f>
        <v>165.27199999999999</v>
      </c>
    </row>
    <row r="25" spans="2:6" x14ac:dyDescent="0.3">
      <c r="B25" s="8" t="s">
        <v>1649</v>
      </c>
      <c r="C25" s="8" t="s">
        <v>1664</v>
      </c>
      <c r="D25" s="9">
        <v>43525</v>
      </c>
      <c r="E25" s="10">
        <v>408820</v>
      </c>
      <c r="F25" s="11">
        <f>+Tabla2[[#This Row],[CONSUMO $]]/2500</f>
        <v>163.52799999999999</v>
      </c>
    </row>
    <row r="26" spans="2:6" x14ac:dyDescent="0.3">
      <c r="B26" s="8" t="s">
        <v>1648</v>
      </c>
      <c r="C26" s="8" t="s">
        <v>1668</v>
      </c>
      <c r="D26" s="9">
        <v>43525</v>
      </c>
      <c r="E26" s="10">
        <v>124740</v>
      </c>
      <c r="F26" s="11">
        <f>+Tabla2[[#This Row],[CONSUMO $]]/2500</f>
        <v>49.896000000000001</v>
      </c>
    </row>
    <row r="27" spans="2:6" x14ac:dyDescent="0.3">
      <c r="B27" s="8" t="s">
        <v>1648</v>
      </c>
      <c r="C27" s="8" t="s">
        <v>1667</v>
      </c>
      <c r="D27" s="9">
        <v>43525</v>
      </c>
      <c r="E27" s="10">
        <v>1153740</v>
      </c>
      <c r="F27" s="11">
        <f>+Tabla2[[#This Row],[CONSUMO $]]/2500</f>
        <v>461.49599999999998</v>
      </c>
    </row>
    <row r="28" spans="2:6" x14ac:dyDescent="0.3">
      <c r="B28" s="8" t="s">
        <v>1648</v>
      </c>
      <c r="C28" s="8" t="s">
        <v>1669</v>
      </c>
      <c r="D28" s="9">
        <v>43525</v>
      </c>
      <c r="E28" s="10">
        <v>4553580</v>
      </c>
      <c r="F28" s="11">
        <f>+Tabla2[[#This Row],[CONSUMO $]]/2500</f>
        <v>1821.432</v>
      </c>
    </row>
    <row r="29" spans="2:6" x14ac:dyDescent="0.3">
      <c r="B29" s="8" t="s">
        <v>1649</v>
      </c>
      <c r="C29" s="8" t="s">
        <v>1665</v>
      </c>
      <c r="D29" s="9">
        <v>43525</v>
      </c>
      <c r="E29" s="10">
        <v>0</v>
      </c>
      <c r="F29" s="11">
        <f>+Tabla2[[#This Row],[CONSUMO $]]/2500</f>
        <v>0</v>
      </c>
    </row>
    <row r="30" spans="2:6" x14ac:dyDescent="0.3">
      <c r="B30" s="8" t="s">
        <v>1653</v>
      </c>
      <c r="C30" s="8" t="s">
        <v>1660</v>
      </c>
      <c r="D30" s="9">
        <v>43556</v>
      </c>
      <c r="E30" s="10">
        <v>797100</v>
      </c>
      <c r="F30" s="11">
        <f>+Tabla2[[#This Row],[CONSUMO $]]/2500</f>
        <v>318.83999999999997</v>
      </c>
    </row>
    <row r="31" spans="2:6" x14ac:dyDescent="0.3">
      <c r="B31" s="8" t="s">
        <v>1652</v>
      </c>
      <c r="C31" s="8" t="s">
        <v>1661</v>
      </c>
      <c r="D31" s="9">
        <v>43556</v>
      </c>
      <c r="E31" s="10">
        <v>934850</v>
      </c>
      <c r="F31" s="11">
        <f>+Tabla2[[#This Row],[CONSUMO $]]/2500</f>
        <v>373.94</v>
      </c>
    </row>
    <row r="32" spans="2:6" x14ac:dyDescent="0.3">
      <c r="B32" s="8" t="s">
        <v>1651</v>
      </c>
      <c r="C32" s="8" t="s">
        <v>1662</v>
      </c>
      <c r="D32" s="9">
        <v>43556</v>
      </c>
      <c r="E32" s="10">
        <v>0</v>
      </c>
      <c r="F32" s="11">
        <f>+Tabla2[[#This Row],[CONSUMO $]]/2500</f>
        <v>0</v>
      </c>
    </row>
    <row r="33" spans="2:6" x14ac:dyDescent="0.3">
      <c r="B33" s="8" t="s">
        <v>1650</v>
      </c>
      <c r="C33" s="8" t="s">
        <v>1663</v>
      </c>
      <c r="D33" s="9">
        <v>43556</v>
      </c>
      <c r="E33" s="10">
        <v>570150</v>
      </c>
      <c r="F33" s="11">
        <f>+Tabla2[[#This Row],[CONSUMO $]]/2500</f>
        <v>228.06</v>
      </c>
    </row>
    <row r="34" spans="2:6" x14ac:dyDescent="0.3">
      <c r="B34" s="8" t="s">
        <v>1649</v>
      </c>
      <c r="C34" s="8" t="s">
        <v>1664</v>
      </c>
      <c r="D34" s="9">
        <v>43556</v>
      </c>
      <c r="E34" s="10">
        <v>534310</v>
      </c>
      <c r="F34" s="11">
        <f>+Tabla2[[#This Row],[CONSUMO $]]/2500</f>
        <v>213.72399999999999</v>
      </c>
    </row>
    <row r="35" spans="2:6" x14ac:dyDescent="0.3">
      <c r="B35" s="8" t="s">
        <v>1648</v>
      </c>
      <c r="C35" s="8" t="s">
        <v>1668</v>
      </c>
      <c r="D35" s="9">
        <v>43556</v>
      </c>
      <c r="E35" s="10">
        <v>165590</v>
      </c>
      <c r="F35" s="11">
        <f>+Tabla2[[#This Row],[CONSUMO $]]/2500</f>
        <v>66.236000000000004</v>
      </c>
    </row>
    <row r="36" spans="2:6" x14ac:dyDescent="0.3">
      <c r="B36" s="8" t="s">
        <v>1648</v>
      </c>
      <c r="C36" s="8" t="s">
        <v>1667</v>
      </c>
      <c r="D36" s="9">
        <v>43556</v>
      </c>
      <c r="E36" s="10">
        <v>1500810</v>
      </c>
      <c r="F36" s="11">
        <f>+Tabla2[[#This Row],[CONSUMO $]]/2500</f>
        <v>600.32399999999996</v>
      </c>
    </row>
    <row r="37" spans="2:6" x14ac:dyDescent="0.3">
      <c r="B37" s="8" t="s">
        <v>1648</v>
      </c>
      <c r="C37" s="8" t="s">
        <v>1669</v>
      </c>
      <c r="D37" s="9">
        <v>43556</v>
      </c>
      <c r="E37" s="10">
        <v>5775050</v>
      </c>
      <c r="F37" s="11">
        <f>+Tabla2[[#This Row],[CONSUMO $]]/2500</f>
        <v>2310.02</v>
      </c>
    </row>
    <row r="38" spans="2:6" x14ac:dyDescent="0.3">
      <c r="B38" s="8" t="s">
        <v>1649</v>
      </c>
      <c r="C38" s="8" t="s">
        <v>1665</v>
      </c>
      <c r="D38" s="9">
        <v>43556</v>
      </c>
      <c r="E38" s="10">
        <v>0</v>
      </c>
      <c r="F38" s="11">
        <f>+Tabla2[[#This Row],[CONSUMO $]]/2500</f>
        <v>0</v>
      </c>
    </row>
    <row r="39" spans="2:6" x14ac:dyDescent="0.3">
      <c r="B39" s="8" t="s">
        <v>1653</v>
      </c>
      <c r="C39" s="8" t="s">
        <v>1660</v>
      </c>
      <c r="D39" s="9">
        <v>43586</v>
      </c>
      <c r="E39" s="10">
        <v>678860</v>
      </c>
      <c r="F39" s="11">
        <f>+Tabla2[[#This Row],[CONSUMO $]]/2500</f>
        <v>271.54399999999998</v>
      </c>
    </row>
    <row r="40" spans="2:6" x14ac:dyDescent="0.3">
      <c r="B40" s="8" t="s">
        <v>1652</v>
      </c>
      <c r="C40" s="8" t="s">
        <v>1661</v>
      </c>
      <c r="D40" s="9">
        <v>43586</v>
      </c>
      <c r="E40" s="10">
        <v>839760</v>
      </c>
      <c r="F40" s="11">
        <f>+Tabla2[[#This Row],[CONSUMO $]]/2500</f>
        <v>335.904</v>
      </c>
    </row>
    <row r="41" spans="2:6" x14ac:dyDescent="0.3">
      <c r="B41" s="8" t="s">
        <v>1651</v>
      </c>
      <c r="C41" s="8" t="s">
        <v>1662</v>
      </c>
      <c r="D41" s="9">
        <v>43586</v>
      </c>
      <c r="E41" s="10">
        <v>0</v>
      </c>
      <c r="F41" s="11">
        <f>+Tabla2[[#This Row],[CONSUMO $]]/2500</f>
        <v>0</v>
      </c>
    </row>
    <row r="42" spans="2:6" x14ac:dyDescent="0.3">
      <c r="B42" s="8" t="s">
        <v>1650</v>
      </c>
      <c r="C42" s="8" t="s">
        <v>1663</v>
      </c>
      <c r="D42" s="9">
        <v>43586</v>
      </c>
      <c r="E42" s="10">
        <v>529310</v>
      </c>
      <c r="F42" s="11">
        <f>+Tabla2[[#This Row],[CONSUMO $]]/2500</f>
        <v>211.72399999999999</v>
      </c>
    </row>
    <row r="43" spans="2:6" x14ac:dyDescent="0.3">
      <c r="B43" s="8" t="s">
        <v>1649</v>
      </c>
      <c r="C43" s="8" t="s">
        <v>1664</v>
      </c>
      <c r="D43" s="9">
        <v>43586</v>
      </c>
      <c r="E43" s="10">
        <v>478910</v>
      </c>
      <c r="F43" s="11">
        <f>+Tabla2[[#This Row],[CONSUMO $]]/2500</f>
        <v>191.56399999999999</v>
      </c>
    </row>
    <row r="44" spans="2:6" x14ac:dyDescent="0.3">
      <c r="B44" s="8" t="s">
        <v>1648</v>
      </c>
      <c r="C44" s="8" t="s">
        <v>1668</v>
      </c>
      <c r="D44" s="9">
        <v>43586</v>
      </c>
      <c r="E44" s="10">
        <v>138040</v>
      </c>
      <c r="F44" s="11">
        <f>+Tabla2[[#This Row],[CONSUMO $]]/2500</f>
        <v>55.216000000000001</v>
      </c>
    </row>
    <row r="45" spans="2:6" x14ac:dyDescent="0.3">
      <c r="B45" s="8" t="s">
        <v>1648</v>
      </c>
      <c r="C45" s="8" t="s">
        <v>1667</v>
      </c>
      <c r="D45" s="9">
        <v>43586</v>
      </c>
      <c r="E45" s="10">
        <v>1424000</v>
      </c>
      <c r="F45" s="11">
        <f>+Tabla2[[#This Row],[CONSUMO $]]/2500</f>
        <v>569.6</v>
      </c>
    </row>
    <row r="46" spans="2:6" x14ac:dyDescent="0.3">
      <c r="B46" s="8" t="s">
        <v>1648</v>
      </c>
      <c r="C46" s="8" t="s">
        <v>1669</v>
      </c>
      <c r="D46" s="9">
        <v>43586</v>
      </c>
      <c r="E46" s="10">
        <v>5392290</v>
      </c>
      <c r="F46" s="11">
        <f>+Tabla2[[#This Row],[CONSUMO $]]/2500</f>
        <v>2156.9160000000002</v>
      </c>
    </row>
    <row r="47" spans="2:6" x14ac:dyDescent="0.3">
      <c r="B47" s="8" t="s">
        <v>1649</v>
      </c>
      <c r="C47" s="8" t="s">
        <v>1665</v>
      </c>
      <c r="D47" s="9">
        <v>43586</v>
      </c>
      <c r="E47" s="10">
        <v>0</v>
      </c>
      <c r="F47" s="11">
        <f>+Tabla2[[#This Row],[CONSUMO $]]/2500</f>
        <v>0</v>
      </c>
    </row>
    <row r="48" spans="2:6" x14ac:dyDescent="0.3">
      <c r="B48" s="8" t="s">
        <v>1653</v>
      </c>
      <c r="C48" s="8" t="s">
        <v>1660</v>
      </c>
      <c r="D48" s="9">
        <v>43617</v>
      </c>
      <c r="E48" s="10">
        <v>642250</v>
      </c>
      <c r="F48" s="11">
        <f>+Tabla2[[#This Row],[CONSUMO $]]/2500</f>
        <v>256.89999999999998</v>
      </c>
    </row>
    <row r="49" spans="2:6" x14ac:dyDescent="0.3">
      <c r="B49" s="8" t="s">
        <v>1652</v>
      </c>
      <c r="C49" s="8" t="s">
        <v>1661</v>
      </c>
      <c r="D49" s="9">
        <v>43617</v>
      </c>
      <c r="E49" s="10">
        <v>744330</v>
      </c>
      <c r="F49" s="11">
        <f>+Tabla2[[#This Row],[CONSUMO $]]/2500</f>
        <v>297.73200000000003</v>
      </c>
    </row>
    <row r="50" spans="2:6" x14ac:dyDescent="0.3">
      <c r="B50" s="8" t="s">
        <v>1651</v>
      </c>
      <c r="C50" s="8" t="s">
        <v>1662</v>
      </c>
      <c r="D50" s="9">
        <v>43617</v>
      </c>
      <c r="E50" s="10">
        <v>0</v>
      </c>
      <c r="F50" s="11">
        <f>+Tabla2[[#This Row],[CONSUMO $]]/2500</f>
        <v>0</v>
      </c>
    </row>
    <row r="51" spans="2:6" x14ac:dyDescent="0.3">
      <c r="B51" s="8" t="s">
        <v>1650</v>
      </c>
      <c r="C51" s="8" t="s">
        <v>1663</v>
      </c>
      <c r="D51" s="9">
        <v>43617</v>
      </c>
      <c r="E51" s="10">
        <v>468870</v>
      </c>
      <c r="F51" s="11">
        <f>+Tabla2[[#This Row],[CONSUMO $]]/2500</f>
        <v>187.548</v>
      </c>
    </row>
    <row r="52" spans="2:6" x14ac:dyDescent="0.3">
      <c r="B52" s="8" t="s">
        <v>1649</v>
      </c>
      <c r="C52" s="8" t="s">
        <v>1664</v>
      </c>
      <c r="D52" s="9">
        <v>43617</v>
      </c>
      <c r="E52" s="10">
        <v>482550</v>
      </c>
      <c r="F52" s="11">
        <f>+Tabla2[[#This Row],[CONSUMO $]]/2500</f>
        <v>193.02</v>
      </c>
    </row>
    <row r="53" spans="2:6" x14ac:dyDescent="0.3">
      <c r="B53" s="8" t="s">
        <v>1648</v>
      </c>
      <c r="C53" s="8" t="s">
        <v>1668</v>
      </c>
      <c r="D53" s="9">
        <v>43617</v>
      </c>
      <c r="E53" s="10">
        <v>137730</v>
      </c>
      <c r="F53" s="11">
        <f>+Tabla2[[#This Row],[CONSUMO $]]/2500</f>
        <v>55.091999999999999</v>
      </c>
    </row>
    <row r="54" spans="2:6" x14ac:dyDescent="0.3">
      <c r="B54" s="8" t="s">
        <v>1648</v>
      </c>
      <c r="C54" s="8" t="s">
        <v>1667</v>
      </c>
      <c r="D54" s="9">
        <v>43617</v>
      </c>
      <c r="E54" s="10">
        <v>1352440</v>
      </c>
      <c r="F54" s="11">
        <f>+Tabla2[[#This Row],[CONSUMO $]]/2500</f>
        <v>540.976</v>
      </c>
    </row>
    <row r="55" spans="2:6" x14ac:dyDescent="0.3">
      <c r="B55" s="8" t="s">
        <v>1648</v>
      </c>
      <c r="C55" s="8" t="s">
        <v>1669</v>
      </c>
      <c r="D55" s="9">
        <v>43617</v>
      </c>
      <c r="E55" s="10">
        <v>4987890</v>
      </c>
      <c r="F55" s="11">
        <f>+Tabla2[[#This Row],[CONSUMO $]]/2500</f>
        <v>1995.1559999999999</v>
      </c>
    </row>
    <row r="56" spans="2:6" x14ac:dyDescent="0.3">
      <c r="B56" s="8" t="s">
        <v>1649</v>
      </c>
      <c r="C56" s="8" t="s">
        <v>1665</v>
      </c>
      <c r="D56" s="9">
        <v>43617</v>
      </c>
      <c r="E56" s="10">
        <v>0</v>
      </c>
      <c r="F56" s="11">
        <f>+Tabla2[[#This Row],[CONSUMO $]]/2500</f>
        <v>0</v>
      </c>
    </row>
    <row r="57" spans="2:6" x14ac:dyDescent="0.3">
      <c r="B57" s="8" t="s">
        <v>1653</v>
      </c>
      <c r="C57" s="8" t="s">
        <v>1660</v>
      </c>
      <c r="D57" s="9">
        <v>43647</v>
      </c>
      <c r="E57" s="10">
        <v>629030</v>
      </c>
      <c r="F57" s="11">
        <f>+Tabla2[[#This Row],[CONSUMO $]]/2500</f>
        <v>251.61199999999999</v>
      </c>
    </row>
    <row r="58" spans="2:6" x14ac:dyDescent="0.3">
      <c r="B58" s="8" t="s">
        <v>1652</v>
      </c>
      <c r="C58" s="8" t="s">
        <v>1661</v>
      </c>
      <c r="D58" s="9">
        <v>43647</v>
      </c>
      <c r="E58" s="10">
        <v>831190</v>
      </c>
      <c r="F58" s="11">
        <f>+Tabla2[[#This Row],[CONSUMO $]]/2500</f>
        <v>332.476</v>
      </c>
    </row>
    <row r="59" spans="2:6" x14ac:dyDescent="0.3">
      <c r="B59" s="8" t="s">
        <v>1651</v>
      </c>
      <c r="C59" s="8" t="s">
        <v>1662</v>
      </c>
      <c r="D59" s="9">
        <v>43647</v>
      </c>
      <c r="E59" s="10">
        <v>0</v>
      </c>
      <c r="F59" s="11">
        <f>+Tabla2[[#This Row],[CONSUMO $]]/2500</f>
        <v>0</v>
      </c>
    </row>
    <row r="60" spans="2:6" x14ac:dyDescent="0.3">
      <c r="B60" s="8" t="s">
        <v>1650</v>
      </c>
      <c r="C60" s="8" t="s">
        <v>1663</v>
      </c>
      <c r="D60" s="9">
        <v>43647</v>
      </c>
      <c r="E60" s="10">
        <v>467390</v>
      </c>
      <c r="F60" s="11">
        <f>+Tabla2[[#This Row],[CONSUMO $]]/2500</f>
        <v>186.95599999999999</v>
      </c>
    </row>
    <row r="61" spans="2:6" x14ac:dyDescent="0.3">
      <c r="B61" s="8" t="s">
        <v>1649</v>
      </c>
      <c r="C61" s="8" t="s">
        <v>1664</v>
      </c>
      <c r="D61" s="9">
        <v>43647</v>
      </c>
      <c r="E61" s="10">
        <v>419690</v>
      </c>
      <c r="F61" s="11">
        <f>+Tabla2[[#This Row],[CONSUMO $]]/2500</f>
        <v>167.876</v>
      </c>
    </row>
    <row r="62" spans="2:6" x14ac:dyDescent="0.3">
      <c r="B62" s="8" t="s">
        <v>1648</v>
      </c>
      <c r="C62" s="8" t="s">
        <v>1668</v>
      </c>
      <c r="D62" s="9">
        <v>43647</v>
      </c>
      <c r="E62" s="10">
        <v>139710</v>
      </c>
      <c r="F62" s="11">
        <f>+Tabla2[[#This Row],[CONSUMO $]]/2500</f>
        <v>55.884</v>
      </c>
    </row>
    <row r="63" spans="2:6" x14ac:dyDescent="0.3">
      <c r="B63" s="8" t="s">
        <v>1648</v>
      </c>
      <c r="C63" s="8" t="s">
        <v>1667</v>
      </c>
      <c r="D63" s="9">
        <v>43647</v>
      </c>
      <c r="E63" s="10">
        <v>1414190</v>
      </c>
      <c r="F63" s="11">
        <f>+Tabla2[[#This Row],[CONSUMO $]]/2500</f>
        <v>565.67600000000004</v>
      </c>
    </row>
    <row r="64" spans="2:6" x14ac:dyDescent="0.3">
      <c r="B64" s="8" t="s">
        <v>1648</v>
      </c>
      <c r="C64" s="8" t="s">
        <v>1669</v>
      </c>
      <c r="D64" s="9">
        <v>43647</v>
      </c>
      <c r="E64" s="10">
        <v>5317150</v>
      </c>
      <c r="F64" s="11">
        <f>+Tabla2[[#This Row],[CONSUMO $]]/2500</f>
        <v>2126.86</v>
      </c>
    </row>
    <row r="65" spans="2:6" x14ac:dyDescent="0.3">
      <c r="B65" s="8" t="s">
        <v>1649</v>
      </c>
      <c r="C65" s="8" t="s">
        <v>1665</v>
      </c>
      <c r="D65" s="9">
        <v>43647</v>
      </c>
      <c r="E65" s="10">
        <v>0</v>
      </c>
      <c r="F65" s="11">
        <f>+Tabla2[[#This Row],[CONSUMO $]]/2500</f>
        <v>0</v>
      </c>
    </row>
    <row r="66" spans="2:6" x14ac:dyDescent="0.3">
      <c r="B66" s="8" t="s">
        <v>1653</v>
      </c>
      <c r="C66" s="8" t="s">
        <v>1660</v>
      </c>
      <c r="D66" s="9">
        <v>43678</v>
      </c>
      <c r="E66" s="10">
        <v>733550</v>
      </c>
      <c r="F66" s="11">
        <f>+Tabla2[[#This Row],[CONSUMO $]]/2500</f>
        <v>293.42</v>
      </c>
    </row>
    <row r="67" spans="2:6" x14ac:dyDescent="0.3">
      <c r="B67" s="8" t="s">
        <v>1652</v>
      </c>
      <c r="C67" s="8" t="s">
        <v>1661</v>
      </c>
      <c r="D67" s="9">
        <v>43678</v>
      </c>
      <c r="E67" s="10">
        <v>771340</v>
      </c>
      <c r="F67" s="11">
        <f>+Tabla2[[#This Row],[CONSUMO $]]/2500</f>
        <v>308.536</v>
      </c>
    </row>
    <row r="68" spans="2:6" x14ac:dyDescent="0.3">
      <c r="B68" s="8" t="s">
        <v>1651</v>
      </c>
      <c r="C68" s="8" t="s">
        <v>1662</v>
      </c>
      <c r="D68" s="9">
        <v>43678</v>
      </c>
      <c r="E68" s="10">
        <v>0</v>
      </c>
      <c r="F68" s="11">
        <f>+Tabla2[[#This Row],[CONSUMO $]]/2500</f>
        <v>0</v>
      </c>
    </row>
    <row r="69" spans="2:6" x14ac:dyDescent="0.3">
      <c r="B69" s="8" t="s">
        <v>1650</v>
      </c>
      <c r="C69" s="8" t="s">
        <v>1663</v>
      </c>
      <c r="D69" s="9">
        <v>43678</v>
      </c>
      <c r="E69" s="10">
        <v>441270</v>
      </c>
      <c r="F69" s="11">
        <f>+Tabla2[[#This Row],[CONSUMO $]]/2500</f>
        <v>176.50800000000001</v>
      </c>
    </row>
    <row r="70" spans="2:6" x14ac:dyDescent="0.3">
      <c r="B70" s="8" t="s">
        <v>1649</v>
      </c>
      <c r="C70" s="8" t="s">
        <v>1664</v>
      </c>
      <c r="D70" s="9">
        <v>43678</v>
      </c>
      <c r="E70" s="10">
        <v>461210</v>
      </c>
      <c r="F70" s="11">
        <f>+Tabla2[[#This Row],[CONSUMO $]]/2500</f>
        <v>184.48400000000001</v>
      </c>
    </row>
    <row r="71" spans="2:6" x14ac:dyDescent="0.3">
      <c r="B71" s="8" t="s">
        <v>1648</v>
      </c>
      <c r="C71" s="8" t="s">
        <v>1668</v>
      </c>
      <c r="D71" s="9">
        <v>43678</v>
      </c>
      <c r="E71" s="10">
        <v>152570</v>
      </c>
      <c r="F71" s="11">
        <f>+Tabla2[[#This Row],[CONSUMO $]]/2500</f>
        <v>61.027999999999999</v>
      </c>
    </row>
    <row r="72" spans="2:6" x14ac:dyDescent="0.3">
      <c r="B72" s="8" t="s">
        <v>1648</v>
      </c>
      <c r="C72" s="8" t="s">
        <v>1667</v>
      </c>
      <c r="D72" s="9">
        <v>43678</v>
      </c>
      <c r="E72" s="10">
        <v>1461410</v>
      </c>
      <c r="F72" s="11">
        <f>+Tabla2[[#This Row],[CONSUMO $]]/2500</f>
        <v>584.56399999999996</v>
      </c>
    </row>
    <row r="73" spans="2:6" x14ac:dyDescent="0.3">
      <c r="B73" s="8" t="s">
        <v>1648</v>
      </c>
      <c r="C73" s="8" t="s">
        <v>1669</v>
      </c>
      <c r="D73" s="9">
        <v>43678</v>
      </c>
      <c r="E73" s="10">
        <v>4978670</v>
      </c>
      <c r="F73" s="11">
        <f>+Tabla2[[#This Row],[CONSUMO $]]/2500</f>
        <v>1991.4680000000001</v>
      </c>
    </row>
    <row r="74" spans="2:6" x14ac:dyDescent="0.3">
      <c r="B74" s="8" t="s">
        <v>1649</v>
      </c>
      <c r="C74" s="8" t="s">
        <v>1665</v>
      </c>
      <c r="D74" s="9">
        <v>43678</v>
      </c>
      <c r="E74" s="10">
        <v>0</v>
      </c>
      <c r="F74" s="11">
        <f>+Tabla2[[#This Row],[CONSUMO $]]/2500</f>
        <v>0</v>
      </c>
    </row>
    <row r="75" spans="2:6" x14ac:dyDescent="0.3">
      <c r="B75" s="8" t="s">
        <v>1653</v>
      </c>
      <c r="C75" s="8" t="s">
        <v>1660</v>
      </c>
      <c r="D75" s="9">
        <v>43709</v>
      </c>
      <c r="E75" s="10">
        <v>740470</v>
      </c>
      <c r="F75" s="11">
        <f>+Tabla2[[#This Row],[CONSUMO $]]/2500</f>
        <v>296.18799999999999</v>
      </c>
    </row>
    <row r="76" spans="2:6" x14ac:dyDescent="0.3">
      <c r="B76" s="8" t="s">
        <v>1652</v>
      </c>
      <c r="C76" s="8" t="s">
        <v>1661</v>
      </c>
      <c r="D76" s="9">
        <v>43709</v>
      </c>
      <c r="E76" s="10">
        <v>845940</v>
      </c>
      <c r="F76" s="11">
        <f>+Tabla2[[#This Row],[CONSUMO $]]/2500</f>
        <v>338.37599999999998</v>
      </c>
    </row>
    <row r="77" spans="2:6" x14ac:dyDescent="0.3">
      <c r="B77" s="8" t="s">
        <v>1651</v>
      </c>
      <c r="C77" s="8" t="s">
        <v>1662</v>
      </c>
      <c r="D77" s="9">
        <v>43709</v>
      </c>
      <c r="E77" s="10">
        <v>45360</v>
      </c>
      <c r="F77" s="11">
        <f>+Tabla2[[#This Row],[CONSUMO $]]/2500</f>
        <v>18.143999999999998</v>
      </c>
    </row>
    <row r="78" spans="2:6" x14ac:dyDescent="0.3">
      <c r="B78" s="8" t="s">
        <v>1650</v>
      </c>
      <c r="C78" s="8" t="s">
        <v>1663</v>
      </c>
      <c r="D78" s="9">
        <v>43709</v>
      </c>
      <c r="E78" s="10">
        <v>431480</v>
      </c>
      <c r="F78" s="11">
        <f>+Tabla2[[#This Row],[CONSUMO $]]/2500</f>
        <v>172.59200000000001</v>
      </c>
    </row>
    <row r="79" spans="2:6" x14ac:dyDescent="0.3">
      <c r="B79" s="8" t="s">
        <v>1649</v>
      </c>
      <c r="C79" s="8" t="s">
        <v>1664</v>
      </c>
      <c r="D79" s="9">
        <v>43709</v>
      </c>
      <c r="E79" s="10">
        <v>461380</v>
      </c>
      <c r="F79" s="11">
        <f>+Tabla2[[#This Row],[CONSUMO $]]/2500</f>
        <v>184.55199999999999</v>
      </c>
    </row>
    <row r="80" spans="2:6" x14ac:dyDescent="0.3">
      <c r="B80" s="8" t="s">
        <v>1648</v>
      </c>
      <c r="C80" s="8" t="s">
        <v>1668</v>
      </c>
      <c r="D80" s="9">
        <v>43709</v>
      </c>
      <c r="E80" s="10">
        <v>171660</v>
      </c>
      <c r="F80" s="11">
        <f>+Tabla2[[#This Row],[CONSUMO $]]/2500</f>
        <v>68.664000000000001</v>
      </c>
    </row>
    <row r="81" spans="2:6" x14ac:dyDescent="0.3">
      <c r="B81" s="8" t="s">
        <v>1648</v>
      </c>
      <c r="C81" s="8" t="s">
        <v>1667</v>
      </c>
      <c r="D81" s="9">
        <v>43709</v>
      </c>
      <c r="E81" s="10">
        <v>1526930</v>
      </c>
      <c r="F81" s="11">
        <f>+Tabla2[[#This Row],[CONSUMO $]]/2500</f>
        <v>610.77200000000005</v>
      </c>
    </row>
    <row r="82" spans="2:6" x14ac:dyDescent="0.3">
      <c r="B82" s="8" t="s">
        <v>1648</v>
      </c>
      <c r="C82" s="8" t="s">
        <v>1669</v>
      </c>
      <c r="D82" s="9">
        <v>43709</v>
      </c>
      <c r="E82" s="10">
        <v>5739430</v>
      </c>
      <c r="F82" s="11">
        <f>+Tabla2[[#This Row],[CONSUMO $]]/2500</f>
        <v>2295.7719999999999</v>
      </c>
    </row>
    <row r="83" spans="2:6" x14ac:dyDescent="0.3">
      <c r="B83" s="8" t="s">
        <v>1649</v>
      </c>
      <c r="C83" s="8" t="s">
        <v>1665</v>
      </c>
      <c r="D83" s="9">
        <v>43709</v>
      </c>
      <c r="E83" s="10">
        <v>0</v>
      </c>
      <c r="F83" s="11">
        <f>+Tabla2[[#This Row],[CONSUMO $]]/2500</f>
        <v>0</v>
      </c>
    </row>
    <row r="84" spans="2:6" x14ac:dyDescent="0.3">
      <c r="B84" s="8" t="s">
        <v>1653</v>
      </c>
      <c r="C84" s="8" t="s">
        <v>1660</v>
      </c>
      <c r="D84" s="9">
        <v>43739</v>
      </c>
      <c r="E84" s="10">
        <v>591410</v>
      </c>
      <c r="F84" s="11">
        <f>+Tabla2[[#This Row],[CONSUMO $]]/2500</f>
        <v>236.56399999999999</v>
      </c>
    </row>
    <row r="85" spans="2:6" x14ac:dyDescent="0.3">
      <c r="B85" s="8" t="s">
        <v>1652</v>
      </c>
      <c r="C85" s="8" t="s">
        <v>1661</v>
      </c>
      <c r="D85" s="9">
        <v>43739</v>
      </c>
      <c r="E85" s="10">
        <v>821400</v>
      </c>
      <c r="F85" s="11">
        <f>+Tabla2[[#This Row],[CONSUMO $]]/2500</f>
        <v>328.56</v>
      </c>
    </row>
    <row r="86" spans="2:6" x14ac:dyDescent="0.3">
      <c r="B86" s="8" t="s">
        <v>1651</v>
      </c>
      <c r="C86" s="8" t="s">
        <v>1662</v>
      </c>
      <c r="D86" s="9">
        <v>43739</v>
      </c>
      <c r="E86" s="10">
        <v>154400</v>
      </c>
      <c r="F86" s="11">
        <f>+Tabla2[[#This Row],[CONSUMO $]]/2500</f>
        <v>61.76</v>
      </c>
    </row>
    <row r="87" spans="2:6" x14ac:dyDescent="0.3">
      <c r="B87" s="8" t="s">
        <v>1650</v>
      </c>
      <c r="C87" s="8" t="s">
        <v>1663</v>
      </c>
      <c r="D87" s="9">
        <v>43739</v>
      </c>
      <c r="E87" s="10">
        <v>39190</v>
      </c>
      <c r="F87" s="11">
        <f>+Tabla2[[#This Row],[CONSUMO $]]/2500</f>
        <v>15.676</v>
      </c>
    </row>
    <row r="88" spans="2:6" x14ac:dyDescent="0.3">
      <c r="B88" s="8" t="s">
        <v>1649</v>
      </c>
      <c r="C88" s="8" t="s">
        <v>1664</v>
      </c>
      <c r="D88" s="9">
        <v>43739</v>
      </c>
      <c r="E88" s="10">
        <v>490240</v>
      </c>
      <c r="F88" s="11">
        <f>+Tabla2[[#This Row],[CONSUMO $]]/2500</f>
        <v>196.096</v>
      </c>
    </row>
    <row r="89" spans="2:6" x14ac:dyDescent="0.3">
      <c r="B89" s="8" t="s">
        <v>1648</v>
      </c>
      <c r="C89" s="8" t="s">
        <v>1668</v>
      </c>
      <c r="D89" s="9">
        <v>43739</v>
      </c>
      <c r="E89" s="10">
        <v>174680</v>
      </c>
      <c r="F89" s="11">
        <f>+Tabla2[[#This Row],[CONSUMO $]]/2500</f>
        <v>69.872</v>
      </c>
    </row>
    <row r="90" spans="2:6" x14ac:dyDescent="0.3">
      <c r="B90" s="8" t="s">
        <v>1648</v>
      </c>
      <c r="C90" s="8" t="s">
        <v>1667</v>
      </c>
      <c r="D90" s="9">
        <v>43739</v>
      </c>
      <c r="E90" s="10">
        <v>1629810</v>
      </c>
      <c r="F90" s="11">
        <f>+Tabla2[[#This Row],[CONSUMO $]]/2500</f>
        <v>651.92399999999998</v>
      </c>
    </row>
    <row r="91" spans="2:6" x14ac:dyDescent="0.3">
      <c r="B91" s="8" t="s">
        <v>1648</v>
      </c>
      <c r="C91" s="8" t="s">
        <v>1669</v>
      </c>
      <c r="D91" s="9">
        <v>43739</v>
      </c>
      <c r="E91" s="10">
        <v>6105620</v>
      </c>
      <c r="F91" s="11">
        <f>+Tabla2[[#This Row],[CONSUMO $]]/2500</f>
        <v>2442.248</v>
      </c>
    </row>
    <row r="92" spans="2:6" x14ac:dyDescent="0.3">
      <c r="B92" s="8" t="s">
        <v>1649</v>
      </c>
      <c r="C92" s="8" t="s">
        <v>1665</v>
      </c>
      <c r="D92" s="9">
        <v>43739</v>
      </c>
      <c r="E92" s="10">
        <v>0</v>
      </c>
      <c r="F92" s="11">
        <f>+Tabla2[[#This Row],[CONSUMO $]]/2500</f>
        <v>0</v>
      </c>
    </row>
    <row r="93" spans="2:6" x14ac:dyDescent="0.3">
      <c r="B93" s="8" t="s">
        <v>1653</v>
      </c>
      <c r="C93" s="8" t="s">
        <v>1660</v>
      </c>
      <c r="D93" s="9">
        <v>43770</v>
      </c>
      <c r="E93" s="10">
        <v>483570</v>
      </c>
      <c r="F93" s="11">
        <f>+Tabla2[[#This Row],[CONSUMO $]]/2500</f>
        <v>193.428</v>
      </c>
    </row>
    <row r="94" spans="2:6" x14ac:dyDescent="0.3">
      <c r="B94" s="8" t="s">
        <v>1652</v>
      </c>
      <c r="C94" s="8" t="s">
        <v>1661</v>
      </c>
      <c r="D94" s="9">
        <v>43770</v>
      </c>
      <c r="E94" s="10">
        <v>750410</v>
      </c>
      <c r="F94" s="11">
        <f>+Tabla2[[#This Row],[CONSUMO $]]/2500</f>
        <v>300.16399999999999</v>
      </c>
    </row>
    <row r="95" spans="2:6" x14ac:dyDescent="0.3">
      <c r="B95" s="8" t="s">
        <v>1651</v>
      </c>
      <c r="C95" s="8" t="s">
        <v>1662</v>
      </c>
      <c r="D95" s="9">
        <v>43770</v>
      </c>
      <c r="E95" s="10">
        <v>140720</v>
      </c>
      <c r="F95" s="11">
        <f>+Tabla2[[#This Row],[CONSUMO $]]/2500</f>
        <v>56.287999999999997</v>
      </c>
    </row>
    <row r="96" spans="2:6" x14ac:dyDescent="0.3">
      <c r="B96" s="8" t="s">
        <v>1650</v>
      </c>
      <c r="C96" s="8" t="s">
        <v>1663</v>
      </c>
      <c r="D96" s="9">
        <v>43770</v>
      </c>
      <c r="E96" s="10">
        <v>433690</v>
      </c>
      <c r="F96" s="11">
        <f>+Tabla2[[#This Row],[CONSUMO $]]/2500</f>
        <v>173.476</v>
      </c>
    </row>
    <row r="97" spans="2:6" x14ac:dyDescent="0.3">
      <c r="B97" s="8" t="s">
        <v>1649</v>
      </c>
      <c r="C97" s="8" t="s">
        <v>1664</v>
      </c>
      <c r="D97" s="9">
        <v>43770</v>
      </c>
      <c r="E97" s="10">
        <v>431330</v>
      </c>
      <c r="F97" s="11">
        <f>+Tabla2[[#This Row],[CONSUMO $]]/2500</f>
        <v>172.53200000000001</v>
      </c>
    </row>
    <row r="98" spans="2:6" x14ac:dyDescent="0.3">
      <c r="B98" s="8" t="s">
        <v>1648</v>
      </c>
      <c r="C98" s="8" t="s">
        <v>1668</v>
      </c>
      <c r="D98" s="9">
        <v>43770</v>
      </c>
      <c r="E98" s="10">
        <v>157170</v>
      </c>
      <c r="F98" s="11">
        <f>+Tabla2[[#This Row],[CONSUMO $]]/2500</f>
        <v>62.868000000000002</v>
      </c>
    </row>
    <row r="99" spans="2:6" x14ac:dyDescent="0.3">
      <c r="B99" s="8" t="s">
        <v>1648</v>
      </c>
      <c r="C99" s="8" t="s">
        <v>1667</v>
      </c>
      <c r="D99" s="9">
        <v>43770</v>
      </c>
      <c r="E99" s="10">
        <v>1416950</v>
      </c>
      <c r="F99" s="11">
        <f>+Tabla2[[#This Row],[CONSUMO $]]/2500</f>
        <v>566.78</v>
      </c>
    </row>
    <row r="100" spans="2:6" x14ac:dyDescent="0.3">
      <c r="B100" s="8" t="s">
        <v>1648</v>
      </c>
      <c r="C100" s="8" t="s">
        <v>1669</v>
      </c>
      <c r="D100" s="9">
        <v>43770</v>
      </c>
      <c r="E100" s="10">
        <v>5737300</v>
      </c>
      <c r="F100" s="11">
        <f>+Tabla2[[#This Row],[CONSUMO $]]/2500</f>
        <v>2294.92</v>
      </c>
    </row>
    <row r="101" spans="2:6" x14ac:dyDescent="0.3">
      <c r="B101" s="8" t="s">
        <v>1649</v>
      </c>
      <c r="C101" s="8" t="s">
        <v>1665</v>
      </c>
      <c r="D101" s="9">
        <v>43770</v>
      </c>
      <c r="E101" s="12">
        <v>0</v>
      </c>
      <c r="F101" s="11">
        <f>+Tabla2[[#This Row],[CONSUMO $]]/2500</f>
        <v>0</v>
      </c>
    </row>
    <row r="102" spans="2:6" x14ac:dyDescent="0.3">
      <c r="B102" s="8" t="s">
        <v>1653</v>
      </c>
      <c r="C102" s="8" t="s">
        <v>1660</v>
      </c>
      <c r="D102" s="9">
        <v>43800</v>
      </c>
      <c r="E102" s="10">
        <v>545650</v>
      </c>
      <c r="F102" s="11">
        <f>+Tabla2[[#This Row],[CONSUMO $]]/2500</f>
        <v>218.26</v>
      </c>
    </row>
    <row r="103" spans="2:6" x14ac:dyDescent="0.3">
      <c r="B103" s="8" t="s">
        <v>1652</v>
      </c>
      <c r="C103" s="8" t="s">
        <v>1661</v>
      </c>
      <c r="D103" s="9">
        <v>43800</v>
      </c>
      <c r="E103" s="10">
        <v>802610</v>
      </c>
      <c r="F103" s="11">
        <f>+Tabla2[[#This Row],[CONSUMO $]]/2500</f>
        <v>321.04399999999998</v>
      </c>
    </row>
    <row r="104" spans="2:6" x14ac:dyDescent="0.3">
      <c r="B104" s="8" t="s">
        <v>1651</v>
      </c>
      <c r="C104" s="8" t="s">
        <v>1662</v>
      </c>
      <c r="D104" s="9">
        <v>43800</v>
      </c>
      <c r="E104" s="10">
        <v>109790</v>
      </c>
      <c r="F104" s="11">
        <f>+Tabla2[[#This Row],[CONSUMO $]]/2500</f>
        <v>43.915999999999997</v>
      </c>
    </row>
    <row r="105" spans="2:6" x14ac:dyDescent="0.3">
      <c r="B105" s="8" t="s">
        <v>1650</v>
      </c>
      <c r="C105" s="8" t="s">
        <v>1663</v>
      </c>
      <c r="D105" s="9">
        <v>43800</v>
      </c>
      <c r="E105" s="10">
        <v>475520</v>
      </c>
      <c r="F105" s="11">
        <f>+Tabla2[[#This Row],[CONSUMO $]]/2500</f>
        <v>190.208</v>
      </c>
    </row>
    <row r="106" spans="2:6" x14ac:dyDescent="0.3">
      <c r="B106" s="8" t="s">
        <v>1649</v>
      </c>
      <c r="C106" s="8" t="s">
        <v>1664</v>
      </c>
      <c r="D106" s="9">
        <v>43800</v>
      </c>
      <c r="E106" s="10">
        <v>362880</v>
      </c>
      <c r="F106" s="11">
        <f>+Tabla2[[#This Row],[CONSUMO $]]/2500</f>
        <v>145.15199999999999</v>
      </c>
    </row>
    <row r="107" spans="2:6" x14ac:dyDescent="0.3">
      <c r="B107" s="8" t="s">
        <v>1648</v>
      </c>
      <c r="C107" s="8" t="s">
        <v>1668</v>
      </c>
      <c r="D107" s="9">
        <v>43800</v>
      </c>
      <c r="E107" s="10">
        <v>146150</v>
      </c>
      <c r="F107" s="11">
        <f>+Tabla2[[#This Row],[CONSUMO $]]/2500</f>
        <v>58.46</v>
      </c>
    </row>
    <row r="108" spans="2:6" x14ac:dyDescent="0.3">
      <c r="B108" s="8" t="s">
        <v>1648</v>
      </c>
      <c r="C108" s="8" t="s">
        <v>1667</v>
      </c>
      <c r="D108" s="9">
        <v>43800</v>
      </c>
      <c r="E108" s="10">
        <v>1408660</v>
      </c>
      <c r="F108" s="11">
        <f>+Tabla2[[#This Row],[CONSUMO $]]/2500</f>
        <v>563.46400000000006</v>
      </c>
    </row>
    <row r="109" spans="2:6" x14ac:dyDescent="0.3">
      <c r="B109" s="8" t="s">
        <v>1648</v>
      </c>
      <c r="C109" s="8" t="s">
        <v>1669</v>
      </c>
      <c r="D109" s="9">
        <v>43800</v>
      </c>
      <c r="E109" s="10">
        <v>5708540</v>
      </c>
      <c r="F109" s="11">
        <f>+Tabla2[[#This Row],[CONSUMO $]]/2500</f>
        <v>2283.4160000000002</v>
      </c>
    </row>
    <row r="110" spans="2:6" x14ac:dyDescent="0.3">
      <c r="B110" s="8" t="s">
        <v>1649</v>
      </c>
      <c r="C110" s="8" t="s">
        <v>1665</v>
      </c>
      <c r="D110" s="9">
        <v>43800</v>
      </c>
      <c r="E110" s="10">
        <v>0</v>
      </c>
      <c r="F110" s="11">
        <f>+Tabla2[[#This Row],[CONSUMO $]]/2500</f>
        <v>0</v>
      </c>
    </row>
    <row r="111" spans="2:6" x14ac:dyDescent="0.3">
      <c r="B111" s="8" t="s">
        <v>1653</v>
      </c>
      <c r="C111" s="8" t="s">
        <v>1660</v>
      </c>
      <c r="D111" s="9">
        <v>43831</v>
      </c>
      <c r="E111" s="10">
        <v>346970</v>
      </c>
      <c r="F111" s="11">
        <f>+Tabla2[[#This Row],[CONSUMO $]]/2500</f>
        <v>138.78800000000001</v>
      </c>
    </row>
    <row r="112" spans="2:6" x14ac:dyDescent="0.3">
      <c r="B112" s="8" t="s">
        <v>1652</v>
      </c>
      <c r="C112" s="8" t="s">
        <v>1661</v>
      </c>
      <c r="D112" s="9">
        <v>43831</v>
      </c>
      <c r="E112" s="10">
        <v>525740</v>
      </c>
      <c r="F112" s="11">
        <f>+Tabla2[[#This Row],[CONSUMO $]]/2500</f>
        <v>210.29599999999999</v>
      </c>
    </row>
    <row r="113" spans="2:6" x14ac:dyDescent="0.3">
      <c r="B113" s="8" t="s">
        <v>1651</v>
      </c>
      <c r="C113" s="8" t="s">
        <v>1662</v>
      </c>
      <c r="D113" s="9">
        <v>43831</v>
      </c>
      <c r="E113" s="10">
        <v>54790</v>
      </c>
      <c r="F113" s="11">
        <f>+Tabla2[[#This Row],[CONSUMO $]]/2500</f>
        <v>21.916</v>
      </c>
    </row>
    <row r="114" spans="2:6" x14ac:dyDescent="0.3">
      <c r="B114" s="8" t="s">
        <v>1650</v>
      </c>
      <c r="C114" s="8" t="s">
        <v>1663</v>
      </c>
      <c r="D114" s="9">
        <v>43831</v>
      </c>
      <c r="E114" s="10">
        <v>354090</v>
      </c>
      <c r="F114" s="11">
        <f>+Tabla2[[#This Row],[CONSUMO $]]/2500</f>
        <v>141.636</v>
      </c>
    </row>
    <row r="115" spans="2:6" x14ac:dyDescent="0.3">
      <c r="B115" s="8" t="s">
        <v>1649</v>
      </c>
      <c r="C115" s="8" t="s">
        <v>1664</v>
      </c>
      <c r="D115" s="9">
        <v>43831</v>
      </c>
      <c r="E115" s="10">
        <v>169450</v>
      </c>
      <c r="F115" s="11">
        <f>+Tabla2[[#This Row],[CONSUMO $]]/2500</f>
        <v>67.78</v>
      </c>
    </row>
    <row r="116" spans="2:6" x14ac:dyDescent="0.3">
      <c r="B116" s="8" t="s">
        <v>1648</v>
      </c>
      <c r="C116" s="8" t="s">
        <v>1668</v>
      </c>
      <c r="D116" s="9">
        <v>43831</v>
      </c>
      <c r="E116" s="10">
        <v>67060</v>
      </c>
      <c r="F116" s="11">
        <f>+Tabla2[[#This Row],[CONSUMO $]]/2500</f>
        <v>26.824000000000002</v>
      </c>
    </row>
    <row r="117" spans="2:6" x14ac:dyDescent="0.3">
      <c r="B117" s="8" t="s">
        <v>1648</v>
      </c>
      <c r="C117" s="8" t="s">
        <v>1667</v>
      </c>
      <c r="D117" s="9">
        <v>43831</v>
      </c>
      <c r="E117" s="10">
        <v>860200</v>
      </c>
      <c r="F117" s="11">
        <f>+Tabla2[[#This Row],[CONSUMO $]]/2500</f>
        <v>344.08</v>
      </c>
    </row>
    <row r="118" spans="2:6" x14ac:dyDescent="0.3">
      <c r="B118" s="8" t="s">
        <v>1648</v>
      </c>
      <c r="C118" s="8" t="s">
        <v>1669</v>
      </c>
      <c r="D118" s="9">
        <v>43831</v>
      </c>
      <c r="E118" s="10">
        <v>4360560</v>
      </c>
      <c r="F118" s="11">
        <f>+Tabla2[[#This Row],[CONSUMO $]]/2500</f>
        <v>1744.2239999999999</v>
      </c>
    </row>
    <row r="119" spans="2:6" x14ac:dyDescent="0.3">
      <c r="B119" s="8" t="s">
        <v>1649</v>
      </c>
      <c r="C119" s="8" t="s">
        <v>1665</v>
      </c>
      <c r="D119" s="9">
        <v>43831</v>
      </c>
      <c r="E119" s="10">
        <v>0</v>
      </c>
      <c r="F119" s="11">
        <f>+Tabla2[[#This Row],[CONSUMO $]]/2500</f>
        <v>0</v>
      </c>
    </row>
    <row r="120" spans="2:6" x14ac:dyDescent="0.3">
      <c r="B120" s="8" t="s">
        <v>1653</v>
      </c>
      <c r="C120" s="8" t="s">
        <v>1660</v>
      </c>
      <c r="D120" s="9">
        <v>43862</v>
      </c>
      <c r="E120" s="13">
        <v>416470</v>
      </c>
      <c r="F120" s="11">
        <f>+Tabla2[[#This Row],[CONSUMO $]]/2500</f>
        <v>166.58799999999999</v>
      </c>
    </row>
    <row r="121" spans="2:6" x14ac:dyDescent="0.3">
      <c r="B121" s="8" t="s">
        <v>1652</v>
      </c>
      <c r="C121" s="8" t="s">
        <v>1661</v>
      </c>
      <c r="D121" s="9">
        <v>43862</v>
      </c>
      <c r="E121" s="13">
        <v>535820</v>
      </c>
      <c r="F121" s="11">
        <f>+Tabla2[[#This Row],[CONSUMO $]]/2500</f>
        <v>214.328</v>
      </c>
    </row>
    <row r="122" spans="2:6" x14ac:dyDescent="0.3">
      <c r="B122" s="8" t="s">
        <v>1651</v>
      </c>
      <c r="C122" s="8" t="s">
        <v>1662</v>
      </c>
      <c r="D122" s="9">
        <v>43862</v>
      </c>
      <c r="E122" s="13">
        <v>109100</v>
      </c>
      <c r="F122" s="11">
        <f>+Tabla2[[#This Row],[CONSUMO $]]/2500</f>
        <v>43.64</v>
      </c>
    </row>
    <row r="123" spans="2:6" x14ac:dyDescent="0.3">
      <c r="B123" s="8" t="s">
        <v>1650</v>
      </c>
      <c r="C123" s="8" t="s">
        <v>1663</v>
      </c>
      <c r="D123" s="9">
        <v>43862</v>
      </c>
      <c r="E123" s="13">
        <v>330130</v>
      </c>
      <c r="F123" s="11">
        <f>+Tabla2[[#This Row],[CONSUMO $]]/2500</f>
        <v>132.05199999999999</v>
      </c>
    </row>
    <row r="124" spans="2:6" x14ac:dyDescent="0.3">
      <c r="B124" s="8" t="s">
        <v>1649</v>
      </c>
      <c r="C124" s="8" t="s">
        <v>1664</v>
      </c>
      <c r="D124" s="9">
        <v>43862</v>
      </c>
      <c r="E124" s="13">
        <v>321580</v>
      </c>
      <c r="F124" s="11">
        <f>+Tabla2[[#This Row],[CONSUMO $]]/2500</f>
        <v>128.63200000000001</v>
      </c>
    </row>
    <row r="125" spans="2:6" x14ac:dyDescent="0.3">
      <c r="B125" s="8" t="s">
        <v>1648</v>
      </c>
      <c r="C125" s="8" t="s">
        <v>1668</v>
      </c>
      <c r="D125" s="9">
        <v>43862</v>
      </c>
      <c r="E125" s="13">
        <v>124910</v>
      </c>
      <c r="F125" s="11">
        <f>+Tabla2[[#This Row],[CONSUMO $]]/2500</f>
        <v>49.963999999999999</v>
      </c>
    </row>
    <row r="126" spans="2:6" x14ac:dyDescent="0.3">
      <c r="B126" s="8" t="s">
        <v>1648</v>
      </c>
      <c r="C126" s="8" t="s">
        <v>1667</v>
      </c>
      <c r="D126" s="9">
        <v>43862</v>
      </c>
      <c r="E126" s="13">
        <v>1248320</v>
      </c>
      <c r="F126" s="11">
        <f>+Tabla2[[#This Row],[CONSUMO $]]/2500</f>
        <v>499.32799999999997</v>
      </c>
    </row>
    <row r="127" spans="2:6" x14ac:dyDescent="0.3">
      <c r="B127" s="8" t="s">
        <v>1648</v>
      </c>
      <c r="C127" s="8" t="s">
        <v>1669</v>
      </c>
      <c r="D127" s="9">
        <v>43862</v>
      </c>
      <c r="E127" s="13">
        <v>4823360</v>
      </c>
      <c r="F127" s="11">
        <f>+Tabla2[[#This Row],[CONSUMO $]]/2500</f>
        <v>1929.3440000000001</v>
      </c>
    </row>
    <row r="128" spans="2:6" x14ac:dyDescent="0.3">
      <c r="B128" s="8" t="s">
        <v>1649</v>
      </c>
      <c r="C128" s="8" t="s">
        <v>1665</v>
      </c>
      <c r="D128" s="9">
        <v>43862</v>
      </c>
      <c r="E128" s="13">
        <v>0</v>
      </c>
      <c r="F128" s="11">
        <f>+Tabla2[[#This Row],[CONSUMO $]]/2500</f>
        <v>0</v>
      </c>
    </row>
    <row r="129" spans="2:6" x14ac:dyDescent="0.3">
      <c r="B129" s="8" t="s">
        <v>1653</v>
      </c>
      <c r="C129" s="8" t="s">
        <v>1660</v>
      </c>
      <c r="D129" s="9">
        <v>43891</v>
      </c>
      <c r="E129" s="13">
        <v>438760</v>
      </c>
      <c r="F129" s="11">
        <f>+Tabla2[[#This Row],[CONSUMO $]]/2500</f>
        <v>175.50399999999999</v>
      </c>
    </row>
    <row r="130" spans="2:6" x14ac:dyDescent="0.3">
      <c r="B130" s="8" t="s">
        <v>1652</v>
      </c>
      <c r="C130" s="8" t="s">
        <v>1661</v>
      </c>
      <c r="D130" s="9">
        <v>43891</v>
      </c>
      <c r="E130" s="13">
        <v>581640</v>
      </c>
      <c r="F130" s="11">
        <f>+Tabla2[[#This Row],[CONSUMO $]]/2500</f>
        <v>232.65600000000001</v>
      </c>
    </row>
    <row r="131" spans="2:6" x14ac:dyDescent="0.3">
      <c r="B131" s="8" t="s">
        <v>1651</v>
      </c>
      <c r="C131" s="8" t="s">
        <v>1662</v>
      </c>
      <c r="D131" s="9">
        <v>43891</v>
      </c>
      <c r="E131" s="13">
        <v>99460</v>
      </c>
      <c r="F131" s="11">
        <f>+Tabla2[[#This Row],[CONSUMO $]]/2500</f>
        <v>39.783999999999999</v>
      </c>
    </row>
    <row r="132" spans="2:6" x14ac:dyDescent="0.3">
      <c r="B132" s="8" t="s">
        <v>1650</v>
      </c>
      <c r="C132" s="8" t="s">
        <v>1663</v>
      </c>
      <c r="D132" s="9">
        <v>43891</v>
      </c>
      <c r="E132" s="13">
        <v>339210</v>
      </c>
      <c r="F132" s="11">
        <f>+Tabla2[[#This Row],[CONSUMO $]]/2500</f>
        <v>135.684</v>
      </c>
    </row>
    <row r="133" spans="2:6" x14ac:dyDescent="0.3">
      <c r="B133" s="8" t="s">
        <v>1649</v>
      </c>
      <c r="C133" s="8" t="s">
        <v>1664</v>
      </c>
      <c r="D133" s="9">
        <v>43891</v>
      </c>
      <c r="E133" s="13">
        <v>433760</v>
      </c>
      <c r="F133" s="11">
        <f>+Tabla2[[#This Row],[CONSUMO $]]/2500</f>
        <v>173.50399999999999</v>
      </c>
    </row>
    <row r="134" spans="2:6" x14ac:dyDescent="0.3">
      <c r="B134" s="8" t="s">
        <v>1648</v>
      </c>
      <c r="C134" s="8" t="s">
        <v>1668</v>
      </c>
      <c r="D134" s="9">
        <v>43891</v>
      </c>
      <c r="E134" s="13">
        <v>134390</v>
      </c>
      <c r="F134" s="11">
        <f>+Tabla2[[#This Row],[CONSUMO $]]/2500</f>
        <v>53.756</v>
      </c>
    </row>
    <row r="135" spans="2:6" x14ac:dyDescent="0.3">
      <c r="B135" s="8" t="s">
        <v>1648</v>
      </c>
      <c r="C135" s="8" t="s">
        <v>1667</v>
      </c>
      <c r="D135" s="9">
        <v>43891</v>
      </c>
      <c r="E135" s="13">
        <v>1230020</v>
      </c>
      <c r="F135" s="11">
        <f>+Tabla2[[#This Row],[CONSUMO $]]/2500</f>
        <v>492.00799999999998</v>
      </c>
    </row>
    <row r="136" spans="2:6" x14ac:dyDescent="0.3">
      <c r="B136" s="8" t="s">
        <v>1648</v>
      </c>
      <c r="C136" s="8" t="s">
        <v>1669</v>
      </c>
      <c r="D136" s="9">
        <v>43891</v>
      </c>
      <c r="E136" s="13">
        <v>5056380</v>
      </c>
      <c r="F136" s="11">
        <f>+Tabla2[[#This Row],[CONSUMO $]]/2500</f>
        <v>2022.5519999999999</v>
      </c>
    </row>
    <row r="137" spans="2:6" x14ac:dyDescent="0.3">
      <c r="B137" s="8" t="s">
        <v>1649</v>
      </c>
      <c r="C137" s="8" t="s">
        <v>1665</v>
      </c>
      <c r="D137" s="9">
        <v>43891</v>
      </c>
      <c r="E137" s="10">
        <v>0</v>
      </c>
      <c r="F137" s="11">
        <f>+Tabla2[[#This Row],[CONSUMO $]]/2500</f>
        <v>0</v>
      </c>
    </row>
    <row r="138" spans="2:6" x14ac:dyDescent="0.3">
      <c r="B138" s="8" t="s">
        <v>1653</v>
      </c>
      <c r="C138" s="8" t="s">
        <v>1660</v>
      </c>
      <c r="D138" s="9">
        <v>43922</v>
      </c>
      <c r="E138" s="13">
        <v>478210</v>
      </c>
      <c r="F138" s="11">
        <f>+Tabla2[[#This Row],[CONSUMO $]]/2500</f>
        <v>191.28399999999999</v>
      </c>
    </row>
    <row r="139" spans="2:6" x14ac:dyDescent="0.3">
      <c r="B139" s="8" t="s">
        <v>1652</v>
      </c>
      <c r="C139" s="8" t="s">
        <v>1661</v>
      </c>
      <c r="D139" s="9">
        <v>43922</v>
      </c>
      <c r="E139" s="13">
        <v>680410</v>
      </c>
      <c r="F139" s="11">
        <f>+Tabla2[[#This Row],[CONSUMO $]]/2500</f>
        <v>272.16399999999999</v>
      </c>
    </row>
    <row r="140" spans="2:6" x14ac:dyDescent="0.3">
      <c r="B140" s="8" t="s">
        <v>1651</v>
      </c>
      <c r="C140" s="8" t="s">
        <v>1662</v>
      </c>
      <c r="D140" s="9">
        <v>43922</v>
      </c>
      <c r="E140" s="13">
        <v>19210</v>
      </c>
      <c r="F140" s="11">
        <f>+Tabla2[[#This Row],[CONSUMO $]]/2500</f>
        <v>7.6840000000000002</v>
      </c>
    </row>
    <row r="141" spans="2:6" x14ac:dyDescent="0.3">
      <c r="B141" s="8" t="s">
        <v>1650</v>
      </c>
      <c r="C141" s="8" t="s">
        <v>1663</v>
      </c>
      <c r="D141" s="9">
        <v>43922</v>
      </c>
      <c r="E141" s="13">
        <v>393890</v>
      </c>
      <c r="F141" s="11">
        <f>+Tabla2[[#This Row],[CONSUMO $]]/2500</f>
        <v>157.55600000000001</v>
      </c>
    </row>
    <row r="142" spans="2:6" x14ac:dyDescent="0.3">
      <c r="B142" s="8" t="s">
        <v>1649</v>
      </c>
      <c r="C142" s="8" t="s">
        <v>1664</v>
      </c>
      <c r="D142" s="9">
        <v>43922</v>
      </c>
      <c r="E142" s="13">
        <v>372990</v>
      </c>
      <c r="F142" s="11">
        <f>+Tabla2[[#This Row],[CONSUMO $]]/2500</f>
        <v>149.196</v>
      </c>
    </row>
    <row r="143" spans="2:6" x14ac:dyDescent="0.3">
      <c r="B143" s="8" t="s">
        <v>1648</v>
      </c>
      <c r="C143" s="8" t="s">
        <v>1668</v>
      </c>
      <c r="D143" s="9">
        <v>43922</v>
      </c>
      <c r="E143" s="13">
        <v>136200</v>
      </c>
      <c r="F143" s="11">
        <f>+Tabla2[[#This Row],[CONSUMO $]]/2500</f>
        <v>54.48</v>
      </c>
    </row>
    <row r="144" spans="2:6" x14ac:dyDescent="0.3">
      <c r="B144" s="8" t="s">
        <v>1648</v>
      </c>
      <c r="C144" s="8" t="s">
        <v>1667</v>
      </c>
      <c r="D144" s="9">
        <v>43922</v>
      </c>
      <c r="E144" s="13">
        <v>1319010</v>
      </c>
      <c r="F144" s="11">
        <f>+Tabla2[[#This Row],[CONSUMO $]]/2500</f>
        <v>527.60400000000004</v>
      </c>
    </row>
    <row r="145" spans="2:6" x14ac:dyDescent="0.3">
      <c r="B145" s="8" t="s">
        <v>1648</v>
      </c>
      <c r="C145" s="8" t="s">
        <v>1669</v>
      </c>
      <c r="D145" s="9">
        <v>43922</v>
      </c>
      <c r="E145" s="13">
        <v>5390380</v>
      </c>
      <c r="F145" s="11">
        <f>+Tabla2[[#This Row],[CONSUMO $]]/2500</f>
        <v>2156.152</v>
      </c>
    </row>
    <row r="146" spans="2:6" x14ac:dyDescent="0.3">
      <c r="B146" s="8" t="s">
        <v>1649</v>
      </c>
      <c r="C146" s="8" t="s">
        <v>1665</v>
      </c>
      <c r="D146" s="9">
        <v>43922</v>
      </c>
      <c r="E146" s="10">
        <v>0</v>
      </c>
      <c r="F146" s="11">
        <f>+Tabla2[[#This Row],[CONSUMO $]]/2500</f>
        <v>0</v>
      </c>
    </row>
    <row r="147" spans="2:6" x14ac:dyDescent="0.3">
      <c r="B147" s="8" t="s">
        <v>1653</v>
      </c>
      <c r="C147" s="8" t="s">
        <v>1660</v>
      </c>
      <c r="D147" s="9">
        <v>43952</v>
      </c>
      <c r="E147" s="10">
        <v>216130</v>
      </c>
      <c r="F147" s="11">
        <f>+Tabla2[[#This Row],[CONSUMO $]]/2500</f>
        <v>86.451999999999998</v>
      </c>
    </row>
    <row r="148" spans="2:6" x14ac:dyDescent="0.3">
      <c r="B148" s="8" t="s">
        <v>1652</v>
      </c>
      <c r="C148" s="8" t="s">
        <v>1661</v>
      </c>
      <c r="D148" s="9">
        <v>43952</v>
      </c>
      <c r="E148" s="10">
        <v>247570</v>
      </c>
      <c r="F148" s="11">
        <f>+Tabla2[[#This Row],[CONSUMO $]]/2500</f>
        <v>99.028000000000006</v>
      </c>
    </row>
    <row r="149" spans="2:6" x14ac:dyDescent="0.3">
      <c r="B149" s="8" t="s">
        <v>1651</v>
      </c>
      <c r="C149" s="8" t="s">
        <v>1662</v>
      </c>
      <c r="D149" s="9">
        <v>43952</v>
      </c>
      <c r="E149" s="10">
        <v>40410</v>
      </c>
      <c r="F149" s="11">
        <f>+Tabla2[[#This Row],[CONSUMO $]]/2500</f>
        <v>16.164000000000001</v>
      </c>
    </row>
    <row r="150" spans="2:6" x14ac:dyDescent="0.3">
      <c r="B150" s="8" t="s">
        <v>1650</v>
      </c>
      <c r="C150" s="8" t="s">
        <v>1663</v>
      </c>
      <c r="D150" s="9">
        <v>43952</v>
      </c>
      <c r="E150" s="10">
        <v>281520</v>
      </c>
      <c r="F150" s="11">
        <f>+Tabla2[[#This Row],[CONSUMO $]]/2500</f>
        <v>112.608</v>
      </c>
    </row>
    <row r="151" spans="2:6" x14ac:dyDescent="0.3">
      <c r="B151" s="8" t="s">
        <v>1649</v>
      </c>
      <c r="C151" s="8" t="s">
        <v>1664</v>
      </c>
      <c r="D151" s="9">
        <v>43952</v>
      </c>
      <c r="E151" s="10">
        <v>31060</v>
      </c>
      <c r="F151" s="11">
        <f>+Tabla2[[#This Row],[CONSUMO $]]/2500</f>
        <v>12.423999999999999</v>
      </c>
    </row>
    <row r="152" spans="2:6" x14ac:dyDescent="0.3">
      <c r="B152" s="8" t="s">
        <v>1648</v>
      </c>
      <c r="C152" s="8" t="s">
        <v>1668</v>
      </c>
      <c r="D152" s="9">
        <v>43952</v>
      </c>
      <c r="E152" s="10">
        <v>0</v>
      </c>
      <c r="F152" s="11">
        <f>+Tabla2[[#This Row],[CONSUMO $]]/2500</f>
        <v>0</v>
      </c>
    </row>
    <row r="153" spans="2:6" x14ac:dyDescent="0.3">
      <c r="B153" s="8" t="s">
        <v>1648</v>
      </c>
      <c r="C153" s="8" t="s">
        <v>1667</v>
      </c>
      <c r="D153" s="9">
        <v>43952</v>
      </c>
      <c r="E153" s="10">
        <v>565410</v>
      </c>
      <c r="F153" s="11">
        <f>+Tabla2[[#This Row],[CONSUMO $]]/2500</f>
        <v>226.16399999999999</v>
      </c>
    </row>
    <row r="154" spans="2:6" x14ac:dyDescent="0.3">
      <c r="B154" s="8" t="s">
        <v>1648</v>
      </c>
      <c r="C154" s="8" t="s">
        <v>1669</v>
      </c>
      <c r="D154" s="9">
        <v>43952</v>
      </c>
      <c r="E154" s="10">
        <v>3467070</v>
      </c>
      <c r="F154" s="11">
        <f>+Tabla2[[#This Row],[CONSUMO $]]/2500</f>
        <v>1386.828</v>
      </c>
    </row>
    <row r="155" spans="2:6" x14ac:dyDescent="0.3">
      <c r="B155" s="8" t="s">
        <v>1649</v>
      </c>
      <c r="C155" s="8" t="s">
        <v>1665</v>
      </c>
      <c r="D155" s="9">
        <v>43952</v>
      </c>
      <c r="E155" s="10">
        <v>0</v>
      </c>
      <c r="F155" s="11">
        <f>+Tabla2[[#This Row],[CONSUMO $]]/2500</f>
        <v>0</v>
      </c>
    </row>
    <row r="156" spans="2:6" x14ac:dyDescent="0.3">
      <c r="B156" s="8" t="s">
        <v>1653</v>
      </c>
      <c r="C156" s="8" t="s">
        <v>1660</v>
      </c>
      <c r="D156" s="9">
        <v>43983</v>
      </c>
      <c r="E156" s="10">
        <v>295730</v>
      </c>
      <c r="F156" s="11">
        <f>+Tabla2[[#This Row],[CONSUMO $]]/2500</f>
        <v>118.292</v>
      </c>
    </row>
    <row r="157" spans="2:6" x14ac:dyDescent="0.3">
      <c r="B157" s="8" t="s">
        <v>1652</v>
      </c>
      <c r="C157" s="8" t="s">
        <v>1661</v>
      </c>
      <c r="D157" s="9">
        <v>43983</v>
      </c>
      <c r="E157" s="10">
        <v>383630</v>
      </c>
      <c r="F157" s="11">
        <f>+Tabla2[[#This Row],[CONSUMO $]]/2500</f>
        <v>153.452</v>
      </c>
    </row>
    <row r="158" spans="2:6" x14ac:dyDescent="0.3">
      <c r="B158" s="8" t="s">
        <v>1651</v>
      </c>
      <c r="C158" s="8" t="s">
        <v>1662</v>
      </c>
      <c r="D158" s="9">
        <v>43983</v>
      </c>
      <c r="E158" s="10">
        <v>7280</v>
      </c>
      <c r="F158" s="11">
        <f>+Tabla2[[#This Row],[CONSUMO $]]/2500</f>
        <v>2.9119999999999999</v>
      </c>
    </row>
    <row r="159" spans="2:6" x14ac:dyDescent="0.3">
      <c r="B159" s="8" t="s">
        <v>1650</v>
      </c>
      <c r="C159" s="8" t="s">
        <v>1663</v>
      </c>
      <c r="D159" s="9">
        <v>43983</v>
      </c>
      <c r="E159" s="10">
        <v>313940</v>
      </c>
      <c r="F159" s="11">
        <f>+Tabla2[[#This Row],[CONSUMO $]]/2500</f>
        <v>125.57599999999999</v>
      </c>
    </row>
    <row r="160" spans="2:6" x14ac:dyDescent="0.3">
      <c r="B160" s="8" t="s">
        <v>1649</v>
      </c>
      <c r="C160" s="8" t="s">
        <v>1664</v>
      </c>
      <c r="D160" s="9">
        <v>43983</v>
      </c>
      <c r="E160" s="10">
        <v>118550</v>
      </c>
      <c r="F160" s="11">
        <f>+Tabla2[[#This Row],[CONSUMO $]]/2500</f>
        <v>47.42</v>
      </c>
    </row>
    <row r="161" spans="2:6" x14ac:dyDescent="0.3">
      <c r="B161" s="8" t="s">
        <v>1648</v>
      </c>
      <c r="C161" s="8" t="s">
        <v>1668</v>
      </c>
      <c r="D161" s="9">
        <v>43983</v>
      </c>
      <c r="E161" s="10">
        <v>0</v>
      </c>
      <c r="F161" s="11">
        <f>+Tabla2[[#This Row],[CONSUMO $]]/2500</f>
        <v>0</v>
      </c>
    </row>
    <row r="162" spans="2:6" x14ac:dyDescent="0.3">
      <c r="B162" s="8" t="s">
        <v>1648</v>
      </c>
      <c r="C162" s="8" t="s">
        <v>1667</v>
      </c>
      <c r="D162" s="9">
        <v>43983</v>
      </c>
      <c r="E162" s="10">
        <v>637840</v>
      </c>
      <c r="F162" s="11">
        <f>+Tabla2[[#This Row],[CONSUMO $]]/2500</f>
        <v>255.136</v>
      </c>
    </row>
    <row r="163" spans="2:6" x14ac:dyDescent="0.3">
      <c r="B163" s="8" t="s">
        <v>1648</v>
      </c>
      <c r="C163" s="8" t="s">
        <v>1669</v>
      </c>
      <c r="D163" s="9">
        <v>43983</v>
      </c>
      <c r="E163" s="10">
        <v>3912830</v>
      </c>
      <c r="F163" s="11">
        <f>+Tabla2[[#This Row],[CONSUMO $]]/2500</f>
        <v>1565.1320000000001</v>
      </c>
    </row>
    <row r="164" spans="2:6" x14ac:dyDescent="0.3">
      <c r="B164" s="8" t="s">
        <v>1649</v>
      </c>
      <c r="C164" s="8" t="s">
        <v>1665</v>
      </c>
      <c r="D164" s="9">
        <v>43983</v>
      </c>
      <c r="E164" s="10">
        <v>0</v>
      </c>
      <c r="F164" s="11">
        <f>+Tabla2[[#This Row],[CONSUMO $]]/2500</f>
        <v>0</v>
      </c>
    </row>
    <row r="165" spans="2:6" x14ac:dyDescent="0.3">
      <c r="B165" s="8" t="s">
        <v>1653</v>
      </c>
      <c r="C165" s="8" t="s">
        <v>1660</v>
      </c>
      <c r="D165" s="9">
        <v>44013</v>
      </c>
      <c r="E165" s="10">
        <v>383760</v>
      </c>
      <c r="F165" s="11">
        <f>+Tabla2[[#This Row],[CONSUMO $]]/2500</f>
        <v>153.50399999999999</v>
      </c>
    </row>
    <row r="166" spans="2:6" x14ac:dyDescent="0.3">
      <c r="B166" s="8" t="s">
        <v>1652</v>
      </c>
      <c r="C166" s="8" t="s">
        <v>1661</v>
      </c>
      <c r="D166" s="9">
        <v>44013</v>
      </c>
      <c r="E166" s="10">
        <v>460220</v>
      </c>
      <c r="F166" s="11">
        <f>+Tabla2[[#This Row],[CONSUMO $]]/2500</f>
        <v>184.08799999999999</v>
      </c>
    </row>
    <row r="167" spans="2:6" x14ac:dyDescent="0.3">
      <c r="B167" s="8" t="s">
        <v>1651</v>
      </c>
      <c r="C167" s="8" t="s">
        <v>1662</v>
      </c>
      <c r="D167" s="9">
        <v>44013</v>
      </c>
      <c r="E167" s="10">
        <v>21160</v>
      </c>
      <c r="F167" s="11">
        <f>+Tabla2[[#This Row],[CONSUMO $]]/2500</f>
        <v>8.4640000000000004</v>
      </c>
    </row>
    <row r="168" spans="2:6" x14ac:dyDescent="0.3">
      <c r="B168" s="8" t="s">
        <v>1650</v>
      </c>
      <c r="C168" s="8" t="s">
        <v>1663</v>
      </c>
      <c r="D168" s="9">
        <v>44013</v>
      </c>
      <c r="E168" s="10">
        <v>350070</v>
      </c>
      <c r="F168" s="11">
        <f>+Tabla2[[#This Row],[CONSUMO $]]/2500</f>
        <v>140.02799999999999</v>
      </c>
    </row>
    <row r="169" spans="2:6" x14ac:dyDescent="0.3">
      <c r="B169" s="8" t="s">
        <v>1649</v>
      </c>
      <c r="C169" s="8" t="s">
        <v>1664</v>
      </c>
      <c r="D169" s="9">
        <v>44013</v>
      </c>
      <c r="E169" s="10">
        <v>151410</v>
      </c>
      <c r="F169" s="11">
        <f>+Tabla2[[#This Row],[CONSUMO $]]/2500</f>
        <v>60.564</v>
      </c>
    </row>
    <row r="170" spans="2:6" x14ac:dyDescent="0.3">
      <c r="B170" s="8" t="s">
        <v>1648</v>
      </c>
      <c r="C170" s="8" t="s">
        <v>1668</v>
      </c>
      <c r="D170" s="9">
        <v>44013</v>
      </c>
      <c r="E170" s="10">
        <v>0</v>
      </c>
      <c r="F170" s="11">
        <f>+Tabla2[[#This Row],[CONSUMO $]]/2500</f>
        <v>0</v>
      </c>
    </row>
    <row r="171" spans="2:6" x14ac:dyDescent="0.3">
      <c r="B171" s="8" t="s">
        <v>1648</v>
      </c>
      <c r="C171" s="8" t="s">
        <v>1667</v>
      </c>
      <c r="D171" s="9">
        <v>44013</v>
      </c>
      <c r="E171" s="10">
        <v>750590</v>
      </c>
      <c r="F171" s="11">
        <f>+Tabla2[[#This Row],[CONSUMO $]]/2500</f>
        <v>300.23599999999999</v>
      </c>
    </row>
    <row r="172" spans="2:6" x14ac:dyDescent="0.3">
      <c r="B172" s="8" t="s">
        <v>1648</v>
      </c>
      <c r="C172" s="8" t="s">
        <v>1669</v>
      </c>
      <c r="D172" s="9">
        <v>44013</v>
      </c>
      <c r="E172" s="10">
        <v>4308210</v>
      </c>
      <c r="F172" s="11">
        <f>+Tabla2[[#This Row],[CONSUMO $]]/2500</f>
        <v>1723.2840000000001</v>
      </c>
    </row>
    <row r="173" spans="2:6" x14ac:dyDescent="0.3">
      <c r="B173" s="8" t="s">
        <v>1649</v>
      </c>
      <c r="C173" s="8" t="s">
        <v>1665</v>
      </c>
      <c r="D173" s="9">
        <v>44013</v>
      </c>
      <c r="E173" s="10">
        <v>0</v>
      </c>
      <c r="F173" s="11">
        <f>+Tabla2[[#This Row],[CONSUMO $]]/2500</f>
        <v>0</v>
      </c>
    </row>
    <row r="174" spans="2:6" x14ac:dyDescent="0.3">
      <c r="B174" s="8" t="s">
        <v>1653</v>
      </c>
      <c r="C174" s="8" t="s">
        <v>1660</v>
      </c>
      <c r="D174" s="9">
        <v>44044</v>
      </c>
      <c r="E174" s="10">
        <v>322640</v>
      </c>
      <c r="F174" s="11">
        <f>+Tabla2[[#This Row],[CONSUMO $]]/2500</f>
        <v>129.05600000000001</v>
      </c>
    </row>
    <row r="175" spans="2:6" x14ac:dyDescent="0.3">
      <c r="B175" s="8" t="s">
        <v>1652</v>
      </c>
      <c r="C175" s="8" t="s">
        <v>1661</v>
      </c>
      <c r="D175" s="9">
        <v>44044</v>
      </c>
      <c r="E175" s="10">
        <v>483650</v>
      </c>
      <c r="F175" s="11">
        <f>+Tabla2[[#This Row],[CONSUMO $]]/2500</f>
        <v>193.46</v>
      </c>
    </row>
    <row r="176" spans="2:6" x14ac:dyDescent="0.3">
      <c r="B176" s="8" t="s">
        <v>1651</v>
      </c>
      <c r="C176" s="8" t="s">
        <v>1662</v>
      </c>
      <c r="D176" s="9">
        <v>44044</v>
      </c>
      <c r="E176" s="10">
        <v>4950</v>
      </c>
      <c r="F176" s="11">
        <f>+Tabla2[[#This Row],[CONSUMO $]]/2500</f>
        <v>1.98</v>
      </c>
    </row>
    <row r="177" spans="2:6" x14ac:dyDescent="0.3">
      <c r="B177" s="8" t="s">
        <v>1650</v>
      </c>
      <c r="C177" s="8" t="s">
        <v>1663</v>
      </c>
      <c r="D177" s="9">
        <v>44044</v>
      </c>
      <c r="E177" s="10">
        <v>316310</v>
      </c>
      <c r="F177" s="11">
        <f>+Tabla2[[#This Row],[CONSUMO $]]/2500</f>
        <v>126.524</v>
      </c>
    </row>
    <row r="178" spans="2:6" x14ac:dyDescent="0.3">
      <c r="B178" s="8" t="s">
        <v>1649</v>
      </c>
      <c r="C178" s="8" t="s">
        <v>1664</v>
      </c>
      <c r="D178" s="9">
        <v>44044</v>
      </c>
      <c r="E178" s="10">
        <v>108100</v>
      </c>
      <c r="F178" s="11">
        <f>+Tabla2[[#This Row],[CONSUMO $]]/2500</f>
        <v>43.24</v>
      </c>
    </row>
    <row r="179" spans="2:6" x14ac:dyDescent="0.3">
      <c r="B179" s="8" t="s">
        <v>1648</v>
      </c>
      <c r="C179" s="8" t="s">
        <v>1668</v>
      </c>
      <c r="D179" s="9">
        <v>44044</v>
      </c>
      <c r="E179" s="10">
        <v>51960</v>
      </c>
      <c r="F179" s="11">
        <f>+Tabla2[[#This Row],[CONSUMO $]]/2500</f>
        <v>20.783999999999999</v>
      </c>
    </row>
    <row r="180" spans="2:6" x14ac:dyDescent="0.3">
      <c r="B180" s="8" t="s">
        <v>1648</v>
      </c>
      <c r="C180" s="8" t="s">
        <v>1667</v>
      </c>
      <c r="D180" s="9">
        <v>44044</v>
      </c>
      <c r="E180" s="10">
        <v>674410</v>
      </c>
      <c r="F180" s="11">
        <f>+Tabla2[[#This Row],[CONSUMO $]]/2500</f>
        <v>269.76400000000001</v>
      </c>
    </row>
    <row r="181" spans="2:6" x14ac:dyDescent="0.3">
      <c r="B181" s="8" t="s">
        <v>1648</v>
      </c>
      <c r="C181" s="8" t="s">
        <v>1669</v>
      </c>
      <c r="D181" s="9">
        <v>44044</v>
      </c>
      <c r="E181" s="10">
        <v>3803110</v>
      </c>
      <c r="F181" s="11">
        <f>+Tabla2[[#This Row],[CONSUMO $]]/2500</f>
        <v>1521.2439999999999</v>
      </c>
    </row>
    <row r="182" spans="2:6" x14ac:dyDescent="0.3">
      <c r="B182" s="8" t="s">
        <v>1649</v>
      </c>
      <c r="C182" s="8" t="s">
        <v>1665</v>
      </c>
      <c r="D182" s="9">
        <v>44044</v>
      </c>
      <c r="E182" s="10">
        <v>0</v>
      </c>
      <c r="F182" s="11">
        <f>+Tabla2[[#This Row],[CONSUMO $]]/2500</f>
        <v>0</v>
      </c>
    </row>
    <row r="183" spans="2:6" x14ac:dyDescent="0.3">
      <c r="B183" s="8" t="s">
        <v>1653</v>
      </c>
      <c r="C183" s="8" t="s">
        <v>1660</v>
      </c>
      <c r="D183" s="9">
        <v>44075</v>
      </c>
      <c r="E183" s="10">
        <v>312250</v>
      </c>
      <c r="F183" s="11">
        <f>+Tabla2[[#This Row],[CONSUMO $]]/2500</f>
        <v>124.9</v>
      </c>
    </row>
    <row r="184" spans="2:6" x14ac:dyDescent="0.3">
      <c r="B184" s="8" t="s">
        <v>1652</v>
      </c>
      <c r="C184" s="8" t="s">
        <v>1661</v>
      </c>
      <c r="D184" s="9">
        <v>44075</v>
      </c>
      <c r="E184" s="10">
        <v>524700</v>
      </c>
      <c r="F184" s="11">
        <f>+Tabla2[[#This Row],[CONSUMO $]]/2500</f>
        <v>209.88</v>
      </c>
    </row>
    <row r="185" spans="2:6" x14ac:dyDescent="0.3">
      <c r="B185" s="8" t="s">
        <v>1651</v>
      </c>
      <c r="C185" s="8" t="s">
        <v>1662</v>
      </c>
      <c r="D185" s="9">
        <v>44075</v>
      </c>
      <c r="E185" s="10">
        <v>4870</v>
      </c>
      <c r="F185" s="11">
        <f>+Tabla2[[#This Row],[CONSUMO $]]/2500</f>
        <v>1.948</v>
      </c>
    </row>
    <row r="186" spans="2:6" x14ac:dyDescent="0.3">
      <c r="B186" s="8" t="s">
        <v>1650</v>
      </c>
      <c r="C186" s="8" t="s">
        <v>1663</v>
      </c>
      <c r="D186" s="9">
        <v>44075</v>
      </c>
      <c r="E186" s="10">
        <v>323860</v>
      </c>
      <c r="F186" s="11">
        <f>+Tabla2[[#This Row],[CONSUMO $]]/2500</f>
        <v>129.54400000000001</v>
      </c>
    </row>
    <row r="187" spans="2:6" x14ac:dyDescent="0.3">
      <c r="B187" s="8" t="s">
        <v>1649</v>
      </c>
      <c r="C187" s="8" t="s">
        <v>1664</v>
      </c>
      <c r="D187" s="9">
        <v>44075</v>
      </c>
      <c r="E187" s="10">
        <v>95900</v>
      </c>
      <c r="F187" s="11">
        <f>+Tabla2[[#This Row],[CONSUMO $]]/2500</f>
        <v>38.36</v>
      </c>
    </row>
    <row r="188" spans="2:6" x14ac:dyDescent="0.3">
      <c r="B188" s="8" t="s">
        <v>1648</v>
      </c>
      <c r="C188" s="8" t="s">
        <v>1668</v>
      </c>
      <c r="D188" s="9">
        <v>44075</v>
      </c>
      <c r="E188" s="10">
        <v>39030</v>
      </c>
      <c r="F188" s="11">
        <f>+Tabla2[[#This Row],[CONSUMO $]]/2500</f>
        <v>15.612</v>
      </c>
    </row>
    <row r="189" spans="2:6" x14ac:dyDescent="0.3">
      <c r="B189" s="8" t="s">
        <v>1648</v>
      </c>
      <c r="C189" s="8" t="s">
        <v>1667</v>
      </c>
      <c r="D189" s="9">
        <v>44075</v>
      </c>
      <c r="E189" s="10">
        <v>727220</v>
      </c>
      <c r="F189" s="11">
        <f>+Tabla2[[#This Row],[CONSUMO $]]/2500</f>
        <v>290.88799999999998</v>
      </c>
    </row>
    <row r="190" spans="2:6" x14ac:dyDescent="0.3">
      <c r="B190" s="8" t="s">
        <v>1648</v>
      </c>
      <c r="C190" s="8" t="s">
        <v>1669</v>
      </c>
      <c r="D190" s="9">
        <v>44075</v>
      </c>
      <c r="E190" s="10">
        <v>4311350</v>
      </c>
      <c r="F190" s="11">
        <f>+Tabla2[[#This Row],[CONSUMO $]]/2500</f>
        <v>1724.54</v>
      </c>
    </row>
    <row r="191" spans="2:6" x14ac:dyDescent="0.3">
      <c r="B191" s="8" t="s">
        <v>1649</v>
      </c>
      <c r="C191" s="8" t="s">
        <v>1665</v>
      </c>
      <c r="D191" s="9">
        <v>44075</v>
      </c>
      <c r="E191" s="10">
        <v>0</v>
      </c>
      <c r="F191" s="11">
        <f>+Tabla2[[#This Row],[CONSUMO $]]/2500</f>
        <v>0</v>
      </c>
    </row>
    <row r="192" spans="2:6" x14ac:dyDescent="0.3">
      <c r="B192" s="8" t="s">
        <v>1653</v>
      </c>
      <c r="C192" s="8" t="s">
        <v>1660</v>
      </c>
      <c r="D192" s="9">
        <v>44105</v>
      </c>
      <c r="E192" s="10">
        <v>298640</v>
      </c>
      <c r="F192" s="11">
        <f>+Tabla2[[#This Row],[CONSUMO $]]/2500</f>
        <v>119.456</v>
      </c>
    </row>
    <row r="193" spans="2:6" x14ac:dyDescent="0.3">
      <c r="B193" s="8" t="s">
        <v>1652</v>
      </c>
      <c r="C193" s="8" t="s">
        <v>1661</v>
      </c>
      <c r="D193" s="9">
        <v>44105</v>
      </c>
      <c r="E193" s="10">
        <v>464320</v>
      </c>
      <c r="F193" s="11">
        <f>+Tabla2[[#This Row],[CONSUMO $]]/2500</f>
        <v>185.72800000000001</v>
      </c>
    </row>
    <row r="194" spans="2:6" x14ac:dyDescent="0.3">
      <c r="B194" s="8" t="s">
        <v>1651</v>
      </c>
      <c r="C194" s="8" t="s">
        <v>1662</v>
      </c>
      <c r="D194" s="9">
        <v>44105</v>
      </c>
      <c r="E194" s="10">
        <v>9190</v>
      </c>
      <c r="F194" s="11">
        <f>+Tabla2[[#This Row],[CONSUMO $]]/2500</f>
        <v>3.6760000000000002</v>
      </c>
    </row>
    <row r="195" spans="2:6" x14ac:dyDescent="0.3">
      <c r="B195" s="8" t="s">
        <v>1650</v>
      </c>
      <c r="C195" s="8" t="s">
        <v>1663</v>
      </c>
      <c r="D195" s="9">
        <v>44105</v>
      </c>
      <c r="E195" s="10">
        <v>294590</v>
      </c>
      <c r="F195" s="11">
        <f>+Tabla2[[#This Row],[CONSUMO $]]/2500</f>
        <v>117.836</v>
      </c>
    </row>
    <row r="196" spans="2:6" x14ac:dyDescent="0.3">
      <c r="B196" s="8" t="s">
        <v>1649</v>
      </c>
      <c r="C196" s="8" t="s">
        <v>1664</v>
      </c>
      <c r="D196" s="9">
        <v>44105</v>
      </c>
      <c r="E196" s="10">
        <v>94050</v>
      </c>
      <c r="F196" s="11">
        <f>+Tabla2[[#This Row],[CONSUMO $]]/2500</f>
        <v>37.619999999999997</v>
      </c>
    </row>
    <row r="197" spans="2:6" x14ac:dyDescent="0.3">
      <c r="B197" s="8" t="s">
        <v>1648</v>
      </c>
      <c r="C197" s="8" t="s">
        <v>1668</v>
      </c>
      <c r="D197" s="9">
        <v>44105</v>
      </c>
      <c r="E197" s="10">
        <v>37300</v>
      </c>
      <c r="F197" s="11">
        <f>+Tabla2[[#This Row],[CONSUMO $]]/2500</f>
        <v>14.92</v>
      </c>
    </row>
    <row r="198" spans="2:6" x14ac:dyDescent="0.3">
      <c r="B198" s="8" t="s">
        <v>1648</v>
      </c>
      <c r="C198" s="8" t="s">
        <v>1667</v>
      </c>
      <c r="D198" s="9">
        <v>44105</v>
      </c>
      <c r="E198" s="10">
        <v>737230</v>
      </c>
      <c r="F198" s="11">
        <f>+Tabla2[[#This Row],[CONSUMO $]]/2500</f>
        <v>294.892</v>
      </c>
    </row>
    <row r="199" spans="2:6" x14ac:dyDescent="0.3">
      <c r="B199" s="8" t="s">
        <v>1648</v>
      </c>
      <c r="C199" s="8" t="s">
        <v>1669</v>
      </c>
      <c r="D199" s="9">
        <v>44105</v>
      </c>
      <c r="E199" s="10">
        <v>4000320</v>
      </c>
      <c r="F199" s="11">
        <f>+Tabla2[[#This Row],[CONSUMO $]]/2500</f>
        <v>1600.1279999999999</v>
      </c>
    </row>
    <row r="200" spans="2:6" x14ac:dyDescent="0.3">
      <c r="B200" s="8" t="s">
        <v>1649</v>
      </c>
      <c r="C200" s="8" t="s">
        <v>1665</v>
      </c>
      <c r="D200" s="9">
        <v>44105</v>
      </c>
      <c r="E200" s="10">
        <v>0</v>
      </c>
      <c r="F200" s="11">
        <f>+Tabla2[[#This Row],[CONSUMO $]]/2500</f>
        <v>0</v>
      </c>
    </row>
    <row r="201" spans="2:6" x14ac:dyDescent="0.3">
      <c r="B201" s="8" t="s">
        <v>1653</v>
      </c>
      <c r="C201" s="8" t="s">
        <v>1660</v>
      </c>
      <c r="D201" s="9">
        <v>44136</v>
      </c>
      <c r="E201" s="10">
        <v>283480</v>
      </c>
      <c r="F201" s="11">
        <f>+Tabla2[[#This Row],[CONSUMO $]]/2500</f>
        <v>113.392</v>
      </c>
    </row>
    <row r="202" spans="2:6" x14ac:dyDescent="0.3">
      <c r="B202" s="8" t="s">
        <v>1652</v>
      </c>
      <c r="C202" s="8" t="s">
        <v>1661</v>
      </c>
      <c r="D202" s="9">
        <v>44136</v>
      </c>
      <c r="E202" s="10">
        <v>431620</v>
      </c>
      <c r="F202" s="11">
        <f>+Tabla2[[#This Row],[CONSUMO $]]/2500</f>
        <v>172.648</v>
      </c>
    </row>
    <row r="203" spans="2:6" x14ac:dyDescent="0.3">
      <c r="B203" s="8" t="s">
        <v>1651</v>
      </c>
      <c r="C203" s="8" t="s">
        <v>1662</v>
      </c>
      <c r="D203" s="9">
        <v>44136</v>
      </c>
      <c r="E203" s="10">
        <v>8610</v>
      </c>
      <c r="F203" s="11">
        <f>+Tabla2[[#This Row],[CONSUMO $]]/2500</f>
        <v>3.444</v>
      </c>
    </row>
    <row r="204" spans="2:6" x14ac:dyDescent="0.3">
      <c r="B204" s="8" t="s">
        <v>1650</v>
      </c>
      <c r="C204" s="8" t="s">
        <v>1663</v>
      </c>
      <c r="D204" s="9">
        <v>44136</v>
      </c>
      <c r="E204" s="10">
        <v>277210</v>
      </c>
      <c r="F204" s="11">
        <f>+Tabla2[[#This Row],[CONSUMO $]]/2500</f>
        <v>110.884</v>
      </c>
    </row>
    <row r="205" spans="2:6" x14ac:dyDescent="0.3">
      <c r="B205" s="8" t="s">
        <v>1649</v>
      </c>
      <c r="C205" s="8" t="s">
        <v>1664</v>
      </c>
      <c r="D205" s="9">
        <v>44136</v>
      </c>
      <c r="E205" s="10">
        <v>81200</v>
      </c>
      <c r="F205" s="11">
        <f>+Tabla2[[#This Row],[CONSUMO $]]/2500</f>
        <v>32.479999999999997</v>
      </c>
    </row>
    <row r="206" spans="2:6" x14ac:dyDescent="0.3">
      <c r="B206" s="8" t="s">
        <v>1648</v>
      </c>
      <c r="C206" s="8" t="s">
        <v>1668</v>
      </c>
      <c r="D206" s="9">
        <v>44136</v>
      </c>
      <c r="E206" s="10">
        <v>43610</v>
      </c>
      <c r="F206" s="11">
        <f>+Tabla2[[#This Row],[CONSUMO $]]/2500</f>
        <v>17.443999999999999</v>
      </c>
    </row>
    <row r="207" spans="2:6" x14ac:dyDescent="0.3">
      <c r="B207" s="8" t="s">
        <v>1648</v>
      </c>
      <c r="C207" s="8" t="s">
        <v>1667</v>
      </c>
      <c r="D207" s="9">
        <v>44136</v>
      </c>
      <c r="E207" s="10">
        <v>673960</v>
      </c>
      <c r="F207" s="11">
        <f>+Tabla2[[#This Row],[CONSUMO $]]/2500</f>
        <v>269.584</v>
      </c>
    </row>
    <row r="208" spans="2:6" x14ac:dyDescent="0.3">
      <c r="B208" s="8" t="s">
        <v>1648</v>
      </c>
      <c r="C208" s="8" t="s">
        <v>1669</v>
      </c>
      <c r="D208" s="9">
        <v>44136</v>
      </c>
      <c r="E208" s="10">
        <v>3997090</v>
      </c>
      <c r="F208" s="11">
        <f>+Tabla2[[#This Row],[CONSUMO $]]/2500</f>
        <v>1598.836</v>
      </c>
    </row>
    <row r="209" spans="2:6" x14ac:dyDescent="0.3">
      <c r="B209" s="8" t="s">
        <v>1649</v>
      </c>
      <c r="C209" s="8" t="s">
        <v>1665</v>
      </c>
      <c r="D209" s="9">
        <v>44136</v>
      </c>
      <c r="E209" s="10">
        <v>0</v>
      </c>
      <c r="F209" s="11">
        <f>+Tabla2[[#This Row],[CONSUMO $]]/2500</f>
        <v>0</v>
      </c>
    </row>
    <row r="210" spans="2:6" x14ac:dyDescent="0.3">
      <c r="B210" s="8" t="s">
        <v>1653</v>
      </c>
      <c r="C210" s="8" t="s">
        <v>1660</v>
      </c>
      <c r="D210" s="9">
        <v>44166</v>
      </c>
      <c r="E210" s="10">
        <v>403570</v>
      </c>
      <c r="F210" s="11">
        <f>+Tabla2[[#This Row],[CONSUMO $]]/2500</f>
        <v>161.428</v>
      </c>
    </row>
    <row r="211" spans="2:6" x14ac:dyDescent="0.3">
      <c r="B211" s="8" t="s">
        <v>1652</v>
      </c>
      <c r="C211" s="8" t="s">
        <v>1661</v>
      </c>
      <c r="D211" s="9">
        <v>44166</v>
      </c>
      <c r="E211" s="10">
        <v>405100</v>
      </c>
      <c r="F211" s="11">
        <f>+Tabla2[[#This Row],[CONSUMO $]]/2500</f>
        <v>162.04</v>
      </c>
    </row>
    <row r="212" spans="2:6" x14ac:dyDescent="0.3">
      <c r="B212" s="8" t="s">
        <v>1651</v>
      </c>
      <c r="C212" s="8" t="s">
        <v>1662</v>
      </c>
      <c r="D212" s="9">
        <v>44166</v>
      </c>
      <c r="E212" s="10">
        <v>11900</v>
      </c>
      <c r="F212" s="11">
        <f>+Tabla2[[#This Row],[CONSUMO $]]/2500</f>
        <v>4.76</v>
      </c>
    </row>
    <row r="213" spans="2:6" x14ac:dyDescent="0.3">
      <c r="B213" s="8" t="s">
        <v>1650</v>
      </c>
      <c r="C213" s="8" t="s">
        <v>1663</v>
      </c>
      <c r="D213" s="9">
        <v>44166</v>
      </c>
      <c r="E213" s="10">
        <v>348320</v>
      </c>
      <c r="F213" s="11">
        <f>+Tabla2[[#This Row],[CONSUMO $]]/2500</f>
        <v>139.328</v>
      </c>
    </row>
    <row r="214" spans="2:6" x14ac:dyDescent="0.3">
      <c r="B214" s="8" t="s">
        <v>1649</v>
      </c>
      <c r="C214" s="8" t="s">
        <v>1664</v>
      </c>
      <c r="D214" s="9">
        <v>44166</v>
      </c>
      <c r="E214" s="10">
        <v>196440</v>
      </c>
      <c r="F214" s="11">
        <f>+Tabla2[[#This Row],[CONSUMO $]]/2500</f>
        <v>78.575999999999993</v>
      </c>
    </row>
    <row r="215" spans="2:6" x14ac:dyDescent="0.3">
      <c r="B215" s="8" t="s">
        <v>1648</v>
      </c>
      <c r="C215" s="8" t="s">
        <v>1668</v>
      </c>
      <c r="D215" s="9">
        <v>44166</v>
      </c>
      <c r="E215" s="10">
        <v>83260</v>
      </c>
      <c r="F215" s="11">
        <f>+Tabla2[[#This Row],[CONSUMO $]]/2500</f>
        <v>33.304000000000002</v>
      </c>
    </row>
    <row r="216" spans="2:6" x14ac:dyDescent="0.3">
      <c r="B216" s="8" t="s">
        <v>1648</v>
      </c>
      <c r="C216" s="8" t="s">
        <v>1667</v>
      </c>
      <c r="D216" s="9">
        <v>44166</v>
      </c>
      <c r="E216" s="10">
        <v>763670</v>
      </c>
      <c r="F216" s="11">
        <f>+Tabla2[[#This Row],[CONSUMO $]]/2500</f>
        <v>305.46800000000002</v>
      </c>
    </row>
    <row r="217" spans="2:6" x14ac:dyDescent="0.3">
      <c r="B217" s="8" t="s">
        <v>1648</v>
      </c>
      <c r="C217" s="8" t="s">
        <v>1669</v>
      </c>
      <c r="D217" s="9">
        <v>44166</v>
      </c>
      <c r="E217" s="10">
        <v>3592260</v>
      </c>
      <c r="F217" s="11">
        <f>+Tabla2[[#This Row],[CONSUMO $]]/2500</f>
        <v>1436.904</v>
      </c>
    </row>
    <row r="218" spans="2:6" x14ac:dyDescent="0.3">
      <c r="B218" s="8" t="s">
        <v>1649</v>
      </c>
      <c r="C218" s="8" t="s">
        <v>1665</v>
      </c>
      <c r="D218" s="9">
        <v>44166</v>
      </c>
      <c r="E218" s="10">
        <v>0</v>
      </c>
      <c r="F218" s="11">
        <f>+Tabla2[[#This Row],[CONSUMO $]]/2500</f>
        <v>0</v>
      </c>
    </row>
    <row r="219" spans="2:6" x14ac:dyDescent="0.3">
      <c r="B219" s="8" t="s">
        <v>1653</v>
      </c>
      <c r="C219" s="8" t="s">
        <v>1660</v>
      </c>
      <c r="D219" s="9">
        <v>44197</v>
      </c>
      <c r="E219" s="10">
        <v>372420</v>
      </c>
      <c r="F219" s="11">
        <f>+Tabla2[[#This Row],[CONSUMO $]]/2500</f>
        <v>148.96799999999999</v>
      </c>
    </row>
    <row r="220" spans="2:6" x14ac:dyDescent="0.3">
      <c r="B220" s="8" t="s">
        <v>1652</v>
      </c>
      <c r="C220" s="8" t="s">
        <v>1661</v>
      </c>
      <c r="D220" s="9">
        <v>44197</v>
      </c>
      <c r="E220" s="10">
        <v>442340</v>
      </c>
      <c r="F220" s="11">
        <f>+Tabla2[[#This Row],[CONSUMO $]]/2500</f>
        <v>176.93600000000001</v>
      </c>
    </row>
    <row r="221" spans="2:6" x14ac:dyDescent="0.3">
      <c r="B221" s="8" t="s">
        <v>1651</v>
      </c>
      <c r="C221" s="8" t="s">
        <v>1662</v>
      </c>
      <c r="D221" s="9">
        <v>44197</v>
      </c>
      <c r="E221" s="10">
        <v>14020</v>
      </c>
      <c r="F221" s="11">
        <f>+Tabla2[[#This Row],[CONSUMO $]]/2500</f>
        <v>5.6079999999999997</v>
      </c>
    </row>
    <row r="222" spans="2:6" x14ac:dyDescent="0.3">
      <c r="B222" s="8" t="s">
        <v>1650</v>
      </c>
      <c r="C222" s="8" t="s">
        <v>1663</v>
      </c>
      <c r="D222" s="9">
        <v>44197</v>
      </c>
      <c r="E222" s="10">
        <v>343120</v>
      </c>
      <c r="F222" s="11">
        <f>+Tabla2[[#This Row],[CONSUMO $]]/2500</f>
        <v>137.24799999999999</v>
      </c>
    </row>
    <row r="223" spans="2:6" x14ac:dyDescent="0.3">
      <c r="B223" s="8" t="s">
        <v>1649</v>
      </c>
      <c r="C223" s="8" t="s">
        <v>1664</v>
      </c>
      <c r="D223" s="9">
        <v>44197</v>
      </c>
      <c r="E223" s="10">
        <v>142500</v>
      </c>
      <c r="F223" s="11">
        <f>+Tabla2[[#This Row],[CONSUMO $]]/2500</f>
        <v>57</v>
      </c>
    </row>
    <row r="224" spans="2:6" x14ac:dyDescent="0.3">
      <c r="B224" s="8" t="s">
        <v>1648</v>
      </c>
      <c r="C224" s="8" t="s">
        <v>1668</v>
      </c>
      <c r="D224" s="9">
        <v>44197</v>
      </c>
      <c r="E224" s="10">
        <v>121230</v>
      </c>
      <c r="F224" s="11">
        <f>+Tabla2[[#This Row],[CONSUMO $]]/2500</f>
        <v>48.491999999999997</v>
      </c>
    </row>
    <row r="225" spans="2:6" x14ac:dyDescent="0.3">
      <c r="B225" s="8" t="s">
        <v>1648</v>
      </c>
      <c r="C225" s="8" t="s">
        <v>1667</v>
      </c>
      <c r="D225" s="9">
        <v>44197</v>
      </c>
      <c r="E225" s="10">
        <v>755400</v>
      </c>
      <c r="F225" s="11">
        <f>+Tabla2[[#This Row],[CONSUMO $]]/2500</f>
        <v>302.16000000000003</v>
      </c>
    </row>
    <row r="226" spans="2:6" x14ac:dyDescent="0.3">
      <c r="B226" s="8" t="s">
        <v>1648</v>
      </c>
      <c r="C226" s="8" t="s">
        <v>1669</v>
      </c>
      <c r="D226" s="9">
        <v>44197</v>
      </c>
      <c r="E226" s="10">
        <v>4147770</v>
      </c>
      <c r="F226" s="11">
        <f>+Tabla2[[#This Row],[CONSUMO $]]/2500</f>
        <v>1659.1079999999999</v>
      </c>
    </row>
    <row r="227" spans="2:6" x14ac:dyDescent="0.3">
      <c r="B227" s="8" t="s">
        <v>1649</v>
      </c>
      <c r="C227" s="8" t="s">
        <v>1665</v>
      </c>
      <c r="D227" s="9">
        <v>44197</v>
      </c>
      <c r="E227" s="10">
        <v>0</v>
      </c>
      <c r="F227" s="11">
        <f>+Tabla2[[#This Row],[CONSUMO $]]/2500</f>
        <v>0</v>
      </c>
    </row>
    <row r="228" spans="2:6" x14ac:dyDescent="0.3">
      <c r="B228" s="8" t="s">
        <v>1653</v>
      </c>
      <c r="C228" s="8" t="s">
        <v>1660</v>
      </c>
      <c r="D228" s="9">
        <v>44228</v>
      </c>
      <c r="E228" s="10">
        <v>405870</v>
      </c>
      <c r="F228" s="11">
        <f>+Tabla2[[#This Row],[CONSUMO $]]/2500</f>
        <v>162.34800000000001</v>
      </c>
    </row>
    <row r="229" spans="2:6" x14ac:dyDescent="0.3">
      <c r="B229" s="8" t="s">
        <v>1652</v>
      </c>
      <c r="C229" s="8" t="s">
        <v>1661</v>
      </c>
      <c r="D229" s="9">
        <v>44228</v>
      </c>
      <c r="E229" s="10">
        <v>393670</v>
      </c>
      <c r="F229" s="11">
        <f>+Tabla2[[#This Row],[CONSUMO $]]/2500</f>
        <v>157.46799999999999</v>
      </c>
    </row>
    <row r="230" spans="2:6" x14ac:dyDescent="0.3">
      <c r="B230" s="8" t="s">
        <v>1651</v>
      </c>
      <c r="C230" s="8" t="s">
        <v>1662</v>
      </c>
      <c r="D230" s="9">
        <v>44228</v>
      </c>
      <c r="E230" s="10">
        <v>31410</v>
      </c>
      <c r="F230" s="11">
        <f>+Tabla2[[#This Row],[CONSUMO $]]/2500</f>
        <v>12.564</v>
      </c>
    </row>
    <row r="231" spans="2:6" x14ac:dyDescent="0.3">
      <c r="B231" s="8" t="s">
        <v>1650</v>
      </c>
      <c r="C231" s="8" t="s">
        <v>1663</v>
      </c>
      <c r="D231" s="9">
        <v>44228</v>
      </c>
      <c r="E231" s="10">
        <v>342770</v>
      </c>
      <c r="F231" s="11">
        <f>+Tabla2[[#This Row],[CONSUMO $]]/2500</f>
        <v>137.108</v>
      </c>
    </row>
    <row r="232" spans="2:6" x14ac:dyDescent="0.3">
      <c r="B232" s="8" t="s">
        <v>1649</v>
      </c>
      <c r="C232" s="8" t="s">
        <v>1664</v>
      </c>
      <c r="D232" s="9">
        <v>44228</v>
      </c>
      <c r="E232" s="10">
        <v>150140</v>
      </c>
      <c r="F232" s="11">
        <f>+Tabla2[[#This Row],[CONSUMO $]]/2500</f>
        <v>60.055999999999997</v>
      </c>
    </row>
    <row r="233" spans="2:6" x14ac:dyDescent="0.3">
      <c r="B233" s="8" t="s">
        <v>1648</v>
      </c>
      <c r="C233" s="8" t="s">
        <v>1668</v>
      </c>
      <c r="D233" s="9">
        <v>44228</v>
      </c>
      <c r="E233" s="10">
        <v>85020</v>
      </c>
      <c r="F233" s="11">
        <f>+Tabla2[[#This Row],[CONSUMO $]]/2500</f>
        <v>34.008000000000003</v>
      </c>
    </row>
    <row r="234" spans="2:6" x14ac:dyDescent="0.3">
      <c r="B234" s="8" t="s">
        <v>1648</v>
      </c>
      <c r="C234" s="8" t="s">
        <v>1667</v>
      </c>
      <c r="D234" s="9">
        <v>44228</v>
      </c>
      <c r="E234" s="10">
        <v>691490</v>
      </c>
      <c r="F234" s="11">
        <f>+Tabla2[[#This Row],[CONSUMO $]]/2500</f>
        <v>276.596</v>
      </c>
    </row>
    <row r="235" spans="2:6" x14ac:dyDescent="0.3">
      <c r="B235" s="8" t="s">
        <v>1648</v>
      </c>
      <c r="C235" s="8" t="s">
        <v>1669</v>
      </c>
      <c r="D235" s="9">
        <v>44228</v>
      </c>
      <c r="E235" s="10">
        <v>3378280</v>
      </c>
      <c r="F235" s="11">
        <f>+Tabla2[[#This Row],[CONSUMO $]]/2500</f>
        <v>1351.3119999999999</v>
      </c>
    </row>
    <row r="236" spans="2:6" x14ac:dyDescent="0.3">
      <c r="B236" s="8" t="s">
        <v>1649</v>
      </c>
      <c r="C236" s="8" t="s">
        <v>1665</v>
      </c>
      <c r="D236" s="9">
        <v>44228</v>
      </c>
      <c r="E236" s="10">
        <v>0</v>
      </c>
      <c r="F236" s="11">
        <f>+Tabla2[[#This Row],[CONSUMO $]]/2500</f>
        <v>0</v>
      </c>
    </row>
    <row r="237" spans="2:6" x14ac:dyDescent="0.3">
      <c r="B237" s="8" t="s">
        <v>1653</v>
      </c>
      <c r="C237" s="8" t="s">
        <v>1660</v>
      </c>
      <c r="D237" s="9">
        <v>44256</v>
      </c>
      <c r="E237" s="10">
        <v>676980</v>
      </c>
      <c r="F237" s="11">
        <f>+Tabla2[[#This Row],[CONSUMO $]]/2500</f>
        <v>270.79199999999997</v>
      </c>
    </row>
    <row r="238" spans="2:6" x14ac:dyDescent="0.3">
      <c r="B238" s="8" t="s">
        <v>1652</v>
      </c>
      <c r="C238" s="8" t="s">
        <v>1661</v>
      </c>
      <c r="D238" s="9">
        <v>44256</v>
      </c>
      <c r="E238" s="10">
        <v>516410</v>
      </c>
      <c r="F238" s="11">
        <f>+Tabla2[[#This Row],[CONSUMO $]]/2500</f>
        <v>206.56399999999999</v>
      </c>
    </row>
    <row r="239" spans="2:6" x14ac:dyDescent="0.3">
      <c r="B239" s="8" t="s">
        <v>1651</v>
      </c>
      <c r="C239" s="8" t="s">
        <v>1662</v>
      </c>
      <c r="D239" s="9">
        <v>44256</v>
      </c>
      <c r="E239" s="10">
        <v>36610</v>
      </c>
      <c r="F239" s="11">
        <f>+Tabla2[[#This Row],[CONSUMO $]]/2500</f>
        <v>14.644</v>
      </c>
    </row>
    <row r="240" spans="2:6" x14ac:dyDescent="0.3">
      <c r="B240" s="8" t="s">
        <v>1650</v>
      </c>
      <c r="C240" s="8" t="s">
        <v>1663</v>
      </c>
      <c r="D240" s="9">
        <v>44256</v>
      </c>
      <c r="E240" s="10">
        <v>388580</v>
      </c>
      <c r="F240" s="11">
        <f>+Tabla2[[#This Row],[CONSUMO $]]/2500</f>
        <v>155.43199999999999</v>
      </c>
    </row>
    <row r="241" spans="2:6" x14ac:dyDescent="0.3">
      <c r="B241" s="8" t="s">
        <v>1649</v>
      </c>
      <c r="C241" s="8" t="s">
        <v>1664</v>
      </c>
      <c r="D241" s="9">
        <v>44256</v>
      </c>
      <c r="E241" s="10">
        <v>322690</v>
      </c>
      <c r="F241" s="11">
        <f>+Tabla2[[#This Row],[CONSUMO $]]/2500</f>
        <v>129.07599999999999</v>
      </c>
    </row>
    <row r="242" spans="2:6" x14ac:dyDescent="0.3">
      <c r="B242" s="8" t="s">
        <v>1648</v>
      </c>
      <c r="C242" s="8" t="s">
        <v>1668</v>
      </c>
      <c r="D242" s="9">
        <v>44256</v>
      </c>
      <c r="E242" s="10">
        <v>152620</v>
      </c>
      <c r="F242" s="11">
        <f>+Tabla2[[#This Row],[CONSUMO $]]/2500</f>
        <v>61.048000000000002</v>
      </c>
    </row>
    <row r="243" spans="2:6" x14ac:dyDescent="0.3">
      <c r="B243" s="8" t="s">
        <v>1648</v>
      </c>
      <c r="C243" s="8" t="s">
        <v>1667</v>
      </c>
      <c r="D243" s="9">
        <v>44256</v>
      </c>
      <c r="E243" s="10">
        <v>1046340</v>
      </c>
      <c r="F243" s="11">
        <f>+Tabla2[[#This Row],[CONSUMO $]]/2500</f>
        <v>418.536</v>
      </c>
    </row>
    <row r="244" spans="2:6" x14ac:dyDescent="0.3">
      <c r="B244" s="8" t="s">
        <v>1648</v>
      </c>
      <c r="C244" s="8" t="s">
        <v>1669</v>
      </c>
      <c r="D244" s="9">
        <v>44256</v>
      </c>
      <c r="E244" s="10">
        <v>4392600</v>
      </c>
      <c r="F244" s="11">
        <f>+Tabla2[[#This Row],[CONSUMO $]]/2500</f>
        <v>1757.04</v>
      </c>
    </row>
    <row r="245" spans="2:6" x14ac:dyDescent="0.3">
      <c r="B245" s="8" t="s">
        <v>1649</v>
      </c>
      <c r="C245" s="8" t="s">
        <v>1665</v>
      </c>
      <c r="D245" s="9">
        <v>44256</v>
      </c>
      <c r="E245" s="10">
        <v>0</v>
      </c>
      <c r="F245" s="11">
        <f>+Tabla2[[#This Row],[CONSUMO $]]/2500</f>
        <v>0</v>
      </c>
    </row>
    <row r="246" spans="2:6" x14ac:dyDescent="0.3">
      <c r="B246" s="8" t="s">
        <v>1653</v>
      </c>
      <c r="C246" s="8" t="s">
        <v>1660</v>
      </c>
      <c r="D246" s="9">
        <v>44287</v>
      </c>
      <c r="E246" s="10">
        <v>634890</v>
      </c>
      <c r="F246" s="11">
        <f>+Tabla2[[#This Row],[CONSUMO $]]/2500</f>
        <v>253.95599999999999</v>
      </c>
    </row>
    <row r="247" spans="2:6" x14ac:dyDescent="0.3">
      <c r="B247" s="8" t="s">
        <v>1652</v>
      </c>
      <c r="C247" s="8" t="s">
        <v>1661</v>
      </c>
      <c r="D247" s="9">
        <v>44287</v>
      </c>
      <c r="E247" s="10">
        <v>488640</v>
      </c>
      <c r="F247" s="11">
        <f>+Tabla2[[#This Row],[CONSUMO $]]/2500</f>
        <v>195.45599999999999</v>
      </c>
    </row>
    <row r="248" spans="2:6" x14ac:dyDescent="0.3">
      <c r="B248" s="8" t="s">
        <v>1651</v>
      </c>
      <c r="C248" s="8" t="s">
        <v>1662</v>
      </c>
      <c r="D248" s="9">
        <v>44287</v>
      </c>
      <c r="E248" s="10">
        <v>21530</v>
      </c>
      <c r="F248" s="11">
        <f>+Tabla2[[#This Row],[CONSUMO $]]/2500</f>
        <v>8.6120000000000001</v>
      </c>
    </row>
    <row r="249" spans="2:6" x14ac:dyDescent="0.3">
      <c r="B249" s="8" t="s">
        <v>1650</v>
      </c>
      <c r="C249" s="8" t="s">
        <v>1663</v>
      </c>
      <c r="D249" s="9">
        <v>44287</v>
      </c>
      <c r="E249" s="10">
        <v>353430</v>
      </c>
      <c r="F249" s="11">
        <f>+Tabla2[[#This Row],[CONSUMO $]]/2500</f>
        <v>141.37200000000001</v>
      </c>
    </row>
    <row r="250" spans="2:6" x14ac:dyDescent="0.3">
      <c r="B250" s="8" t="s">
        <v>1649</v>
      </c>
      <c r="C250" s="8" t="s">
        <v>1664</v>
      </c>
      <c r="D250" s="9">
        <v>44287</v>
      </c>
      <c r="E250" s="10">
        <v>325180</v>
      </c>
      <c r="F250" s="11">
        <f>+Tabla2[[#This Row],[CONSUMO $]]/2500</f>
        <v>130.072</v>
      </c>
    </row>
    <row r="251" spans="2:6" x14ac:dyDescent="0.3">
      <c r="B251" s="8" t="s">
        <v>1648</v>
      </c>
      <c r="C251" s="8" t="s">
        <v>1668</v>
      </c>
      <c r="D251" s="9">
        <v>44287</v>
      </c>
      <c r="E251" s="10">
        <v>108420</v>
      </c>
      <c r="F251" s="11">
        <f>+Tabla2[[#This Row],[CONSUMO $]]/2500</f>
        <v>43.368000000000002</v>
      </c>
    </row>
    <row r="252" spans="2:6" x14ac:dyDescent="0.3">
      <c r="B252" s="8" t="s">
        <v>1648</v>
      </c>
      <c r="C252" s="8" t="s">
        <v>1667</v>
      </c>
      <c r="D252" s="9">
        <v>44287</v>
      </c>
      <c r="E252" s="10">
        <v>1002510</v>
      </c>
      <c r="F252" s="11">
        <f>+Tabla2[[#This Row],[CONSUMO $]]/2500</f>
        <v>401.00400000000002</v>
      </c>
    </row>
    <row r="253" spans="2:6" x14ac:dyDescent="0.3">
      <c r="B253" s="8" t="s">
        <v>1648</v>
      </c>
      <c r="C253" s="8" t="s">
        <v>1669</v>
      </c>
      <c r="D253" s="9">
        <v>44287</v>
      </c>
      <c r="E253" s="10">
        <v>4298560</v>
      </c>
      <c r="F253" s="11">
        <f>+Tabla2[[#This Row],[CONSUMO $]]/2500</f>
        <v>1719.424</v>
      </c>
    </row>
    <row r="254" spans="2:6" x14ac:dyDescent="0.3">
      <c r="B254" s="8" t="s">
        <v>1649</v>
      </c>
      <c r="C254" s="8" t="s">
        <v>1665</v>
      </c>
      <c r="D254" s="9">
        <v>44287</v>
      </c>
      <c r="E254" s="10">
        <v>0</v>
      </c>
      <c r="F254" s="11">
        <f>+Tabla2[[#This Row],[CONSUMO $]]/2500</f>
        <v>0</v>
      </c>
    </row>
    <row r="255" spans="2:6" x14ac:dyDescent="0.3">
      <c r="B255" s="8" t="s">
        <v>1653</v>
      </c>
      <c r="C255" s="8" t="s">
        <v>1660</v>
      </c>
      <c r="D255" s="9">
        <v>44317</v>
      </c>
      <c r="E255" s="10">
        <v>581720</v>
      </c>
      <c r="F255" s="11">
        <f>+Tabla2[[#This Row],[CONSUMO $]]/2500</f>
        <v>232.68799999999999</v>
      </c>
    </row>
    <row r="256" spans="2:6" x14ac:dyDescent="0.3">
      <c r="B256" s="8" t="s">
        <v>1652</v>
      </c>
      <c r="C256" s="8" t="s">
        <v>1661</v>
      </c>
      <c r="D256" s="9">
        <v>44317</v>
      </c>
      <c r="E256" s="10">
        <v>411340</v>
      </c>
      <c r="F256" s="11">
        <f>+Tabla2[[#This Row],[CONSUMO $]]/2500</f>
        <v>164.536</v>
      </c>
    </row>
    <row r="257" spans="2:6" x14ac:dyDescent="0.3">
      <c r="B257" s="8" t="s">
        <v>1651</v>
      </c>
      <c r="C257" s="8" t="s">
        <v>1662</v>
      </c>
      <c r="D257" s="9">
        <v>44317</v>
      </c>
      <c r="E257" s="10">
        <v>29700</v>
      </c>
      <c r="F257" s="11">
        <f>+Tabla2[[#This Row],[CONSUMO $]]/2500</f>
        <v>11.88</v>
      </c>
    </row>
    <row r="258" spans="2:6" x14ac:dyDescent="0.3">
      <c r="B258" s="8" t="s">
        <v>1650</v>
      </c>
      <c r="C258" s="8" t="s">
        <v>1663</v>
      </c>
      <c r="D258" s="9">
        <v>44317</v>
      </c>
      <c r="E258" s="10">
        <v>351660</v>
      </c>
      <c r="F258" s="11">
        <f>+Tabla2[[#This Row],[CONSUMO $]]/2500</f>
        <v>140.66399999999999</v>
      </c>
    </row>
    <row r="259" spans="2:6" x14ac:dyDescent="0.3">
      <c r="B259" s="8" t="s">
        <v>1649</v>
      </c>
      <c r="C259" s="8" t="s">
        <v>1664</v>
      </c>
      <c r="D259" s="9">
        <v>44317</v>
      </c>
      <c r="E259" s="10">
        <v>248360</v>
      </c>
      <c r="F259" s="11">
        <f>+Tabla2[[#This Row],[CONSUMO $]]/2500</f>
        <v>99.343999999999994</v>
      </c>
    </row>
    <row r="260" spans="2:6" x14ac:dyDescent="0.3">
      <c r="B260" s="8" t="s">
        <v>1648</v>
      </c>
      <c r="C260" s="8" t="s">
        <v>1668</v>
      </c>
      <c r="D260" s="9">
        <v>44317</v>
      </c>
      <c r="E260" s="10">
        <v>91100</v>
      </c>
      <c r="F260" s="11">
        <f>+Tabla2[[#This Row],[CONSUMO $]]/2500</f>
        <v>36.44</v>
      </c>
    </row>
    <row r="261" spans="2:6" x14ac:dyDescent="0.3">
      <c r="B261" s="8" t="s">
        <v>1648</v>
      </c>
      <c r="C261" s="8" t="s">
        <v>1667</v>
      </c>
      <c r="D261" s="9">
        <v>44317</v>
      </c>
      <c r="E261" s="10">
        <v>756500</v>
      </c>
      <c r="F261" s="11">
        <f>+Tabla2[[#This Row],[CONSUMO $]]/2500</f>
        <v>302.60000000000002</v>
      </c>
    </row>
    <row r="262" spans="2:6" x14ac:dyDescent="0.3">
      <c r="B262" s="8" t="s">
        <v>1648</v>
      </c>
      <c r="C262" s="8" t="s">
        <v>1669</v>
      </c>
      <c r="D262" s="9">
        <v>44317</v>
      </c>
      <c r="E262" s="10">
        <v>3693750</v>
      </c>
      <c r="F262" s="11">
        <f>+Tabla2[[#This Row],[CONSUMO $]]/2500</f>
        <v>1477.5</v>
      </c>
    </row>
    <row r="263" spans="2:6" x14ac:dyDescent="0.3">
      <c r="B263" s="8" t="s">
        <v>1649</v>
      </c>
      <c r="C263" s="8" t="s">
        <v>1665</v>
      </c>
      <c r="D263" s="9">
        <v>44317</v>
      </c>
      <c r="E263" s="10">
        <v>0</v>
      </c>
      <c r="F263" s="11">
        <f>+Tabla2[[#This Row],[CONSUMO $]]/2500</f>
        <v>0</v>
      </c>
    </row>
    <row r="264" spans="2:6" x14ac:dyDescent="0.3">
      <c r="B264" s="8" t="s">
        <v>1653</v>
      </c>
      <c r="C264" s="8" t="s">
        <v>1660</v>
      </c>
      <c r="D264" s="9">
        <v>44348</v>
      </c>
      <c r="E264" s="10">
        <v>652250</v>
      </c>
      <c r="F264" s="11">
        <f>+Tabla2[[#This Row],[CONSUMO $]]/2500</f>
        <v>260.89999999999998</v>
      </c>
    </row>
    <row r="265" spans="2:6" x14ac:dyDescent="0.3">
      <c r="B265" s="8" t="s">
        <v>1652</v>
      </c>
      <c r="C265" s="8" t="s">
        <v>1661</v>
      </c>
      <c r="D265" s="9">
        <v>44348</v>
      </c>
      <c r="E265" s="10">
        <v>628020</v>
      </c>
      <c r="F265" s="11">
        <f>+Tabla2[[#This Row],[CONSUMO $]]/2500</f>
        <v>251.208</v>
      </c>
    </row>
    <row r="266" spans="2:6" x14ac:dyDescent="0.3">
      <c r="B266" s="8" t="s">
        <v>1651</v>
      </c>
      <c r="C266" s="8" t="s">
        <v>1662</v>
      </c>
      <c r="D266" s="9">
        <v>44348</v>
      </c>
      <c r="E266" s="10">
        <v>14910</v>
      </c>
      <c r="F266" s="11">
        <f>+Tabla2[[#This Row],[CONSUMO $]]/2500</f>
        <v>5.9640000000000004</v>
      </c>
    </row>
    <row r="267" spans="2:6" x14ac:dyDescent="0.3">
      <c r="B267" s="8" t="s">
        <v>1650</v>
      </c>
      <c r="C267" s="8" t="s">
        <v>1663</v>
      </c>
      <c r="D267" s="9">
        <v>44348</v>
      </c>
      <c r="E267" s="10">
        <v>400200</v>
      </c>
      <c r="F267" s="11">
        <f>+Tabla2[[#This Row],[CONSUMO $]]/2500</f>
        <v>160.08000000000001</v>
      </c>
    </row>
    <row r="268" spans="2:6" x14ac:dyDescent="0.3">
      <c r="B268" s="8" t="s">
        <v>1649</v>
      </c>
      <c r="C268" s="8" t="s">
        <v>1664</v>
      </c>
      <c r="D268" s="9">
        <v>44348</v>
      </c>
      <c r="E268" s="10">
        <v>265460</v>
      </c>
      <c r="F268" s="11">
        <f>+Tabla2[[#This Row],[CONSUMO $]]/2500</f>
        <v>106.184</v>
      </c>
    </row>
    <row r="269" spans="2:6" x14ac:dyDescent="0.3">
      <c r="B269" s="8" t="s">
        <v>1648</v>
      </c>
      <c r="C269" s="8" t="s">
        <v>1668</v>
      </c>
      <c r="D269" s="9">
        <v>44348</v>
      </c>
      <c r="E269" s="10">
        <v>116370</v>
      </c>
      <c r="F269" s="11">
        <f>+Tabla2[[#This Row],[CONSUMO $]]/2500</f>
        <v>46.548000000000002</v>
      </c>
    </row>
    <row r="270" spans="2:6" x14ac:dyDescent="0.3">
      <c r="B270" s="8" t="s">
        <v>1648</v>
      </c>
      <c r="C270" s="8" t="s">
        <v>1667</v>
      </c>
      <c r="D270" s="9">
        <v>44348</v>
      </c>
      <c r="E270" s="10">
        <v>1037420</v>
      </c>
      <c r="F270" s="11">
        <f>+Tabla2[[#This Row],[CONSUMO $]]/2500</f>
        <v>414.96800000000002</v>
      </c>
    </row>
    <row r="271" spans="2:6" x14ac:dyDescent="0.3">
      <c r="B271" s="8" t="s">
        <v>1648</v>
      </c>
      <c r="C271" s="8" t="s">
        <v>1669</v>
      </c>
      <c r="D271" s="9">
        <v>44348</v>
      </c>
      <c r="E271" s="10">
        <v>5088690</v>
      </c>
      <c r="F271" s="11">
        <f>+Tabla2[[#This Row],[CONSUMO $]]/2500</f>
        <v>2035.4760000000001</v>
      </c>
    </row>
    <row r="272" spans="2:6" x14ac:dyDescent="0.3">
      <c r="B272" s="8" t="s">
        <v>1649</v>
      </c>
      <c r="C272" s="8" t="s">
        <v>1665</v>
      </c>
      <c r="D272" s="9">
        <v>44348</v>
      </c>
      <c r="E272" s="10">
        <v>0</v>
      </c>
      <c r="F272" s="11">
        <f>+Tabla2[[#This Row],[CONSUMO $]]/2500</f>
        <v>0</v>
      </c>
    </row>
    <row r="273" spans="2:6" x14ac:dyDescent="0.3">
      <c r="B273" s="8" t="s">
        <v>1653</v>
      </c>
      <c r="C273" s="8" t="s">
        <v>1660</v>
      </c>
      <c r="D273" s="9">
        <v>44378</v>
      </c>
      <c r="E273" s="10">
        <v>570730</v>
      </c>
      <c r="F273" s="11">
        <f>+Tabla2[[#This Row],[CONSUMO $]]/2500</f>
        <v>228.292</v>
      </c>
    </row>
    <row r="274" spans="2:6" x14ac:dyDescent="0.3">
      <c r="B274" s="8" t="s">
        <v>1652</v>
      </c>
      <c r="C274" s="8" t="s">
        <v>1661</v>
      </c>
      <c r="D274" s="9">
        <v>44378</v>
      </c>
      <c r="E274" s="10">
        <v>527780</v>
      </c>
      <c r="F274" s="11">
        <f>+Tabla2[[#This Row],[CONSUMO $]]/2500</f>
        <v>211.11199999999999</v>
      </c>
    </row>
    <row r="275" spans="2:6" x14ac:dyDescent="0.3">
      <c r="B275" s="8" t="s">
        <v>1651</v>
      </c>
      <c r="C275" s="8" t="s">
        <v>1662</v>
      </c>
      <c r="D275" s="9">
        <v>44378</v>
      </c>
      <c r="E275" s="10">
        <v>25570</v>
      </c>
      <c r="F275" s="11">
        <f>+Tabla2[[#This Row],[CONSUMO $]]/2500</f>
        <v>10.228</v>
      </c>
    </row>
    <row r="276" spans="2:6" x14ac:dyDescent="0.3">
      <c r="B276" s="8" t="s">
        <v>1650</v>
      </c>
      <c r="C276" s="8" t="s">
        <v>1663</v>
      </c>
      <c r="D276" s="9">
        <v>44378</v>
      </c>
      <c r="E276" s="10">
        <v>359730</v>
      </c>
      <c r="F276" s="11">
        <f>+Tabla2[[#This Row],[CONSUMO $]]/2500</f>
        <v>143.892</v>
      </c>
    </row>
    <row r="277" spans="2:6" x14ac:dyDescent="0.3">
      <c r="B277" s="8" t="s">
        <v>1649</v>
      </c>
      <c r="C277" s="8" t="s">
        <v>1664</v>
      </c>
      <c r="D277" s="9">
        <v>44378</v>
      </c>
      <c r="E277" s="10">
        <v>126760</v>
      </c>
      <c r="F277" s="11">
        <f>+Tabla2[[#This Row],[CONSUMO $]]/2500</f>
        <v>50.704000000000001</v>
      </c>
    </row>
    <row r="278" spans="2:6" x14ac:dyDescent="0.3">
      <c r="B278" s="8" t="s">
        <v>1648</v>
      </c>
      <c r="C278" s="8" t="s">
        <v>1668</v>
      </c>
      <c r="D278" s="9">
        <v>44378</v>
      </c>
      <c r="E278" s="10">
        <v>102500</v>
      </c>
      <c r="F278" s="11">
        <f>+Tabla2[[#This Row],[CONSUMO $]]/2500</f>
        <v>41</v>
      </c>
    </row>
    <row r="279" spans="2:6" x14ac:dyDescent="0.3">
      <c r="B279" s="8" t="s">
        <v>1648</v>
      </c>
      <c r="C279" s="8" t="s">
        <v>1667</v>
      </c>
      <c r="D279" s="9">
        <v>44378</v>
      </c>
      <c r="E279" s="10">
        <v>871170</v>
      </c>
      <c r="F279" s="11">
        <f>+Tabla2[[#This Row],[CONSUMO $]]/2500</f>
        <v>348.46800000000002</v>
      </c>
    </row>
    <row r="280" spans="2:6" x14ac:dyDescent="0.3">
      <c r="B280" s="8" t="s">
        <v>1648</v>
      </c>
      <c r="C280" s="8" t="s">
        <v>1669</v>
      </c>
      <c r="D280" s="9">
        <v>44378</v>
      </c>
      <c r="E280" s="10">
        <v>4892990</v>
      </c>
      <c r="F280" s="11">
        <f>+Tabla2[[#This Row],[CONSUMO $]]/2500</f>
        <v>1957.1959999999999</v>
      </c>
    </row>
    <row r="281" spans="2:6" x14ac:dyDescent="0.3">
      <c r="B281" s="8" t="s">
        <v>1649</v>
      </c>
      <c r="C281" s="8" t="s">
        <v>1665</v>
      </c>
      <c r="D281" s="9">
        <v>44378</v>
      </c>
      <c r="E281" s="10">
        <v>0</v>
      </c>
      <c r="F281" s="11">
        <f>+Tabla2[[#This Row],[CONSUMO $]]/2500</f>
        <v>0</v>
      </c>
    </row>
    <row r="282" spans="2:6" x14ac:dyDescent="0.3">
      <c r="B282" s="8" t="s">
        <v>1653</v>
      </c>
      <c r="C282" s="8" t="s">
        <v>1660</v>
      </c>
      <c r="D282" s="9">
        <v>44409</v>
      </c>
      <c r="E282" s="10">
        <v>682240</v>
      </c>
      <c r="F282" s="11">
        <f>+Tabla2[[#This Row],[CONSUMO $]]/2500</f>
        <v>272.89600000000002</v>
      </c>
    </row>
    <row r="283" spans="2:6" x14ac:dyDescent="0.3">
      <c r="B283" s="8" t="s">
        <v>1652</v>
      </c>
      <c r="C283" s="8" t="s">
        <v>1661</v>
      </c>
      <c r="D283" s="9">
        <v>44409</v>
      </c>
      <c r="E283" s="10">
        <v>568530</v>
      </c>
      <c r="F283" s="11">
        <f>+Tabla2[[#This Row],[CONSUMO $]]/2500</f>
        <v>227.41200000000001</v>
      </c>
    </row>
    <row r="284" spans="2:6" x14ac:dyDescent="0.3">
      <c r="B284" s="8" t="s">
        <v>1651</v>
      </c>
      <c r="C284" s="8" t="s">
        <v>1662</v>
      </c>
      <c r="D284" s="9">
        <v>44409</v>
      </c>
      <c r="E284" s="10">
        <v>49650</v>
      </c>
      <c r="F284" s="11">
        <f>+Tabla2[[#This Row],[CONSUMO $]]/2500</f>
        <v>19.86</v>
      </c>
    </row>
    <row r="285" spans="2:6" x14ac:dyDescent="0.3">
      <c r="B285" s="8" t="s">
        <v>1650</v>
      </c>
      <c r="C285" s="8" t="s">
        <v>1663</v>
      </c>
      <c r="D285" s="9">
        <v>44409</v>
      </c>
      <c r="E285" s="10">
        <v>414250</v>
      </c>
      <c r="F285" s="11">
        <f>+Tabla2[[#This Row],[CONSUMO $]]/2500</f>
        <v>165.7</v>
      </c>
    </row>
    <row r="286" spans="2:6" x14ac:dyDescent="0.3">
      <c r="B286" s="8" t="s">
        <v>1649</v>
      </c>
      <c r="C286" s="8" t="s">
        <v>1664</v>
      </c>
      <c r="D286" s="9">
        <v>44409</v>
      </c>
      <c r="E286" s="10">
        <v>304330</v>
      </c>
      <c r="F286" s="11">
        <f>+Tabla2[[#This Row],[CONSUMO $]]/2500</f>
        <v>121.732</v>
      </c>
    </row>
    <row r="287" spans="2:6" x14ac:dyDescent="0.3">
      <c r="B287" s="8" t="s">
        <v>1648</v>
      </c>
      <c r="C287" s="8" t="s">
        <v>1668</v>
      </c>
      <c r="D287" s="9">
        <v>44409</v>
      </c>
      <c r="E287" s="10">
        <v>179380</v>
      </c>
      <c r="F287" s="11">
        <f>+Tabla2[[#This Row],[CONSUMO $]]/2500</f>
        <v>71.751999999999995</v>
      </c>
    </row>
    <row r="288" spans="2:6" x14ac:dyDescent="0.3">
      <c r="B288" s="8" t="s">
        <v>1648</v>
      </c>
      <c r="C288" s="8" t="s">
        <v>1667</v>
      </c>
      <c r="D288" s="9">
        <v>44409</v>
      </c>
      <c r="E288" s="10">
        <v>1233340</v>
      </c>
      <c r="F288" s="11">
        <f>+Tabla2[[#This Row],[CONSUMO $]]/2500</f>
        <v>493.33600000000001</v>
      </c>
    </row>
    <row r="289" spans="2:6" x14ac:dyDescent="0.3">
      <c r="B289" s="8" t="s">
        <v>1648</v>
      </c>
      <c r="C289" s="8" t="s">
        <v>1669</v>
      </c>
      <c r="D289" s="9">
        <v>44409</v>
      </c>
      <c r="E289" s="10">
        <v>5813760</v>
      </c>
      <c r="F289" s="11">
        <f>+Tabla2[[#This Row],[CONSUMO $]]/2500</f>
        <v>2325.5039999999999</v>
      </c>
    </row>
    <row r="290" spans="2:6" x14ac:dyDescent="0.3">
      <c r="B290" s="8" t="s">
        <v>1649</v>
      </c>
      <c r="C290" s="8" t="s">
        <v>1665</v>
      </c>
      <c r="D290" s="9">
        <v>44409</v>
      </c>
      <c r="E290" s="10">
        <v>0</v>
      </c>
      <c r="F290" s="11">
        <f>+Tabla2[[#This Row],[CONSUMO $]]/2500</f>
        <v>0</v>
      </c>
    </row>
    <row r="291" spans="2:6" x14ac:dyDescent="0.3">
      <c r="B291" s="8" t="s">
        <v>1653</v>
      </c>
      <c r="C291" s="8" t="s">
        <v>1660</v>
      </c>
      <c r="D291" s="9">
        <v>44440</v>
      </c>
      <c r="E291" s="10">
        <v>788740</v>
      </c>
      <c r="F291" s="11">
        <f>+Tabla2[[#This Row],[CONSUMO $]]/2500</f>
        <v>315.49599999999998</v>
      </c>
    </row>
    <row r="292" spans="2:6" x14ac:dyDescent="0.3">
      <c r="B292" s="8" t="s">
        <v>1652</v>
      </c>
      <c r="C292" s="8" t="s">
        <v>1661</v>
      </c>
      <c r="D292" s="9">
        <v>44440</v>
      </c>
      <c r="E292" s="10">
        <v>775780</v>
      </c>
      <c r="F292" s="11">
        <f>+Tabla2[[#This Row],[CONSUMO $]]/2500</f>
        <v>310.31200000000001</v>
      </c>
    </row>
    <row r="293" spans="2:6" x14ac:dyDescent="0.3">
      <c r="B293" s="8" t="s">
        <v>1651</v>
      </c>
      <c r="C293" s="8" t="s">
        <v>1662</v>
      </c>
      <c r="D293" s="9">
        <v>44440</v>
      </c>
      <c r="E293" s="10">
        <v>64790</v>
      </c>
      <c r="F293" s="11">
        <f>+Tabla2[[#This Row],[CONSUMO $]]/2500</f>
        <v>25.916</v>
      </c>
    </row>
    <row r="294" spans="2:6" x14ac:dyDescent="0.3">
      <c r="B294" s="8" t="s">
        <v>1650</v>
      </c>
      <c r="C294" s="8" t="s">
        <v>1663</v>
      </c>
      <c r="D294" s="9">
        <v>44440</v>
      </c>
      <c r="E294" s="10">
        <v>518360</v>
      </c>
      <c r="F294" s="11">
        <f>+Tabla2[[#This Row],[CONSUMO $]]/2500</f>
        <v>207.34399999999999</v>
      </c>
    </row>
    <row r="295" spans="2:6" x14ac:dyDescent="0.3">
      <c r="B295" s="8" t="s">
        <v>1649</v>
      </c>
      <c r="C295" s="8" t="s">
        <v>1664</v>
      </c>
      <c r="D295" s="9">
        <v>44440</v>
      </c>
      <c r="E295" s="10">
        <v>450640</v>
      </c>
      <c r="F295" s="11">
        <f>+Tabla2[[#This Row],[CONSUMO $]]/2500</f>
        <v>180.256</v>
      </c>
    </row>
    <row r="296" spans="2:6" x14ac:dyDescent="0.3">
      <c r="B296" s="8" t="s">
        <v>1648</v>
      </c>
      <c r="C296" s="8" t="s">
        <v>1668</v>
      </c>
      <c r="D296" s="9">
        <v>44440</v>
      </c>
      <c r="E296" s="10">
        <v>201390</v>
      </c>
      <c r="F296" s="11">
        <f>+Tabla2[[#This Row],[CONSUMO $]]/2500</f>
        <v>80.555999999999997</v>
      </c>
    </row>
    <row r="297" spans="2:6" x14ac:dyDescent="0.3">
      <c r="B297" s="8" t="s">
        <v>1648</v>
      </c>
      <c r="C297" s="8" t="s">
        <v>1667</v>
      </c>
      <c r="D297" s="9">
        <v>44440</v>
      </c>
      <c r="E297" s="10">
        <v>1523550</v>
      </c>
      <c r="F297" s="11">
        <f>+Tabla2[[#This Row],[CONSUMO $]]/2500</f>
        <v>609.41999999999996</v>
      </c>
    </row>
    <row r="298" spans="2:6" x14ac:dyDescent="0.3">
      <c r="B298" s="8" t="s">
        <v>1648</v>
      </c>
      <c r="C298" s="8" t="s">
        <v>1669</v>
      </c>
      <c r="D298" s="9">
        <v>44440</v>
      </c>
      <c r="E298" s="10">
        <v>6719710</v>
      </c>
      <c r="F298" s="11">
        <f>+Tabla2[[#This Row],[CONSUMO $]]/2500</f>
        <v>2687.884</v>
      </c>
    </row>
    <row r="299" spans="2:6" x14ac:dyDescent="0.3">
      <c r="B299" s="8" t="s">
        <v>1649</v>
      </c>
      <c r="C299" s="8" t="s">
        <v>1665</v>
      </c>
      <c r="D299" s="9">
        <v>44440</v>
      </c>
      <c r="E299" s="10">
        <v>0</v>
      </c>
      <c r="F299" s="11">
        <f>+Tabla2[[#This Row],[CONSUMO $]]/2500</f>
        <v>0</v>
      </c>
    </row>
    <row r="300" spans="2:6" x14ac:dyDescent="0.3">
      <c r="B300" s="8" t="s">
        <v>1653</v>
      </c>
      <c r="C300" s="8" t="s">
        <v>1660</v>
      </c>
      <c r="D300" s="9">
        <v>44470</v>
      </c>
      <c r="E300" s="10">
        <v>758950</v>
      </c>
      <c r="F300" s="11">
        <f>+Tabla2[[#This Row],[CONSUMO $]]/2500</f>
        <v>303.58</v>
      </c>
    </row>
    <row r="301" spans="2:6" x14ac:dyDescent="0.3">
      <c r="B301" s="8" t="s">
        <v>1652</v>
      </c>
      <c r="C301" s="8" t="s">
        <v>1661</v>
      </c>
      <c r="D301" s="9">
        <v>44470</v>
      </c>
      <c r="E301" s="10">
        <v>775740</v>
      </c>
      <c r="F301" s="11">
        <f>+Tabla2[[#This Row],[CONSUMO $]]/2500</f>
        <v>310.29599999999999</v>
      </c>
    </row>
    <row r="302" spans="2:6" x14ac:dyDescent="0.3">
      <c r="B302" s="8" t="s">
        <v>1651</v>
      </c>
      <c r="C302" s="8" t="s">
        <v>1662</v>
      </c>
      <c r="D302" s="9">
        <v>44470</v>
      </c>
      <c r="E302" s="10">
        <v>131150</v>
      </c>
      <c r="F302" s="11">
        <f>+Tabla2[[#This Row],[CONSUMO $]]/2500</f>
        <v>52.46</v>
      </c>
    </row>
    <row r="303" spans="2:6" x14ac:dyDescent="0.3">
      <c r="B303" s="8" t="s">
        <v>1650</v>
      </c>
      <c r="C303" s="8" t="s">
        <v>1663</v>
      </c>
      <c r="D303" s="9">
        <v>44470</v>
      </c>
      <c r="E303" s="10">
        <v>546720</v>
      </c>
      <c r="F303" s="11">
        <f>+Tabla2[[#This Row],[CONSUMO $]]/2500</f>
        <v>218.68799999999999</v>
      </c>
    </row>
    <row r="304" spans="2:6" x14ac:dyDescent="0.3">
      <c r="B304" s="8" t="s">
        <v>1649</v>
      </c>
      <c r="C304" s="8" t="s">
        <v>1664</v>
      </c>
      <c r="D304" s="9">
        <v>44470</v>
      </c>
      <c r="E304" s="10">
        <v>630690</v>
      </c>
      <c r="F304" s="11">
        <f>+Tabla2[[#This Row],[CONSUMO $]]/2500</f>
        <v>252.27600000000001</v>
      </c>
    </row>
    <row r="305" spans="2:6" x14ac:dyDescent="0.3">
      <c r="B305" s="8" t="s">
        <v>1648</v>
      </c>
      <c r="C305" s="8" t="s">
        <v>1668</v>
      </c>
      <c r="D305" s="9">
        <v>44470</v>
      </c>
      <c r="E305" s="10">
        <v>232550</v>
      </c>
      <c r="F305" s="11">
        <f>+Tabla2[[#This Row],[CONSUMO $]]/2500</f>
        <v>93.02</v>
      </c>
    </row>
    <row r="306" spans="2:6" x14ac:dyDescent="0.3">
      <c r="B306" s="8" t="s">
        <v>1648</v>
      </c>
      <c r="C306" s="8" t="s">
        <v>1667</v>
      </c>
      <c r="D306" s="9">
        <v>44470</v>
      </c>
      <c r="E306" s="10">
        <v>1559110</v>
      </c>
      <c r="F306" s="11">
        <f>+Tabla2[[#This Row],[CONSUMO $]]/2500</f>
        <v>623.64400000000001</v>
      </c>
    </row>
    <row r="307" spans="2:6" x14ac:dyDescent="0.3">
      <c r="B307" s="8" t="s">
        <v>1648</v>
      </c>
      <c r="C307" s="8" t="s">
        <v>1669</v>
      </c>
      <c r="D307" s="9">
        <v>44470</v>
      </c>
      <c r="E307" s="10">
        <v>6705770</v>
      </c>
      <c r="F307" s="11">
        <f>+Tabla2[[#This Row],[CONSUMO $]]/2500</f>
        <v>2682.308</v>
      </c>
    </row>
    <row r="308" spans="2:6" x14ac:dyDescent="0.3">
      <c r="B308" s="8" t="s">
        <v>1649</v>
      </c>
      <c r="C308" s="8" t="s">
        <v>1665</v>
      </c>
      <c r="D308" s="9">
        <v>44470</v>
      </c>
      <c r="E308" s="10"/>
      <c r="F308" s="11">
        <f>+Tabla2[[#This Row],[CONSUMO $]]/2500</f>
        <v>0</v>
      </c>
    </row>
    <row r="309" spans="2:6" x14ac:dyDescent="0.3">
      <c r="B309" s="8" t="s">
        <v>1653</v>
      </c>
      <c r="C309" s="8" t="s">
        <v>1660</v>
      </c>
      <c r="D309" s="9">
        <v>44501</v>
      </c>
      <c r="E309" s="10">
        <v>741940</v>
      </c>
      <c r="F309" s="11">
        <f>+Tabla2[[#This Row],[CONSUMO $]]/2500</f>
        <v>296.77600000000001</v>
      </c>
    </row>
    <row r="310" spans="2:6" x14ac:dyDescent="0.3">
      <c r="B310" s="8" t="s">
        <v>1652</v>
      </c>
      <c r="C310" s="8" t="s">
        <v>1661</v>
      </c>
      <c r="D310" s="9">
        <v>44501</v>
      </c>
      <c r="E310" s="10">
        <v>830190</v>
      </c>
      <c r="F310" s="11">
        <f>+Tabla2[[#This Row],[CONSUMO $]]/2500</f>
        <v>332.07600000000002</v>
      </c>
    </row>
    <row r="311" spans="2:6" x14ac:dyDescent="0.3">
      <c r="B311" s="8" t="s">
        <v>1651</v>
      </c>
      <c r="C311" s="8" t="s">
        <v>1662</v>
      </c>
      <c r="D311" s="9">
        <v>44501</v>
      </c>
      <c r="E311" s="10">
        <v>61700</v>
      </c>
      <c r="F311" s="11">
        <f>+Tabla2[[#This Row],[CONSUMO $]]/2500</f>
        <v>24.68</v>
      </c>
    </row>
    <row r="312" spans="2:6" x14ac:dyDescent="0.3">
      <c r="B312" s="8" t="s">
        <v>1650</v>
      </c>
      <c r="C312" s="8" t="s">
        <v>1663</v>
      </c>
      <c r="D312" s="9">
        <v>44501</v>
      </c>
      <c r="E312" s="10">
        <v>584650</v>
      </c>
      <c r="F312" s="11">
        <f>+Tabla2[[#This Row],[CONSUMO $]]/2500</f>
        <v>233.86</v>
      </c>
    </row>
    <row r="313" spans="2:6" x14ac:dyDescent="0.3">
      <c r="B313" s="8" t="s">
        <v>1649</v>
      </c>
      <c r="C313" s="8" t="s">
        <v>1664</v>
      </c>
      <c r="D313" s="9">
        <v>44501</v>
      </c>
      <c r="E313" s="10">
        <v>637360</v>
      </c>
      <c r="F313" s="11">
        <f>+Tabla2[[#This Row],[CONSUMO $]]/2500</f>
        <v>254.94399999999999</v>
      </c>
    </row>
    <row r="314" spans="2:6" x14ac:dyDescent="0.3">
      <c r="B314" s="8" t="s">
        <v>1648</v>
      </c>
      <c r="C314" s="8" t="s">
        <v>1668</v>
      </c>
      <c r="D314" s="9">
        <v>44501</v>
      </c>
      <c r="E314" s="10">
        <v>277970</v>
      </c>
      <c r="F314" s="11">
        <f>+Tabla2[[#This Row],[CONSUMO $]]/2500</f>
        <v>111.188</v>
      </c>
    </row>
    <row r="315" spans="2:6" x14ac:dyDescent="0.3">
      <c r="B315" s="8" t="s">
        <v>1648</v>
      </c>
      <c r="C315" s="8" t="s">
        <v>1667</v>
      </c>
      <c r="D315" s="9">
        <v>44501</v>
      </c>
      <c r="E315" s="10">
        <v>1565780</v>
      </c>
      <c r="F315" s="11">
        <f>+Tabla2[[#This Row],[CONSUMO $]]/2500</f>
        <v>626.31200000000001</v>
      </c>
    </row>
    <row r="316" spans="2:6" x14ac:dyDescent="0.3">
      <c r="B316" s="8" t="s">
        <v>1648</v>
      </c>
      <c r="C316" s="8" t="s">
        <v>1669</v>
      </c>
      <c r="D316" s="9">
        <v>44501</v>
      </c>
      <c r="E316" s="10">
        <v>5967450</v>
      </c>
      <c r="F316" s="11">
        <f>+Tabla2[[#This Row],[CONSUMO $]]/2500</f>
        <v>2386.98</v>
      </c>
    </row>
    <row r="317" spans="2:6" x14ac:dyDescent="0.3">
      <c r="B317" s="8" t="s">
        <v>1649</v>
      </c>
      <c r="C317" s="8" t="s">
        <v>1665</v>
      </c>
      <c r="D317" s="9">
        <v>44501</v>
      </c>
      <c r="E317" s="10">
        <v>0</v>
      </c>
      <c r="F317" s="11">
        <f>+Tabla2[[#This Row],[CONSUMO $]]/2500</f>
        <v>0</v>
      </c>
    </row>
    <row r="318" spans="2:6" x14ac:dyDescent="0.3">
      <c r="B318" s="8" t="s">
        <v>1653</v>
      </c>
      <c r="C318" s="8" t="s">
        <v>1660</v>
      </c>
      <c r="D318" s="9">
        <v>44531</v>
      </c>
      <c r="E318" s="14">
        <v>695030</v>
      </c>
      <c r="F318" s="11">
        <f>+Tabla2[[#This Row],[CONSUMO $]]/2500</f>
        <v>278.012</v>
      </c>
    </row>
    <row r="319" spans="2:6" x14ac:dyDescent="0.3">
      <c r="B319" s="8" t="s">
        <v>1652</v>
      </c>
      <c r="C319" s="8" t="s">
        <v>1661</v>
      </c>
      <c r="D319" s="9">
        <v>44531</v>
      </c>
      <c r="E319" s="14">
        <v>772260</v>
      </c>
      <c r="F319" s="11">
        <f>+Tabla2[[#This Row],[CONSUMO $]]/2500</f>
        <v>308.904</v>
      </c>
    </row>
    <row r="320" spans="2:6" x14ac:dyDescent="0.3">
      <c r="B320" s="8" t="s">
        <v>1651</v>
      </c>
      <c r="C320" s="8" t="s">
        <v>1662</v>
      </c>
      <c r="D320" s="9">
        <v>44531</v>
      </c>
      <c r="E320" s="14">
        <v>22610</v>
      </c>
      <c r="F320" s="11">
        <f>+Tabla2[[#This Row],[CONSUMO $]]/2500</f>
        <v>9.0440000000000005</v>
      </c>
    </row>
    <row r="321" spans="2:6" x14ac:dyDescent="0.3">
      <c r="B321" s="8" t="s">
        <v>1650</v>
      </c>
      <c r="C321" s="8" t="s">
        <v>1663</v>
      </c>
      <c r="D321" s="9">
        <v>44531</v>
      </c>
      <c r="E321" s="14">
        <v>430730</v>
      </c>
      <c r="F321" s="11">
        <f>+Tabla2[[#This Row],[CONSUMO $]]/2500</f>
        <v>172.292</v>
      </c>
    </row>
    <row r="322" spans="2:6" x14ac:dyDescent="0.3">
      <c r="B322" s="8" t="s">
        <v>1649</v>
      </c>
      <c r="C322" s="8" t="s">
        <v>1664</v>
      </c>
      <c r="D322" s="9">
        <v>44531</v>
      </c>
      <c r="E322" s="14">
        <v>541920</v>
      </c>
      <c r="F322" s="11">
        <f>+Tabla2[[#This Row],[CONSUMO $]]/2500</f>
        <v>216.768</v>
      </c>
    </row>
    <row r="323" spans="2:6" x14ac:dyDescent="0.3">
      <c r="B323" s="8" t="s">
        <v>1648</v>
      </c>
      <c r="C323" s="8" t="s">
        <v>1668</v>
      </c>
      <c r="D323" s="9">
        <v>44531</v>
      </c>
      <c r="E323" s="14">
        <v>188180</v>
      </c>
      <c r="F323" s="11">
        <f>+Tabla2[[#This Row],[CONSUMO $]]/2500</f>
        <v>75.272000000000006</v>
      </c>
    </row>
    <row r="324" spans="2:6" x14ac:dyDescent="0.3">
      <c r="B324" s="8" t="s">
        <v>1648</v>
      </c>
      <c r="C324" s="8" t="s">
        <v>1667</v>
      </c>
      <c r="D324" s="9">
        <v>44531</v>
      </c>
      <c r="E324" s="14">
        <v>1455310</v>
      </c>
      <c r="F324" s="11">
        <f>+Tabla2[[#This Row],[CONSUMO $]]/2500</f>
        <v>582.12400000000002</v>
      </c>
    </row>
    <row r="325" spans="2:6" x14ac:dyDescent="0.3">
      <c r="B325" s="8" t="s">
        <v>1648</v>
      </c>
      <c r="C325" s="8" t="s">
        <v>1669</v>
      </c>
      <c r="D325" s="9">
        <v>44531</v>
      </c>
      <c r="E325" s="14">
        <v>5703200</v>
      </c>
      <c r="F325" s="11">
        <f>+Tabla2[[#This Row],[CONSUMO $]]/2500</f>
        <v>2281.2800000000002</v>
      </c>
    </row>
    <row r="326" spans="2:6" x14ac:dyDescent="0.3">
      <c r="B326" s="8" t="s">
        <v>1649</v>
      </c>
      <c r="C326" s="8" t="s">
        <v>1665</v>
      </c>
      <c r="D326" s="9">
        <v>44531</v>
      </c>
      <c r="E326" s="14">
        <v>0</v>
      </c>
      <c r="F326" s="11">
        <f>+Tabla2[[#This Row],[CONSUMO $]]/2500</f>
        <v>0</v>
      </c>
    </row>
    <row r="327" spans="2:6" x14ac:dyDescent="0.3">
      <c r="B327" s="8" t="s">
        <v>1648</v>
      </c>
      <c r="C327" s="8" t="s">
        <v>1668</v>
      </c>
      <c r="D327" s="15">
        <v>44582</v>
      </c>
      <c r="E327" s="10">
        <v>147690</v>
      </c>
      <c r="F327" s="11">
        <f>+Tabla2[[#This Row],[CONSUMO $]]/2500</f>
        <v>59.076000000000001</v>
      </c>
    </row>
    <row r="328" spans="2:6" x14ac:dyDescent="0.3">
      <c r="B328" s="8" t="s">
        <v>1648</v>
      </c>
      <c r="C328" s="8" t="s">
        <v>1667</v>
      </c>
      <c r="D328" s="15">
        <v>44582</v>
      </c>
      <c r="E328" s="10">
        <v>1169090</v>
      </c>
      <c r="F328" s="11">
        <f>+Tabla2[[#This Row],[CONSUMO $]]/2500</f>
        <v>467.63600000000002</v>
      </c>
    </row>
    <row r="329" spans="2:6" x14ac:dyDescent="0.3">
      <c r="B329" s="8" t="s">
        <v>1648</v>
      </c>
      <c r="C329" s="8" t="s">
        <v>1669</v>
      </c>
      <c r="D329" s="15">
        <v>44582</v>
      </c>
      <c r="E329" s="10">
        <v>5720050</v>
      </c>
      <c r="F329" s="11">
        <f>+Tabla2[[#This Row],[CONSUMO $]]/2500</f>
        <v>2288.02</v>
      </c>
    </row>
    <row r="330" spans="2:6" x14ac:dyDescent="0.3">
      <c r="B330" s="8" t="s">
        <v>1649</v>
      </c>
      <c r="C330" s="8" t="s">
        <v>1664</v>
      </c>
      <c r="D330" s="15">
        <v>44582</v>
      </c>
      <c r="E330" s="10">
        <v>342130</v>
      </c>
      <c r="F330" s="11">
        <f>+Tabla2[[#This Row],[CONSUMO $]]/2500</f>
        <v>136.852</v>
      </c>
    </row>
    <row r="331" spans="2:6" x14ac:dyDescent="0.3">
      <c r="B331" s="8" t="s">
        <v>1649</v>
      </c>
      <c r="C331" s="8" t="s">
        <v>1665</v>
      </c>
      <c r="D331" s="15">
        <v>44582</v>
      </c>
      <c r="E331" s="10">
        <v>0</v>
      </c>
      <c r="F331" s="11">
        <f>+Tabla2[[#This Row],[CONSUMO $]]/2500</f>
        <v>0</v>
      </c>
    </row>
    <row r="332" spans="2:6" x14ac:dyDescent="0.3">
      <c r="B332" s="8" t="s">
        <v>1650</v>
      </c>
      <c r="C332" s="8" t="s">
        <v>1663</v>
      </c>
      <c r="D332" s="15">
        <v>44582</v>
      </c>
      <c r="E332" s="10">
        <v>375150</v>
      </c>
      <c r="F332" s="11">
        <f>+Tabla2[[#This Row],[CONSUMO $]]/2500</f>
        <v>150.06</v>
      </c>
    </row>
    <row r="333" spans="2:6" x14ac:dyDescent="0.3">
      <c r="B333" s="8" t="s">
        <v>1651</v>
      </c>
      <c r="C333" s="8" t="s">
        <v>1662</v>
      </c>
      <c r="D333" s="15">
        <v>44582</v>
      </c>
      <c r="E333" s="10">
        <v>16200</v>
      </c>
      <c r="F333" s="11">
        <f>+Tabla2[[#This Row],[CONSUMO $]]/2500</f>
        <v>6.48</v>
      </c>
    </row>
    <row r="334" spans="2:6" x14ac:dyDescent="0.3">
      <c r="B334" s="8" t="s">
        <v>1652</v>
      </c>
      <c r="C334" s="8" t="s">
        <v>1661</v>
      </c>
      <c r="D334" s="15">
        <v>44582</v>
      </c>
      <c r="E334" s="10">
        <v>733480</v>
      </c>
      <c r="F334" s="11">
        <f>+Tabla2[[#This Row],[CONSUMO $]]/2500</f>
        <v>293.392</v>
      </c>
    </row>
    <row r="335" spans="2:6" x14ac:dyDescent="0.3">
      <c r="B335" s="8" t="s">
        <v>1653</v>
      </c>
      <c r="C335" s="8" t="s">
        <v>1660</v>
      </c>
      <c r="D335" s="15">
        <v>44582</v>
      </c>
      <c r="E335" s="10">
        <v>529450</v>
      </c>
      <c r="F335" s="11">
        <f>+Tabla2[[#This Row],[CONSUMO $]]/2500</f>
        <v>211.78</v>
      </c>
    </row>
    <row r="336" spans="2:6" x14ac:dyDescent="0.3">
      <c r="B336" s="8" t="s">
        <v>1648</v>
      </c>
      <c r="C336" s="8" t="s">
        <v>1668</v>
      </c>
      <c r="D336" s="15">
        <v>44610</v>
      </c>
      <c r="E336" s="10">
        <v>213160</v>
      </c>
      <c r="F336" s="11">
        <f>+Tabla2[[#This Row],[CONSUMO $]]/2500</f>
        <v>85.263999999999996</v>
      </c>
    </row>
    <row r="337" spans="2:6" x14ac:dyDescent="0.3">
      <c r="B337" s="8" t="s">
        <v>1648</v>
      </c>
      <c r="C337" s="8" t="s">
        <v>1667</v>
      </c>
      <c r="D337" s="15">
        <v>44610</v>
      </c>
      <c r="E337" s="16">
        <v>1313760</v>
      </c>
      <c r="F337" s="11">
        <f>+Tabla2[[#This Row],[CONSUMO $]]/2500</f>
        <v>525.50400000000002</v>
      </c>
    </row>
    <row r="338" spans="2:6" x14ac:dyDescent="0.3">
      <c r="B338" s="8" t="s">
        <v>1648</v>
      </c>
      <c r="C338" s="8" t="s">
        <v>1669</v>
      </c>
      <c r="D338" s="15">
        <v>44610</v>
      </c>
      <c r="E338" s="16">
        <v>5800530</v>
      </c>
      <c r="F338" s="11">
        <f>+Tabla2[[#This Row],[CONSUMO $]]/2500</f>
        <v>2320.212</v>
      </c>
    </row>
    <row r="339" spans="2:6" x14ac:dyDescent="0.3">
      <c r="B339" s="8" t="s">
        <v>1649</v>
      </c>
      <c r="C339" s="8" t="s">
        <v>1664</v>
      </c>
      <c r="D339" s="15">
        <v>44610</v>
      </c>
      <c r="E339" s="16">
        <v>863400</v>
      </c>
      <c r="F339" s="11">
        <f>+Tabla2[[#This Row],[CONSUMO $]]/2500</f>
        <v>345.36</v>
      </c>
    </row>
    <row r="340" spans="2:6" x14ac:dyDescent="0.3">
      <c r="B340" s="8" t="s">
        <v>1649</v>
      </c>
      <c r="C340" s="8" t="s">
        <v>1665</v>
      </c>
      <c r="D340" s="15">
        <v>44610</v>
      </c>
      <c r="E340" s="16">
        <v>0</v>
      </c>
      <c r="F340" s="11">
        <f>+Tabla2[[#This Row],[CONSUMO $]]/2500</f>
        <v>0</v>
      </c>
    </row>
    <row r="341" spans="2:6" x14ac:dyDescent="0.3">
      <c r="B341" s="8" t="s">
        <v>1650</v>
      </c>
      <c r="C341" s="8" t="s">
        <v>1663</v>
      </c>
      <c r="D341" s="15">
        <v>44610</v>
      </c>
      <c r="E341" s="16">
        <v>337770</v>
      </c>
      <c r="F341" s="11">
        <f>+Tabla2[[#This Row],[CONSUMO $]]/2500</f>
        <v>135.108</v>
      </c>
    </row>
    <row r="342" spans="2:6" x14ac:dyDescent="0.3">
      <c r="B342" s="8" t="s">
        <v>1651</v>
      </c>
      <c r="C342" s="8" t="s">
        <v>1662</v>
      </c>
      <c r="D342" s="15">
        <v>44610</v>
      </c>
      <c r="E342" s="16">
        <v>762190</v>
      </c>
      <c r="F342" s="11">
        <f>+Tabla2[[#This Row],[CONSUMO $]]/2500</f>
        <v>304.87599999999998</v>
      </c>
    </row>
    <row r="343" spans="2:6" x14ac:dyDescent="0.3">
      <c r="B343" s="8" t="s">
        <v>1652</v>
      </c>
      <c r="C343" s="8" t="s">
        <v>1661</v>
      </c>
      <c r="D343" s="15">
        <v>44610</v>
      </c>
      <c r="E343" s="16">
        <v>697680</v>
      </c>
      <c r="F343" s="11">
        <f>+Tabla2[[#This Row],[CONSUMO $]]/2500</f>
        <v>279.072</v>
      </c>
    </row>
    <row r="344" spans="2:6" x14ac:dyDescent="0.3">
      <c r="B344" s="8" t="s">
        <v>1653</v>
      </c>
      <c r="C344" s="8" t="s">
        <v>1660</v>
      </c>
      <c r="D344" s="15">
        <v>44610</v>
      </c>
      <c r="E344" s="16">
        <v>536640</v>
      </c>
      <c r="F344" s="11">
        <f>+Tabla2[[#This Row],[CONSUMO $]]/2500</f>
        <v>214.65600000000001</v>
      </c>
    </row>
    <row r="345" spans="2:6" x14ac:dyDescent="0.3">
      <c r="B345" s="8" t="s">
        <v>1648</v>
      </c>
      <c r="C345" s="8" t="s">
        <v>1668</v>
      </c>
      <c r="D345" s="9">
        <v>44642</v>
      </c>
      <c r="E345" s="16">
        <v>297250</v>
      </c>
      <c r="F345" s="11">
        <f>+Tabla2[[#This Row],[CONSUMO $]]/2500</f>
        <v>118.9</v>
      </c>
    </row>
    <row r="346" spans="2:6" x14ac:dyDescent="0.3">
      <c r="B346" s="8" t="s">
        <v>1648</v>
      </c>
      <c r="C346" s="8" t="s">
        <v>1667</v>
      </c>
      <c r="D346" s="9">
        <v>44642</v>
      </c>
      <c r="E346" s="16">
        <v>1807920</v>
      </c>
      <c r="F346" s="11">
        <f>+Tabla2[[#This Row],[CONSUMO $]]/2500</f>
        <v>723.16800000000001</v>
      </c>
    </row>
    <row r="347" spans="2:6" x14ac:dyDescent="0.3">
      <c r="B347" s="8" t="s">
        <v>1648</v>
      </c>
      <c r="C347" s="8" t="s">
        <v>1669</v>
      </c>
      <c r="D347" s="9">
        <v>44642</v>
      </c>
      <c r="E347" s="16">
        <v>7008010</v>
      </c>
      <c r="F347" s="11">
        <f>+Tabla2[[#This Row],[CONSUMO $]]/2500</f>
        <v>2803.2040000000002</v>
      </c>
    </row>
    <row r="348" spans="2:6" x14ac:dyDescent="0.3">
      <c r="B348" s="8" t="s">
        <v>1649</v>
      </c>
      <c r="C348" s="8" t="s">
        <v>1664</v>
      </c>
      <c r="D348" s="9">
        <v>44642</v>
      </c>
      <c r="E348" s="16">
        <v>608630</v>
      </c>
      <c r="F348" s="11">
        <f>+Tabla2[[#This Row],[CONSUMO $]]/2500</f>
        <v>243.452</v>
      </c>
    </row>
    <row r="349" spans="2:6" x14ac:dyDescent="0.3">
      <c r="B349" s="8" t="s">
        <v>1649</v>
      </c>
      <c r="C349" s="8" t="s">
        <v>1665</v>
      </c>
      <c r="D349" s="9">
        <v>44642</v>
      </c>
      <c r="E349" s="16">
        <v>0</v>
      </c>
      <c r="F349" s="11">
        <f>+Tabla2[[#This Row],[CONSUMO $]]/2500</f>
        <v>0</v>
      </c>
    </row>
    <row r="350" spans="2:6" x14ac:dyDescent="0.3">
      <c r="B350" s="8" t="s">
        <v>1650</v>
      </c>
      <c r="C350" s="8" t="s">
        <v>1663</v>
      </c>
      <c r="D350" s="9">
        <v>44642</v>
      </c>
      <c r="E350" s="16">
        <v>421800</v>
      </c>
      <c r="F350" s="11">
        <f>+Tabla2[[#This Row],[CONSUMO $]]/2500</f>
        <v>168.72</v>
      </c>
    </row>
    <row r="351" spans="2:6" x14ac:dyDescent="0.3">
      <c r="B351" s="8" t="s">
        <v>1651</v>
      </c>
      <c r="C351" s="8" t="s">
        <v>1662</v>
      </c>
      <c r="D351" s="9">
        <v>44642</v>
      </c>
      <c r="E351" s="16">
        <v>408430</v>
      </c>
      <c r="F351" s="11">
        <f>+Tabla2[[#This Row],[CONSUMO $]]/2500</f>
        <v>163.37200000000001</v>
      </c>
    </row>
    <row r="352" spans="2:6" x14ac:dyDescent="0.3">
      <c r="B352" s="8" t="s">
        <v>1652</v>
      </c>
      <c r="C352" s="8" t="s">
        <v>1661</v>
      </c>
      <c r="D352" s="9">
        <v>44642</v>
      </c>
      <c r="E352" s="16">
        <v>959170</v>
      </c>
      <c r="F352" s="11">
        <f>+Tabla2[[#This Row],[CONSUMO $]]/2500</f>
        <v>383.66800000000001</v>
      </c>
    </row>
    <row r="353" spans="2:6" x14ac:dyDescent="0.3">
      <c r="B353" s="8" t="s">
        <v>1653</v>
      </c>
      <c r="C353" s="8" t="s">
        <v>1660</v>
      </c>
      <c r="D353" s="9">
        <v>44642</v>
      </c>
      <c r="E353" s="16">
        <v>751160</v>
      </c>
      <c r="F353" s="11">
        <f>+Tabla2[[#This Row],[CONSUMO $]]/2500</f>
        <v>300.464</v>
      </c>
    </row>
    <row r="354" spans="2:6" x14ac:dyDescent="0.3">
      <c r="B354" s="8" t="s">
        <v>1648</v>
      </c>
      <c r="C354" s="8" t="s">
        <v>1668</v>
      </c>
      <c r="D354" s="9">
        <v>44672</v>
      </c>
      <c r="E354" s="16">
        <v>249010</v>
      </c>
      <c r="F354" s="11">
        <f>+Tabla2[[#This Row],[CONSUMO $]]/2500</f>
        <v>99.603999999999999</v>
      </c>
    </row>
    <row r="355" spans="2:6" x14ac:dyDescent="0.3">
      <c r="B355" s="8" t="s">
        <v>1648</v>
      </c>
      <c r="C355" s="8" t="s">
        <v>1667</v>
      </c>
      <c r="D355" s="9">
        <v>44672</v>
      </c>
      <c r="E355" s="16">
        <v>1592100</v>
      </c>
      <c r="F355" s="11">
        <f>+Tabla2[[#This Row],[CONSUMO $]]/2500</f>
        <v>636.84</v>
      </c>
    </row>
    <row r="356" spans="2:6" x14ac:dyDescent="0.3">
      <c r="B356" s="8" t="s">
        <v>1648</v>
      </c>
      <c r="C356" s="8" t="s">
        <v>1669</v>
      </c>
      <c r="D356" s="9">
        <v>44672</v>
      </c>
      <c r="E356" s="16">
        <v>6253120</v>
      </c>
      <c r="F356" s="11">
        <f>+Tabla2[[#This Row],[CONSUMO $]]/2500</f>
        <v>2501.248</v>
      </c>
    </row>
    <row r="357" spans="2:6" x14ac:dyDescent="0.3">
      <c r="B357" s="8" t="s">
        <v>1649</v>
      </c>
      <c r="C357" s="8" t="s">
        <v>1664</v>
      </c>
      <c r="D357" s="9">
        <v>44672</v>
      </c>
      <c r="E357" s="16">
        <v>509130</v>
      </c>
      <c r="F357" s="11">
        <f>+Tabla2[[#This Row],[CONSUMO $]]/2500</f>
        <v>203.65199999999999</v>
      </c>
    </row>
    <row r="358" spans="2:6" x14ac:dyDescent="0.3">
      <c r="B358" s="8" t="s">
        <v>1649</v>
      </c>
      <c r="C358" s="8" t="s">
        <v>1665</v>
      </c>
      <c r="D358" s="9">
        <v>44672</v>
      </c>
      <c r="E358" s="16">
        <v>0</v>
      </c>
      <c r="F358" s="11">
        <f>+Tabla2[[#This Row],[CONSUMO $]]/2500</f>
        <v>0</v>
      </c>
    </row>
    <row r="359" spans="2:6" x14ac:dyDescent="0.3">
      <c r="B359" s="8" t="s">
        <v>1650</v>
      </c>
      <c r="C359" s="8" t="s">
        <v>1663</v>
      </c>
      <c r="D359" s="9">
        <v>44672</v>
      </c>
      <c r="E359" s="16">
        <v>399990</v>
      </c>
      <c r="F359" s="11">
        <f>+Tabla2[[#This Row],[CONSUMO $]]/2500</f>
        <v>159.99600000000001</v>
      </c>
    </row>
    <row r="360" spans="2:6" x14ac:dyDescent="0.3">
      <c r="B360" s="8" t="s">
        <v>1651</v>
      </c>
      <c r="C360" s="8" t="s">
        <v>1662</v>
      </c>
      <c r="D360" s="9">
        <v>44672</v>
      </c>
      <c r="E360" s="16">
        <v>383100</v>
      </c>
      <c r="F360" s="11">
        <f>+Tabla2[[#This Row],[CONSUMO $]]/2500</f>
        <v>153.24</v>
      </c>
    </row>
    <row r="361" spans="2:6" x14ac:dyDescent="0.3">
      <c r="B361" s="8" t="s">
        <v>1652</v>
      </c>
      <c r="C361" s="8" t="s">
        <v>1661</v>
      </c>
      <c r="D361" s="9">
        <v>44672</v>
      </c>
      <c r="E361" s="16">
        <v>828730</v>
      </c>
      <c r="F361" s="11">
        <f>+Tabla2[[#This Row],[CONSUMO $]]/2500</f>
        <v>331.49200000000002</v>
      </c>
    </row>
    <row r="362" spans="2:6" x14ac:dyDescent="0.3">
      <c r="B362" s="8" t="s">
        <v>1653</v>
      </c>
      <c r="C362" s="8" t="s">
        <v>1660</v>
      </c>
      <c r="D362" s="9">
        <v>44672</v>
      </c>
      <c r="E362" s="16">
        <v>598410</v>
      </c>
      <c r="F362" s="11">
        <f>+Tabla2[[#This Row],[CONSUMO $]]/2500</f>
        <v>239.364</v>
      </c>
    </row>
    <row r="363" spans="2:6" x14ac:dyDescent="0.3">
      <c r="B363" s="8" t="s">
        <v>1648</v>
      </c>
      <c r="C363" s="8" t="s">
        <v>1668</v>
      </c>
      <c r="D363" s="9">
        <v>44701</v>
      </c>
      <c r="E363" s="17">
        <v>242180</v>
      </c>
      <c r="F363" s="11">
        <f>+Tabla2[[#This Row],[CONSUMO $]]/2500</f>
        <v>96.872</v>
      </c>
    </row>
    <row r="364" spans="2:6" x14ac:dyDescent="0.3">
      <c r="B364" s="8" t="s">
        <v>1648</v>
      </c>
      <c r="C364" s="8" t="s">
        <v>1667</v>
      </c>
      <c r="D364" s="9">
        <v>44701</v>
      </c>
      <c r="E364" s="16">
        <v>1553560</v>
      </c>
      <c r="F364" s="11">
        <f>+Tabla2[[#This Row],[CONSUMO $]]/2500</f>
        <v>621.42399999999998</v>
      </c>
    </row>
    <row r="365" spans="2:6" x14ac:dyDescent="0.3">
      <c r="B365" s="8" t="s">
        <v>1648</v>
      </c>
      <c r="C365" s="8" t="s">
        <v>1669</v>
      </c>
      <c r="D365" s="9">
        <v>44701</v>
      </c>
      <c r="E365" s="16">
        <v>5933740</v>
      </c>
      <c r="F365" s="11">
        <f>+Tabla2[[#This Row],[CONSUMO $]]/2500</f>
        <v>2373.4960000000001</v>
      </c>
    </row>
    <row r="366" spans="2:6" x14ac:dyDescent="0.3">
      <c r="B366" s="8" t="s">
        <v>1649</v>
      </c>
      <c r="C366" s="8" t="s">
        <v>1664</v>
      </c>
      <c r="D366" s="9">
        <v>44701</v>
      </c>
      <c r="E366" s="16">
        <v>447770</v>
      </c>
      <c r="F366" s="11">
        <f>+Tabla2[[#This Row],[CONSUMO $]]/2500</f>
        <v>179.108</v>
      </c>
    </row>
    <row r="367" spans="2:6" x14ac:dyDescent="0.3">
      <c r="B367" s="8" t="s">
        <v>1649</v>
      </c>
      <c r="C367" s="8" t="s">
        <v>1665</v>
      </c>
      <c r="D367" s="9">
        <v>44701</v>
      </c>
      <c r="E367" s="16">
        <v>0</v>
      </c>
      <c r="F367" s="11">
        <f>+Tabla2[[#This Row],[CONSUMO $]]/2500</f>
        <v>0</v>
      </c>
    </row>
    <row r="368" spans="2:6" x14ac:dyDescent="0.3">
      <c r="B368" s="8" t="s">
        <v>1650</v>
      </c>
      <c r="C368" s="8" t="s">
        <v>1663</v>
      </c>
      <c r="D368" s="9">
        <v>44701</v>
      </c>
      <c r="E368" s="16">
        <v>509650</v>
      </c>
      <c r="F368" s="11">
        <f>+Tabla2[[#This Row],[CONSUMO $]]/2500</f>
        <v>203.86</v>
      </c>
    </row>
    <row r="369" spans="2:6" x14ac:dyDescent="0.3">
      <c r="B369" s="8" t="s">
        <v>1651</v>
      </c>
      <c r="C369" s="8" t="s">
        <v>1662</v>
      </c>
      <c r="D369" s="9">
        <v>44701</v>
      </c>
      <c r="E369" s="16">
        <v>364760</v>
      </c>
      <c r="F369" s="11">
        <f>+Tabla2[[#This Row],[CONSUMO $]]/2500</f>
        <v>145.904</v>
      </c>
    </row>
    <row r="370" spans="2:6" x14ac:dyDescent="0.3">
      <c r="B370" s="8" t="s">
        <v>1652</v>
      </c>
      <c r="C370" s="8" t="s">
        <v>1661</v>
      </c>
      <c r="D370" s="9">
        <v>44701</v>
      </c>
      <c r="E370" s="16">
        <v>880910</v>
      </c>
      <c r="F370" s="11">
        <f>+Tabla2[[#This Row],[CONSUMO $]]/2500</f>
        <v>352.36399999999998</v>
      </c>
    </row>
    <row r="371" spans="2:6" x14ac:dyDescent="0.3">
      <c r="B371" s="8" t="s">
        <v>1653</v>
      </c>
      <c r="C371" s="8" t="s">
        <v>1660</v>
      </c>
      <c r="D371" s="9">
        <v>44701</v>
      </c>
      <c r="E371" s="16">
        <v>839120</v>
      </c>
      <c r="F371" s="11">
        <f>+Tabla2[[#This Row],[CONSUMO $]]/2500</f>
        <v>335.64800000000002</v>
      </c>
    </row>
    <row r="372" spans="2:6" x14ac:dyDescent="0.3">
      <c r="B372" s="8" t="s">
        <v>1648</v>
      </c>
      <c r="C372" s="8" t="s">
        <v>1668</v>
      </c>
      <c r="D372" s="9">
        <v>44729</v>
      </c>
      <c r="E372" s="16">
        <v>233670</v>
      </c>
      <c r="F372" s="11">
        <f>+Tabla2[[#This Row],[CONSUMO $]]/2500</f>
        <v>93.468000000000004</v>
      </c>
    </row>
    <row r="373" spans="2:6" x14ac:dyDescent="0.3">
      <c r="B373" s="8" t="s">
        <v>1648</v>
      </c>
      <c r="C373" s="8" t="s">
        <v>1667</v>
      </c>
      <c r="D373" s="9">
        <v>44729</v>
      </c>
      <c r="E373" s="16">
        <v>1479250</v>
      </c>
      <c r="F373" s="11">
        <f>+Tabla2[[#This Row],[CONSUMO $]]/2500</f>
        <v>591.70000000000005</v>
      </c>
    </row>
    <row r="374" spans="2:6" x14ac:dyDescent="0.3">
      <c r="B374" s="8" t="s">
        <v>1648</v>
      </c>
      <c r="C374" s="8" t="s">
        <v>1669</v>
      </c>
      <c r="D374" s="9">
        <v>44729</v>
      </c>
      <c r="E374" s="16">
        <v>5629280</v>
      </c>
      <c r="F374" s="11">
        <f>+Tabla2[[#This Row],[CONSUMO $]]/2500</f>
        <v>2251.712</v>
      </c>
    </row>
    <row r="375" spans="2:6" x14ac:dyDescent="0.3">
      <c r="B375" s="8" t="s">
        <v>1649</v>
      </c>
      <c r="C375" s="8" t="s">
        <v>1664</v>
      </c>
      <c r="D375" s="9">
        <v>44729</v>
      </c>
      <c r="E375" s="16">
        <v>533050</v>
      </c>
      <c r="F375" s="11">
        <f>+Tabla2[[#This Row],[CONSUMO $]]/2500</f>
        <v>213.22</v>
      </c>
    </row>
    <row r="376" spans="2:6" x14ac:dyDescent="0.3">
      <c r="B376" s="8" t="s">
        <v>1649</v>
      </c>
      <c r="C376" s="8" t="s">
        <v>1665</v>
      </c>
      <c r="D376" s="9">
        <v>44729</v>
      </c>
      <c r="E376" s="16">
        <v>0</v>
      </c>
      <c r="F376" s="11">
        <f>+Tabla2[[#This Row],[CONSUMO $]]/2500</f>
        <v>0</v>
      </c>
    </row>
    <row r="377" spans="2:6" x14ac:dyDescent="0.3">
      <c r="B377" s="8" t="s">
        <v>1650</v>
      </c>
      <c r="C377" s="8" t="s">
        <v>1663</v>
      </c>
      <c r="D377" s="9">
        <v>44729</v>
      </c>
      <c r="E377" s="16">
        <v>398940</v>
      </c>
      <c r="F377" s="11">
        <f>+Tabla2[[#This Row],[CONSUMO $]]/2500</f>
        <v>159.57599999999999</v>
      </c>
    </row>
    <row r="378" spans="2:6" x14ac:dyDescent="0.3">
      <c r="B378" s="8" t="s">
        <v>1651</v>
      </c>
      <c r="C378" s="8" t="s">
        <v>1662</v>
      </c>
      <c r="D378" s="9">
        <v>44729</v>
      </c>
      <c r="E378" s="16">
        <v>309110</v>
      </c>
      <c r="F378" s="11">
        <f>+Tabla2[[#This Row],[CONSUMO $]]/2500</f>
        <v>123.64400000000001</v>
      </c>
    </row>
    <row r="379" spans="2:6" x14ac:dyDescent="0.3">
      <c r="B379" s="8" t="s">
        <v>1652</v>
      </c>
      <c r="C379" s="8" t="s">
        <v>1661</v>
      </c>
      <c r="D379" s="9">
        <v>44729</v>
      </c>
      <c r="E379" s="16">
        <v>803290</v>
      </c>
      <c r="F379" s="11">
        <f>+Tabla2[[#This Row],[CONSUMO $]]/2500</f>
        <v>321.31599999999997</v>
      </c>
    </row>
    <row r="380" spans="2:6" x14ac:dyDescent="0.3">
      <c r="B380" s="8" t="s">
        <v>1653</v>
      </c>
      <c r="C380" s="8" t="s">
        <v>1660</v>
      </c>
      <c r="D380" s="9">
        <v>44729</v>
      </c>
      <c r="E380" s="16">
        <v>768890</v>
      </c>
      <c r="F380" s="11">
        <f>+Tabla2[[#This Row],[CONSUMO $]]/2500</f>
        <v>307.55599999999998</v>
      </c>
    </row>
    <row r="381" spans="2:6" x14ac:dyDescent="0.3">
      <c r="B381" s="8" t="s">
        <v>1648</v>
      </c>
      <c r="C381" s="8" t="s">
        <v>1668</v>
      </c>
      <c r="D381" s="9">
        <v>44763</v>
      </c>
      <c r="E381" s="16">
        <v>210020</v>
      </c>
      <c r="F381" s="11">
        <f>+Tabla2[[#This Row],[CONSUMO $]]/2500</f>
        <v>84.007999999999996</v>
      </c>
    </row>
    <row r="382" spans="2:6" x14ac:dyDescent="0.3">
      <c r="B382" s="8" t="s">
        <v>1648</v>
      </c>
      <c r="C382" s="8" t="s">
        <v>1667</v>
      </c>
      <c r="D382" s="9">
        <v>44763</v>
      </c>
      <c r="E382" s="16">
        <v>1267730</v>
      </c>
      <c r="F382" s="11">
        <f>+Tabla2[[#This Row],[CONSUMO $]]/2500</f>
        <v>507.09199999999998</v>
      </c>
    </row>
    <row r="383" spans="2:6" x14ac:dyDescent="0.3">
      <c r="B383" s="8" t="s">
        <v>1648</v>
      </c>
      <c r="C383" s="8" t="s">
        <v>1669</v>
      </c>
      <c r="D383" s="9">
        <v>44763</v>
      </c>
      <c r="E383" s="16">
        <v>5392840</v>
      </c>
      <c r="F383" s="11">
        <f>+Tabla2[[#This Row],[CONSUMO $]]/2500</f>
        <v>2157.136</v>
      </c>
    </row>
    <row r="384" spans="2:6" x14ac:dyDescent="0.3">
      <c r="B384" s="8" t="s">
        <v>1649</v>
      </c>
      <c r="C384" s="8" t="s">
        <v>1664</v>
      </c>
      <c r="D384" s="9">
        <v>44763</v>
      </c>
      <c r="E384" s="16">
        <v>528510</v>
      </c>
      <c r="F384" s="11">
        <f>+Tabla2[[#This Row],[CONSUMO $]]/2500</f>
        <v>211.404</v>
      </c>
    </row>
    <row r="385" spans="2:6" x14ac:dyDescent="0.3">
      <c r="B385" s="8" t="s">
        <v>1649</v>
      </c>
      <c r="C385" s="8" t="s">
        <v>1665</v>
      </c>
      <c r="D385" s="9">
        <v>44763</v>
      </c>
      <c r="E385" s="16">
        <v>0</v>
      </c>
      <c r="F385" s="11">
        <f>+Tabla2[[#This Row],[CONSUMO $]]/2500</f>
        <v>0</v>
      </c>
    </row>
    <row r="386" spans="2:6" x14ac:dyDescent="0.3">
      <c r="B386" s="8" t="s">
        <v>1650</v>
      </c>
      <c r="C386" s="8" t="s">
        <v>1663</v>
      </c>
      <c r="D386" s="9">
        <v>44763</v>
      </c>
      <c r="E386" s="16">
        <v>371680</v>
      </c>
      <c r="F386" s="11">
        <f>+Tabla2[[#This Row],[CONSUMO $]]/2500</f>
        <v>148.672</v>
      </c>
    </row>
    <row r="387" spans="2:6" x14ac:dyDescent="0.3">
      <c r="B387" s="8" t="s">
        <v>1651</v>
      </c>
      <c r="C387" s="8" t="s">
        <v>1662</v>
      </c>
      <c r="D387" s="9">
        <v>44763</v>
      </c>
      <c r="E387" s="16">
        <v>267480</v>
      </c>
      <c r="F387" s="11">
        <f>+Tabla2[[#This Row],[CONSUMO $]]/2500</f>
        <v>106.992</v>
      </c>
    </row>
    <row r="388" spans="2:6" x14ac:dyDescent="0.3">
      <c r="B388" s="8" t="s">
        <v>1652</v>
      </c>
      <c r="C388" s="8" t="s">
        <v>1661</v>
      </c>
      <c r="D388" s="9">
        <v>44763</v>
      </c>
      <c r="E388" s="16">
        <v>760640</v>
      </c>
      <c r="F388" s="11">
        <f>+Tabla2[[#This Row],[CONSUMO $]]/2500</f>
        <v>304.25599999999997</v>
      </c>
    </row>
    <row r="389" spans="2:6" x14ac:dyDescent="0.3">
      <c r="B389" s="8" t="s">
        <v>1653</v>
      </c>
      <c r="C389" s="8" t="s">
        <v>1660</v>
      </c>
      <c r="D389" s="9">
        <v>44763</v>
      </c>
      <c r="E389" s="16">
        <v>834010</v>
      </c>
      <c r="F389" s="11">
        <f>+Tabla2[[#This Row],[CONSUMO $]]/2500</f>
        <v>333.60399999999998</v>
      </c>
    </row>
    <row r="390" spans="2:6" x14ac:dyDescent="0.3">
      <c r="B390" s="8" t="s">
        <v>1648</v>
      </c>
      <c r="C390" s="8" t="s">
        <v>1668</v>
      </c>
      <c r="D390" s="9">
        <v>44792</v>
      </c>
      <c r="E390" s="16">
        <v>236770</v>
      </c>
      <c r="F390" s="11">
        <f>+Tabla2[[#This Row],[CONSUMO $]]/2500</f>
        <v>94.707999999999998</v>
      </c>
    </row>
    <row r="391" spans="2:6" x14ac:dyDescent="0.3">
      <c r="B391" s="8" t="s">
        <v>1648</v>
      </c>
      <c r="C391" s="8" t="s">
        <v>1667</v>
      </c>
      <c r="D391" s="9">
        <v>44792</v>
      </c>
      <c r="E391" s="16">
        <v>1503780</v>
      </c>
      <c r="F391" s="11">
        <f>+Tabla2[[#This Row],[CONSUMO $]]/2500</f>
        <v>601.51199999999994</v>
      </c>
    </row>
    <row r="392" spans="2:6" x14ac:dyDescent="0.3">
      <c r="B392" s="8" t="s">
        <v>1648</v>
      </c>
      <c r="C392" s="8" t="s">
        <v>1669</v>
      </c>
      <c r="D392" s="9">
        <v>44792</v>
      </c>
      <c r="E392" s="16">
        <v>6025820</v>
      </c>
      <c r="F392" s="11">
        <f>+Tabla2[[#This Row],[CONSUMO $]]/2500</f>
        <v>2410.328</v>
      </c>
    </row>
    <row r="393" spans="2:6" x14ac:dyDescent="0.3">
      <c r="B393" s="8" t="s">
        <v>1649</v>
      </c>
      <c r="C393" s="8" t="s">
        <v>1664</v>
      </c>
      <c r="D393" s="9">
        <v>44792</v>
      </c>
      <c r="E393" s="16">
        <v>563740</v>
      </c>
      <c r="F393" s="11">
        <f>+Tabla2[[#This Row],[CONSUMO $]]/2500</f>
        <v>225.49600000000001</v>
      </c>
    </row>
    <row r="394" spans="2:6" x14ac:dyDescent="0.3">
      <c r="B394" s="8" t="s">
        <v>1649</v>
      </c>
      <c r="C394" s="8" t="s">
        <v>1665</v>
      </c>
      <c r="D394" s="9">
        <v>44792</v>
      </c>
      <c r="E394" s="16">
        <v>0</v>
      </c>
      <c r="F394" s="11">
        <f>+Tabla2[[#This Row],[CONSUMO $]]/2500</f>
        <v>0</v>
      </c>
    </row>
    <row r="395" spans="2:6" x14ac:dyDescent="0.3">
      <c r="B395" s="8" t="s">
        <v>1650</v>
      </c>
      <c r="C395" s="8" t="s">
        <v>1663</v>
      </c>
      <c r="D395" s="9">
        <v>44792</v>
      </c>
      <c r="E395" s="16">
        <v>326970</v>
      </c>
      <c r="F395" s="11">
        <f>+Tabla2[[#This Row],[CONSUMO $]]/2500</f>
        <v>130.78800000000001</v>
      </c>
    </row>
    <row r="396" spans="2:6" x14ac:dyDescent="0.3">
      <c r="B396" s="8" t="s">
        <v>1651</v>
      </c>
      <c r="C396" s="8" t="s">
        <v>1662</v>
      </c>
      <c r="D396" s="9">
        <v>44792</v>
      </c>
      <c r="E396" s="16">
        <v>300930</v>
      </c>
      <c r="F396" s="11">
        <f>+Tabla2[[#This Row],[CONSUMO $]]/2500</f>
        <v>120.372</v>
      </c>
    </row>
    <row r="397" spans="2:6" x14ac:dyDescent="0.3">
      <c r="B397" s="8" t="s">
        <v>1652</v>
      </c>
      <c r="C397" s="8" t="s">
        <v>1661</v>
      </c>
      <c r="D397" s="9">
        <v>44792</v>
      </c>
      <c r="E397" s="16">
        <v>889300</v>
      </c>
      <c r="F397" s="11">
        <f>+Tabla2[[#This Row],[CONSUMO $]]/2500</f>
        <v>355.72</v>
      </c>
    </row>
    <row r="398" spans="2:6" x14ac:dyDescent="0.3">
      <c r="B398" s="8" t="s">
        <v>1653</v>
      </c>
      <c r="C398" s="8" t="s">
        <v>1660</v>
      </c>
      <c r="D398" s="9">
        <v>44792</v>
      </c>
      <c r="E398" s="16">
        <v>787260</v>
      </c>
      <c r="F398" s="11">
        <f>+Tabla2[[#This Row],[CONSUMO $]]/2500</f>
        <v>314.904</v>
      </c>
    </row>
    <row r="399" spans="2:6" x14ac:dyDescent="0.3">
      <c r="B399" s="8" t="s">
        <v>1648</v>
      </c>
      <c r="C399" s="8" t="s">
        <v>1668</v>
      </c>
      <c r="D399" s="9">
        <v>44823</v>
      </c>
      <c r="E399" s="16">
        <v>247260</v>
      </c>
      <c r="F399" s="11">
        <f>+Tabla2[[#This Row],[CONSUMO $]]/2500</f>
        <v>98.903999999999996</v>
      </c>
    </row>
    <row r="400" spans="2:6" x14ac:dyDescent="0.3">
      <c r="B400" s="8" t="s">
        <v>1648</v>
      </c>
      <c r="C400" s="8" t="s">
        <v>1667</v>
      </c>
      <c r="D400" s="9">
        <v>44823</v>
      </c>
      <c r="E400" s="16">
        <v>1761700</v>
      </c>
      <c r="F400" s="11">
        <f>+Tabla2[[#This Row],[CONSUMO $]]/2500</f>
        <v>704.68</v>
      </c>
    </row>
    <row r="401" spans="2:6" x14ac:dyDescent="0.3">
      <c r="B401" s="8" t="s">
        <v>1648</v>
      </c>
      <c r="C401" s="8" t="s">
        <v>1669</v>
      </c>
      <c r="D401" s="9">
        <v>44823</v>
      </c>
      <c r="E401" s="16">
        <v>6844980</v>
      </c>
      <c r="F401" s="11">
        <f>+Tabla2[[#This Row],[CONSUMO $]]/2500</f>
        <v>2737.9920000000002</v>
      </c>
    </row>
    <row r="402" spans="2:6" x14ac:dyDescent="0.3">
      <c r="B402" s="8" t="s">
        <v>1649</v>
      </c>
      <c r="C402" s="8" t="s">
        <v>1664</v>
      </c>
      <c r="D402" s="9">
        <v>44823</v>
      </c>
      <c r="E402" s="16">
        <v>603050</v>
      </c>
      <c r="F402" s="11">
        <f>+Tabla2[[#This Row],[CONSUMO $]]/2500</f>
        <v>241.22</v>
      </c>
    </row>
    <row r="403" spans="2:6" x14ac:dyDescent="0.3">
      <c r="B403" s="8" t="s">
        <v>1649</v>
      </c>
      <c r="C403" s="8" t="s">
        <v>1665</v>
      </c>
      <c r="D403" s="9">
        <v>44823</v>
      </c>
      <c r="E403" s="16">
        <v>0</v>
      </c>
      <c r="F403" s="11">
        <f>+Tabla2[[#This Row],[CONSUMO $]]/2500</f>
        <v>0</v>
      </c>
    </row>
    <row r="404" spans="2:6" x14ac:dyDescent="0.3">
      <c r="B404" s="8" t="s">
        <v>1650</v>
      </c>
      <c r="C404" s="8" t="s">
        <v>1663</v>
      </c>
      <c r="D404" s="9">
        <v>44823</v>
      </c>
      <c r="E404" s="16">
        <v>342130</v>
      </c>
      <c r="F404" s="11">
        <f>+Tabla2[[#This Row],[CONSUMO $]]/2500</f>
        <v>136.852</v>
      </c>
    </row>
    <row r="405" spans="2:6" x14ac:dyDescent="0.3">
      <c r="B405" s="8" t="s">
        <v>1651</v>
      </c>
      <c r="C405" s="8" t="s">
        <v>1662</v>
      </c>
      <c r="D405" s="9">
        <v>44823</v>
      </c>
      <c r="E405" s="16">
        <v>405400</v>
      </c>
      <c r="F405" s="11">
        <f>+Tabla2[[#This Row],[CONSUMO $]]/2500</f>
        <v>162.16</v>
      </c>
    </row>
    <row r="406" spans="2:6" x14ac:dyDescent="0.3">
      <c r="B406" s="8" t="s">
        <v>1652</v>
      </c>
      <c r="C406" s="8" t="s">
        <v>1661</v>
      </c>
      <c r="D406" s="9">
        <v>44823</v>
      </c>
      <c r="E406" s="16">
        <v>1095400</v>
      </c>
      <c r="F406" s="11">
        <f>+Tabla2[[#This Row],[CONSUMO $]]/2500</f>
        <v>438.16</v>
      </c>
    </row>
    <row r="407" spans="2:6" x14ac:dyDescent="0.3">
      <c r="B407" s="8" t="s">
        <v>1653</v>
      </c>
      <c r="C407" s="8" t="s">
        <v>1660</v>
      </c>
      <c r="D407" s="9">
        <v>44823</v>
      </c>
      <c r="E407" s="16">
        <v>861660</v>
      </c>
      <c r="F407" s="11">
        <f>+Tabla2[[#This Row],[CONSUMO $]]/2500</f>
        <v>344.66399999999999</v>
      </c>
    </row>
    <row r="408" spans="2:6" x14ac:dyDescent="0.3">
      <c r="B408" s="8" t="s">
        <v>1648</v>
      </c>
      <c r="C408" s="8" t="s">
        <v>1668</v>
      </c>
      <c r="D408" s="9">
        <v>44854</v>
      </c>
      <c r="E408" s="16">
        <v>276940</v>
      </c>
      <c r="F408" s="11">
        <f>+Tabla2[[#This Row],[CONSUMO $]]/2500</f>
        <v>110.776</v>
      </c>
    </row>
    <row r="409" spans="2:6" x14ac:dyDescent="0.3">
      <c r="B409" s="8" t="s">
        <v>1648</v>
      </c>
      <c r="C409" s="8" t="s">
        <v>1667</v>
      </c>
      <c r="D409" s="9">
        <v>44854</v>
      </c>
      <c r="E409" s="16">
        <v>1965340</v>
      </c>
      <c r="F409" s="11">
        <f>+Tabla2[[#This Row],[CONSUMO $]]/2500</f>
        <v>786.13599999999997</v>
      </c>
    </row>
    <row r="410" spans="2:6" x14ac:dyDescent="0.3">
      <c r="B410" s="8" t="s">
        <v>1648</v>
      </c>
      <c r="C410" s="8" t="s">
        <v>1669</v>
      </c>
      <c r="D410" s="9">
        <v>44854</v>
      </c>
      <c r="E410" s="16">
        <v>7509930</v>
      </c>
      <c r="F410" s="11">
        <f>+Tabla2[[#This Row],[CONSUMO $]]/2500</f>
        <v>3003.9720000000002</v>
      </c>
    </row>
    <row r="411" spans="2:6" x14ac:dyDescent="0.3">
      <c r="B411" s="8" t="s">
        <v>1649</v>
      </c>
      <c r="C411" s="8" t="s">
        <v>1664</v>
      </c>
      <c r="D411" s="9">
        <v>44854</v>
      </c>
      <c r="E411" s="16">
        <v>644990</v>
      </c>
      <c r="F411" s="11">
        <f>+Tabla2[[#This Row],[CONSUMO $]]/2500</f>
        <v>257.99599999999998</v>
      </c>
    </row>
    <row r="412" spans="2:6" x14ac:dyDescent="0.3">
      <c r="B412" s="8" t="s">
        <v>1649</v>
      </c>
      <c r="C412" s="8" t="s">
        <v>1665</v>
      </c>
      <c r="D412" s="9">
        <v>44854</v>
      </c>
      <c r="E412" s="16">
        <v>0</v>
      </c>
      <c r="F412" s="11">
        <f>+Tabla2[[#This Row],[CONSUMO $]]/2500</f>
        <v>0</v>
      </c>
    </row>
    <row r="413" spans="2:6" x14ac:dyDescent="0.3">
      <c r="B413" s="8" t="s">
        <v>1650</v>
      </c>
      <c r="C413" s="8" t="s">
        <v>1663</v>
      </c>
      <c r="D413" s="9">
        <v>44854</v>
      </c>
      <c r="E413" s="16">
        <v>396250</v>
      </c>
      <c r="F413" s="11">
        <f>+Tabla2[[#This Row],[CONSUMO $]]/2500</f>
        <v>158.5</v>
      </c>
    </row>
    <row r="414" spans="2:6" x14ac:dyDescent="0.3">
      <c r="B414" s="8" t="s">
        <v>1651</v>
      </c>
      <c r="C414" s="8" t="s">
        <v>1662</v>
      </c>
      <c r="D414" s="9">
        <v>44854</v>
      </c>
      <c r="E414" s="16">
        <v>413460</v>
      </c>
      <c r="F414" s="11">
        <f>+Tabla2[[#This Row],[CONSUMO $]]/2500</f>
        <v>165.38399999999999</v>
      </c>
    </row>
    <row r="415" spans="2:6" x14ac:dyDescent="0.3">
      <c r="B415" s="8" t="s">
        <v>1652</v>
      </c>
      <c r="C415" s="8" t="s">
        <v>1661</v>
      </c>
      <c r="D415" s="9">
        <v>44854</v>
      </c>
      <c r="E415" s="16">
        <v>1213330</v>
      </c>
      <c r="F415" s="11">
        <f>+Tabla2[[#This Row],[CONSUMO $]]/2500</f>
        <v>485.33199999999999</v>
      </c>
    </row>
    <row r="416" spans="2:6" x14ac:dyDescent="0.3">
      <c r="B416" s="8" t="s">
        <v>1653</v>
      </c>
      <c r="C416" s="8" t="s">
        <v>1660</v>
      </c>
      <c r="D416" s="9">
        <v>44854</v>
      </c>
      <c r="E416" s="16">
        <v>991780</v>
      </c>
      <c r="F416" s="11">
        <f>+Tabla2[[#This Row],[CONSUMO $]]/2500</f>
        <v>396.71199999999999</v>
      </c>
    </row>
    <row r="417" spans="2:6" x14ac:dyDescent="0.3">
      <c r="B417" s="8" t="s">
        <v>1648</v>
      </c>
      <c r="C417" s="8" t="s">
        <v>1668</v>
      </c>
      <c r="D417" s="9">
        <v>44886</v>
      </c>
      <c r="E417" s="16">
        <v>248740</v>
      </c>
      <c r="F417" s="11">
        <f>+Tabla2[[#This Row],[CONSUMO $]]/2500</f>
        <v>99.495999999999995</v>
      </c>
    </row>
    <row r="418" spans="2:6" x14ac:dyDescent="0.3">
      <c r="B418" s="8" t="s">
        <v>1648</v>
      </c>
      <c r="C418" s="8" t="s">
        <v>1667</v>
      </c>
      <c r="D418" s="9">
        <v>44886</v>
      </c>
      <c r="E418" s="16">
        <v>1885800</v>
      </c>
      <c r="F418" s="11">
        <f>+Tabla2[[#This Row],[CONSUMO $]]/2500</f>
        <v>754.32</v>
      </c>
    </row>
    <row r="419" spans="2:6" x14ac:dyDescent="0.3">
      <c r="B419" s="8" t="s">
        <v>1648</v>
      </c>
      <c r="C419" s="8" t="s">
        <v>1669</v>
      </c>
      <c r="D419" s="9">
        <v>44886</v>
      </c>
      <c r="E419" s="16">
        <v>7603640</v>
      </c>
      <c r="F419" s="11">
        <f>+Tabla2[[#This Row],[CONSUMO $]]/2500</f>
        <v>3041.4560000000001</v>
      </c>
    </row>
    <row r="420" spans="2:6" x14ac:dyDescent="0.3">
      <c r="B420" s="8" t="s">
        <v>1649</v>
      </c>
      <c r="C420" s="8" t="s">
        <v>1664</v>
      </c>
      <c r="D420" s="9">
        <v>44886</v>
      </c>
      <c r="E420" s="16">
        <v>602330</v>
      </c>
      <c r="F420" s="11">
        <f>+Tabla2[[#This Row],[CONSUMO $]]/2500</f>
        <v>240.93199999999999</v>
      </c>
    </row>
    <row r="421" spans="2:6" x14ac:dyDescent="0.3">
      <c r="B421" s="8" t="s">
        <v>1649</v>
      </c>
      <c r="C421" s="8" t="s">
        <v>1665</v>
      </c>
      <c r="D421" s="9">
        <v>44886</v>
      </c>
      <c r="E421" s="16">
        <v>0</v>
      </c>
      <c r="F421" s="11">
        <f>+Tabla2[[#This Row],[CONSUMO $]]/2500</f>
        <v>0</v>
      </c>
    </row>
    <row r="422" spans="2:6" x14ac:dyDescent="0.3">
      <c r="B422" s="8" t="s">
        <v>1650</v>
      </c>
      <c r="C422" s="8" t="s">
        <v>1663</v>
      </c>
      <c r="D422" s="9">
        <v>44886</v>
      </c>
      <c r="E422" s="16">
        <v>415770</v>
      </c>
      <c r="F422" s="11">
        <f>+Tabla2[[#This Row],[CONSUMO $]]/2500</f>
        <v>166.30799999999999</v>
      </c>
    </row>
    <row r="423" spans="2:6" x14ac:dyDescent="0.3">
      <c r="B423" s="8" t="s">
        <v>1651</v>
      </c>
      <c r="C423" s="8" t="s">
        <v>1662</v>
      </c>
      <c r="D423" s="9">
        <v>44886</v>
      </c>
      <c r="E423" s="16">
        <v>384540</v>
      </c>
      <c r="F423" s="11">
        <f>+Tabla2[[#This Row],[CONSUMO $]]/2500</f>
        <v>153.816</v>
      </c>
    </row>
    <row r="424" spans="2:6" x14ac:dyDescent="0.3">
      <c r="B424" s="8" t="s">
        <v>1652</v>
      </c>
      <c r="C424" s="8" t="s">
        <v>1661</v>
      </c>
      <c r="D424" s="9">
        <v>44886</v>
      </c>
      <c r="E424" s="16">
        <v>1181520</v>
      </c>
      <c r="F424" s="11">
        <f>+Tabla2[[#This Row],[CONSUMO $]]/2500</f>
        <v>472.608</v>
      </c>
    </row>
    <row r="425" spans="2:6" x14ac:dyDescent="0.3">
      <c r="B425" s="8" t="s">
        <v>1653</v>
      </c>
      <c r="C425" s="8" t="s">
        <v>1660</v>
      </c>
      <c r="D425" s="9">
        <v>44886</v>
      </c>
      <c r="E425" s="16">
        <v>838200</v>
      </c>
      <c r="F425" s="11">
        <f>+Tabla2[[#This Row],[CONSUMO $]]/2500</f>
        <v>335.28</v>
      </c>
    </row>
    <row r="426" spans="2:6" x14ac:dyDescent="0.3">
      <c r="B426" s="8" t="s">
        <v>1648</v>
      </c>
      <c r="C426" s="8" t="s">
        <v>1668</v>
      </c>
      <c r="D426" s="9">
        <v>44916</v>
      </c>
      <c r="E426" s="16">
        <v>227050</v>
      </c>
      <c r="F426" s="11">
        <f>+Tabla2[[#This Row],[CONSUMO $]]/2500</f>
        <v>90.82</v>
      </c>
    </row>
    <row r="427" spans="2:6" x14ac:dyDescent="0.3">
      <c r="B427" s="8" t="s">
        <v>1648</v>
      </c>
      <c r="C427" s="8" t="s">
        <v>1667</v>
      </c>
      <c r="D427" s="9">
        <v>44916</v>
      </c>
      <c r="E427" s="16">
        <v>1619700</v>
      </c>
      <c r="F427" s="11">
        <f>+Tabla2[[#This Row],[CONSUMO $]]/2500</f>
        <v>647.88</v>
      </c>
    </row>
    <row r="428" spans="2:6" x14ac:dyDescent="0.3">
      <c r="B428" s="8" t="s">
        <v>1648</v>
      </c>
      <c r="C428" s="8" t="s">
        <v>1669</v>
      </c>
      <c r="D428" s="9">
        <v>44916</v>
      </c>
      <c r="E428" s="16">
        <v>6982370</v>
      </c>
      <c r="F428" s="11">
        <f>+Tabla2[[#This Row],[CONSUMO $]]/2500</f>
        <v>2792.9479999999999</v>
      </c>
    </row>
    <row r="429" spans="2:6" x14ac:dyDescent="0.3">
      <c r="B429" s="8" t="s">
        <v>1649</v>
      </c>
      <c r="C429" s="8" t="s">
        <v>1664</v>
      </c>
      <c r="D429" s="9">
        <v>44916</v>
      </c>
      <c r="E429" s="16">
        <v>605940</v>
      </c>
      <c r="F429" s="11">
        <f>+Tabla2[[#This Row],[CONSUMO $]]/2500</f>
        <v>242.376</v>
      </c>
    </row>
    <row r="430" spans="2:6" x14ac:dyDescent="0.3">
      <c r="B430" s="8" t="s">
        <v>1649</v>
      </c>
      <c r="C430" s="8" t="s">
        <v>1665</v>
      </c>
      <c r="D430" s="9">
        <v>44916</v>
      </c>
      <c r="E430" s="16">
        <v>0</v>
      </c>
      <c r="F430" s="11">
        <f>+Tabla2[[#This Row],[CONSUMO $]]/2500</f>
        <v>0</v>
      </c>
    </row>
    <row r="431" spans="2:6" x14ac:dyDescent="0.3">
      <c r="B431" s="8" t="s">
        <v>1650</v>
      </c>
      <c r="C431" s="8" t="s">
        <v>1663</v>
      </c>
      <c r="D431" s="9">
        <v>44916</v>
      </c>
      <c r="E431" s="16">
        <v>336960</v>
      </c>
      <c r="F431" s="11">
        <f>+Tabla2[[#This Row],[CONSUMO $]]/2500</f>
        <v>134.78399999999999</v>
      </c>
    </row>
    <row r="432" spans="2:6" x14ac:dyDescent="0.3">
      <c r="B432" s="8" t="s">
        <v>1651</v>
      </c>
      <c r="C432" s="8" t="s">
        <v>1662</v>
      </c>
      <c r="D432" s="9">
        <v>44916</v>
      </c>
      <c r="E432" s="16">
        <v>286200</v>
      </c>
      <c r="F432" s="11">
        <f>+Tabla2[[#This Row],[CONSUMO $]]/2500</f>
        <v>114.48</v>
      </c>
    </row>
    <row r="433" spans="2:6" x14ac:dyDescent="0.3">
      <c r="B433" s="8" t="s">
        <v>1652</v>
      </c>
      <c r="C433" s="8" t="s">
        <v>1661</v>
      </c>
      <c r="D433" s="9">
        <v>44916</v>
      </c>
      <c r="E433" s="16">
        <v>1090410</v>
      </c>
      <c r="F433" s="11">
        <f>+Tabla2[[#This Row],[CONSUMO $]]/2500</f>
        <v>436.16399999999999</v>
      </c>
    </row>
    <row r="434" spans="2:6" x14ac:dyDescent="0.3">
      <c r="B434" s="8" t="s">
        <v>1653</v>
      </c>
      <c r="C434" s="8" t="s">
        <v>1660</v>
      </c>
      <c r="D434" s="9">
        <v>44916</v>
      </c>
      <c r="E434" s="16">
        <v>843400</v>
      </c>
      <c r="F434" s="11">
        <f>+Tabla2[[#This Row],[CONSUMO $]]/2500</f>
        <v>337.36</v>
      </c>
    </row>
    <row r="435" spans="2:6" x14ac:dyDescent="0.3">
      <c r="B435" s="8" t="s">
        <v>1648</v>
      </c>
      <c r="C435" s="8" t="s">
        <v>1668</v>
      </c>
      <c r="D435" s="9">
        <v>44950</v>
      </c>
      <c r="E435" s="16">
        <v>191530</v>
      </c>
      <c r="F435" s="11">
        <f>+Tabla2[[#This Row],[CONSUMO $]]/2500</f>
        <v>76.611999999999995</v>
      </c>
    </row>
    <row r="436" spans="2:6" x14ac:dyDescent="0.3">
      <c r="B436" s="8" t="s">
        <v>1648</v>
      </c>
      <c r="C436" s="8" t="s">
        <v>1667</v>
      </c>
      <c r="D436" s="9">
        <v>44950</v>
      </c>
      <c r="E436" s="16">
        <v>1382390</v>
      </c>
      <c r="F436" s="11">
        <f>+Tabla2[[#This Row],[CONSUMO $]]/2500</f>
        <v>552.95600000000002</v>
      </c>
    </row>
    <row r="437" spans="2:6" x14ac:dyDescent="0.3">
      <c r="B437" s="8" t="s">
        <v>1648</v>
      </c>
      <c r="C437" s="8" t="s">
        <v>1669</v>
      </c>
      <c r="D437" s="9">
        <v>44950</v>
      </c>
      <c r="E437" s="16">
        <v>6020520</v>
      </c>
      <c r="F437" s="11">
        <f>+Tabla2[[#This Row],[CONSUMO $]]/2500</f>
        <v>2408.2080000000001</v>
      </c>
    </row>
    <row r="438" spans="2:6" x14ac:dyDescent="0.3">
      <c r="B438" s="8" t="s">
        <v>1649</v>
      </c>
      <c r="C438" s="8" t="s">
        <v>1664</v>
      </c>
      <c r="D438" s="9">
        <v>44950</v>
      </c>
      <c r="E438" s="16">
        <v>429850</v>
      </c>
      <c r="F438" s="11">
        <f>+Tabla2[[#This Row],[CONSUMO $]]/2500</f>
        <v>171.94</v>
      </c>
    </row>
    <row r="439" spans="2:6" x14ac:dyDescent="0.3">
      <c r="B439" s="8" t="s">
        <v>1649</v>
      </c>
      <c r="C439" s="8" t="s">
        <v>1665</v>
      </c>
      <c r="D439" s="9">
        <v>44950</v>
      </c>
      <c r="E439" s="16">
        <v>0</v>
      </c>
      <c r="F439" s="11">
        <f>+Tabla2[[#This Row],[CONSUMO $]]/2500</f>
        <v>0</v>
      </c>
    </row>
    <row r="440" spans="2:6" x14ac:dyDescent="0.3">
      <c r="B440" s="8" t="s">
        <v>1650</v>
      </c>
      <c r="C440" s="8" t="s">
        <v>1663</v>
      </c>
      <c r="D440" s="9">
        <v>44950</v>
      </c>
      <c r="E440" s="16">
        <v>352360</v>
      </c>
      <c r="F440" s="11">
        <f>+Tabla2[[#This Row],[CONSUMO $]]/2500</f>
        <v>140.94399999999999</v>
      </c>
    </row>
    <row r="441" spans="2:6" x14ac:dyDescent="0.3">
      <c r="B441" s="8" t="s">
        <v>1651</v>
      </c>
      <c r="C441" s="8" t="s">
        <v>1662</v>
      </c>
      <c r="D441" s="9">
        <v>44950</v>
      </c>
      <c r="E441" s="16">
        <v>215380</v>
      </c>
      <c r="F441" s="11">
        <f>+Tabla2[[#This Row],[CONSUMO $]]/2500</f>
        <v>86.152000000000001</v>
      </c>
    </row>
    <row r="442" spans="2:6" x14ac:dyDescent="0.3">
      <c r="B442" s="8" t="s">
        <v>1652</v>
      </c>
      <c r="C442" s="8" t="s">
        <v>1661</v>
      </c>
      <c r="D442" s="9">
        <v>44950</v>
      </c>
      <c r="E442" s="16">
        <v>880900</v>
      </c>
      <c r="F442" s="11">
        <f>+Tabla2[[#This Row],[CONSUMO $]]/2500</f>
        <v>352.36</v>
      </c>
    </row>
    <row r="443" spans="2:6" x14ac:dyDescent="0.3">
      <c r="B443" s="8" t="s">
        <v>1653</v>
      </c>
      <c r="C443" s="8" t="s">
        <v>1660</v>
      </c>
      <c r="D443" s="9">
        <v>44950</v>
      </c>
      <c r="E443" s="16">
        <v>713200</v>
      </c>
      <c r="F443" s="11">
        <f>+Tabla2[[#This Row],[CONSUMO $]]/2500</f>
        <v>285.27999999999997</v>
      </c>
    </row>
    <row r="444" spans="2:6" x14ac:dyDescent="0.3">
      <c r="B444" s="8" t="s">
        <v>1648</v>
      </c>
      <c r="C444" s="8" t="s">
        <v>1668</v>
      </c>
      <c r="D444" s="9">
        <v>44974</v>
      </c>
      <c r="E444" s="16">
        <v>228760</v>
      </c>
      <c r="F444" s="11">
        <f>+Tabla2[[#This Row],[CONSUMO $]]/2500</f>
        <v>91.504000000000005</v>
      </c>
    </row>
    <row r="445" spans="2:6" x14ac:dyDescent="0.3">
      <c r="B445" s="8" t="s">
        <v>1648</v>
      </c>
      <c r="C445" s="8" t="s">
        <v>1667</v>
      </c>
      <c r="D445" s="9">
        <v>44974</v>
      </c>
      <c r="E445" s="16">
        <v>1449070</v>
      </c>
      <c r="F445" s="11">
        <f>+Tabla2[[#This Row],[CONSUMO $]]/2500</f>
        <v>579.62800000000004</v>
      </c>
    </row>
    <row r="446" spans="2:6" x14ac:dyDescent="0.3">
      <c r="B446" s="8" t="s">
        <v>1648</v>
      </c>
      <c r="C446" s="8" t="s">
        <v>1669</v>
      </c>
      <c r="D446" s="9">
        <v>44974</v>
      </c>
      <c r="E446" s="16">
        <v>6382450</v>
      </c>
      <c r="F446" s="11">
        <f>+Tabla2[[#This Row],[CONSUMO $]]/2500</f>
        <v>2552.98</v>
      </c>
    </row>
    <row r="447" spans="2:6" x14ac:dyDescent="0.3">
      <c r="B447" s="8" t="s">
        <v>1649</v>
      </c>
      <c r="C447" s="8" t="s">
        <v>1664</v>
      </c>
      <c r="D447" s="9">
        <v>44974</v>
      </c>
      <c r="E447" s="16">
        <v>583790</v>
      </c>
      <c r="F447" s="11">
        <f>+Tabla2[[#This Row],[CONSUMO $]]/2500</f>
        <v>233.51599999999999</v>
      </c>
    </row>
    <row r="448" spans="2:6" x14ac:dyDescent="0.3">
      <c r="B448" s="8" t="s">
        <v>1649</v>
      </c>
      <c r="C448" s="8" t="s">
        <v>1665</v>
      </c>
      <c r="D448" s="9">
        <v>44974</v>
      </c>
      <c r="E448" s="16">
        <v>0</v>
      </c>
      <c r="F448" s="11">
        <f>+Tabla2[[#This Row],[CONSUMO $]]/2500</f>
        <v>0</v>
      </c>
    </row>
    <row r="449" spans="2:8" x14ac:dyDescent="0.3">
      <c r="B449" s="8" t="s">
        <v>1650</v>
      </c>
      <c r="C449" s="8" t="s">
        <v>1663</v>
      </c>
      <c r="D449" s="9">
        <v>44974</v>
      </c>
      <c r="E449" s="16">
        <v>347600</v>
      </c>
      <c r="F449" s="11">
        <f>+Tabla2[[#This Row],[CONSUMO $]]/2500</f>
        <v>139.04</v>
      </c>
    </row>
    <row r="450" spans="2:8" x14ac:dyDescent="0.3">
      <c r="B450" s="8" t="s">
        <v>1651</v>
      </c>
      <c r="C450" s="8" t="s">
        <v>1662</v>
      </c>
      <c r="D450" s="9">
        <v>44974</v>
      </c>
      <c r="E450" s="16">
        <v>257350</v>
      </c>
      <c r="F450" s="11">
        <f>+Tabla2[[#This Row],[CONSUMO $]]/2500</f>
        <v>102.94</v>
      </c>
    </row>
    <row r="451" spans="2:8" x14ac:dyDescent="0.3">
      <c r="B451" s="8" t="s">
        <v>1652</v>
      </c>
      <c r="C451" s="8" t="s">
        <v>1661</v>
      </c>
      <c r="D451" s="9">
        <v>44974</v>
      </c>
      <c r="E451" s="16">
        <v>1038340</v>
      </c>
      <c r="F451" s="11">
        <f>+Tabla2[[#This Row],[CONSUMO $]]/2500</f>
        <v>415.33600000000001</v>
      </c>
    </row>
    <row r="452" spans="2:8" x14ac:dyDescent="0.3">
      <c r="B452" s="8" t="s">
        <v>1653</v>
      </c>
      <c r="C452" s="8" t="s">
        <v>1660</v>
      </c>
      <c r="D452" s="9">
        <v>44974</v>
      </c>
      <c r="E452" s="16">
        <v>783430</v>
      </c>
      <c r="F452" s="11">
        <f>+Tabla2[[#This Row],[CONSUMO $]]/2500</f>
        <v>313.37200000000001</v>
      </c>
    </row>
    <row r="453" spans="2:8" x14ac:dyDescent="0.3">
      <c r="B453" s="8" t="s">
        <v>1648</v>
      </c>
      <c r="C453" s="8" t="s">
        <v>1668</v>
      </c>
      <c r="D453" s="9">
        <v>45006</v>
      </c>
      <c r="E453" s="16">
        <v>297270</v>
      </c>
      <c r="F453" s="11">
        <f>+Tabla2[[#This Row],[CONSUMO $]]/2500</f>
        <v>118.908</v>
      </c>
    </row>
    <row r="454" spans="2:8" x14ac:dyDescent="0.3">
      <c r="B454" s="8" t="s">
        <v>1648</v>
      </c>
      <c r="C454" s="8" t="s">
        <v>1667</v>
      </c>
      <c r="D454" s="9">
        <v>45006</v>
      </c>
      <c r="E454" s="16">
        <v>1913270</v>
      </c>
      <c r="F454" s="11">
        <f>+Tabla2[[#This Row],[CONSUMO $]]/2500</f>
        <v>765.30799999999999</v>
      </c>
    </row>
    <row r="455" spans="2:8" x14ac:dyDescent="0.3">
      <c r="B455" s="8" t="s">
        <v>1648</v>
      </c>
      <c r="C455" s="8" t="s">
        <v>1669</v>
      </c>
      <c r="D455" s="9">
        <v>45006</v>
      </c>
      <c r="E455" s="16">
        <v>6875020</v>
      </c>
      <c r="F455" s="11">
        <f>+Tabla2[[#This Row],[CONSUMO $]]/2500</f>
        <v>2750.0079999999998</v>
      </c>
    </row>
    <row r="456" spans="2:8" x14ac:dyDescent="0.3">
      <c r="B456" s="8" t="s">
        <v>1649</v>
      </c>
      <c r="C456" s="8" t="s">
        <v>1664</v>
      </c>
      <c r="D456" s="9">
        <v>45006</v>
      </c>
      <c r="E456" s="16">
        <v>581640</v>
      </c>
      <c r="F456" s="11">
        <f>+Tabla2[[#This Row],[CONSUMO $]]/2500</f>
        <v>232.65600000000001</v>
      </c>
    </row>
    <row r="457" spans="2:8" x14ac:dyDescent="0.3">
      <c r="B457" s="8" t="s">
        <v>1649</v>
      </c>
      <c r="C457" s="8" t="s">
        <v>1665</v>
      </c>
      <c r="D457" s="9">
        <v>45006</v>
      </c>
      <c r="E457" s="16"/>
      <c r="F457" s="11">
        <f>+Tabla2[[#This Row],[CONSUMO $]]/2500</f>
        <v>0</v>
      </c>
    </row>
    <row r="458" spans="2:8" x14ac:dyDescent="0.3">
      <c r="B458" s="8" t="s">
        <v>1650</v>
      </c>
      <c r="C458" s="8" t="s">
        <v>1663</v>
      </c>
      <c r="D458" s="9">
        <v>45006</v>
      </c>
      <c r="E458" s="16">
        <v>476230</v>
      </c>
      <c r="F458" s="11">
        <f>+Tabla2[[#This Row],[CONSUMO $]]/2500</f>
        <v>190.49199999999999</v>
      </c>
    </row>
    <row r="459" spans="2:8" x14ac:dyDescent="0.3">
      <c r="B459" s="8" t="s">
        <v>1651</v>
      </c>
      <c r="C459" s="8" t="s">
        <v>1662</v>
      </c>
      <c r="D459" s="9">
        <v>45006</v>
      </c>
      <c r="E459" s="16">
        <v>404550</v>
      </c>
      <c r="F459" s="11">
        <f>+Tabla2[[#This Row],[CONSUMO $]]/2500</f>
        <v>161.82</v>
      </c>
    </row>
    <row r="460" spans="2:8" x14ac:dyDescent="0.3">
      <c r="B460" s="8" t="s">
        <v>1652</v>
      </c>
      <c r="C460" s="8" t="s">
        <v>1661</v>
      </c>
      <c r="D460" s="9">
        <v>45006</v>
      </c>
      <c r="E460" s="16">
        <v>1169350</v>
      </c>
      <c r="F460" s="11">
        <f>+Tabla2[[#This Row],[CONSUMO $]]/2500</f>
        <v>467.74</v>
      </c>
    </row>
    <row r="461" spans="2:8" x14ac:dyDescent="0.3">
      <c r="B461" s="8" t="s">
        <v>1653</v>
      </c>
      <c r="C461" s="8" t="s">
        <v>1660</v>
      </c>
      <c r="D461" s="9">
        <v>45006</v>
      </c>
      <c r="E461" s="16">
        <v>754390</v>
      </c>
      <c r="F461" s="11">
        <f>+Tabla2[[#This Row],[CONSUMO $]]/2500</f>
        <v>301.75599999999997</v>
      </c>
    </row>
    <row r="462" spans="2:8" x14ac:dyDescent="0.3">
      <c r="B462" s="8" t="s">
        <v>1648</v>
      </c>
      <c r="C462" s="8" t="s">
        <v>1668</v>
      </c>
      <c r="D462" s="9">
        <v>45035</v>
      </c>
      <c r="E462" s="16">
        <v>286970</v>
      </c>
      <c r="F462" s="11">
        <f>+Tabla2[[#This Row],[CONSUMO $]]/2500</f>
        <v>114.788</v>
      </c>
      <c r="H462" t="s">
        <v>1666</v>
      </c>
    </row>
    <row r="463" spans="2:8" x14ac:dyDescent="0.3">
      <c r="B463" s="8" t="s">
        <v>1648</v>
      </c>
      <c r="C463" s="8" t="s">
        <v>1667</v>
      </c>
      <c r="D463" s="9">
        <v>45035</v>
      </c>
      <c r="E463" s="16">
        <v>1917500</v>
      </c>
      <c r="F463" s="11">
        <f>+Tabla2[[#This Row],[CONSUMO $]]/2500</f>
        <v>767</v>
      </c>
    </row>
    <row r="464" spans="2:8" x14ac:dyDescent="0.3">
      <c r="B464" s="8" t="s">
        <v>1648</v>
      </c>
      <c r="C464" s="8" t="s">
        <v>1669</v>
      </c>
      <c r="D464" s="9">
        <v>45035</v>
      </c>
      <c r="E464" s="16">
        <v>6733130</v>
      </c>
      <c r="F464" s="11">
        <f>+Tabla2[[#This Row],[CONSUMO $]]/2500</f>
        <v>2693.252</v>
      </c>
    </row>
    <row r="465" spans="2:6" x14ac:dyDescent="0.3">
      <c r="B465" s="8" t="s">
        <v>1649</v>
      </c>
      <c r="C465" s="8" t="s">
        <v>1664</v>
      </c>
      <c r="D465" s="9">
        <v>45035</v>
      </c>
      <c r="E465" s="16">
        <v>652060</v>
      </c>
      <c r="F465" s="11">
        <f>+Tabla2[[#This Row],[CONSUMO $]]/2500</f>
        <v>260.82400000000001</v>
      </c>
    </row>
    <row r="466" spans="2:6" x14ac:dyDescent="0.3">
      <c r="B466" s="8" t="s">
        <v>1649</v>
      </c>
      <c r="C466" s="8" t="s">
        <v>1665</v>
      </c>
      <c r="D466" s="9">
        <v>45035</v>
      </c>
      <c r="E466" s="16"/>
      <c r="F466" s="11">
        <f>+Tabla2[[#This Row],[CONSUMO $]]/2500</f>
        <v>0</v>
      </c>
    </row>
    <row r="467" spans="2:6" x14ac:dyDescent="0.3">
      <c r="B467" s="8" t="s">
        <v>1650</v>
      </c>
      <c r="C467" s="8" t="s">
        <v>1663</v>
      </c>
      <c r="D467" s="9">
        <v>45035</v>
      </c>
      <c r="E467" s="16">
        <v>480340</v>
      </c>
      <c r="F467" s="11">
        <f>+Tabla2[[#This Row],[CONSUMO $]]/2500</f>
        <v>192.136</v>
      </c>
    </row>
    <row r="468" spans="2:6" x14ac:dyDescent="0.3">
      <c r="B468" s="8" t="s">
        <v>1651</v>
      </c>
      <c r="C468" s="8" t="s">
        <v>1662</v>
      </c>
      <c r="D468" s="9">
        <v>45035</v>
      </c>
      <c r="E468" s="16">
        <v>407420</v>
      </c>
      <c r="F468" s="11">
        <f>+Tabla2[[#This Row],[CONSUMO $]]/2500</f>
        <v>162.96799999999999</v>
      </c>
    </row>
    <row r="469" spans="2:6" x14ac:dyDescent="0.3">
      <c r="B469" s="8" t="s">
        <v>1652</v>
      </c>
      <c r="C469" s="8" t="s">
        <v>1661</v>
      </c>
      <c r="D469" s="9">
        <v>45035</v>
      </c>
      <c r="E469" s="16">
        <v>1208200</v>
      </c>
      <c r="F469" s="11">
        <f>+Tabla2[[#This Row],[CONSUMO $]]/2500</f>
        <v>483.28</v>
      </c>
    </row>
    <row r="470" spans="2:6" x14ac:dyDescent="0.3">
      <c r="B470" s="8" t="s">
        <v>1653</v>
      </c>
      <c r="C470" s="8" t="s">
        <v>1660</v>
      </c>
      <c r="D470" s="9">
        <v>45035</v>
      </c>
      <c r="E470" s="16">
        <v>721210</v>
      </c>
      <c r="F470" s="11">
        <f>+Tabla2[[#This Row],[CONSUMO $]]/2500</f>
        <v>288.48399999999998</v>
      </c>
    </row>
    <row r="471" spans="2:6" x14ac:dyDescent="0.3">
      <c r="D471" s="9"/>
    </row>
  </sheetData>
  <mergeCells count="1">
    <mergeCell ref="B1:E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A1E20-1BB0-4DCF-A8D3-D3B802840979}">
  <dimension ref="A1:DF795"/>
  <sheetViews>
    <sheetView topLeftCell="C1" workbookViewId="0">
      <selection activeCell="L70" sqref="L70"/>
    </sheetView>
  </sheetViews>
  <sheetFormatPr baseColWidth="10" defaultColWidth="11.44140625" defaultRowHeight="14.4" x14ac:dyDescent="0.3"/>
  <cols>
    <col min="2" max="2" width="46" bestFit="1" customWidth="1"/>
    <col min="3" max="3" width="7.5546875" customWidth="1"/>
    <col min="6" max="6" width="29.33203125" customWidth="1"/>
    <col min="7" max="7" width="18.88671875" customWidth="1"/>
    <col min="9" max="9" width="24.33203125" customWidth="1"/>
    <col min="12" max="12" width="18.33203125" style="23" bestFit="1" customWidth="1"/>
    <col min="13" max="70" width="11.44140625" hidden="1" customWidth="1"/>
    <col min="71" max="71" width="40.33203125" hidden="1" customWidth="1"/>
    <col min="72" max="109" width="0" hidden="1" customWidth="1"/>
    <col min="110" max="110" width="18" hidden="1" customWidth="1"/>
    <col min="111" max="111" width="0" hidden="1" customWidth="1"/>
  </cols>
  <sheetData>
    <row r="1" spans="1:110" x14ac:dyDescent="0.3">
      <c r="A1" s="22" t="s">
        <v>7344</v>
      </c>
      <c r="B1" s="22" t="s">
        <v>7345</v>
      </c>
      <c r="C1" s="22" t="s">
        <v>7346</v>
      </c>
      <c r="D1" s="22" t="s">
        <v>7347</v>
      </c>
      <c r="E1" s="22" t="s">
        <v>7348</v>
      </c>
      <c r="F1" s="22" t="s">
        <v>7349</v>
      </c>
      <c r="G1" s="22" t="s">
        <v>7350</v>
      </c>
      <c r="J1" s="22" t="s">
        <v>7351</v>
      </c>
      <c r="L1" s="23" t="s">
        <v>7352</v>
      </c>
      <c r="BS1" t="s">
        <v>7353</v>
      </c>
      <c r="DF1" t="s">
        <v>7354</v>
      </c>
    </row>
    <row r="2" spans="1:110" x14ac:dyDescent="0.3">
      <c r="A2">
        <v>1364</v>
      </c>
      <c r="B2" t="s">
        <v>7355</v>
      </c>
      <c r="C2">
        <v>19</v>
      </c>
      <c r="D2" s="20">
        <v>44942</v>
      </c>
      <c r="E2" t="s">
        <v>7356</v>
      </c>
      <c r="F2" t="s">
        <v>5246</v>
      </c>
      <c r="G2" t="s">
        <v>7357</v>
      </c>
      <c r="H2">
        <v>1</v>
      </c>
      <c r="I2" t="s">
        <v>7358</v>
      </c>
      <c r="J2">
        <v>1</v>
      </c>
      <c r="K2" s="20">
        <v>44942</v>
      </c>
      <c r="L2" s="23">
        <v>5651201</v>
      </c>
      <c r="M2" t="s">
        <v>7359</v>
      </c>
      <c r="N2" t="s">
        <v>7360</v>
      </c>
      <c r="O2">
        <v>0</v>
      </c>
      <c r="P2">
        <v>11681</v>
      </c>
      <c r="Q2">
        <v>414002</v>
      </c>
      <c r="R2">
        <v>0</v>
      </c>
      <c r="S2">
        <v>20230116</v>
      </c>
      <c r="T2">
        <v>0</v>
      </c>
      <c r="U2" t="s">
        <v>7361</v>
      </c>
      <c r="V2" t="s">
        <v>7360</v>
      </c>
      <c r="W2" t="s">
        <v>7360</v>
      </c>
      <c r="X2" t="s">
        <v>7360</v>
      </c>
      <c r="Y2" t="s">
        <v>7360</v>
      </c>
      <c r="Z2" t="s">
        <v>7360</v>
      </c>
      <c r="AA2" t="s">
        <v>7362</v>
      </c>
      <c r="AB2" t="s">
        <v>7360</v>
      </c>
      <c r="AC2" t="s">
        <v>7360</v>
      </c>
      <c r="AD2" t="s">
        <v>7360</v>
      </c>
      <c r="AE2" t="s">
        <v>7360</v>
      </c>
      <c r="AF2" t="s">
        <v>1684</v>
      </c>
      <c r="AG2">
        <v>0</v>
      </c>
      <c r="AH2">
        <v>0</v>
      </c>
      <c r="AI2">
        <v>0</v>
      </c>
      <c r="AJ2">
        <v>0</v>
      </c>
      <c r="AK2">
        <v>0</v>
      </c>
      <c r="AL2" t="s">
        <v>7360</v>
      </c>
      <c r="AM2">
        <v>0</v>
      </c>
      <c r="AN2" s="20">
        <v>44942</v>
      </c>
      <c r="AO2" s="20">
        <v>44942</v>
      </c>
      <c r="AP2" s="20">
        <v>44942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7360</v>
      </c>
      <c r="AW2">
        <v>0</v>
      </c>
      <c r="AX2" t="s">
        <v>7360</v>
      </c>
      <c r="AY2" t="s">
        <v>7363</v>
      </c>
      <c r="BA2">
        <v>0</v>
      </c>
      <c r="BB2" s="20">
        <v>44942</v>
      </c>
      <c r="BC2">
        <v>0</v>
      </c>
      <c r="BD2" t="s">
        <v>7360</v>
      </c>
      <c r="BF2" s="20">
        <v>44942</v>
      </c>
      <c r="BG2">
        <v>0</v>
      </c>
      <c r="BH2" t="s">
        <v>7363</v>
      </c>
      <c r="BJ2" t="s">
        <v>7362</v>
      </c>
      <c r="BK2">
        <v>0</v>
      </c>
      <c r="BL2">
        <v>0</v>
      </c>
      <c r="BM2">
        <v>0</v>
      </c>
      <c r="BN2">
        <v>0</v>
      </c>
      <c r="BO2">
        <v>169</v>
      </c>
      <c r="BP2">
        <v>11</v>
      </c>
      <c r="BQ2">
        <v>1</v>
      </c>
      <c r="BR2" t="s">
        <v>7364</v>
      </c>
      <c r="BS2" t="s">
        <v>7365</v>
      </c>
      <c r="BT2" t="s">
        <v>7360</v>
      </c>
      <c r="BU2" t="s">
        <v>7360</v>
      </c>
      <c r="BV2" t="s">
        <v>7360</v>
      </c>
      <c r="BX2">
        <v>0</v>
      </c>
      <c r="BY2">
        <v>0</v>
      </c>
      <c r="BZ2" t="s">
        <v>7360</v>
      </c>
      <c r="CA2" t="s">
        <v>7360</v>
      </c>
      <c r="CB2">
        <v>3380666</v>
      </c>
      <c r="CC2" s="21">
        <v>44942.614004629628</v>
      </c>
      <c r="CE2" t="s">
        <v>7366</v>
      </c>
      <c r="CF2">
        <v>0</v>
      </c>
      <c r="CG2">
        <v>702002</v>
      </c>
      <c r="CH2">
        <v>702002</v>
      </c>
      <c r="CI2" s="21">
        <v>44952.60229166667</v>
      </c>
      <c r="CJ2" t="s">
        <v>7367</v>
      </c>
      <c r="CK2" t="s">
        <v>7367</v>
      </c>
      <c r="CL2" t="s">
        <v>7368</v>
      </c>
      <c r="CM2" t="s">
        <v>7368</v>
      </c>
      <c r="CS2" t="s">
        <v>7361</v>
      </c>
      <c r="CT2" t="s">
        <v>7362</v>
      </c>
      <c r="CU2" t="s">
        <v>7362</v>
      </c>
      <c r="CV2" t="s">
        <v>7362</v>
      </c>
      <c r="CW2" t="s">
        <v>7362</v>
      </c>
      <c r="CX2">
        <v>5651201</v>
      </c>
      <c r="DA2">
        <v>0</v>
      </c>
    </row>
    <row r="3" spans="1:110" x14ac:dyDescent="0.3">
      <c r="A3">
        <v>1364</v>
      </c>
      <c r="B3" t="s">
        <v>7355</v>
      </c>
      <c r="C3">
        <v>20</v>
      </c>
      <c r="D3" s="20">
        <v>44944</v>
      </c>
      <c r="E3" t="s">
        <v>7356</v>
      </c>
      <c r="F3" t="s">
        <v>5251</v>
      </c>
      <c r="G3" t="s">
        <v>7357</v>
      </c>
      <c r="H3">
        <v>1</v>
      </c>
      <c r="I3" t="s">
        <v>7358</v>
      </c>
      <c r="J3">
        <v>1</v>
      </c>
      <c r="K3" s="20">
        <v>44944</v>
      </c>
      <c r="L3" s="23">
        <v>3648000</v>
      </c>
      <c r="M3" t="s">
        <v>7359</v>
      </c>
      <c r="N3" t="s">
        <v>7360</v>
      </c>
      <c r="O3">
        <v>0</v>
      </c>
      <c r="P3">
        <v>11705</v>
      </c>
      <c r="Q3">
        <v>414017</v>
      </c>
      <c r="R3">
        <v>0</v>
      </c>
      <c r="S3">
        <v>20230118</v>
      </c>
      <c r="T3">
        <v>0</v>
      </c>
      <c r="U3" t="s">
        <v>7361</v>
      </c>
      <c r="V3" t="s">
        <v>7360</v>
      </c>
      <c r="W3" t="s">
        <v>7360</v>
      </c>
      <c r="X3" t="s">
        <v>7360</v>
      </c>
      <c r="Y3" t="s">
        <v>7360</v>
      </c>
      <c r="Z3" t="s">
        <v>7360</v>
      </c>
      <c r="AA3" t="s">
        <v>7362</v>
      </c>
      <c r="AB3" t="s">
        <v>7360</v>
      </c>
      <c r="AC3" t="s">
        <v>7360</v>
      </c>
      <c r="AD3" t="s">
        <v>7360</v>
      </c>
      <c r="AE3" t="s">
        <v>7360</v>
      </c>
      <c r="AF3" t="s">
        <v>1684</v>
      </c>
      <c r="AG3">
        <v>0</v>
      </c>
      <c r="AH3">
        <v>0</v>
      </c>
      <c r="AI3">
        <v>0</v>
      </c>
      <c r="AJ3">
        <v>0</v>
      </c>
      <c r="AK3">
        <v>0</v>
      </c>
      <c r="AL3" t="s">
        <v>7360</v>
      </c>
      <c r="AM3">
        <v>0</v>
      </c>
      <c r="AN3" s="20">
        <v>44944</v>
      </c>
      <c r="AO3" s="20">
        <v>44944</v>
      </c>
      <c r="AP3" s="20">
        <v>44944</v>
      </c>
      <c r="AQ3">
        <v>0</v>
      </c>
      <c r="AR3">
        <v>0</v>
      </c>
      <c r="AS3">
        <v>0</v>
      </c>
      <c r="AT3">
        <v>0</v>
      </c>
      <c r="AU3">
        <v>0</v>
      </c>
      <c r="AV3" t="s">
        <v>7360</v>
      </c>
      <c r="AW3">
        <v>0</v>
      </c>
      <c r="AX3" t="s">
        <v>7360</v>
      </c>
      <c r="AY3" t="s">
        <v>7363</v>
      </c>
      <c r="BA3">
        <v>0</v>
      </c>
      <c r="BB3" s="20">
        <v>44944</v>
      </c>
      <c r="BC3">
        <v>0</v>
      </c>
      <c r="BD3" t="s">
        <v>7360</v>
      </c>
      <c r="BF3" s="20">
        <v>44944</v>
      </c>
      <c r="BG3">
        <v>0</v>
      </c>
      <c r="BH3" t="s">
        <v>7363</v>
      </c>
      <c r="BJ3" t="s">
        <v>7362</v>
      </c>
      <c r="BK3">
        <v>0</v>
      </c>
      <c r="BL3">
        <v>0</v>
      </c>
      <c r="BM3">
        <v>0</v>
      </c>
      <c r="BN3">
        <v>0</v>
      </c>
      <c r="BO3">
        <v>169</v>
      </c>
      <c r="BP3">
        <v>11</v>
      </c>
      <c r="BQ3">
        <v>1</v>
      </c>
      <c r="BR3" t="s">
        <v>7364</v>
      </c>
      <c r="BS3" t="s">
        <v>7365</v>
      </c>
      <c r="BT3" t="s">
        <v>7360</v>
      </c>
      <c r="BU3" t="s">
        <v>7360</v>
      </c>
      <c r="BV3" t="s">
        <v>7360</v>
      </c>
      <c r="BX3">
        <v>0</v>
      </c>
      <c r="BY3">
        <v>0</v>
      </c>
      <c r="BZ3" t="s">
        <v>7360</v>
      </c>
      <c r="CA3" t="s">
        <v>7360</v>
      </c>
      <c r="CB3">
        <v>3380666</v>
      </c>
      <c r="CC3" s="21">
        <v>44944.512395833335</v>
      </c>
      <c r="CE3" t="s">
        <v>7366</v>
      </c>
      <c r="CF3">
        <v>0</v>
      </c>
      <c r="CG3">
        <v>702002</v>
      </c>
      <c r="CH3">
        <v>702002</v>
      </c>
      <c r="CI3" s="21">
        <v>44944.513888888891</v>
      </c>
      <c r="CJ3" t="s">
        <v>7367</v>
      </c>
      <c r="CK3" t="s">
        <v>7367</v>
      </c>
      <c r="CL3" t="s">
        <v>7368</v>
      </c>
      <c r="CM3" t="s">
        <v>7368</v>
      </c>
      <c r="CS3" t="s">
        <v>7361</v>
      </c>
      <c r="CT3" t="s">
        <v>7362</v>
      </c>
      <c r="CU3" t="s">
        <v>7362</v>
      </c>
      <c r="CV3" t="s">
        <v>7362</v>
      </c>
      <c r="CW3" t="s">
        <v>7362</v>
      </c>
      <c r="CX3">
        <v>3648000</v>
      </c>
      <c r="DA3">
        <v>0</v>
      </c>
    </row>
    <row r="4" spans="1:110" x14ac:dyDescent="0.3">
      <c r="A4">
        <v>1364</v>
      </c>
      <c r="B4" t="s">
        <v>7355</v>
      </c>
      <c r="C4">
        <v>21</v>
      </c>
      <c r="D4" s="20">
        <v>44944</v>
      </c>
      <c r="E4" t="s">
        <v>7356</v>
      </c>
      <c r="F4" t="s">
        <v>5257</v>
      </c>
      <c r="G4" t="s">
        <v>7357</v>
      </c>
      <c r="H4">
        <v>1</v>
      </c>
      <c r="I4" t="s">
        <v>7358</v>
      </c>
      <c r="J4">
        <v>1</v>
      </c>
      <c r="K4" s="20">
        <v>44944</v>
      </c>
      <c r="L4" s="23">
        <v>779845</v>
      </c>
      <c r="M4" t="s">
        <v>7359</v>
      </c>
      <c r="N4" t="s">
        <v>7360</v>
      </c>
      <c r="O4">
        <v>0</v>
      </c>
      <c r="P4">
        <v>11706</v>
      </c>
      <c r="Q4">
        <v>414018</v>
      </c>
      <c r="R4">
        <v>0</v>
      </c>
      <c r="S4">
        <v>20230118</v>
      </c>
      <c r="T4">
        <v>0</v>
      </c>
      <c r="U4" t="s">
        <v>7361</v>
      </c>
      <c r="V4" t="s">
        <v>7360</v>
      </c>
      <c r="W4" t="s">
        <v>7360</v>
      </c>
      <c r="X4" t="s">
        <v>7360</v>
      </c>
      <c r="Y4" t="s">
        <v>7360</v>
      </c>
      <c r="Z4" t="s">
        <v>7360</v>
      </c>
      <c r="AA4" t="s">
        <v>7362</v>
      </c>
      <c r="AB4" t="s">
        <v>7360</v>
      </c>
      <c r="AC4" t="s">
        <v>7360</v>
      </c>
      <c r="AD4" t="s">
        <v>7360</v>
      </c>
      <c r="AE4" t="s">
        <v>7360</v>
      </c>
      <c r="AF4" t="s">
        <v>1684</v>
      </c>
      <c r="AG4">
        <v>0</v>
      </c>
      <c r="AH4">
        <v>0</v>
      </c>
      <c r="AI4">
        <v>0</v>
      </c>
      <c r="AJ4">
        <v>0</v>
      </c>
      <c r="AK4">
        <v>0</v>
      </c>
      <c r="AL4" t="s">
        <v>7360</v>
      </c>
      <c r="AM4">
        <v>0</v>
      </c>
      <c r="AN4" s="20">
        <v>44944</v>
      </c>
      <c r="AO4" s="20">
        <v>44944</v>
      </c>
      <c r="AP4" s="20">
        <v>44944</v>
      </c>
      <c r="AQ4">
        <v>0</v>
      </c>
      <c r="AR4">
        <v>0</v>
      </c>
      <c r="AS4">
        <v>0</v>
      </c>
      <c r="AT4">
        <v>0</v>
      </c>
      <c r="AU4">
        <v>0</v>
      </c>
      <c r="AV4" t="s">
        <v>7360</v>
      </c>
      <c r="AW4">
        <v>0</v>
      </c>
      <c r="AX4" t="s">
        <v>7360</v>
      </c>
      <c r="AY4" t="s">
        <v>7363</v>
      </c>
      <c r="BA4">
        <v>0</v>
      </c>
      <c r="BB4" s="20">
        <v>44944</v>
      </c>
      <c r="BC4">
        <v>0</v>
      </c>
      <c r="BD4" t="s">
        <v>7360</v>
      </c>
      <c r="BF4" s="20">
        <v>44944</v>
      </c>
      <c r="BG4">
        <v>0</v>
      </c>
      <c r="BH4" t="s">
        <v>7363</v>
      </c>
      <c r="BJ4" t="s">
        <v>7362</v>
      </c>
      <c r="BK4">
        <v>0</v>
      </c>
      <c r="BL4">
        <v>0</v>
      </c>
      <c r="BM4">
        <v>0</v>
      </c>
      <c r="BN4">
        <v>0</v>
      </c>
      <c r="BO4">
        <v>169</v>
      </c>
      <c r="BP4">
        <v>11</v>
      </c>
      <c r="BQ4">
        <v>1</v>
      </c>
      <c r="BR4" t="s">
        <v>7364</v>
      </c>
      <c r="BS4" t="s">
        <v>7365</v>
      </c>
      <c r="BT4" t="s">
        <v>7360</v>
      </c>
      <c r="BU4" t="s">
        <v>7360</v>
      </c>
      <c r="BV4" t="s">
        <v>7360</v>
      </c>
      <c r="BX4">
        <v>0</v>
      </c>
      <c r="BY4">
        <v>0</v>
      </c>
      <c r="BZ4" t="s">
        <v>7360</v>
      </c>
      <c r="CA4" t="s">
        <v>7360</v>
      </c>
      <c r="CB4">
        <v>3380666</v>
      </c>
      <c r="CC4" s="21">
        <v>44944.525775462964</v>
      </c>
      <c r="CE4" t="s">
        <v>7366</v>
      </c>
      <c r="CF4">
        <v>0</v>
      </c>
      <c r="CG4">
        <v>702002</v>
      </c>
      <c r="CH4">
        <v>702002</v>
      </c>
      <c r="CI4" s="21">
        <v>44944.527199074073</v>
      </c>
      <c r="CJ4" t="s">
        <v>7367</v>
      </c>
      <c r="CK4" t="s">
        <v>7367</v>
      </c>
      <c r="CL4" t="s">
        <v>7368</v>
      </c>
      <c r="CM4" t="s">
        <v>7368</v>
      </c>
      <c r="CS4" t="s">
        <v>7361</v>
      </c>
      <c r="CT4" t="s">
        <v>7362</v>
      </c>
      <c r="CU4" t="s">
        <v>7362</v>
      </c>
      <c r="CV4" t="s">
        <v>7362</v>
      </c>
      <c r="CW4" t="s">
        <v>7362</v>
      </c>
      <c r="CX4">
        <v>779845</v>
      </c>
      <c r="DA4">
        <v>0</v>
      </c>
    </row>
    <row r="5" spans="1:110" x14ac:dyDescent="0.3">
      <c r="A5">
        <v>1364</v>
      </c>
      <c r="B5" t="s">
        <v>7355</v>
      </c>
      <c r="C5">
        <v>22</v>
      </c>
      <c r="D5" s="20">
        <v>44944</v>
      </c>
      <c r="E5" t="s">
        <v>7356</v>
      </c>
      <c r="F5" t="s">
        <v>5262</v>
      </c>
      <c r="G5" t="s">
        <v>7357</v>
      </c>
      <c r="H5">
        <v>1</v>
      </c>
      <c r="I5" t="s">
        <v>7358</v>
      </c>
      <c r="J5">
        <v>1</v>
      </c>
      <c r="K5" s="20">
        <v>44944</v>
      </c>
      <c r="L5" s="23">
        <v>6051263</v>
      </c>
      <c r="M5" t="s">
        <v>7359</v>
      </c>
      <c r="N5" t="s">
        <v>7360</v>
      </c>
      <c r="O5">
        <v>0</v>
      </c>
      <c r="P5">
        <v>11707</v>
      </c>
      <c r="Q5">
        <v>414019</v>
      </c>
      <c r="R5">
        <v>0</v>
      </c>
      <c r="S5">
        <v>20230118</v>
      </c>
      <c r="T5">
        <v>0</v>
      </c>
      <c r="U5" t="s">
        <v>7361</v>
      </c>
      <c r="V5" t="s">
        <v>7360</v>
      </c>
      <c r="W5" t="s">
        <v>7360</v>
      </c>
      <c r="X5" t="s">
        <v>7360</v>
      </c>
      <c r="Y5" t="s">
        <v>7360</v>
      </c>
      <c r="Z5" t="s">
        <v>7360</v>
      </c>
      <c r="AA5" t="s">
        <v>7362</v>
      </c>
      <c r="AB5" t="s">
        <v>7360</v>
      </c>
      <c r="AC5" t="s">
        <v>7360</v>
      </c>
      <c r="AD5" t="s">
        <v>7360</v>
      </c>
      <c r="AE5" t="s">
        <v>7360</v>
      </c>
      <c r="AF5" t="s">
        <v>1684</v>
      </c>
      <c r="AG5">
        <v>0</v>
      </c>
      <c r="AH5">
        <v>0</v>
      </c>
      <c r="AI5">
        <v>0</v>
      </c>
      <c r="AJ5">
        <v>0</v>
      </c>
      <c r="AK5">
        <v>0</v>
      </c>
      <c r="AL5" t="s">
        <v>7360</v>
      </c>
      <c r="AM5">
        <v>0</v>
      </c>
      <c r="AN5" s="20">
        <v>44944</v>
      </c>
      <c r="AO5" s="20">
        <v>44944</v>
      </c>
      <c r="AP5" s="20">
        <v>44944</v>
      </c>
      <c r="AQ5">
        <v>0</v>
      </c>
      <c r="AR5">
        <v>0</v>
      </c>
      <c r="AS5">
        <v>0</v>
      </c>
      <c r="AT5">
        <v>0</v>
      </c>
      <c r="AU5">
        <v>0</v>
      </c>
      <c r="AV5" t="s">
        <v>7360</v>
      </c>
      <c r="AW5">
        <v>0</v>
      </c>
      <c r="AX5" t="s">
        <v>7360</v>
      </c>
      <c r="AY5" t="s">
        <v>7363</v>
      </c>
      <c r="BA5">
        <v>0</v>
      </c>
      <c r="BB5" s="20">
        <v>44944</v>
      </c>
      <c r="BC5">
        <v>0</v>
      </c>
      <c r="BD5" t="s">
        <v>7360</v>
      </c>
      <c r="BF5" s="20">
        <v>44944</v>
      </c>
      <c r="BG5">
        <v>0</v>
      </c>
      <c r="BH5" t="s">
        <v>7363</v>
      </c>
      <c r="BJ5" t="s">
        <v>7362</v>
      </c>
      <c r="BK5">
        <v>0</v>
      </c>
      <c r="BL5">
        <v>0</v>
      </c>
      <c r="BM5">
        <v>0</v>
      </c>
      <c r="BN5">
        <v>0</v>
      </c>
      <c r="BO5">
        <v>169</v>
      </c>
      <c r="BP5">
        <v>11</v>
      </c>
      <c r="BQ5">
        <v>1</v>
      </c>
      <c r="BR5" t="s">
        <v>7364</v>
      </c>
      <c r="BS5" t="s">
        <v>7365</v>
      </c>
      <c r="BT5" t="s">
        <v>7360</v>
      </c>
      <c r="BU5" t="s">
        <v>7360</v>
      </c>
      <c r="BV5" t="s">
        <v>7360</v>
      </c>
      <c r="BX5">
        <v>0</v>
      </c>
      <c r="BY5">
        <v>0</v>
      </c>
      <c r="BZ5" t="s">
        <v>7360</v>
      </c>
      <c r="CA5" t="s">
        <v>7360</v>
      </c>
      <c r="CB5">
        <v>3380666</v>
      </c>
      <c r="CC5" s="21">
        <v>44944.533634259256</v>
      </c>
      <c r="CE5" t="s">
        <v>7366</v>
      </c>
      <c r="CF5">
        <v>0</v>
      </c>
      <c r="CG5">
        <v>702002</v>
      </c>
      <c r="CH5">
        <v>702002</v>
      </c>
      <c r="CI5" s="21">
        <v>44944.534699074073</v>
      </c>
      <c r="CJ5" t="s">
        <v>7367</v>
      </c>
      <c r="CK5" t="s">
        <v>7367</v>
      </c>
      <c r="CL5" t="s">
        <v>7368</v>
      </c>
      <c r="CM5" t="s">
        <v>7368</v>
      </c>
      <c r="CS5" t="s">
        <v>7361</v>
      </c>
      <c r="CT5" t="s">
        <v>7362</v>
      </c>
      <c r="CU5" t="s">
        <v>7362</v>
      </c>
      <c r="CV5" t="s">
        <v>7362</v>
      </c>
      <c r="CW5" t="s">
        <v>7362</v>
      </c>
      <c r="CX5">
        <v>6051263</v>
      </c>
      <c r="DA5">
        <v>0</v>
      </c>
    </row>
    <row r="6" spans="1:110" x14ac:dyDescent="0.3">
      <c r="A6">
        <v>1372</v>
      </c>
      <c r="B6" t="s">
        <v>7369</v>
      </c>
      <c r="C6">
        <v>23</v>
      </c>
      <c r="D6" s="20">
        <v>44944</v>
      </c>
      <c r="E6" t="s">
        <v>7356</v>
      </c>
      <c r="F6" t="s">
        <v>5267</v>
      </c>
      <c r="G6" t="s">
        <v>7370</v>
      </c>
      <c r="H6">
        <v>1</v>
      </c>
      <c r="I6" t="s">
        <v>7358</v>
      </c>
      <c r="J6">
        <v>1</v>
      </c>
      <c r="K6" s="20">
        <v>44944</v>
      </c>
      <c r="L6" s="23">
        <v>480000</v>
      </c>
      <c r="M6" t="s">
        <v>7359</v>
      </c>
      <c r="N6" t="s">
        <v>7360</v>
      </c>
      <c r="O6">
        <v>0</v>
      </c>
      <c r="P6">
        <v>11737</v>
      </c>
      <c r="Q6">
        <v>414045</v>
      </c>
      <c r="R6">
        <v>0</v>
      </c>
      <c r="S6">
        <v>20230118</v>
      </c>
      <c r="T6">
        <v>0</v>
      </c>
      <c r="U6" t="s">
        <v>7361</v>
      </c>
      <c r="V6" t="s">
        <v>7360</v>
      </c>
      <c r="W6" t="s">
        <v>7360</v>
      </c>
      <c r="X6" t="s">
        <v>7360</v>
      </c>
      <c r="Y6" t="s">
        <v>7360</v>
      </c>
      <c r="Z6" t="s">
        <v>7360</v>
      </c>
      <c r="AA6" t="s">
        <v>7362</v>
      </c>
      <c r="AB6" t="s">
        <v>7360</v>
      </c>
      <c r="AC6" t="s">
        <v>7360</v>
      </c>
      <c r="AD6" t="s">
        <v>7360</v>
      </c>
      <c r="AE6" t="s">
        <v>7360</v>
      </c>
      <c r="AF6" t="s">
        <v>1684</v>
      </c>
      <c r="AG6">
        <v>0</v>
      </c>
      <c r="AH6">
        <v>0</v>
      </c>
      <c r="AI6">
        <v>0</v>
      </c>
      <c r="AJ6">
        <v>0</v>
      </c>
      <c r="AK6">
        <v>0</v>
      </c>
      <c r="AL6" t="s">
        <v>7360</v>
      </c>
      <c r="AM6">
        <v>0</v>
      </c>
      <c r="AN6" s="20">
        <v>44944</v>
      </c>
      <c r="AO6" s="20">
        <v>44944</v>
      </c>
      <c r="AP6" s="20">
        <v>44944</v>
      </c>
      <c r="AQ6">
        <v>0</v>
      </c>
      <c r="AR6">
        <v>0</v>
      </c>
      <c r="AS6">
        <v>0</v>
      </c>
      <c r="AT6">
        <v>0</v>
      </c>
      <c r="AU6">
        <v>0</v>
      </c>
      <c r="AV6" t="s">
        <v>7360</v>
      </c>
      <c r="AW6">
        <v>0</v>
      </c>
      <c r="AX6" t="s">
        <v>7360</v>
      </c>
      <c r="AY6" t="s">
        <v>7363</v>
      </c>
      <c r="BA6">
        <v>0</v>
      </c>
      <c r="BB6" s="20">
        <v>44944</v>
      </c>
      <c r="BC6">
        <v>0</v>
      </c>
      <c r="BD6" t="s">
        <v>7360</v>
      </c>
      <c r="BF6" s="20">
        <v>44944</v>
      </c>
      <c r="BG6">
        <v>0</v>
      </c>
      <c r="BH6" t="s">
        <v>7363</v>
      </c>
      <c r="BJ6" t="s">
        <v>7362</v>
      </c>
      <c r="BK6">
        <v>0</v>
      </c>
      <c r="BL6">
        <v>0</v>
      </c>
      <c r="BM6">
        <v>0</v>
      </c>
      <c r="BN6">
        <v>0</v>
      </c>
      <c r="BO6">
        <v>169</v>
      </c>
      <c r="BP6">
        <v>11</v>
      </c>
      <c r="BQ6">
        <v>1</v>
      </c>
      <c r="BR6" t="s">
        <v>7364</v>
      </c>
      <c r="BS6" t="s">
        <v>7365</v>
      </c>
      <c r="BT6" t="s">
        <v>7360</v>
      </c>
      <c r="BU6" t="s">
        <v>7360</v>
      </c>
      <c r="BV6" t="s">
        <v>7360</v>
      </c>
      <c r="BX6">
        <v>0</v>
      </c>
      <c r="BY6">
        <v>0</v>
      </c>
      <c r="BZ6" t="s">
        <v>7360</v>
      </c>
      <c r="CA6" t="s">
        <v>7360</v>
      </c>
      <c r="CB6">
        <v>3380666</v>
      </c>
      <c r="CC6" s="21">
        <v>44944.598923611113</v>
      </c>
      <c r="CE6" t="s">
        <v>7366</v>
      </c>
      <c r="CF6">
        <v>0</v>
      </c>
      <c r="CG6">
        <v>702002</v>
      </c>
      <c r="CH6">
        <v>702002</v>
      </c>
      <c r="CI6" s="21">
        <v>44944.600138888891</v>
      </c>
      <c r="CJ6" t="s">
        <v>7367</v>
      </c>
      <c r="CK6" t="s">
        <v>7367</v>
      </c>
      <c r="CL6" t="s">
        <v>7368</v>
      </c>
      <c r="CM6" t="s">
        <v>7368</v>
      </c>
      <c r="CS6" t="s">
        <v>7361</v>
      </c>
      <c r="CT6" t="s">
        <v>7362</v>
      </c>
      <c r="CU6" t="s">
        <v>7362</v>
      </c>
      <c r="CV6" t="s">
        <v>7362</v>
      </c>
      <c r="CW6" t="s">
        <v>7362</v>
      </c>
      <c r="CX6">
        <v>480000</v>
      </c>
      <c r="DA6">
        <v>0</v>
      </c>
    </row>
    <row r="7" spans="1:110" x14ac:dyDescent="0.3">
      <c r="A7">
        <v>1372</v>
      </c>
      <c r="B7" t="s">
        <v>7369</v>
      </c>
      <c r="C7">
        <v>24</v>
      </c>
      <c r="D7" s="20">
        <v>44944</v>
      </c>
      <c r="E7" t="s">
        <v>7356</v>
      </c>
      <c r="F7" t="s">
        <v>5273</v>
      </c>
      <c r="G7" t="s">
        <v>7357</v>
      </c>
      <c r="H7">
        <v>1</v>
      </c>
      <c r="I7" t="s">
        <v>7358</v>
      </c>
      <c r="J7">
        <v>1</v>
      </c>
      <c r="K7" s="20">
        <v>44944</v>
      </c>
      <c r="L7" s="23">
        <v>1032000</v>
      </c>
      <c r="M7" t="s">
        <v>7359</v>
      </c>
      <c r="N7" t="s">
        <v>7360</v>
      </c>
      <c r="O7">
        <v>0</v>
      </c>
      <c r="P7">
        <v>11696</v>
      </c>
      <c r="Q7">
        <v>414010</v>
      </c>
      <c r="R7">
        <v>0</v>
      </c>
      <c r="S7">
        <v>20230118</v>
      </c>
      <c r="T7">
        <v>0</v>
      </c>
      <c r="U7" t="s">
        <v>7361</v>
      </c>
      <c r="V7" t="s">
        <v>7360</v>
      </c>
      <c r="W7" t="s">
        <v>7360</v>
      </c>
      <c r="X7" t="s">
        <v>7360</v>
      </c>
      <c r="Y7" t="s">
        <v>7360</v>
      </c>
      <c r="Z7" t="s">
        <v>7360</v>
      </c>
      <c r="AA7" t="s">
        <v>7362</v>
      </c>
      <c r="AB7" t="s">
        <v>7360</v>
      </c>
      <c r="AC7" t="s">
        <v>7360</v>
      </c>
      <c r="AD7" t="s">
        <v>7360</v>
      </c>
      <c r="AE7" t="s">
        <v>7360</v>
      </c>
      <c r="AF7" t="s">
        <v>1684</v>
      </c>
      <c r="AG7">
        <v>0</v>
      </c>
      <c r="AH7">
        <v>0</v>
      </c>
      <c r="AI7">
        <v>0</v>
      </c>
      <c r="AJ7">
        <v>0</v>
      </c>
      <c r="AK7">
        <v>0</v>
      </c>
      <c r="AL7" t="s">
        <v>7360</v>
      </c>
      <c r="AM7">
        <v>0</v>
      </c>
      <c r="AN7" s="20">
        <v>44944</v>
      </c>
      <c r="AO7" s="20">
        <v>44944</v>
      </c>
      <c r="AP7" s="20">
        <v>44944</v>
      </c>
      <c r="AQ7">
        <v>0</v>
      </c>
      <c r="AR7">
        <v>0</v>
      </c>
      <c r="AS7">
        <v>0</v>
      </c>
      <c r="AT7">
        <v>0</v>
      </c>
      <c r="AU7">
        <v>0</v>
      </c>
      <c r="AV7" t="s">
        <v>7360</v>
      </c>
      <c r="AW7">
        <v>0</v>
      </c>
      <c r="AX7" t="s">
        <v>7360</v>
      </c>
      <c r="AY7" t="s">
        <v>7363</v>
      </c>
      <c r="BA7">
        <v>0</v>
      </c>
      <c r="BB7" s="20">
        <v>44944</v>
      </c>
      <c r="BC7">
        <v>0</v>
      </c>
      <c r="BD7" t="s">
        <v>7360</v>
      </c>
      <c r="BF7" s="20">
        <v>44944</v>
      </c>
      <c r="BG7">
        <v>0</v>
      </c>
      <c r="BH7" t="s">
        <v>7363</v>
      </c>
      <c r="BJ7" t="s">
        <v>7362</v>
      </c>
      <c r="BK7">
        <v>0</v>
      </c>
      <c r="BL7">
        <v>0</v>
      </c>
      <c r="BM7">
        <v>0</v>
      </c>
      <c r="BN7">
        <v>0</v>
      </c>
      <c r="BO7">
        <v>169</v>
      </c>
      <c r="BP7">
        <v>11</v>
      </c>
      <c r="BQ7">
        <v>1</v>
      </c>
      <c r="BR7" t="s">
        <v>7364</v>
      </c>
      <c r="BS7" t="s">
        <v>7365</v>
      </c>
      <c r="BT7" t="s">
        <v>7360</v>
      </c>
      <c r="BU7" t="s">
        <v>7360</v>
      </c>
      <c r="BV7" t="s">
        <v>7360</v>
      </c>
      <c r="BX7">
        <v>0</v>
      </c>
      <c r="BY7">
        <v>0</v>
      </c>
      <c r="BZ7" t="s">
        <v>7360</v>
      </c>
      <c r="CA7" t="s">
        <v>7360</v>
      </c>
      <c r="CB7">
        <v>3380666</v>
      </c>
      <c r="CC7" s="21">
        <v>44944.647488425922</v>
      </c>
      <c r="CE7" t="s">
        <v>7366</v>
      </c>
      <c r="CF7">
        <v>0</v>
      </c>
      <c r="CG7">
        <v>702002</v>
      </c>
      <c r="CH7">
        <v>702002</v>
      </c>
      <c r="CI7" s="21">
        <v>44944.648645833331</v>
      </c>
      <c r="CJ7" t="s">
        <v>7367</v>
      </c>
      <c r="CK7" t="s">
        <v>7367</v>
      </c>
      <c r="CL7" t="s">
        <v>7368</v>
      </c>
      <c r="CM7" t="s">
        <v>7368</v>
      </c>
      <c r="CS7" t="s">
        <v>7361</v>
      </c>
      <c r="CT7" t="s">
        <v>7362</v>
      </c>
      <c r="CU7" t="s">
        <v>7362</v>
      </c>
      <c r="CV7" t="s">
        <v>7362</v>
      </c>
      <c r="CW7" t="s">
        <v>7362</v>
      </c>
      <c r="CX7">
        <v>1032000</v>
      </c>
      <c r="DA7">
        <v>0</v>
      </c>
    </row>
    <row r="8" spans="1:110" x14ac:dyDescent="0.3">
      <c r="A8">
        <v>1362</v>
      </c>
      <c r="B8" t="s">
        <v>7371</v>
      </c>
      <c r="C8">
        <v>25</v>
      </c>
      <c r="D8" s="20">
        <v>44944</v>
      </c>
      <c r="E8" t="s">
        <v>7372</v>
      </c>
      <c r="F8" t="s">
        <v>5278</v>
      </c>
      <c r="G8" t="s">
        <v>7357</v>
      </c>
      <c r="H8">
        <v>1</v>
      </c>
      <c r="I8" t="s">
        <v>7358</v>
      </c>
      <c r="J8">
        <v>1</v>
      </c>
      <c r="K8" s="20">
        <v>44944</v>
      </c>
      <c r="L8" s="23">
        <v>3350400</v>
      </c>
      <c r="M8" t="s">
        <v>7359</v>
      </c>
      <c r="N8" t="s">
        <v>7360</v>
      </c>
      <c r="O8">
        <v>0</v>
      </c>
      <c r="P8">
        <v>11689</v>
      </c>
      <c r="Q8">
        <v>414007</v>
      </c>
      <c r="R8">
        <v>0</v>
      </c>
      <c r="S8">
        <v>20230118</v>
      </c>
      <c r="T8">
        <v>0</v>
      </c>
      <c r="U8" t="s">
        <v>7362</v>
      </c>
      <c r="V8" t="s">
        <v>7360</v>
      </c>
      <c r="W8" t="s">
        <v>7360</v>
      </c>
      <c r="X8" t="s">
        <v>7360</v>
      </c>
      <c r="Y8" t="s">
        <v>7360</v>
      </c>
      <c r="Z8" t="s">
        <v>7360</v>
      </c>
      <c r="AA8" t="s">
        <v>7362</v>
      </c>
      <c r="AB8" t="s">
        <v>7360</v>
      </c>
      <c r="AC8" t="s">
        <v>7360</v>
      </c>
      <c r="AD8" t="s">
        <v>7360</v>
      </c>
      <c r="AE8" t="s">
        <v>7360</v>
      </c>
      <c r="AF8" t="s">
        <v>1684</v>
      </c>
      <c r="AG8">
        <v>0</v>
      </c>
      <c r="AH8">
        <v>0</v>
      </c>
      <c r="AI8">
        <v>0</v>
      </c>
      <c r="AJ8">
        <v>0</v>
      </c>
      <c r="AK8">
        <v>0</v>
      </c>
      <c r="AL8" t="s">
        <v>7360</v>
      </c>
      <c r="AM8">
        <v>0</v>
      </c>
      <c r="AN8" s="20">
        <v>44944</v>
      </c>
      <c r="AO8" s="20">
        <v>44944</v>
      </c>
      <c r="AP8" s="20">
        <v>44944</v>
      </c>
      <c r="AQ8">
        <v>0</v>
      </c>
      <c r="AR8">
        <v>0</v>
      </c>
      <c r="AS8">
        <v>0</v>
      </c>
      <c r="AT8">
        <v>0</v>
      </c>
      <c r="AU8">
        <v>0</v>
      </c>
      <c r="AV8" t="s">
        <v>7360</v>
      </c>
      <c r="AW8">
        <v>0</v>
      </c>
      <c r="AX8" t="s">
        <v>7360</v>
      </c>
      <c r="AY8" t="s">
        <v>7373</v>
      </c>
      <c r="BA8">
        <v>0</v>
      </c>
      <c r="BB8" s="20">
        <v>44944</v>
      </c>
      <c r="BC8">
        <v>0</v>
      </c>
      <c r="BD8" t="s">
        <v>7360</v>
      </c>
      <c r="BF8" s="20">
        <v>44944</v>
      </c>
      <c r="BG8">
        <v>0</v>
      </c>
      <c r="BH8" t="s">
        <v>7363</v>
      </c>
      <c r="BJ8" t="s">
        <v>7362</v>
      </c>
      <c r="BK8">
        <v>0</v>
      </c>
      <c r="BL8">
        <v>0</v>
      </c>
      <c r="BM8">
        <v>0</v>
      </c>
      <c r="BN8">
        <v>0</v>
      </c>
      <c r="BO8">
        <v>169</v>
      </c>
      <c r="BP8">
        <v>11</v>
      </c>
      <c r="BQ8">
        <v>1</v>
      </c>
      <c r="BR8" t="s">
        <v>7364</v>
      </c>
      <c r="BS8" t="s">
        <v>7374</v>
      </c>
      <c r="BT8" t="s">
        <v>7360</v>
      </c>
      <c r="BU8" t="s">
        <v>7360</v>
      </c>
      <c r="BV8" t="s">
        <v>7360</v>
      </c>
      <c r="BX8">
        <v>0</v>
      </c>
      <c r="BY8">
        <v>0</v>
      </c>
      <c r="BZ8" t="s">
        <v>7360</v>
      </c>
      <c r="CA8" t="s">
        <v>7360</v>
      </c>
      <c r="CB8">
        <v>3380666</v>
      </c>
      <c r="CC8" s="21">
        <v>44944.658796296295</v>
      </c>
      <c r="CE8" t="s">
        <v>7366</v>
      </c>
      <c r="CF8">
        <v>0</v>
      </c>
      <c r="CG8">
        <v>702002</v>
      </c>
      <c r="CH8">
        <v>702002</v>
      </c>
      <c r="CI8" s="21">
        <v>44944.66070601852</v>
      </c>
      <c r="CJ8" t="s">
        <v>7367</v>
      </c>
      <c r="CK8" t="s">
        <v>7367</v>
      </c>
      <c r="CL8" t="s">
        <v>7368</v>
      </c>
      <c r="CM8" t="s">
        <v>7368</v>
      </c>
      <c r="CS8" t="s">
        <v>7361</v>
      </c>
      <c r="CT8" t="s">
        <v>7362</v>
      </c>
      <c r="CU8" t="s">
        <v>7362</v>
      </c>
      <c r="CV8" t="s">
        <v>7362</v>
      </c>
      <c r="CW8" t="s">
        <v>7362</v>
      </c>
      <c r="CX8">
        <v>3350400</v>
      </c>
      <c r="DA8">
        <v>0</v>
      </c>
    </row>
    <row r="9" spans="1:110" x14ac:dyDescent="0.3">
      <c r="A9">
        <v>1372</v>
      </c>
      <c r="B9" t="s">
        <v>7369</v>
      </c>
      <c r="C9">
        <v>26</v>
      </c>
      <c r="D9" s="20">
        <v>44945</v>
      </c>
      <c r="E9" t="s">
        <v>7356</v>
      </c>
      <c r="F9" t="s">
        <v>5282</v>
      </c>
      <c r="G9" t="s">
        <v>7357</v>
      </c>
      <c r="H9">
        <v>1</v>
      </c>
      <c r="I9" t="s">
        <v>7358</v>
      </c>
      <c r="J9">
        <v>1</v>
      </c>
      <c r="K9" s="20">
        <v>44945</v>
      </c>
      <c r="L9" s="23">
        <v>820654</v>
      </c>
      <c r="M9" t="s">
        <v>7359</v>
      </c>
      <c r="N9" t="s">
        <v>7360</v>
      </c>
      <c r="O9">
        <v>0</v>
      </c>
      <c r="P9">
        <v>11742</v>
      </c>
      <c r="Q9">
        <v>414050</v>
      </c>
      <c r="R9">
        <v>0</v>
      </c>
      <c r="S9">
        <v>20230119</v>
      </c>
      <c r="T9">
        <v>0</v>
      </c>
      <c r="U9" t="s">
        <v>7361</v>
      </c>
      <c r="V9" t="s">
        <v>7360</v>
      </c>
      <c r="W9" t="s">
        <v>7360</v>
      </c>
      <c r="X9" t="s">
        <v>7360</v>
      </c>
      <c r="Y9" t="s">
        <v>7360</v>
      </c>
      <c r="Z9" t="s">
        <v>7360</v>
      </c>
      <c r="AA9" t="s">
        <v>7362</v>
      </c>
      <c r="AB9" t="s">
        <v>7360</v>
      </c>
      <c r="AC9" t="s">
        <v>7360</v>
      </c>
      <c r="AD9" t="s">
        <v>7360</v>
      </c>
      <c r="AE9" t="s">
        <v>7360</v>
      </c>
      <c r="AF9" t="s">
        <v>1684</v>
      </c>
      <c r="AG9">
        <v>0</v>
      </c>
      <c r="AH9">
        <v>0</v>
      </c>
      <c r="AI9">
        <v>0</v>
      </c>
      <c r="AJ9">
        <v>0</v>
      </c>
      <c r="AK9">
        <v>0</v>
      </c>
      <c r="AL9" t="s">
        <v>7360</v>
      </c>
      <c r="AM9">
        <v>0</v>
      </c>
      <c r="AN9" s="20">
        <v>44945</v>
      </c>
      <c r="AO9" s="20">
        <v>44945</v>
      </c>
      <c r="AP9" s="20">
        <v>44945</v>
      </c>
      <c r="AQ9">
        <v>0</v>
      </c>
      <c r="AR9">
        <v>0</v>
      </c>
      <c r="AS9">
        <v>0</v>
      </c>
      <c r="AT9">
        <v>0</v>
      </c>
      <c r="AU9">
        <v>0</v>
      </c>
      <c r="AV9" t="s">
        <v>7360</v>
      </c>
      <c r="AW9">
        <v>0</v>
      </c>
      <c r="AX9" t="s">
        <v>7360</v>
      </c>
      <c r="AY9" t="s">
        <v>7363</v>
      </c>
      <c r="BA9">
        <v>0</v>
      </c>
      <c r="BB9" s="20">
        <v>44945</v>
      </c>
      <c r="BC9">
        <v>0</v>
      </c>
      <c r="BD9" t="s">
        <v>7360</v>
      </c>
      <c r="BF9" s="20">
        <v>44945</v>
      </c>
      <c r="BG9">
        <v>0</v>
      </c>
      <c r="BH9" t="s">
        <v>7363</v>
      </c>
      <c r="BJ9" t="s">
        <v>7362</v>
      </c>
      <c r="BK9">
        <v>0</v>
      </c>
      <c r="BL9">
        <v>0</v>
      </c>
      <c r="BM9">
        <v>0</v>
      </c>
      <c r="BN9">
        <v>0</v>
      </c>
      <c r="BO9">
        <v>169</v>
      </c>
      <c r="BP9">
        <v>11</v>
      </c>
      <c r="BQ9">
        <v>1</v>
      </c>
      <c r="BR9" t="s">
        <v>7364</v>
      </c>
      <c r="BS9" t="s">
        <v>7375</v>
      </c>
      <c r="BT9" t="s">
        <v>7360</v>
      </c>
      <c r="BU9" t="s">
        <v>7360</v>
      </c>
      <c r="BV9" t="s">
        <v>7360</v>
      </c>
      <c r="BX9">
        <v>0</v>
      </c>
      <c r="BY9">
        <v>0</v>
      </c>
      <c r="BZ9" t="s">
        <v>7360</v>
      </c>
      <c r="CA9" t="s">
        <v>7360</v>
      </c>
      <c r="CB9">
        <v>3380666</v>
      </c>
      <c r="CC9" s="21">
        <v>44945.384513888886</v>
      </c>
      <c r="CE9" t="s">
        <v>7366</v>
      </c>
      <c r="CF9">
        <v>0</v>
      </c>
      <c r="CG9">
        <v>702002</v>
      </c>
      <c r="CH9">
        <v>702002</v>
      </c>
      <c r="CI9" s="21">
        <v>44945.395648148151</v>
      </c>
      <c r="CJ9" t="s">
        <v>7367</v>
      </c>
      <c r="CK9" t="s">
        <v>7367</v>
      </c>
      <c r="CL9" t="s">
        <v>7368</v>
      </c>
      <c r="CM9" t="s">
        <v>7368</v>
      </c>
      <c r="CS9" t="s">
        <v>7361</v>
      </c>
      <c r="CT9" t="s">
        <v>7362</v>
      </c>
      <c r="CU9" t="s">
        <v>7362</v>
      </c>
      <c r="CV9" t="s">
        <v>7362</v>
      </c>
      <c r="CW9" t="s">
        <v>7362</v>
      </c>
      <c r="CX9">
        <v>820654</v>
      </c>
      <c r="DA9">
        <v>0</v>
      </c>
    </row>
    <row r="10" spans="1:110" x14ac:dyDescent="0.3">
      <c r="A10">
        <v>1361</v>
      </c>
      <c r="B10" t="s">
        <v>7376</v>
      </c>
      <c r="C10">
        <v>27</v>
      </c>
      <c r="D10" s="20">
        <v>44945</v>
      </c>
      <c r="E10" t="s">
        <v>7356</v>
      </c>
      <c r="F10" t="s">
        <v>5288</v>
      </c>
      <c r="G10" t="s">
        <v>7377</v>
      </c>
      <c r="H10">
        <v>1</v>
      </c>
      <c r="I10" t="s">
        <v>7358</v>
      </c>
      <c r="J10">
        <v>1</v>
      </c>
      <c r="K10" s="20">
        <v>44945</v>
      </c>
      <c r="L10" s="23">
        <v>189718</v>
      </c>
      <c r="M10" t="s">
        <v>7359</v>
      </c>
      <c r="N10" t="s">
        <v>7360</v>
      </c>
      <c r="O10">
        <v>0</v>
      </c>
      <c r="P10">
        <v>11741</v>
      </c>
      <c r="Q10">
        <v>414049</v>
      </c>
      <c r="R10">
        <v>0</v>
      </c>
      <c r="S10">
        <v>20230119</v>
      </c>
      <c r="T10">
        <v>0</v>
      </c>
      <c r="U10" t="s">
        <v>7361</v>
      </c>
      <c r="V10" t="s">
        <v>7360</v>
      </c>
      <c r="W10" t="s">
        <v>7360</v>
      </c>
      <c r="X10" t="s">
        <v>7360</v>
      </c>
      <c r="Y10" t="s">
        <v>7360</v>
      </c>
      <c r="Z10" t="s">
        <v>7360</v>
      </c>
      <c r="AA10" t="s">
        <v>7362</v>
      </c>
      <c r="AB10" t="s">
        <v>7360</v>
      </c>
      <c r="AC10" t="s">
        <v>7360</v>
      </c>
      <c r="AD10" t="s">
        <v>7360</v>
      </c>
      <c r="AE10" t="s">
        <v>7360</v>
      </c>
      <c r="AF10" t="s">
        <v>1684</v>
      </c>
      <c r="AG10">
        <v>0</v>
      </c>
      <c r="AH10">
        <v>0</v>
      </c>
      <c r="AI10">
        <v>0</v>
      </c>
      <c r="AJ10">
        <v>0</v>
      </c>
      <c r="AK10">
        <v>0</v>
      </c>
      <c r="AL10" t="s">
        <v>7360</v>
      </c>
      <c r="AM10">
        <v>0</v>
      </c>
      <c r="AN10" s="20">
        <v>44945</v>
      </c>
      <c r="AO10" s="20">
        <v>44945</v>
      </c>
      <c r="AP10" s="20">
        <v>44945</v>
      </c>
      <c r="AQ10">
        <v>0</v>
      </c>
      <c r="AR10">
        <v>0</v>
      </c>
      <c r="AS10">
        <v>0</v>
      </c>
      <c r="AT10">
        <v>0</v>
      </c>
      <c r="AU10">
        <v>0</v>
      </c>
      <c r="AV10" t="s">
        <v>7360</v>
      </c>
      <c r="AW10">
        <v>0</v>
      </c>
      <c r="AX10" t="s">
        <v>7360</v>
      </c>
      <c r="AY10" t="s">
        <v>7363</v>
      </c>
      <c r="BA10">
        <v>0</v>
      </c>
      <c r="BB10" s="20">
        <v>44945</v>
      </c>
      <c r="BC10">
        <v>0</v>
      </c>
      <c r="BD10" t="s">
        <v>7360</v>
      </c>
      <c r="BF10" s="20">
        <v>44945</v>
      </c>
      <c r="BG10">
        <v>0</v>
      </c>
      <c r="BH10" t="s">
        <v>7363</v>
      </c>
      <c r="BJ10" t="s">
        <v>7362</v>
      </c>
      <c r="BK10">
        <v>0</v>
      </c>
      <c r="BL10">
        <v>0</v>
      </c>
      <c r="BM10">
        <v>0</v>
      </c>
      <c r="BN10">
        <v>0</v>
      </c>
      <c r="BO10">
        <v>169</v>
      </c>
      <c r="BP10">
        <v>11</v>
      </c>
      <c r="BQ10">
        <v>1</v>
      </c>
      <c r="BR10" t="s">
        <v>7364</v>
      </c>
      <c r="BS10" t="s">
        <v>7378</v>
      </c>
      <c r="BT10" t="s">
        <v>7360</v>
      </c>
      <c r="BU10" t="s">
        <v>7360</v>
      </c>
      <c r="BV10" t="s">
        <v>7360</v>
      </c>
      <c r="BX10">
        <v>0</v>
      </c>
      <c r="BY10">
        <v>0</v>
      </c>
      <c r="BZ10" t="s">
        <v>7360</v>
      </c>
      <c r="CA10" t="s">
        <v>7360</v>
      </c>
      <c r="CB10">
        <v>3380666</v>
      </c>
      <c r="CC10" s="21">
        <v>44945.407777777778</v>
      </c>
      <c r="CE10" t="s">
        <v>7366</v>
      </c>
      <c r="CF10">
        <v>0</v>
      </c>
      <c r="CG10">
        <v>702002</v>
      </c>
      <c r="CH10">
        <v>702002</v>
      </c>
      <c r="CI10" s="21">
        <v>44945.411041666666</v>
      </c>
      <c r="CJ10" t="s">
        <v>7367</v>
      </c>
      <c r="CK10" t="s">
        <v>7367</v>
      </c>
      <c r="CL10" t="s">
        <v>7368</v>
      </c>
      <c r="CM10" t="s">
        <v>7368</v>
      </c>
      <c r="CS10" t="s">
        <v>7361</v>
      </c>
      <c r="CT10" t="s">
        <v>7362</v>
      </c>
      <c r="CU10" t="s">
        <v>7362</v>
      </c>
      <c r="CV10" t="s">
        <v>7362</v>
      </c>
      <c r="CW10" t="s">
        <v>7362</v>
      </c>
      <c r="CX10">
        <v>189718</v>
      </c>
      <c r="DA10">
        <v>0</v>
      </c>
    </row>
    <row r="11" spans="1:110" x14ac:dyDescent="0.3">
      <c r="A11">
        <v>1361</v>
      </c>
      <c r="B11" t="s">
        <v>7376</v>
      </c>
      <c r="C11">
        <v>28</v>
      </c>
      <c r="D11" s="20">
        <v>44945</v>
      </c>
      <c r="E11" t="s">
        <v>7356</v>
      </c>
      <c r="F11" t="s">
        <v>5293</v>
      </c>
      <c r="G11" t="s">
        <v>7377</v>
      </c>
      <c r="H11">
        <v>1</v>
      </c>
      <c r="I11" t="s">
        <v>7358</v>
      </c>
      <c r="J11">
        <v>1</v>
      </c>
      <c r="K11" s="20">
        <v>44945</v>
      </c>
      <c r="L11" s="23">
        <v>245609</v>
      </c>
      <c r="M11" t="s">
        <v>7359</v>
      </c>
      <c r="N11" t="s">
        <v>7360</v>
      </c>
      <c r="O11">
        <v>0</v>
      </c>
      <c r="P11">
        <v>11736</v>
      </c>
      <c r="Q11">
        <v>414044</v>
      </c>
      <c r="R11">
        <v>0</v>
      </c>
      <c r="S11">
        <v>20230119</v>
      </c>
      <c r="T11">
        <v>0</v>
      </c>
      <c r="U11" t="s">
        <v>7361</v>
      </c>
      <c r="V11" t="s">
        <v>7360</v>
      </c>
      <c r="W11" t="s">
        <v>7360</v>
      </c>
      <c r="X11" t="s">
        <v>7360</v>
      </c>
      <c r="Y11" t="s">
        <v>7360</v>
      </c>
      <c r="Z11" t="s">
        <v>7360</v>
      </c>
      <c r="AA11" t="s">
        <v>7362</v>
      </c>
      <c r="AB11" t="s">
        <v>7360</v>
      </c>
      <c r="AC11" t="s">
        <v>7360</v>
      </c>
      <c r="AD11" t="s">
        <v>7360</v>
      </c>
      <c r="AE11" t="s">
        <v>7360</v>
      </c>
      <c r="AF11" t="s">
        <v>1684</v>
      </c>
      <c r="AG11">
        <v>0</v>
      </c>
      <c r="AH11">
        <v>0</v>
      </c>
      <c r="AI11">
        <v>0</v>
      </c>
      <c r="AJ11">
        <v>0</v>
      </c>
      <c r="AK11">
        <v>0</v>
      </c>
      <c r="AL11" t="s">
        <v>7360</v>
      </c>
      <c r="AM11">
        <v>0</v>
      </c>
      <c r="AN11" s="20">
        <v>44945</v>
      </c>
      <c r="AO11" s="20">
        <v>44945</v>
      </c>
      <c r="AP11" s="20">
        <v>44945</v>
      </c>
      <c r="AQ11">
        <v>0</v>
      </c>
      <c r="AR11">
        <v>0</v>
      </c>
      <c r="AS11">
        <v>0</v>
      </c>
      <c r="AT11">
        <v>0</v>
      </c>
      <c r="AU11">
        <v>0</v>
      </c>
      <c r="AV11" t="s">
        <v>7360</v>
      </c>
      <c r="AW11">
        <v>0</v>
      </c>
      <c r="AX11" t="s">
        <v>7360</v>
      </c>
      <c r="AY11" t="s">
        <v>7363</v>
      </c>
      <c r="BA11">
        <v>0</v>
      </c>
      <c r="BB11" s="20">
        <v>44945</v>
      </c>
      <c r="BC11">
        <v>0</v>
      </c>
      <c r="BD11" t="s">
        <v>7360</v>
      </c>
      <c r="BF11" s="20">
        <v>44945</v>
      </c>
      <c r="BG11">
        <v>0</v>
      </c>
      <c r="BH11" t="s">
        <v>7363</v>
      </c>
      <c r="BJ11" t="s">
        <v>7362</v>
      </c>
      <c r="BK11">
        <v>0</v>
      </c>
      <c r="BL11">
        <v>0</v>
      </c>
      <c r="BM11">
        <v>0</v>
      </c>
      <c r="BN11">
        <v>0</v>
      </c>
      <c r="BO11">
        <v>169</v>
      </c>
      <c r="BP11">
        <v>11</v>
      </c>
      <c r="BQ11">
        <v>1</v>
      </c>
      <c r="BR11" t="s">
        <v>7364</v>
      </c>
      <c r="BS11" t="s">
        <v>7378</v>
      </c>
      <c r="BT11" t="s">
        <v>7360</v>
      </c>
      <c r="BU11" t="s">
        <v>7360</v>
      </c>
      <c r="BV11" t="s">
        <v>7360</v>
      </c>
      <c r="BX11">
        <v>0</v>
      </c>
      <c r="BY11">
        <v>0</v>
      </c>
      <c r="BZ11" t="s">
        <v>7360</v>
      </c>
      <c r="CA11" t="s">
        <v>7360</v>
      </c>
      <c r="CB11">
        <v>3380666</v>
      </c>
      <c r="CC11" s="21">
        <v>44945.422627314816</v>
      </c>
      <c r="CE11" t="s">
        <v>7366</v>
      </c>
      <c r="CF11">
        <v>0</v>
      </c>
      <c r="CG11">
        <v>702002</v>
      </c>
      <c r="CH11">
        <v>702002</v>
      </c>
      <c r="CI11" s="21">
        <v>44945.426087962966</v>
      </c>
      <c r="CJ11" t="s">
        <v>7367</v>
      </c>
      <c r="CK11" t="s">
        <v>7367</v>
      </c>
      <c r="CL11" t="s">
        <v>7368</v>
      </c>
      <c r="CM11" t="s">
        <v>7368</v>
      </c>
      <c r="CS11" t="s">
        <v>7361</v>
      </c>
      <c r="CT11" t="s">
        <v>7362</v>
      </c>
      <c r="CU11" t="s">
        <v>7362</v>
      </c>
      <c r="CV11" t="s">
        <v>7362</v>
      </c>
      <c r="CW11" t="s">
        <v>7362</v>
      </c>
      <c r="CX11">
        <v>245609</v>
      </c>
      <c r="DA11">
        <v>0</v>
      </c>
    </row>
    <row r="12" spans="1:110" x14ac:dyDescent="0.3">
      <c r="A12">
        <v>1372</v>
      </c>
      <c r="B12" t="s">
        <v>7369</v>
      </c>
      <c r="C12">
        <v>29</v>
      </c>
      <c r="D12" s="20">
        <v>44945</v>
      </c>
      <c r="E12" t="s">
        <v>7356</v>
      </c>
      <c r="F12" t="s">
        <v>5298</v>
      </c>
      <c r="G12" t="s">
        <v>7357</v>
      </c>
      <c r="H12">
        <v>1</v>
      </c>
      <c r="I12" t="s">
        <v>7358</v>
      </c>
      <c r="J12">
        <v>1</v>
      </c>
      <c r="K12" s="20">
        <v>44945</v>
      </c>
      <c r="L12" s="23">
        <v>1529712</v>
      </c>
      <c r="M12" t="s">
        <v>7359</v>
      </c>
      <c r="N12" t="s">
        <v>7360</v>
      </c>
      <c r="O12">
        <v>0</v>
      </c>
      <c r="P12">
        <v>11714</v>
      </c>
      <c r="Q12">
        <v>414024</v>
      </c>
      <c r="R12">
        <v>0</v>
      </c>
      <c r="S12">
        <v>20230119</v>
      </c>
      <c r="T12">
        <v>0</v>
      </c>
      <c r="U12" t="s">
        <v>7361</v>
      </c>
      <c r="V12" t="s">
        <v>7360</v>
      </c>
      <c r="W12" t="s">
        <v>7360</v>
      </c>
      <c r="X12" t="s">
        <v>7360</v>
      </c>
      <c r="Y12" t="s">
        <v>7360</v>
      </c>
      <c r="Z12" t="s">
        <v>7360</v>
      </c>
      <c r="AA12" t="s">
        <v>7362</v>
      </c>
      <c r="AB12" t="s">
        <v>7360</v>
      </c>
      <c r="AC12" t="s">
        <v>7360</v>
      </c>
      <c r="AD12" t="s">
        <v>7360</v>
      </c>
      <c r="AE12" t="s">
        <v>7360</v>
      </c>
      <c r="AF12" t="s">
        <v>1684</v>
      </c>
      <c r="AG12">
        <v>0</v>
      </c>
      <c r="AH12">
        <v>0</v>
      </c>
      <c r="AI12">
        <v>0</v>
      </c>
      <c r="AJ12">
        <v>0</v>
      </c>
      <c r="AK12">
        <v>0</v>
      </c>
      <c r="AL12" t="s">
        <v>7360</v>
      </c>
      <c r="AM12">
        <v>0</v>
      </c>
      <c r="AN12" s="20">
        <v>44945</v>
      </c>
      <c r="AO12" s="20">
        <v>44945</v>
      </c>
      <c r="AP12" s="20">
        <v>44945</v>
      </c>
      <c r="AQ12">
        <v>0</v>
      </c>
      <c r="AR12">
        <v>0</v>
      </c>
      <c r="AS12">
        <v>0</v>
      </c>
      <c r="AT12">
        <v>0</v>
      </c>
      <c r="AU12">
        <v>0</v>
      </c>
      <c r="AV12" t="s">
        <v>7360</v>
      </c>
      <c r="AW12">
        <v>0</v>
      </c>
      <c r="AX12" t="s">
        <v>7360</v>
      </c>
      <c r="AY12" t="s">
        <v>7363</v>
      </c>
      <c r="BA12">
        <v>0</v>
      </c>
      <c r="BB12" s="20">
        <v>44945</v>
      </c>
      <c r="BC12">
        <v>0</v>
      </c>
      <c r="BD12" t="s">
        <v>7360</v>
      </c>
      <c r="BF12" s="20">
        <v>44945</v>
      </c>
      <c r="BG12">
        <v>0</v>
      </c>
      <c r="BH12" t="s">
        <v>7363</v>
      </c>
      <c r="BJ12" t="s">
        <v>7362</v>
      </c>
      <c r="BK12">
        <v>0</v>
      </c>
      <c r="BL12">
        <v>0</v>
      </c>
      <c r="BM12">
        <v>0</v>
      </c>
      <c r="BN12">
        <v>0</v>
      </c>
      <c r="BO12">
        <v>169</v>
      </c>
      <c r="BP12">
        <v>11</v>
      </c>
      <c r="BQ12">
        <v>1</v>
      </c>
      <c r="BR12" t="s">
        <v>7364</v>
      </c>
      <c r="BS12" t="s">
        <v>7379</v>
      </c>
      <c r="BT12" t="s">
        <v>7360</v>
      </c>
      <c r="BU12" t="s">
        <v>7360</v>
      </c>
      <c r="BV12" t="s">
        <v>7360</v>
      </c>
      <c r="BX12">
        <v>0</v>
      </c>
      <c r="BY12">
        <v>0</v>
      </c>
      <c r="BZ12" t="s">
        <v>7360</v>
      </c>
      <c r="CA12" t="s">
        <v>7360</v>
      </c>
      <c r="CB12">
        <v>3380666</v>
      </c>
      <c r="CC12" s="21">
        <v>44945.472708333335</v>
      </c>
      <c r="CE12" t="s">
        <v>7366</v>
      </c>
      <c r="CF12">
        <v>0</v>
      </c>
      <c r="CG12">
        <v>702002</v>
      </c>
      <c r="CH12">
        <v>702002</v>
      </c>
      <c r="CI12" s="21">
        <v>44945.476215277777</v>
      </c>
      <c r="CJ12" t="s">
        <v>7367</v>
      </c>
      <c r="CK12" t="s">
        <v>7367</v>
      </c>
      <c r="CL12" t="s">
        <v>7368</v>
      </c>
      <c r="CM12" t="s">
        <v>7368</v>
      </c>
      <c r="CS12" t="s">
        <v>7361</v>
      </c>
      <c r="CT12" t="s">
        <v>7362</v>
      </c>
      <c r="CU12" t="s">
        <v>7362</v>
      </c>
      <c r="CV12" t="s">
        <v>7362</v>
      </c>
      <c r="CW12" t="s">
        <v>7362</v>
      </c>
      <c r="CX12">
        <v>1529712</v>
      </c>
      <c r="DA12">
        <v>0</v>
      </c>
    </row>
    <row r="13" spans="1:110" x14ac:dyDescent="0.3">
      <c r="A13">
        <v>1366</v>
      </c>
      <c r="B13" t="s">
        <v>7380</v>
      </c>
      <c r="C13">
        <v>30</v>
      </c>
      <c r="D13" s="20">
        <v>44946</v>
      </c>
      <c r="E13" t="s">
        <v>7356</v>
      </c>
      <c r="F13" t="s">
        <v>5246</v>
      </c>
      <c r="G13" t="s">
        <v>7381</v>
      </c>
      <c r="H13">
        <v>1</v>
      </c>
      <c r="I13" t="s">
        <v>7358</v>
      </c>
      <c r="J13">
        <v>1</v>
      </c>
      <c r="K13" s="20">
        <v>44946</v>
      </c>
      <c r="L13" s="23">
        <v>391667</v>
      </c>
      <c r="M13" t="s">
        <v>7359</v>
      </c>
      <c r="N13" t="s">
        <v>7360</v>
      </c>
      <c r="O13">
        <v>0</v>
      </c>
      <c r="P13">
        <v>11770</v>
      </c>
      <c r="Q13">
        <v>414069</v>
      </c>
      <c r="R13">
        <v>0</v>
      </c>
      <c r="S13">
        <v>20230120</v>
      </c>
      <c r="T13">
        <v>0</v>
      </c>
      <c r="U13" t="s">
        <v>7361</v>
      </c>
      <c r="V13" t="s">
        <v>7360</v>
      </c>
      <c r="W13" t="s">
        <v>7360</v>
      </c>
      <c r="X13" t="s">
        <v>7360</v>
      </c>
      <c r="Y13" t="s">
        <v>7360</v>
      </c>
      <c r="Z13" t="s">
        <v>7360</v>
      </c>
      <c r="AA13" t="s">
        <v>7362</v>
      </c>
      <c r="AB13" t="s">
        <v>7360</v>
      </c>
      <c r="AC13" t="s">
        <v>7360</v>
      </c>
      <c r="AD13" t="s">
        <v>7360</v>
      </c>
      <c r="AE13" t="s">
        <v>7360</v>
      </c>
      <c r="AF13" t="s">
        <v>1684</v>
      </c>
      <c r="AG13">
        <v>0</v>
      </c>
      <c r="AH13">
        <v>0</v>
      </c>
      <c r="AI13">
        <v>0</v>
      </c>
      <c r="AJ13">
        <v>0</v>
      </c>
      <c r="AK13">
        <v>0</v>
      </c>
      <c r="AL13" t="s">
        <v>7360</v>
      </c>
      <c r="AM13">
        <v>0</v>
      </c>
      <c r="AN13" s="20">
        <v>44946</v>
      </c>
      <c r="AO13" s="20">
        <v>44946</v>
      </c>
      <c r="AP13" s="20">
        <v>44946</v>
      </c>
      <c r="AQ13">
        <v>0</v>
      </c>
      <c r="AR13">
        <v>0</v>
      </c>
      <c r="AS13">
        <v>0</v>
      </c>
      <c r="AT13">
        <v>0</v>
      </c>
      <c r="AU13">
        <v>0</v>
      </c>
      <c r="AV13" t="s">
        <v>7360</v>
      </c>
      <c r="AW13">
        <v>0</v>
      </c>
      <c r="AX13" t="s">
        <v>7360</v>
      </c>
      <c r="AY13" t="s">
        <v>7363</v>
      </c>
      <c r="BA13">
        <v>0</v>
      </c>
      <c r="BB13" s="20">
        <v>44946</v>
      </c>
      <c r="BC13">
        <v>0</v>
      </c>
      <c r="BD13" t="s">
        <v>7360</v>
      </c>
      <c r="BF13" s="20">
        <v>44946</v>
      </c>
      <c r="BG13">
        <v>0</v>
      </c>
      <c r="BH13" t="s">
        <v>7363</v>
      </c>
      <c r="BJ13" t="s">
        <v>7362</v>
      </c>
      <c r="BK13">
        <v>0</v>
      </c>
      <c r="BL13">
        <v>0</v>
      </c>
      <c r="BM13">
        <v>0</v>
      </c>
      <c r="BN13">
        <v>0</v>
      </c>
      <c r="BO13">
        <v>169</v>
      </c>
      <c r="BP13">
        <v>11</v>
      </c>
      <c r="BQ13">
        <v>1</v>
      </c>
      <c r="BR13" t="s">
        <v>7364</v>
      </c>
      <c r="BS13" t="s">
        <v>7365</v>
      </c>
      <c r="BT13" t="s">
        <v>7360</v>
      </c>
      <c r="BU13" t="s">
        <v>7360</v>
      </c>
      <c r="BV13" t="s">
        <v>7360</v>
      </c>
      <c r="BX13">
        <v>0</v>
      </c>
      <c r="BY13">
        <v>0</v>
      </c>
      <c r="BZ13" t="s">
        <v>7360</v>
      </c>
      <c r="CA13" t="s">
        <v>7360</v>
      </c>
      <c r="CB13">
        <v>3380666</v>
      </c>
      <c r="CC13" s="21">
        <v>44946.378229166665</v>
      </c>
      <c r="CE13" t="s">
        <v>7366</v>
      </c>
      <c r="CF13">
        <v>0</v>
      </c>
      <c r="CG13">
        <v>702002</v>
      </c>
      <c r="CH13">
        <v>702002</v>
      </c>
      <c r="CI13" s="21">
        <v>44946.381006944444</v>
      </c>
      <c r="CJ13" t="s">
        <v>7367</v>
      </c>
      <c r="CK13" t="s">
        <v>7367</v>
      </c>
      <c r="CL13" t="s">
        <v>7368</v>
      </c>
      <c r="CM13" t="s">
        <v>7368</v>
      </c>
      <c r="CS13" t="s">
        <v>7361</v>
      </c>
      <c r="CT13" t="s">
        <v>7362</v>
      </c>
      <c r="CU13" t="s">
        <v>7362</v>
      </c>
      <c r="CV13" t="s">
        <v>7362</v>
      </c>
      <c r="CW13" t="s">
        <v>7362</v>
      </c>
      <c r="CX13">
        <v>391667</v>
      </c>
      <c r="DA13">
        <v>0</v>
      </c>
    </row>
    <row r="14" spans="1:110" x14ac:dyDescent="0.3">
      <c r="A14">
        <v>1372</v>
      </c>
      <c r="B14" t="s">
        <v>7369</v>
      </c>
      <c r="C14">
        <v>31</v>
      </c>
      <c r="D14" s="20">
        <v>44946</v>
      </c>
      <c r="E14" t="s">
        <v>7356</v>
      </c>
      <c r="F14" t="s">
        <v>5251</v>
      </c>
      <c r="G14" t="s">
        <v>7381</v>
      </c>
      <c r="H14">
        <v>1</v>
      </c>
      <c r="I14" t="s">
        <v>7358</v>
      </c>
      <c r="J14">
        <v>1</v>
      </c>
      <c r="K14" s="20">
        <v>44946</v>
      </c>
      <c r="L14" s="23">
        <v>9520000</v>
      </c>
      <c r="M14" t="s">
        <v>7359</v>
      </c>
      <c r="N14" t="s">
        <v>7360</v>
      </c>
      <c r="O14">
        <v>0</v>
      </c>
      <c r="P14">
        <v>11683</v>
      </c>
      <c r="Q14">
        <v>414004</v>
      </c>
      <c r="R14">
        <v>0</v>
      </c>
      <c r="S14">
        <v>20230120</v>
      </c>
      <c r="T14">
        <v>0</v>
      </c>
      <c r="U14" t="s">
        <v>7361</v>
      </c>
      <c r="V14" t="s">
        <v>7360</v>
      </c>
      <c r="W14" t="s">
        <v>7360</v>
      </c>
      <c r="X14" t="s">
        <v>7360</v>
      </c>
      <c r="Y14" t="s">
        <v>7360</v>
      </c>
      <c r="Z14" t="s">
        <v>7360</v>
      </c>
      <c r="AA14" t="s">
        <v>7362</v>
      </c>
      <c r="AB14" t="s">
        <v>7360</v>
      </c>
      <c r="AC14" t="s">
        <v>7360</v>
      </c>
      <c r="AD14" t="s">
        <v>7360</v>
      </c>
      <c r="AE14" t="s">
        <v>7360</v>
      </c>
      <c r="AF14" t="s">
        <v>1684</v>
      </c>
      <c r="AG14">
        <v>0</v>
      </c>
      <c r="AH14">
        <v>0</v>
      </c>
      <c r="AI14">
        <v>0</v>
      </c>
      <c r="AJ14">
        <v>0</v>
      </c>
      <c r="AK14">
        <v>0</v>
      </c>
      <c r="AL14" t="s">
        <v>7360</v>
      </c>
      <c r="AM14">
        <v>0</v>
      </c>
      <c r="AN14" s="20">
        <v>44946</v>
      </c>
      <c r="AO14" s="20">
        <v>44946</v>
      </c>
      <c r="AP14" s="20">
        <v>44946</v>
      </c>
      <c r="AQ14">
        <v>0</v>
      </c>
      <c r="AR14">
        <v>0</v>
      </c>
      <c r="AS14">
        <v>0</v>
      </c>
      <c r="AT14">
        <v>0</v>
      </c>
      <c r="AU14">
        <v>0</v>
      </c>
      <c r="AV14" t="s">
        <v>7360</v>
      </c>
      <c r="AW14">
        <v>0</v>
      </c>
      <c r="AX14" t="s">
        <v>7360</v>
      </c>
      <c r="AY14" t="s">
        <v>7363</v>
      </c>
      <c r="BA14">
        <v>0</v>
      </c>
      <c r="BB14" s="20">
        <v>44946</v>
      </c>
      <c r="BC14">
        <v>0</v>
      </c>
      <c r="BD14" t="s">
        <v>7360</v>
      </c>
      <c r="BF14" s="20">
        <v>44946</v>
      </c>
      <c r="BG14">
        <v>0</v>
      </c>
      <c r="BH14" t="s">
        <v>7363</v>
      </c>
      <c r="BJ14" t="s">
        <v>7362</v>
      </c>
      <c r="BK14">
        <v>0</v>
      </c>
      <c r="BL14">
        <v>0</v>
      </c>
      <c r="BM14">
        <v>0</v>
      </c>
      <c r="BN14">
        <v>0</v>
      </c>
      <c r="BO14">
        <v>169</v>
      </c>
      <c r="BP14">
        <v>11</v>
      </c>
      <c r="BQ14">
        <v>1</v>
      </c>
      <c r="BR14" t="s">
        <v>7364</v>
      </c>
      <c r="BS14" t="s">
        <v>7365</v>
      </c>
      <c r="BT14" t="s">
        <v>7360</v>
      </c>
      <c r="BU14" t="s">
        <v>7360</v>
      </c>
      <c r="BV14" t="s">
        <v>7360</v>
      </c>
      <c r="BX14">
        <v>0</v>
      </c>
      <c r="BY14">
        <v>0</v>
      </c>
      <c r="BZ14" t="s">
        <v>7360</v>
      </c>
      <c r="CA14" t="s">
        <v>7360</v>
      </c>
      <c r="CB14">
        <v>3380666</v>
      </c>
      <c r="CC14" s="21">
        <v>44946.667893518519</v>
      </c>
      <c r="CE14" t="s">
        <v>7366</v>
      </c>
      <c r="CF14">
        <v>0</v>
      </c>
      <c r="CG14">
        <v>702002</v>
      </c>
      <c r="CH14">
        <v>702002</v>
      </c>
      <c r="CI14" s="21">
        <v>44952.441168981481</v>
      </c>
      <c r="CJ14" t="s">
        <v>7367</v>
      </c>
      <c r="CK14" t="s">
        <v>7367</v>
      </c>
      <c r="CL14" t="s">
        <v>7368</v>
      </c>
      <c r="CM14" t="s">
        <v>7368</v>
      </c>
      <c r="CS14" t="s">
        <v>7361</v>
      </c>
      <c r="CT14" t="s">
        <v>7362</v>
      </c>
      <c r="CU14" t="s">
        <v>7362</v>
      </c>
      <c r="CV14" t="s">
        <v>7362</v>
      </c>
      <c r="CW14" t="s">
        <v>7362</v>
      </c>
      <c r="CX14">
        <v>9520000</v>
      </c>
      <c r="DA14">
        <v>0</v>
      </c>
    </row>
    <row r="15" spans="1:110" x14ac:dyDescent="0.3">
      <c r="A15">
        <v>1364</v>
      </c>
      <c r="B15" t="s">
        <v>7355</v>
      </c>
      <c r="C15">
        <v>37</v>
      </c>
      <c r="D15" s="20">
        <v>44946</v>
      </c>
      <c r="E15" t="s">
        <v>7372</v>
      </c>
      <c r="F15" t="s">
        <v>5257</v>
      </c>
      <c r="G15" t="s">
        <v>7357</v>
      </c>
      <c r="H15">
        <v>1</v>
      </c>
      <c r="I15" t="s">
        <v>7358</v>
      </c>
      <c r="J15">
        <v>1</v>
      </c>
      <c r="K15" s="20">
        <v>44946</v>
      </c>
      <c r="L15" s="23">
        <v>1050481</v>
      </c>
      <c r="M15" t="s">
        <v>7359</v>
      </c>
      <c r="N15" t="s">
        <v>7360</v>
      </c>
      <c r="O15">
        <v>0</v>
      </c>
      <c r="P15">
        <v>11716</v>
      </c>
      <c r="Q15">
        <v>414025</v>
      </c>
      <c r="R15">
        <v>0</v>
      </c>
      <c r="S15">
        <v>20230120</v>
      </c>
      <c r="T15">
        <v>0</v>
      </c>
      <c r="U15" t="s">
        <v>7362</v>
      </c>
      <c r="V15" t="s">
        <v>7360</v>
      </c>
      <c r="W15" t="s">
        <v>7360</v>
      </c>
      <c r="X15" t="s">
        <v>7360</v>
      </c>
      <c r="Y15" t="s">
        <v>7360</v>
      </c>
      <c r="Z15" t="s">
        <v>7360</v>
      </c>
      <c r="AA15" t="s">
        <v>7362</v>
      </c>
      <c r="AB15" t="s">
        <v>7360</v>
      </c>
      <c r="AC15" t="s">
        <v>7360</v>
      </c>
      <c r="AD15" t="s">
        <v>7360</v>
      </c>
      <c r="AE15" t="s">
        <v>7360</v>
      </c>
      <c r="AF15" t="s">
        <v>1684</v>
      </c>
      <c r="AG15">
        <v>0</v>
      </c>
      <c r="AH15">
        <v>0</v>
      </c>
      <c r="AI15">
        <v>0</v>
      </c>
      <c r="AJ15">
        <v>0</v>
      </c>
      <c r="AK15">
        <v>0</v>
      </c>
      <c r="AL15" t="s">
        <v>7360</v>
      </c>
      <c r="AM15">
        <v>0</v>
      </c>
      <c r="AN15" s="20">
        <v>44946</v>
      </c>
      <c r="AO15" s="20">
        <v>44946</v>
      </c>
      <c r="AP15" s="20">
        <v>44946</v>
      </c>
      <c r="AQ15">
        <v>0</v>
      </c>
      <c r="AR15">
        <v>0</v>
      </c>
      <c r="AS15">
        <v>0</v>
      </c>
      <c r="AT15">
        <v>0</v>
      </c>
      <c r="AU15">
        <v>0</v>
      </c>
      <c r="AV15" t="s">
        <v>7360</v>
      </c>
      <c r="AW15">
        <v>0</v>
      </c>
      <c r="AX15" t="s">
        <v>7360</v>
      </c>
      <c r="AY15" t="s">
        <v>7373</v>
      </c>
      <c r="BA15">
        <v>0</v>
      </c>
      <c r="BB15" s="20">
        <v>44946</v>
      </c>
      <c r="BC15">
        <v>0</v>
      </c>
      <c r="BD15" t="s">
        <v>7360</v>
      </c>
      <c r="BF15" s="20">
        <v>44946</v>
      </c>
      <c r="BG15">
        <v>0</v>
      </c>
      <c r="BH15" t="s">
        <v>7363</v>
      </c>
      <c r="BJ15" t="s">
        <v>7362</v>
      </c>
      <c r="BK15">
        <v>0</v>
      </c>
      <c r="BL15">
        <v>0</v>
      </c>
      <c r="BM15">
        <v>0</v>
      </c>
      <c r="BN15">
        <v>0</v>
      </c>
      <c r="BO15">
        <v>169</v>
      </c>
      <c r="BP15">
        <v>11</v>
      </c>
      <c r="BQ15">
        <v>1</v>
      </c>
      <c r="BR15" t="s">
        <v>7364</v>
      </c>
      <c r="BS15" t="s">
        <v>7374</v>
      </c>
      <c r="BT15" t="s">
        <v>7360</v>
      </c>
      <c r="BU15" t="s">
        <v>7360</v>
      </c>
      <c r="BV15" t="s">
        <v>7360</v>
      </c>
      <c r="BX15">
        <v>0</v>
      </c>
      <c r="BY15">
        <v>0</v>
      </c>
      <c r="BZ15" t="s">
        <v>7360</v>
      </c>
      <c r="CA15" t="s">
        <v>7360</v>
      </c>
      <c r="CB15">
        <v>3380666</v>
      </c>
      <c r="CC15" s="21">
        <v>44946.721631944441</v>
      </c>
      <c r="CE15" t="s">
        <v>7366</v>
      </c>
      <c r="CF15">
        <v>0</v>
      </c>
      <c r="CG15">
        <v>702002</v>
      </c>
      <c r="CH15">
        <v>702002</v>
      </c>
      <c r="CI15" s="21">
        <v>44952.456770833334</v>
      </c>
      <c r="CJ15" t="s">
        <v>7367</v>
      </c>
      <c r="CK15" t="s">
        <v>7367</v>
      </c>
      <c r="CL15" t="s">
        <v>7368</v>
      </c>
      <c r="CM15" t="s">
        <v>7368</v>
      </c>
      <c r="CS15" t="s">
        <v>7361</v>
      </c>
      <c r="CT15" t="s">
        <v>7362</v>
      </c>
      <c r="CU15" t="s">
        <v>7362</v>
      </c>
      <c r="CV15" t="s">
        <v>7362</v>
      </c>
      <c r="CW15" t="s">
        <v>7362</v>
      </c>
      <c r="CX15">
        <v>1050481</v>
      </c>
      <c r="DA15">
        <v>0</v>
      </c>
    </row>
    <row r="16" spans="1:110" x14ac:dyDescent="0.3">
      <c r="A16">
        <v>1372</v>
      </c>
      <c r="B16" t="s">
        <v>7369</v>
      </c>
      <c r="C16">
        <v>38</v>
      </c>
      <c r="D16" s="20">
        <v>44946</v>
      </c>
      <c r="E16" t="s">
        <v>7372</v>
      </c>
      <c r="F16" t="s">
        <v>5262</v>
      </c>
      <c r="G16" t="s">
        <v>7357</v>
      </c>
      <c r="H16">
        <v>1</v>
      </c>
      <c r="I16" t="s">
        <v>7358</v>
      </c>
      <c r="J16">
        <v>1</v>
      </c>
      <c r="K16" s="20">
        <v>44946</v>
      </c>
      <c r="L16" s="23">
        <v>1869348</v>
      </c>
      <c r="M16" t="s">
        <v>7359</v>
      </c>
      <c r="N16" t="s">
        <v>7360</v>
      </c>
      <c r="O16">
        <v>0</v>
      </c>
      <c r="P16">
        <v>11728</v>
      </c>
      <c r="Q16">
        <v>414036</v>
      </c>
      <c r="R16">
        <v>0</v>
      </c>
      <c r="S16">
        <v>20230120</v>
      </c>
      <c r="T16">
        <v>0</v>
      </c>
      <c r="U16" t="s">
        <v>7362</v>
      </c>
      <c r="V16" t="s">
        <v>7360</v>
      </c>
      <c r="W16" t="s">
        <v>7360</v>
      </c>
      <c r="X16" t="s">
        <v>7360</v>
      </c>
      <c r="Y16" t="s">
        <v>7360</v>
      </c>
      <c r="Z16" t="s">
        <v>7360</v>
      </c>
      <c r="AA16" t="s">
        <v>7362</v>
      </c>
      <c r="AB16" t="s">
        <v>7360</v>
      </c>
      <c r="AC16" t="s">
        <v>7360</v>
      </c>
      <c r="AD16" t="s">
        <v>7360</v>
      </c>
      <c r="AE16" t="s">
        <v>7360</v>
      </c>
      <c r="AF16" t="s">
        <v>1684</v>
      </c>
      <c r="AG16">
        <v>0</v>
      </c>
      <c r="AH16">
        <v>0</v>
      </c>
      <c r="AI16">
        <v>0</v>
      </c>
      <c r="AJ16">
        <v>0</v>
      </c>
      <c r="AK16">
        <v>0</v>
      </c>
      <c r="AL16" t="s">
        <v>7360</v>
      </c>
      <c r="AM16">
        <v>0</v>
      </c>
      <c r="AN16" s="20">
        <v>44946</v>
      </c>
      <c r="AO16" s="20">
        <v>44946</v>
      </c>
      <c r="AP16" s="20">
        <v>44946</v>
      </c>
      <c r="AQ16">
        <v>0</v>
      </c>
      <c r="AR16">
        <v>0</v>
      </c>
      <c r="AS16">
        <v>0</v>
      </c>
      <c r="AT16">
        <v>0</v>
      </c>
      <c r="AU16">
        <v>0</v>
      </c>
      <c r="AV16" t="s">
        <v>7360</v>
      </c>
      <c r="AW16">
        <v>0</v>
      </c>
      <c r="AX16" t="s">
        <v>7360</v>
      </c>
      <c r="AY16" t="s">
        <v>7373</v>
      </c>
      <c r="BA16">
        <v>0</v>
      </c>
      <c r="BB16" s="20">
        <v>44946</v>
      </c>
      <c r="BC16">
        <v>0</v>
      </c>
      <c r="BD16" t="s">
        <v>7360</v>
      </c>
      <c r="BF16" s="20">
        <v>44946</v>
      </c>
      <c r="BG16">
        <v>0</v>
      </c>
      <c r="BH16" t="s">
        <v>7363</v>
      </c>
      <c r="BJ16" t="s">
        <v>7362</v>
      </c>
      <c r="BK16">
        <v>0</v>
      </c>
      <c r="BL16">
        <v>0</v>
      </c>
      <c r="BM16">
        <v>0</v>
      </c>
      <c r="BN16">
        <v>0</v>
      </c>
      <c r="BO16">
        <v>169</v>
      </c>
      <c r="BP16">
        <v>11</v>
      </c>
      <c r="BQ16">
        <v>1</v>
      </c>
      <c r="BR16" t="s">
        <v>7364</v>
      </c>
      <c r="BS16" t="s">
        <v>7375</v>
      </c>
      <c r="BT16" t="s">
        <v>7360</v>
      </c>
      <c r="BU16" t="s">
        <v>7360</v>
      </c>
      <c r="BV16" t="s">
        <v>7360</v>
      </c>
      <c r="BX16">
        <v>0</v>
      </c>
      <c r="BY16">
        <v>0</v>
      </c>
      <c r="BZ16" t="s">
        <v>7360</v>
      </c>
      <c r="CA16" t="s">
        <v>7360</v>
      </c>
      <c r="CB16">
        <v>3380666</v>
      </c>
      <c r="CC16" s="21">
        <v>44946.735555555555</v>
      </c>
      <c r="CE16" t="s">
        <v>7366</v>
      </c>
      <c r="CF16">
        <v>0</v>
      </c>
      <c r="CG16">
        <v>702002</v>
      </c>
      <c r="CH16">
        <v>702002</v>
      </c>
      <c r="CI16" s="21">
        <v>44946.746493055558</v>
      </c>
      <c r="CJ16" t="s">
        <v>7367</v>
      </c>
      <c r="CK16" t="s">
        <v>7367</v>
      </c>
      <c r="CL16" t="s">
        <v>7368</v>
      </c>
      <c r="CM16" t="s">
        <v>7368</v>
      </c>
      <c r="CS16" t="s">
        <v>7361</v>
      </c>
      <c r="CT16" t="s">
        <v>7362</v>
      </c>
      <c r="CU16" t="s">
        <v>7362</v>
      </c>
      <c r="CV16" t="s">
        <v>7362</v>
      </c>
      <c r="CW16" t="s">
        <v>7362</v>
      </c>
      <c r="CX16">
        <v>1869348</v>
      </c>
      <c r="DA16">
        <v>0</v>
      </c>
    </row>
    <row r="17" spans="1:105" x14ac:dyDescent="0.3">
      <c r="A17">
        <v>1364</v>
      </c>
      <c r="B17" t="s">
        <v>7355</v>
      </c>
      <c r="C17">
        <v>39</v>
      </c>
      <c r="D17" s="20">
        <v>44946</v>
      </c>
      <c r="E17" t="s">
        <v>7372</v>
      </c>
      <c r="F17" t="s">
        <v>5267</v>
      </c>
      <c r="G17" t="s">
        <v>7357</v>
      </c>
      <c r="H17">
        <v>1</v>
      </c>
      <c r="I17" t="s">
        <v>7358</v>
      </c>
      <c r="J17">
        <v>1</v>
      </c>
      <c r="K17" s="20">
        <v>44946</v>
      </c>
      <c r="L17" s="23">
        <v>3800480</v>
      </c>
      <c r="M17" t="s">
        <v>7359</v>
      </c>
      <c r="N17" t="s">
        <v>7360</v>
      </c>
      <c r="O17">
        <v>0</v>
      </c>
      <c r="P17">
        <v>11682</v>
      </c>
      <c r="Q17">
        <v>414003</v>
      </c>
      <c r="R17">
        <v>0</v>
      </c>
      <c r="S17">
        <v>20230120</v>
      </c>
      <c r="T17">
        <v>0</v>
      </c>
      <c r="U17" t="s">
        <v>7362</v>
      </c>
      <c r="V17" t="s">
        <v>7360</v>
      </c>
      <c r="W17" t="s">
        <v>7360</v>
      </c>
      <c r="X17" t="s">
        <v>7360</v>
      </c>
      <c r="Y17" t="s">
        <v>7360</v>
      </c>
      <c r="Z17" t="s">
        <v>7360</v>
      </c>
      <c r="AA17" t="s">
        <v>7362</v>
      </c>
      <c r="AB17" t="s">
        <v>7360</v>
      </c>
      <c r="AC17" t="s">
        <v>7360</v>
      </c>
      <c r="AD17" t="s">
        <v>7360</v>
      </c>
      <c r="AE17" t="s">
        <v>7360</v>
      </c>
      <c r="AF17" t="s">
        <v>1684</v>
      </c>
      <c r="AG17">
        <v>0</v>
      </c>
      <c r="AH17">
        <v>0</v>
      </c>
      <c r="AI17">
        <v>0</v>
      </c>
      <c r="AJ17">
        <v>0</v>
      </c>
      <c r="AK17">
        <v>0</v>
      </c>
      <c r="AL17" t="s">
        <v>7360</v>
      </c>
      <c r="AM17">
        <v>0</v>
      </c>
      <c r="AN17" s="20">
        <v>44946</v>
      </c>
      <c r="AO17" s="20">
        <v>44946</v>
      </c>
      <c r="AP17" s="20">
        <v>44946</v>
      </c>
      <c r="AQ17">
        <v>0</v>
      </c>
      <c r="AR17">
        <v>0</v>
      </c>
      <c r="AS17">
        <v>0</v>
      </c>
      <c r="AT17">
        <v>0</v>
      </c>
      <c r="AU17">
        <v>0</v>
      </c>
      <c r="AV17" t="s">
        <v>7360</v>
      </c>
      <c r="AW17">
        <v>0</v>
      </c>
      <c r="AX17" t="s">
        <v>7360</v>
      </c>
      <c r="AY17" t="s">
        <v>7362</v>
      </c>
      <c r="BA17">
        <v>0</v>
      </c>
      <c r="BB17" s="20">
        <v>44946</v>
      </c>
      <c r="BC17">
        <v>0</v>
      </c>
      <c r="BD17" t="s">
        <v>7360</v>
      </c>
      <c r="BF17" s="20">
        <v>44946</v>
      </c>
      <c r="BG17">
        <v>0</v>
      </c>
      <c r="BH17" t="s">
        <v>7363</v>
      </c>
      <c r="BJ17" t="s">
        <v>7362</v>
      </c>
      <c r="BK17">
        <v>0</v>
      </c>
      <c r="BL17">
        <v>0</v>
      </c>
      <c r="BM17">
        <v>0</v>
      </c>
      <c r="BN17">
        <v>0</v>
      </c>
      <c r="BO17">
        <v>169</v>
      </c>
      <c r="BP17">
        <v>11</v>
      </c>
      <c r="BQ17">
        <v>1</v>
      </c>
      <c r="BR17" t="s">
        <v>7364</v>
      </c>
      <c r="BS17" t="s">
        <v>7382</v>
      </c>
      <c r="BT17" t="s">
        <v>7360</v>
      </c>
      <c r="BU17" t="s">
        <v>7360</v>
      </c>
      <c r="BV17" t="s">
        <v>7360</v>
      </c>
      <c r="BX17">
        <v>0</v>
      </c>
      <c r="BY17">
        <v>0</v>
      </c>
      <c r="BZ17" t="s">
        <v>7360</v>
      </c>
      <c r="CA17" t="s">
        <v>7360</v>
      </c>
      <c r="CB17">
        <v>3380666</v>
      </c>
      <c r="CC17" s="21">
        <v>44946.789537037039</v>
      </c>
      <c r="CE17" t="s">
        <v>7366</v>
      </c>
      <c r="CF17">
        <v>0</v>
      </c>
      <c r="CG17">
        <v>702002</v>
      </c>
      <c r="CH17">
        <v>702002</v>
      </c>
      <c r="CI17" s="21">
        <v>44952.701481481483</v>
      </c>
      <c r="CJ17" t="s">
        <v>7367</v>
      </c>
      <c r="CK17" t="s">
        <v>7367</v>
      </c>
      <c r="CL17" t="s">
        <v>7368</v>
      </c>
      <c r="CM17" t="s">
        <v>7368</v>
      </c>
      <c r="CS17" t="s">
        <v>7361</v>
      </c>
      <c r="CT17" t="s">
        <v>7362</v>
      </c>
      <c r="CU17" t="s">
        <v>7362</v>
      </c>
      <c r="CV17" t="s">
        <v>7362</v>
      </c>
      <c r="CW17" t="s">
        <v>7362</v>
      </c>
      <c r="CX17">
        <v>3800480</v>
      </c>
      <c r="DA17">
        <v>0</v>
      </c>
    </row>
    <row r="18" spans="1:105" x14ac:dyDescent="0.3">
      <c r="A18">
        <v>1373</v>
      </c>
      <c r="B18" t="s">
        <v>7383</v>
      </c>
      <c r="C18">
        <v>40</v>
      </c>
      <c r="D18" s="20">
        <v>44947</v>
      </c>
      <c r="E18" t="s">
        <v>7356</v>
      </c>
      <c r="F18" t="s">
        <v>5273</v>
      </c>
      <c r="G18" t="s">
        <v>7357</v>
      </c>
      <c r="H18">
        <v>1</v>
      </c>
      <c r="I18" t="s">
        <v>7358</v>
      </c>
      <c r="J18">
        <v>1</v>
      </c>
      <c r="K18" s="20">
        <v>44947</v>
      </c>
      <c r="L18" s="23">
        <v>1783512</v>
      </c>
      <c r="M18" t="s">
        <v>7359</v>
      </c>
      <c r="N18" t="s">
        <v>7360</v>
      </c>
      <c r="O18">
        <v>0</v>
      </c>
      <c r="P18">
        <v>11722</v>
      </c>
      <c r="Q18">
        <v>414032</v>
      </c>
      <c r="R18">
        <v>0</v>
      </c>
      <c r="S18">
        <v>20230121</v>
      </c>
      <c r="T18">
        <v>0</v>
      </c>
      <c r="U18" t="s">
        <v>7361</v>
      </c>
      <c r="V18" t="s">
        <v>7360</v>
      </c>
      <c r="W18" t="s">
        <v>7360</v>
      </c>
      <c r="X18" t="s">
        <v>7360</v>
      </c>
      <c r="Y18" t="s">
        <v>7360</v>
      </c>
      <c r="Z18" t="s">
        <v>7360</v>
      </c>
      <c r="AA18" t="s">
        <v>7362</v>
      </c>
      <c r="AB18" t="s">
        <v>7360</v>
      </c>
      <c r="AC18" t="s">
        <v>7360</v>
      </c>
      <c r="AD18" t="s">
        <v>7360</v>
      </c>
      <c r="AE18" t="s">
        <v>7360</v>
      </c>
      <c r="AF18" t="s">
        <v>1684</v>
      </c>
      <c r="AG18">
        <v>0</v>
      </c>
      <c r="AH18">
        <v>0</v>
      </c>
      <c r="AI18">
        <v>0</v>
      </c>
      <c r="AJ18">
        <v>0</v>
      </c>
      <c r="AK18">
        <v>0</v>
      </c>
      <c r="AL18" t="s">
        <v>7360</v>
      </c>
      <c r="AM18">
        <v>0</v>
      </c>
      <c r="AN18" s="20">
        <v>44947</v>
      </c>
      <c r="AO18" s="20">
        <v>44947</v>
      </c>
      <c r="AP18" s="20">
        <v>44947</v>
      </c>
      <c r="AQ18">
        <v>0</v>
      </c>
      <c r="AR18">
        <v>0</v>
      </c>
      <c r="AS18">
        <v>0</v>
      </c>
      <c r="AT18">
        <v>0</v>
      </c>
      <c r="AU18">
        <v>0</v>
      </c>
      <c r="AV18" t="s">
        <v>7360</v>
      </c>
      <c r="AW18">
        <v>0</v>
      </c>
      <c r="AX18" t="s">
        <v>7360</v>
      </c>
      <c r="AY18" t="s">
        <v>7363</v>
      </c>
      <c r="BA18">
        <v>0</v>
      </c>
      <c r="BB18" s="20">
        <v>44947</v>
      </c>
      <c r="BC18">
        <v>0</v>
      </c>
      <c r="BD18" t="s">
        <v>7360</v>
      </c>
      <c r="BF18" s="20">
        <v>44947</v>
      </c>
      <c r="BG18">
        <v>0</v>
      </c>
      <c r="BH18" t="s">
        <v>7363</v>
      </c>
      <c r="BJ18" t="s">
        <v>7362</v>
      </c>
      <c r="BK18">
        <v>0</v>
      </c>
      <c r="BL18">
        <v>0</v>
      </c>
      <c r="BM18">
        <v>0</v>
      </c>
      <c r="BN18">
        <v>0</v>
      </c>
      <c r="BO18">
        <v>169</v>
      </c>
      <c r="BP18">
        <v>11</v>
      </c>
      <c r="BQ18">
        <v>1</v>
      </c>
      <c r="BR18" t="s">
        <v>7364</v>
      </c>
      <c r="BS18" t="s">
        <v>7375</v>
      </c>
      <c r="BT18" t="s">
        <v>7360</v>
      </c>
      <c r="BU18" t="s">
        <v>7360</v>
      </c>
      <c r="BV18" t="s">
        <v>7360</v>
      </c>
      <c r="BX18">
        <v>0</v>
      </c>
      <c r="BY18">
        <v>0</v>
      </c>
      <c r="BZ18" t="s">
        <v>7360</v>
      </c>
      <c r="CA18" t="s">
        <v>7360</v>
      </c>
      <c r="CB18">
        <v>3380666</v>
      </c>
      <c r="CC18" s="21">
        <v>44947.504652777781</v>
      </c>
      <c r="CE18" t="s">
        <v>7366</v>
      </c>
      <c r="CF18">
        <v>0</v>
      </c>
      <c r="CG18">
        <v>702002</v>
      </c>
      <c r="CH18">
        <v>702002</v>
      </c>
      <c r="CI18" s="21">
        <v>44947.507372685184</v>
      </c>
      <c r="CJ18" t="s">
        <v>7367</v>
      </c>
      <c r="CK18" t="s">
        <v>7367</v>
      </c>
      <c r="CL18" t="s">
        <v>7368</v>
      </c>
      <c r="CM18" t="s">
        <v>7368</v>
      </c>
      <c r="CS18" t="s">
        <v>7361</v>
      </c>
      <c r="CT18" t="s">
        <v>7362</v>
      </c>
      <c r="CU18" t="s">
        <v>7362</v>
      </c>
      <c r="CV18" t="s">
        <v>7362</v>
      </c>
      <c r="CW18" t="s">
        <v>7362</v>
      </c>
      <c r="CX18">
        <v>1783512</v>
      </c>
      <c r="DA18">
        <v>0</v>
      </c>
    </row>
    <row r="19" spans="1:105" x14ac:dyDescent="0.3">
      <c r="A19">
        <v>1372</v>
      </c>
      <c r="B19" t="s">
        <v>7369</v>
      </c>
      <c r="C19">
        <v>41</v>
      </c>
      <c r="D19" s="20">
        <v>44947</v>
      </c>
      <c r="E19" t="s">
        <v>7356</v>
      </c>
      <c r="F19" t="s">
        <v>5278</v>
      </c>
      <c r="G19" t="s">
        <v>7357</v>
      </c>
      <c r="H19">
        <v>1</v>
      </c>
      <c r="I19" t="s">
        <v>7358</v>
      </c>
      <c r="J19">
        <v>1</v>
      </c>
      <c r="K19" s="20">
        <v>44947</v>
      </c>
      <c r="L19" s="23">
        <v>828101</v>
      </c>
      <c r="M19" t="s">
        <v>7359</v>
      </c>
      <c r="N19" t="s">
        <v>7360</v>
      </c>
      <c r="O19">
        <v>0</v>
      </c>
      <c r="P19">
        <v>11724</v>
      </c>
      <c r="Q19">
        <v>414033</v>
      </c>
      <c r="R19">
        <v>0</v>
      </c>
      <c r="S19">
        <v>20230121</v>
      </c>
      <c r="T19">
        <v>0</v>
      </c>
      <c r="U19" t="s">
        <v>7361</v>
      </c>
      <c r="V19" t="s">
        <v>7360</v>
      </c>
      <c r="W19" t="s">
        <v>7360</v>
      </c>
      <c r="X19" t="s">
        <v>7360</v>
      </c>
      <c r="Y19" t="s">
        <v>7360</v>
      </c>
      <c r="Z19" t="s">
        <v>7360</v>
      </c>
      <c r="AA19" t="s">
        <v>7362</v>
      </c>
      <c r="AB19" t="s">
        <v>7360</v>
      </c>
      <c r="AC19" t="s">
        <v>7360</v>
      </c>
      <c r="AD19" t="s">
        <v>7360</v>
      </c>
      <c r="AE19" t="s">
        <v>7360</v>
      </c>
      <c r="AF19" t="s">
        <v>1684</v>
      </c>
      <c r="AG19">
        <v>0</v>
      </c>
      <c r="AH19">
        <v>0</v>
      </c>
      <c r="AI19">
        <v>0</v>
      </c>
      <c r="AJ19">
        <v>0</v>
      </c>
      <c r="AK19">
        <v>0</v>
      </c>
      <c r="AL19" t="s">
        <v>7360</v>
      </c>
      <c r="AM19">
        <v>0</v>
      </c>
      <c r="AN19" s="20">
        <v>44947</v>
      </c>
      <c r="AO19" s="20">
        <v>44947</v>
      </c>
      <c r="AP19" s="20">
        <v>44947</v>
      </c>
      <c r="AQ19">
        <v>0</v>
      </c>
      <c r="AR19">
        <v>0</v>
      </c>
      <c r="AS19">
        <v>0</v>
      </c>
      <c r="AT19">
        <v>0</v>
      </c>
      <c r="AU19">
        <v>0</v>
      </c>
      <c r="AV19" t="s">
        <v>7360</v>
      </c>
      <c r="AW19">
        <v>0</v>
      </c>
      <c r="AX19" t="s">
        <v>7360</v>
      </c>
      <c r="AY19" t="s">
        <v>7363</v>
      </c>
      <c r="BA19">
        <v>0</v>
      </c>
      <c r="BB19" s="20">
        <v>44947</v>
      </c>
      <c r="BC19">
        <v>0</v>
      </c>
      <c r="BD19" t="s">
        <v>7360</v>
      </c>
      <c r="BF19" s="20">
        <v>44947</v>
      </c>
      <c r="BG19">
        <v>0</v>
      </c>
      <c r="BH19" t="s">
        <v>7363</v>
      </c>
      <c r="BJ19" t="s">
        <v>7362</v>
      </c>
      <c r="BK19">
        <v>0</v>
      </c>
      <c r="BL19">
        <v>0</v>
      </c>
      <c r="BM19">
        <v>0</v>
      </c>
      <c r="BN19">
        <v>0</v>
      </c>
      <c r="BO19">
        <v>169</v>
      </c>
      <c r="BP19">
        <v>11</v>
      </c>
      <c r="BQ19">
        <v>1</v>
      </c>
      <c r="BR19" t="s">
        <v>7364</v>
      </c>
      <c r="BS19" t="s">
        <v>7375</v>
      </c>
      <c r="BT19" t="s">
        <v>7360</v>
      </c>
      <c r="BU19" t="s">
        <v>7360</v>
      </c>
      <c r="BV19" t="s">
        <v>7360</v>
      </c>
      <c r="BX19">
        <v>0</v>
      </c>
      <c r="BY19">
        <v>0</v>
      </c>
      <c r="BZ19" t="s">
        <v>7360</v>
      </c>
      <c r="CA19" t="s">
        <v>7360</v>
      </c>
      <c r="CB19">
        <v>3360666</v>
      </c>
      <c r="CC19" s="21">
        <v>44947.517071759263</v>
      </c>
      <c r="CE19" t="s">
        <v>7366</v>
      </c>
      <c r="CF19">
        <v>0</v>
      </c>
      <c r="CG19">
        <v>702002</v>
      </c>
      <c r="CH19">
        <v>702002</v>
      </c>
      <c r="CI19" s="21">
        <v>44947.528287037036</v>
      </c>
      <c r="CJ19" t="s">
        <v>7367</v>
      </c>
      <c r="CK19" t="s">
        <v>7367</v>
      </c>
      <c r="CL19" t="s">
        <v>7368</v>
      </c>
      <c r="CM19" t="s">
        <v>7368</v>
      </c>
      <c r="CS19" t="s">
        <v>7361</v>
      </c>
      <c r="CT19" t="s">
        <v>7362</v>
      </c>
      <c r="CU19" t="s">
        <v>7362</v>
      </c>
      <c r="CV19" t="s">
        <v>7362</v>
      </c>
      <c r="CW19" t="s">
        <v>7362</v>
      </c>
      <c r="CX19">
        <v>828101</v>
      </c>
      <c r="DA19">
        <v>0</v>
      </c>
    </row>
    <row r="20" spans="1:105" x14ac:dyDescent="0.3">
      <c r="A20">
        <v>1365</v>
      </c>
      <c r="B20" t="s">
        <v>7384</v>
      </c>
      <c r="C20">
        <v>42</v>
      </c>
      <c r="D20" s="20">
        <v>44947</v>
      </c>
      <c r="E20" t="s">
        <v>7372</v>
      </c>
      <c r="F20" t="s">
        <v>5282</v>
      </c>
      <c r="G20" t="s">
        <v>7357</v>
      </c>
      <c r="H20">
        <v>1</v>
      </c>
      <c r="I20" t="s">
        <v>7358</v>
      </c>
      <c r="J20">
        <v>1</v>
      </c>
      <c r="K20" s="20">
        <v>44947</v>
      </c>
      <c r="L20" s="23">
        <v>442692</v>
      </c>
      <c r="M20" t="s">
        <v>7359</v>
      </c>
      <c r="N20" t="s">
        <v>7360</v>
      </c>
      <c r="O20">
        <v>0</v>
      </c>
      <c r="P20">
        <v>11717</v>
      </c>
      <c r="Q20">
        <v>414027</v>
      </c>
      <c r="R20">
        <v>0</v>
      </c>
      <c r="S20">
        <v>20230121</v>
      </c>
      <c r="T20">
        <v>0</v>
      </c>
      <c r="U20" t="s">
        <v>7362</v>
      </c>
      <c r="V20" t="s">
        <v>7360</v>
      </c>
      <c r="W20" t="s">
        <v>7360</v>
      </c>
      <c r="X20" t="s">
        <v>7360</v>
      </c>
      <c r="Y20" t="s">
        <v>7360</v>
      </c>
      <c r="Z20" t="s">
        <v>7360</v>
      </c>
      <c r="AA20" t="s">
        <v>7362</v>
      </c>
      <c r="AB20" t="s">
        <v>7360</v>
      </c>
      <c r="AC20" t="s">
        <v>7360</v>
      </c>
      <c r="AD20" t="s">
        <v>7360</v>
      </c>
      <c r="AE20" t="s">
        <v>7360</v>
      </c>
      <c r="AF20" t="s">
        <v>1684</v>
      </c>
      <c r="AG20">
        <v>0</v>
      </c>
      <c r="AH20">
        <v>0</v>
      </c>
      <c r="AI20">
        <v>0</v>
      </c>
      <c r="AJ20">
        <v>0</v>
      </c>
      <c r="AK20">
        <v>0</v>
      </c>
      <c r="AL20" t="s">
        <v>7360</v>
      </c>
      <c r="AM20">
        <v>0</v>
      </c>
      <c r="AN20" s="20">
        <v>44947</v>
      </c>
      <c r="AO20" s="20">
        <v>44947</v>
      </c>
      <c r="AP20" s="20">
        <v>44947</v>
      </c>
      <c r="AQ20">
        <v>0</v>
      </c>
      <c r="AR20">
        <v>0</v>
      </c>
      <c r="AS20">
        <v>0</v>
      </c>
      <c r="AT20">
        <v>0</v>
      </c>
      <c r="AU20">
        <v>0</v>
      </c>
      <c r="AV20" t="s">
        <v>7360</v>
      </c>
      <c r="AW20">
        <v>0</v>
      </c>
      <c r="AX20" t="s">
        <v>7360</v>
      </c>
      <c r="AY20" t="s">
        <v>7362</v>
      </c>
      <c r="BA20">
        <v>0</v>
      </c>
      <c r="BB20" s="20">
        <v>44947</v>
      </c>
      <c r="BC20">
        <v>0</v>
      </c>
      <c r="BD20" t="s">
        <v>7360</v>
      </c>
      <c r="BF20" s="20">
        <v>44947</v>
      </c>
      <c r="BG20">
        <v>0</v>
      </c>
      <c r="BH20" t="s">
        <v>7363</v>
      </c>
      <c r="BJ20" t="s">
        <v>7362</v>
      </c>
      <c r="BK20">
        <v>0</v>
      </c>
      <c r="BL20">
        <v>0</v>
      </c>
      <c r="BM20">
        <v>0</v>
      </c>
      <c r="BN20">
        <v>0</v>
      </c>
      <c r="BO20">
        <v>169</v>
      </c>
      <c r="BP20">
        <v>11</v>
      </c>
      <c r="BQ20">
        <v>1</v>
      </c>
      <c r="BR20" t="s">
        <v>7364</v>
      </c>
      <c r="BS20" t="s">
        <v>7385</v>
      </c>
      <c r="BT20" t="s">
        <v>7360</v>
      </c>
      <c r="BU20" t="s">
        <v>7360</v>
      </c>
      <c r="BV20" t="s">
        <v>7360</v>
      </c>
      <c r="BX20">
        <v>0</v>
      </c>
      <c r="BY20">
        <v>0</v>
      </c>
      <c r="BZ20" t="s">
        <v>7360</v>
      </c>
      <c r="CA20" t="s">
        <v>7360</v>
      </c>
      <c r="CB20">
        <v>3380666</v>
      </c>
      <c r="CC20" s="21">
        <v>44947.540636574071</v>
      </c>
      <c r="CE20" t="s">
        <v>7366</v>
      </c>
      <c r="CF20">
        <v>0</v>
      </c>
      <c r="CG20">
        <v>702002</v>
      </c>
      <c r="CH20">
        <v>702002</v>
      </c>
      <c r="CI20" s="21">
        <v>44947.545347222222</v>
      </c>
      <c r="CJ20" t="s">
        <v>7367</v>
      </c>
      <c r="CK20" t="s">
        <v>7367</v>
      </c>
      <c r="CL20" t="s">
        <v>7368</v>
      </c>
      <c r="CM20" t="s">
        <v>7368</v>
      </c>
      <c r="CS20" t="s">
        <v>7361</v>
      </c>
      <c r="CT20" t="s">
        <v>7362</v>
      </c>
      <c r="CU20" t="s">
        <v>7362</v>
      </c>
      <c r="CV20" t="s">
        <v>7362</v>
      </c>
      <c r="CW20" t="s">
        <v>7362</v>
      </c>
      <c r="CX20">
        <v>442692</v>
      </c>
      <c r="DA20">
        <v>0</v>
      </c>
    </row>
    <row r="21" spans="1:105" x14ac:dyDescent="0.3">
      <c r="A21">
        <v>1373</v>
      </c>
      <c r="B21" t="s">
        <v>7383</v>
      </c>
      <c r="C21">
        <v>43</v>
      </c>
      <c r="D21" s="20">
        <v>44947</v>
      </c>
      <c r="E21" t="s">
        <v>7356</v>
      </c>
      <c r="F21" t="s">
        <v>5288</v>
      </c>
      <c r="G21" t="s">
        <v>7357</v>
      </c>
      <c r="H21">
        <v>1</v>
      </c>
      <c r="I21" t="s">
        <v>7358</v>
      </c>
      <c r="J21">
        <v>1</v>
      </c>
      <c r="K21" s="20">
        <v>44947</v>
      </c>
      <c r="L21" s="23">
        <v>287388</v>
      </c>
      <c r="M21" t="s">
        <v>7359</v>
      </c>
      <c r="N21" t="s">
        <v>7360</v>
      </c>
      <c r="O21">
        <v>0</v>
      </c>
      <c r="P21">
        <v>11727</v>
      </c>
      <c r="Q21">
        <v>414035</v>
      </c>
      <c r="R21">
        <v>0</v>
      </c>
      <c r="S21">
        <v>20230121</v>
      </c>
      <c r="T21">
        <v>0</v>
      </c>
      <c r="U21" t="s">
        <v>7361</v>
      </c>
      <c r="V21" t="s">
        <v>7360</v>
      </c>
      <c r="W21" t="s">
        <v>7360</v>
      </c>
      <c r="X21" t="s">
        <v>7360</v>
      </c>
      <c r="Y21" t="s">
        <v>7360</v>
      </c>
      <c r="Z21" t="s">
        <v>7360</v>
      </c>
      <c r="AA21" t="s">
        <v>7362</v>
      </c>
      <c r="AB21" t="s">
        <v>7360</v>
      </c>
      <c r="AC21" t="s">
        <v>7360</v>
      </c>
      <c r="AD21" t="s">
        <v>7360</v>
      </c>
      <c r="AE21" t="s">
        <v>7360</v>
      </c>
      <c r="AF21" t="s">
        <v>1684</v>
      </c>
      <c r="AG21">
        <v>0</v>
      </c>
      <c r="AH21">
        <v>0</v>
      </c>
      <c r="AI21">
        <v>0</v>
      </c>
      <c r="AJ21">
        <v>0</v>
      </c>
      <c r="AK21">
        <v>0</v>
      </c>
      <c r="AL21" t="s">
        <v>7360</v>
      </c>
      <c r="AM21">
        <v>0</v>
      </c>
      <c r="AN21" s="20">
        <v>44947</v>
      </c>
      <c r="AO21" s="20">
        <v>44947</v>
      </c>
      <c r="AP21" s="20">
        <v>44947</v>
      </c>
      <c r="AQ21">
        <v>0</v>
      </c>
      <c r="AR21">
        <v>0</v>
      </c>
      <c r="AS21">
        <v>0</v>
      </c>
      <c r="AT21">
        <v>0</v>
      </c>
      <c r="AU21">
        <v>0</v>
      </c>
      <c r="AV21" t="s">
        <v>7360</v>
      </c>
      <c r="AW21">
        <v>0</v>
      </c>
      <c r="AX21" t="s">
        <v>7360</v>
      </c>
      <c r="AY21" t="s">
        <v>7363</v>
      </c>
      <c r="BA21">
        <v>0</v>
      </c>
      <c r="BB21" s="20">
        <v>44947</v>
      </c>
      <c r="BC21">
        <v>0</v>
      </c>
      <c r="BD21" t="s">
        <v>7360</v>
      </c>
      <c r="BF21" s="20">
        <v>44947</v>
      </c>
      <c r="BG21">
        <v>0</v>
      </c>
      <c r="BH21" t="s">
        <v>7363</v>
      </c>
      <c r="BJ21" t="s">
        <v>7362</v>
      </c>
      <c r="BK21">
        <v>0</v>
      </c>
      <c r="BL21">
        <v>0</v>
      </c>
      <c r="BM21">
        <v>0</v>
      </c>
      <c r="BN21">
        <v>0</v>
      </c>
      <c r="BO21">
        <v>169</v>
      </c>
      <c r="BP21">
        <v>11</v>
      </c>
      <c r="BQ21">
        <v>1</v>
      </c>
      <c r="BR21" t="s">
        <v>7364</v>
      </c>
      <c r="BS21" t="s">
        <v>7386</v>
      </c>
      <c r="BT21" t="s">
        <v>7360</v>
      </c>
      <c r="BU21" t="s">
        <v>7360</v>
      </c>
      <c r="BV21" t="s">
        <v>7360</v>
      </c>
      <c r="BX21">
        <v>0</v>
      </c>
      <c r="BY21">
        <v>0</v>
      </c>
      <c r="BZ21" t="s">
        <v>7360</v>
      </c>
      <c r="CA21" t="s">
        <v>7360</v>
      </c>
      <c r="CB21">
        <v>3380666</v>
      </c>
      <c r="CC21" s="21">
        <v>44947.563668981478</v>
      </c>
      <c r="CE21" t="s">
        <v>7366</v>
      </c>
      <c r="CF21">
        <v>0</v>
      </c>
      <c r="CG21">
        <v>702002</v>
      </c>
      <c r="CH21">
        <v>702002</v>
      </c>
      <c r="CI21" s="21">
        <v>44947.566458333335</v>
      </c>
      <c r="CJ21" t="s">
        <v>7367</v>
      </c>
      <c r="CK21" t="s">
        <v>7367</v>
      </c>
      <c r="CL21" t="s">
        <v>7368</v>
      </c>
      <c r="CM21" t="s">
        <v>7368</v>
      </c>
      <c r="CS21" t="s">
        <v>7361</v>
      </c>
      <c r="CT21" t="s">
        <v>7362</v>
      </c>
      <c r="CU21" t="s">
        <v>7362</v>
      </c>
      <c r="CV21" t="s">
        <v>7362</v>
      </c>
      <c r="CW21" t="s">
        <v>7362</v>
      </c>
      <c r="CX21">
        <v>287388</v>
      </c>
      <c r="DA21">
        <v>0</v>
      </c>
    </row>
    <row r="22" spans="1:105" x14ac:dyDescent="0.3">
      <c r="A22">
        <v>1365</v>
      </c>
      <c r="B22" t="s">
        <v>7384</v>
      </c>
      <c r="C22">
        <v>44</v>
      </c>
      <c r="D22" s="20">
        <v>44947</v>
      </c>
      <c r="E22" t="s">
        <v>7372</v>
      </c>
      <c r="F22" t="s">
        <v>5293</v>
      </c>
      <c r="G22" t="s">
        <v>7357</v>
      </c>
      <c r="H22">
        <v>1</v>
      </c>
      <c r="I22" t="s">
        <v>7358</v>
      </c>
      <c r="J22">
        <v>1</v>
      </c>
      <c r="K22" s="20">
        <v>44947</v>
      </c>
      <c r="L22" s="23">
        <v>821556</v>
      </c>
      <c r="M22" t="s">
        <v>7359</v>
      </c>
      <c r="N22" t="s">
        <v>7360</v>
      </c>
      <c r="O22">
        <v>0</v>
      </c>
      <c r="P22">
        <v>11718</v>
      </c>
      <c r="Q22">
        <v>414028</v>
      </c>
      <c r="R22">
        <v>0</v>
      </c>
      <c r="S22">
        <v>20230121</v>
      </c>
      <c r="T22">
        <v>0</v>
      </c>
      <c r="U22" t="s">
        <v>7362</v>
      </c>
      <c r="V22" t="s">
        <v>7360</v>
      </c>
      <c r="W22" t="s">
        <v>7360</v>
      </c>
      <c r="X22" t="s">
        <v>7360</v>
      </c>
      <c r="Y22" t="s">
        <v>7360</v>
      </c>
      <c r="Z22" t="s">
        <v>7360</v>
      </c>
      <c r="AA22" t="s">
        <v>7362</v>
      </c>
      <c r="AB22" t="s">
        <v>7360</v>
      </c>
      <c r="AC22" t="s">
        <v>7360</v>
      </c>
      <c r="AD22" t="s">
        <v>7360</v>
      </c>
      <c r="AE22" t="s">
        <v>7360</v>
      </c>
      <c r="AF22" t="s">
        <v>1684</v>
      </c>
      <c r="AG22">
        <v>0</v>
      </c>
      <c r="AH22">
        <v>0</v>
      </c>
      <c r="AI22">
        <v>0</v>
      </c>
      <c r="AJ22">
        <v>0</v>
      </c>
      <c r="AK22">
        <v>0</v>
      </c>
      <c r="AL22" t="s">
        <v>7360</v>
      </c>
      <c r="AM22">
        <v>0</v>
      </c>
      <c r="AN22" s="20">
        <v>44947</v>
      </c>
      <c r="AO22" s="20">
        <v>44947</v>
      </c>
      <c r="AP22" s="20">
        <v>44947</v>
      </c>
      <c r="AQ22">
        <v>0</v>
      </c>
      <c r="AR22">
        <v>0</v>
      </c>
      <c r="AS22">
        <v>0</v>
      </c>
      <c r="AT22">
        <v>0</v>
      </c>
      <c r="AU22">
        <v>0</v>
      </c>
      <c r="AV22" t="s">
        <v>7360</v>
      </c>
      <c r="AW22">
        <v>0</v>
      </c>
      <c r="AX22" t="s">
        <v>7360</v>
      </c>
      <c r="AY22" t="s">
        <v>7362</v>
      </c>
      <c r="BA22">
        <v>0</v>
      </c>
      <c r="BB22" s="20">
        <v>44947</v>
      </c>
      <c r="BC22">
        <v>0</v>
      </c>
      <c r="BD22" t="s">
        <v>7360</v>
      </c>
      <c r="BF22" s="20">
        <v>44947</v>
      </c>
      <c r="BG22">
        <v>0</v>
      </c>
      <c r="BH22" t="s">
        <v>7363</v>
      </c>
      <c r="BJ22" t="s">
        <v>7362</v>
      </c>
      <c r="BK22">
        <v>0</v>
      </c>
      <c r="BL22">
        <v>0</v>
      </c>
      <c r="BM22">
        <v>0</v>
      </c>
      <c r="BN22">
        <v>0</v>
      </c>
      <c r="BO22">
        <v>169</v>
      </c>
      <c r="BP22">
        <v>11</v>
      </c>
      <c r="BQ22">
        <v>1</v>
      </c>
      <c r="BR22" t="s">
        <v>7364</v>
      </c>
      <c r="BS22" t="s">
        <v>7385</v>
      </c>
      <c r="BT22" t="s">
        <v>7360</v>
      </c>
      <c r="BU22" t="s">
        <v>7360</v>
      </c>
      <c r="BV22" t="s">
        <v>7360</v>
      </c>
      <c r="BX22">
        <v>0</v>
      </c>
      <c r="BY22">
        <v>0</v>
      </c>
      <c r="BZ22" t="s">
        <v>7360</v>
      </c>
      <c r="CA22" t="s">
        <v>7360</v>
      </c>
      <c r="CB22">
        <v>3380666</v>
      </c>
      <c r="CC22" s="21">
        <v>44947.573136574072</v>
      </c>
      <c r="CE22" t="s">
        <v>7366</v>
      </c>
      <c r="CF22">
        <v>0</v>
      </c>
      <c r="CG22">
        <v>702002</v>
      </c>
      <c r="CH22">
        <v>702002</v>
      </c>
      <c r="CI22" s="21">
        <v>44947.576249999998</v>
      </c>
      <c r="CJ22" t="s">
        <v>7367</v>
      </c>
      <c r="CK22" t="s">
        <v>7367</v>
      </c>
      <c r="CL22" t="s">
        <v>7368</v>
      </c>
      <c r="CM22" t="s">
        <v>7368</v>
      </c>
      <c r="CS22" t="s">
        <v>7361</v>
      </c>
      <c r="CT22" t="s">
        <v>7362</v>
      </c>
      <c r="CU22" t="s">
        <v>7362</v>
      </c>
      <c r="CV22" t="s">
        <v>7362</v>
      </c>
      <c r="CW22" t="s">
        <v>7362</v>
      </c>
      <c r="CX22">
        <v>821556</v>
      </c>
      <c r="DA22">
        <v>0</v>
      </c>
    </row>
    <row r="23" spans="1:105" x14ac:dyDescent="0.3">
      <c r="A23">
        <v>1365</v>
      </c>
      <c r="B23" t="s">
        <v>7384</v>
      </c>
      <c r="C23">
        <v>45</v>
      </c>
      <c r="D23" s="20">
        <v>44947</v>
      </c>
      <c r="E23" t="s">
        <v>7356</v>
      </c>
      <c r="F23" t="s">
        <v>5298</v>
      </c>
      <c r="G23" t="s">
        <v>7357</v>
      </c>
      <c r="H23">
        <v>1</v>
      </c>
      <c r="I23" t="s">
        <v>7358</v>
      </c>
      <c r="J23">
        <v>1</v>
      </c>
      <c r="K23" s="20">
        <v>44947</v>
      </c>
      <c r="L23" s="23">
        <v>2443936</v>
      </c>
      <c r="M23" t="s">
        <v>7359</v>
      </c>
      <c r="N23" t="s">
        <v>7360</v>
      </c>
      <c r="O23">
        <v>0</v>
      </c>
      <c r="P23">
        <v>11719</v>
      </c>
      <c r="Q23">
        <v>414030</v>
      </c>
      <c r="R23">
        <v>0</v>
      </c>
      <c r="S23">
        <v>20230121</v>
      </c>
      <c r="T23">
        <v>0</v>
      </c>
      <c r="U23" t="s">
        <v>7361</v>
      </c>
      <c r="V23" t="s">
        <v>7360</v>
      </c>
      <c r="W23" t="s">
        <v>7360</v>
      </c>
      <c r="X23" t="s">
        <v>7360</v>
      </c>
      <c r="Y23" t="s">
        <v>7360</v>
      </c>
      <c r="Z23" t="s">
        <v>7360</v>
      </c>
      <c r="AA23" t="s">
        <v>7362</v>
      </c>
      <c r="AB23" t="s">
        <v>7360</v>
      </c>
      <c r="AC23" t="s">
        <v>7360</v>
      </c>
      <c r="AD23" t="s">
        <v>7360</v>
      </c>
      <c r="AE23" t="s">
        <v>7360</v>
      </c>
      <c r="AF23" t="s">
        <v>1684</v>
      </c>
      <c r="AG23">
        <v>0</v>
      </c>
      <c r="AH23">
        <v>0</v>
      </c>
      <c r="AI23">
        <v>0</v>
      </c>
      <c r="AJ23">
        <v>0</v>
      </c>
      <c r="AK23">
        <v>0</v>
      </c>
      <c r="AL23" t="s">
        <v>7360</v>
      </c>
      <c r="AM23">
        <v>0</v>
      </c>
      <c r="AN23" s="20">
        <v>44947</v>
      </c>
      <c r="AO23" s="20">
        <v>44947</v>
      </c>
      <c r="AP23" s="20">
        <v>44947</v>
      </c>
      <c r="AQ23">
        <v>0</v>
      </c>
      <c r="AR23">
        <v>0</v>
      </c>
      <c r="AS23">
        <v>0</v>
      </c>
      <c r="AT23">
        <v>0</v>
      </c>
      <c r="AU23">
        <v>0</v>
      </c>
      <c r="AV23" t="s">
        <v>7360</v>
      </c>
      <c r="AW23">
        <v>0</v>
      </c>
      <c r="AX23" t="s">
        <v>7360</v>
      </c>
      <c r="AY23" t="s">
        <v>7363</v>
      </c>
      <c r="BA23">
        <v>0</v>
      </c>
      <c r="BB23" s="20">
        <v>44947</v>
      </c>
      <c r="BC23">
        <v>0</v>
      </c>
      <c r="BD23" t="s">
        <v>7360</v>
      </c>
      <c r="BF23" s="20">
        <v>44947</v>
      </c>
      <c r="BG23">
        <v>0</v>
      </c>
      <c r="BH23" t="s">
        <v>7363</v>
      </c>
      <c r="BJ23" t="s">
        <v>7362</v>
      </c>
      <c r="BK23">
        <v>0</v>
      </c>
      <c r="BL23">
        <v>0</v>
      </c>
      <c r="BM23">
        <v>0</v>
      </c>
      <c r="BN23">
        <v>0</v>
      </c>
      <c r="BO23">
        <v>169</v>
      </c>
      <c r="BP23">
        <v>11</v>
      </c>
      <c r="BQ23">
        <v>1</v>
      </c>
      <c r="BR23" t="s">
        <v>7364</v>
      </c>
      <c r="BS23" t="s">
        <v>7385</v>
      </c>
      <c r="BT23" t="s">
        <v>7360</v>
      </c>
      <c r="BU23" t="s">
        <v>7360</v>
      </c>
      <c r="BV23" t="s">
        <v>7360</v>
      </c>
      <c r="BX23">
        <v>0</v>
      </c>
      <c r="BY23">
        <v>0</v>
      </c>
      <c r="BZ23" t="s">
        <v>7360</v>
      </c>
      <c r="CA23" t="s">
        <v>7360</v>
      </c>
      <c r="CB23">
        <v>3380666</v>
      </c>
      <c r="CC23" s="21">
        <v>44947.635000000002</v>
      </c>
      <c r="CE23" t="s">
        <v>7366</v>
      </c>
      <c r="CF23">
        <v>0</v>
      </c>
      <c r="CG23">
        <v>702002</v>
      </c>
      <c r="CH23">
        <v>702002</v>
      </c>
      <c r="CI23" s="21">
        <v>44947.637094907404</v>
      </c>
      <c r="CJ23" t="s">
        <v>7367</v>
      </c>
      <c r="CK23" t="s">
        <v>7367</v>
      </c>
      <c r="CL23" t="s">
        <v>7368</v>
      </c>
      <c r="CM23" t="s">
        <v>7368</v>
      </c>
      <c r="CS23" t="s">
        <v>7361</v>
      </c>
      <c r="CT23" t="s">
        <v>7362</v>
      </c>
      <c r="CU23" t="s">
        <v>7362</v>
      </c>
      <c r="CV23" t="s">
        <v>7362</v>
      </c>
      <c r="CW23" t="s">
        <v>7362</v>
      </c>
      <c r="CX23">
        <v>2443936</v>
      </c>
      <c r="DA23">
        <v>0</v>
      </c>
    </row>
    <row r="24" spans="1:105" x14ac:dyDescent="0.3">
      <c r="A24">
        <v>1372</v>
      </c>
      <c r="B24" t="s">
        <v>7369</v>
      </c>
      <c r="C24">
        <v>46</v>
      </c>
      <c r="D24" s="20">
        <v>44947</v>
      </c>
      <c r="E24" t="s">
        <v>7372</v>
      </c>
      <c r="F24" t="s">
        <v>5246</v>
      </c>
      <c r="G24" t="s">
        <v>7357</v>
      </c>
      <c r="H24">
        <v>1</v>
      </c>
      <c r="I24" t="s">
        <v>7358</v>
      </c>
      <c r="J24">
        <v>1</v>
      </c>
      <c r="K24" s="20">
        <v>44947</v>
      </c>
      <c r="L24" s="23">
        <v>1197754</v>
      </c>
      <c r="M24" t="s">
        <v>7359</v>
      </c>
      <c r="N24" t="s">
        <v>7360</v>
      </c>
      <c r="O24">
        <v>0</v>
      </c>
      <c r="P24">
        <v>11733</v>
      </c>
      <c r="Q24">
        <v>414040</v>
      </c>
      <c r="R24">
        <v>0</v>
      </c>
      <c r="S24">
        <v>20230121</v>
      </c>
      <c r="T24">
        <v>0</v>
      </c>
      <c r="U24" t="s">
        <v>7362</v>
      </c>
      <c r="V24" t="s">
        <v>7360</v>
      </c>
      <c r="W24" t="s">
        <v>7360</v>
      </c>
      <c r="X24" t="s">
        <v>7360</v>
      </c>
      <c r="Y24" t="s">
        <v>7360</v>
      </c>
      <c r="Z24" t="s">
        <v>7360</v>
      </c>
      <c r="AA24" t="s">
        <v>7362</v>
      </c>
      <c r="AB24" t="s">
        <v>7360</v>
      </c>
      <c r="AC24" t="s">
        <v>7360</v>
      </c>
      <c r="AD24" t="s">
        <v>7360</v>
      </c>
      <c r="AE24" t="s">
        <v>7360</v>
      </c>
      <c r="AF24" t="s">
        <v>1684</v>
      </c>
      <c r="AG24">
        <v>0</v>
      </c>
      <c r="AH24">
        <v>0</v>
      </c>
      <c r="AI24">
        <v>0</v>
      </c>
      <c r="AJ24">
        <v>0</v>
      </c>
      <c r="AK24">
        <v>0</v>
      </c>
      <c r="AL24" t="s">
        <v>7360</v>
      </c>
      <c r="AM24">
        <v>0</v>
      </c>
      <c r="AN24" s="20">
        <v>44947</v>
      </c>
      <c r="AO24" s="20">
        <v>44947</v>
      </c>
      <c r="AP24" s="20">
        <v>44947</v>
      </c>
      <c r="AQ24">
        <v>0</v>
      </c>
      <c r="AR24">
        <v>0</v>
      </c>
      <c r="AS24">
        <v>0</v>
      </c>
      <c r="AT24">
        <v>0</v>
      </c>
      <c r="AU24">
        <v>0</v>
      </c>
      <c r="AV24" t="s">
        <v>7360</v>
      </c>
      <c r="AW24">
        <v>0</v>
      </c>
      <c r="AX24" t="s">
        <v>7360</v>
      </c>
      <c r="AY24" t="s">
        <v>7362</v>
      </c>
      <c r="BA24">
        <v>0</v>
      </c>
      <c r="BB24" s="20">
        <v>44947</v>
      </c>
      <c r="BC24">
        <v>0</v>
      </c>
      <c r="BD24" t="s">
        <v>7360</v>
      </c>
      <c r="BF24" s="20">
        <v>44947</v>
      </c>
      <c r="BG24">
        <v>0</v>
      </c>
      <c r="BH24" t="s">
        <v>7363</v>
      </c>
      <c r="BJ24" t="s">
        <v>7362</v>
      </c>
      <c r="BK24">
        <v>0</v>
      </c>
      <c r="BL24">
        <v>0</v>
      </c>
      <c r="BM24">
        <v>0</v>
      </c>
      <c r="BN24">
        <v>0</v>
      </c>
      <c r="BO24">
        <v>169</v>
      </c>
      <c r="BP24">
        <v>11</v>
      </c>
      <c r="BQ24">
        <v>1</v>
      </c>
      <c r="BR24" t="s">
        <v>7364</v>
      </c>
      <c r="BS24" t="s">
        <v>7375</v>
      </c>
      <c r="BT24" t="s">
        <v>7360</v>
      </c>
      <c r="BU24" t="s">
        <v>7360</v>
      </c>
      <c r="BV24" t="s">
        <v>7360</v>
      </c>
      <c r="BX24">
        <v>0</v>
      </c>
      <c r="BY24">
        <v>0</v>
      </c>
      <c r="BZ24" t="s">
        <v>7360</v>
      </c>
      <c r="CA24" t="s">
        <v>7360</v>
      </c>
      <c r="CB24">
        <v>3380666</v>
      </c>
      <c r="CC24" s="21">
        <v>44947.643275462964</v>
      </c>
      <c r="CE24" t="s">
        <v>7366</v>
      </c>
      <c r="CF24">
        <v>0</v>
      </c>
      <c r="CG24">
        <v>702002</v>
      </c>
      <c r="CH24">
        <v>702002</v>
      </c>
      <c r="CI24" s="21">
        <v>44947.646423611113</v>
      </c>
      <c r="CJ24" t="s">
        <v>7367</v>
      </c>
      <c r="CK24" t="s">
        <v>7367</v>
      </c>
      <c r="CL24" t="s">
        <v>7368</v>
      </c>
      <c r="CM24" t="s">
        <v>7368</v>
      </c>
      <c r="CS24" t="s">
        <v>7361</v>
      </c>
      <c r="CT24" t="s">
        <v>7362</v>
      </c>
      <c r="CU24" t="s">
        <v>7362</v>
      </c>
      <c r="CV24" t="s">
        <v>7362</v>
      </c>
      <c r="CW24" t="s">
        <v>7362</v>
      </c>
      <c r="CX24">
        <v>1197754</v>
      </c>
      <c r="DA24">
        <v>0</v>
      </c>
    </row>
    <row r="25" spans="1:105" x14ac:dyDescent="0.3">
      <c r="A25">
        <v>1366</v>
      </c>
      <c r="B25" t="s">
        <v>7380</v>
      </c>
      <c r="C25">
        <v>47</v>
      </c>
      <c r="D25" s="20">
        <v>44947</v>
      </c>
      <c r="E25" t="s">
        <v>7356</v>
      </c>
      <c r="F25" t="s">
        <v>5251</v>
      </c>
      <c r="G25" t="s">
        <v>7357</v>
      </c>
      <c r="H25">
        <v>1</v>
      </c>
      <c r="I25" t="s">
        <v>7358</v>
      </c>
      <c r="J25">
        <v>1</v>
      </c>
      <c r="K25" s="20">
        <v>44947</v>
      </c>
      <c r="L25" s="23">
        <v>2000000</v>
      </c>
      <c r="M25" t="s">
        <v>7359</v>
      </c>
      <c r="N25" t="s">
        <v>7360</v>
      </c>
      <c r="O25">
        <v>0</v>
      </c>
      <c r="P25">
        <v>11734</v>
      </c>
      <c r="Q25">
        <v>414043</v>
      </c>
      <c r="R25">
        <v>0</v>
      </c>
      <c r="S25">
        <v>20230121</v>
      </c>
      <c r="T25">
        <v>0</v>
      </c>
      <c r="U25" t="s">
        <v>7361</v>
      </c>
      <c r="V25" t="s">
        <v>7360</v>
      </c>
      <c r="W25" t="s">
        <v>7360</v>
      </c>
      <c r="X25" t="s">
        <v>7360</v>
      </c>
      <c r="Y25" t="s">
        <v>7360</v>
      </c>
      <c r="Z25" t="s">
        <v>7360</v>
      </c>
      <c r="AA25" t="s">
        <v>7362</v>
      </c>
      <c r="AB25" t="s">
        <v>7360</v>
      </c>
      <c r="AC25" t="s">
        <v>7360</v>
      </c>
      <c r="AD25" t="s">
        <v>7360</v>
      </c>
      <c r="AE25" t="s">
        <v>7360</v>
      </c>
      <c r="AF25" t="s">
        <v>1684</v>
      </c>
      <c r="AG25">
        <v>0</v>
      </c>
      <c r="AH25">
        <v>0</v>
      </c>
      <c r="AI25">
        <v>0</v>
      </c>
      <c r="AJ25">
        <v>0</v>
      </c>
      <c r="AK25">
        <v>0</v>
      </c>
      <c r="AL25" t="s">
        <v>7360</v>
      </c>
      <c r="AM25">
        <v>0</v>
      </c>
      <c r="AN25" s="20">
        <v>44947</v>
      </c>
      <c r="AO25" s="20">
        <v>44947</v>
      </c>
      <c r="AP25" s="20">
        <v>44947</v>
      </c>
      <c r="AQ25">
        <v>0</v>
      </c>
      <c r="AR25">
        <v>0</v>
      </c>
      <c r="AS25">
        <v>0</v>
      </c>
      <c r="AT25">
        <v>0</v>
      </c>
      <c r="AU25">
        <v>0</v>
      </c>
      <c r="AV25" t="s">
        <v>7360</v>
      </c>
      <c r="AW25">
        <v>0</v>
      </c>
      <c r="AX25" t="s">
        <v>7360</v>
      </c>
      <c r="AY25" t="s">
        <v>7363</v>
      </c>
      <c r="BA25">
        <v>0</v>
      </c>
      <c r="BB25" s="20">
        <v>44947</v>
      </c>
      <c r="BC25">
        <v>0</v>
      </c>
      <c r="BD25" t="s">
        <v>7360</v>
      </c>
      <c r="BF25" s="20">
        <v>44947</v>
      </c>
      <c r="BG25">
        <v>0</v>
      </c>
      <c r="BH25" t="s">
        <v>7363</v>
      </c>
      <c r="BJ25" t="s">
        <v>7362</v>
      </c>
      <c r="BK25">
        <v>0</v>
      </c>
      <c r="BL25">
        <v>0</v>
      </c>
      <c r="BM25">
        <v>0</v>
      </c>
      <c r="BN25">
        <v>0</v>
      </c>
      <c r="BO25">
        <v>169</v>
      </c>
      <c r="BP25">
        <v>11</v>
      </c>
      <c r="BQ25">
        <v>1</v>
      </c>
      <c r="BR25" t="s">
        <v>7364</v>
      </c>
      <c r="BS25" t="s">
        <v>7387</v>
      </c>
      <c r="BT25" t="s">
        <v>7360</v>
      </c>
      <c r="BU25" t="s">
        <v>7360</v>
      </c>
      <c r="BV25" t="s">
        <v>7360</v>
      </c>
      <c r="BX25">
        <v>0</v>
      </c>
      <c r="BY25">
        <v>0</v>
      </c>
      <c r="BZ25" t="s">
        <v>7360</v>
      </c>
      <c r="CA25" t="s">
        <v>7360</v>
      </c>
      <c r="CB25">
        <v>3380666</v>
      </c>
      <c r="CC25" s="21">
        <v>44947.652731481481</v>
      </c>
      <c r="CE25" t="s">
        <v>7366</v>
      </c>
      <c r="CF25">
        <v>0</v>
      </c>
      <c r="CG25">
        <v>702002</v>
      </c>
      <c r="CH25">
        <v>702002</v>
      </c>
      <c r="CI25" s="21">
        <v>44947.656168981484</v>
      </c>
      <c r="CJ25" t="s">
        <v>7367</v>
      </c>
      <c r="CK25" t="s">
        <v>7367</v>
      </c>
      <c r="CL25" t="s">
        <v>7368</v>
      </c>
      <c r="CM25" t="s">
        <v>7368</v>
      </c>
      <c r="CS25" t="s">
        <v>7361</v>
      </c>
      <c r="CT25" t="s">
        <v>7362</v>
      </c>
      <c r="CU25" t="s">
        <v>7362</v>
      </c>
      <c r="CV25" t="s">
        <v>7362</v>
      </c>
      <c r="CW25" t="s">
        <v>7362</v>
      </c>
      <c r="CX25">
        <v>2000000</v>
      </c>
      <c r="DA25">
        <v>0</v>
      </c>
    </row>
    <row r="26" spans="1:105" x14ac:dyDescent="0.3">
      <c r="A26">
        <v>1372</v>
      </c>
      <c r="B26" t="s">
        <v>7369</v>
      </c>
      <c r="C26">
        <v>48</v>
      </c>
      <c r="D26" s="20">
        <v>44947</v>
      </c>
      <c r="E26" t="s">
        <v>7356</v>
      </c>
      <c r="F26" t="s">
        <v>5257</v>
      </c>
      <c r="G26" t="s">
        <v>7357</v>
      </c>
      <c r="H26">
        <v>1</v>
      </c>
      <c r="I26" t="s">
        <v>7358</v>
      </c>
      <c r="J26">
        <v>1</v>
      </c>
      <c r="K26" s="20">
        <v>44947</v>
      </c>
      <c r="L26" s="23">
        <v>1020539</v>
      </c>
      <c r="M26" t="s">
        <v>7359</v>
      </c>
      <c r="N26" t="s">
        <v>7360</v>
      </c>
      <c r="O26">
        <v>0</v>
      </c>
      <c r="P26">
        <v>11740</v>
      </c>
      <c r="Q26">
        <v>414048</v>
      </c>
      <c r="R26">
        <v>0</v>
      </c>
      <c r="S26">
        <v>20230121</v>
      </c>
      <c r="T26">
        <v>0</v>
      </c>
      <c r="U26" t="s">
        <v>7361</v>
      </c>
      <c r="V26" t="s">
        <v>7360</v>
      </c>
      <c r="W26" t="s">
        <v>7360</v>
      </c>
      <c r="X26" t="s">
        <v>7360</v>
      </c>
      <c r="Y26" t="s">
        <v>7360</v>
      </c>
      <c r="Z26" t="s">
        <v>7360</v>
      </c>
      <c r="AA26" t="s">
        <v>7362</v>
      </c>
      <c r="AB26" t="s">
        <v>7360</v>
      </c>
      <c r="AC26" t="s">
        <v>7360</v>
      </c>
      <c r="AD26" t="s">
        <v>7360</v>
      </c>
      <c r="AE26" t="s">
        <v>7360</v>
      </c>
      <c r="AF26" t="s">
        <v>1684</v>
      </c>
      <c r="AG26">
        <v>0</v>
      </c>
      <c r="AH26">
        <v>0</v>
      </c>
      <c r="AI26">
        <v>0</v>
      </c>
      <c r="AJ26">
        <v>0</v>
      </c>
      <c r="AK26">
        <v>0</v>
      </c>
      <c r="AL26" t="s">
        <v>7360</v>
      </c>
      <c r="AM26">
        <v>0</v>
      </c>
      <c r="AN26" s="20">
        <v>44947</v>
      </c>
      <c r="AO26" s="20">
        <v>44947</v>
      </c>
      <c r="AP26" s="20">
        <v>44947</v>
      </c>
      <c r="AQ26">
        <v>0</v>
      </c>
      <c r="AR26">
        <v>0</v>
      </c>
      <c r="AS26">
        <v>0</v>
      </c>
      <c r="AT26">
        <v>0</v>
      </c>
      <c r="AU26">
        <v>0</v>
      </c>
      <c r="AV26" t="s">
        <v>7360</v>
      </c>
      <c r="AW26">
        <v>0</v>
      </c>
      <c r="AX26" t="s">
        <v>7360</v>
      </c>
      <c r="AY26" t="s">
        <v>7363</v>
      </c>
      <c r="BA26">
        <v>0</v>
      </c>
      <c r="BB26" s="20">
        <v>44947</v>
      </c>
      <c r="BC26">
        <v>0</v>
      </c>
      <c r="BD26" t="s">
        <v>7360</v>
      </c>
      <c r="BF26" s="20">
        <v>44947</v>
      </c>
      <c r="BG26">
        <v>0</v>
      </c>
      <c r="BH26" t="s">
        <v>7363</v>
      </c>
      <c r="BJ26" t="s">
        <v>7362</v>
      </c>
      <c r="BK26">
        <v>0</v>
      </c>
      <c r="BL26">
        <v>0</v>
      </c>
      <c r="BM26">
        <v>0</v>
      </c>
      <c r="BN26">
        <v>0</v>
      </c>
      <c r="BO26">
        <v>169</v>
      </c>
      <c r="BP26">
        <v>11</v>
      </c>
      <c r="BQ26">
        <v>1</v>
      </c>
      <c r="BR26" t="s">
        <v>7364</v>
      </c>
      <c r="BS26" t="s">
        <v>7375</v>
      </c>
      <c r="BT26" t="s">
        <v>7360</v>
      </c>
      <c r="BU26" t="s">
        <v>7360</v>
      </c>
      <c r="BV26" t="s">
        <v>7360</v>
      </c>
      <c r="BX26">
        <v>0</v>
      </c>
      <c r="BY26">
        <v>0</v>
      </c>
      <c r="BZ26" t="s">
        <v>7360</v>
      </c>
      <c r="CA26" t="s">
        <v>7360</v>
      </c>
      <c r="CB26">
        <v>3380666</v>
      </c>
      <c r="CC26" s="21">
        <v>44947.662708333337</v>
      </c>
      <c r="CE26" t="s">
        <v>7366</v>
      </c>
      <c r="CF26">
        <v>0</v>
      </c>
      <c r="CG26">
        <v>702002</v>
      </c>
      <c r="CH26">
        <v>702002</v>
      </c>
      <c r="CI26" s="21">
        <v>44947.668506944443</v>
      </c>
      <c r="CJ26" t="s">
        <v>7367</v>
      </c>
      <c r="CK26" t="s">
        <v>7367</v>
      </c>
      <c r="CL26" t="s">
        <v>7368</v>
      </c>
      <c r="CM26" t="s">
        <v>7368</v>
      </c>
      <c r="CS26" t="s">
        <v>7361</v>
      </c>
      <c r="CT26" t="s">
        <v>7362</v>
      </c>
      <c r="CU26" t="s">
        <v>7362</v>
      </c>
      <c r="CV26" t="s">
        <v>7362</v>
      </c>
      <c r="CW26" t="s">
        <v>7362</v>
      </c>
      <c r="CX26">
        <v>1020539</v>
      </c>
      <c r="DA26">
        <v>0</v>
      </c>
    </row>
    <row r="27" spans="1:105" x14ac:dyDescent="0.3">
      <c r="A27">
        <v>1373</v>
      </c>
      <c r="B27" t="s">
        <v>7383</v>
      </c>
      <c r="C27">
        <v>49</v>
      </c>
      <c r="D27" s="20">
        <v>44947</v>
      </c>
      <c r="E27" t="s">
        <v>7356</v>
      </c>
      <c r="F27" t="s">
        <v>5262</v>
      </c>
      <c r="G27" t="s">
        <v>7357</v>
      </c>
      <c r="H27">
        <v>1</v>
      </c>
      <c r="I27" t="s">
        <v>7358</v>
      </c>
      <c r="J27">
        <v>1</v>
      </c>
      <c r="K27" s="20">
        <v>44947</v>
      </c>
      <c r="L27" s="23">
        <v>16524</v>
      </c>
      <c r="M27" t="s">
        <v>7359</v>
      </c>
      <c r="N27" t="s">
        <v>7360</v>
      </c>
      <c r="O27">
        <v>0</v>
      </c>
      <c r="P27">
        <v>11698</v>
      </c>
      <c r="Q27">
        <v>414012</v>
      </c>
      <c r="R27">
        <v>0</v>
      </c>
      <c r="S27">
        <v>20230121</v>
      </c>
      <c r="T27">
        <v>0</v>
      </c>
      <c r="U27" t="s">
        <v>7361</v>
      </c>
      <c r="V27" t="s">
        <v>7360</v>
      </c>
      <c r="W27" t="s">
        <v>7360</v>
      </c>
      <c r="X27" t="s">
        <v>7360</v>
      </c>
      <c r="Y27" t="s">
        <v>7360</v>
      </c>
      <c r="Z27" t="s">
        <v>7360</v>
      </c>
      <c r="AA27" t="s">
        <v>7362</v>
      </c>
      <c r="AB27" t="s">
        <v>7360</v>
      </c>
      <c r="AC27" t="s">
        <v>7360</v>
      </c>
      <c r="AD27" t="s">
        <v>7360</v>
      </c>
      <c r="AE27" t="s">
        <v>7360</v>
      </c>
      <c r="AF27" t="s">
        <v>1684</v>
      </c>
      <c r="AG27">
        <v>0</v>
      </c>
      <c r="AH27">
        <v>0</v>
      </c>
      <c r="AI27">
        <v>0</v>
      </c>
      <c r="AJ27">
        <v>0</v>
      </c>
      <c r="AK27">
        <v>0</v>
      </c>
      <c r="AL27" t="s">
        <v>7360</v>
      </c>
      <c r="AM27">
        <v>0</v>
      </c>
      <c r="AN27" s="20">
        <v>44947</v>
      </c>
      <c r="AO27" s="20">
        <v>44947</v>
      </c>
      <c r="AP27" s="20">
        <v>44947</v>
      </c>
      <c r="AQ27">
        <v>0</v>
      </c>
      <c r="AR27">
        <v>0</v>
      </c>
      <c r="AS27">
        <v>0</v>
      </c>
      <c r="AT27">
        <v>0</v>
      </c>
      <c r="AU27">
        <v>0</v>
      </c>
      <c r="AV27" t="s">
        <v>7360</v>
      </c>
      <c r="AW27">
        <v>0</v>
      </c>
      <c r="AX27" t="s">
        <v>7360</v>
      </c>
      <c r="AY27" t="s">
        <v>7363</v>
      </c>
      <c r="BA27">
        <v>0</v>
      </c>
      <c r="BB27" s="20">
        <v>44947</v>
      </c>
      <c r="BC27">
        <v>0</v>
      </c>
      <c r="BD27" t="s">
        <v>7360</v>
      </c>
      <c r="BF27" s="20">
        <v>44947</v>
      </c>
      <c r="BG27">
        <v>0</v>
      </c>
      <c r="BH27" t="s">
        <v>7363</v>
      </c>
      <c r="BJ27" t="s">
        <v>7362</v>
      </c>
      <c r="BK27">
        <v>0</v>
      </c>
      <c r="BL27">
        <v>0</v>
      </c>
      <c r="BM27">
        <v>0</v>
      </c>
      <c r="BN27">
        <v>0</v>
      </c>
      <c r="BO27">
        <v>169</v>
      </c>
      <c r="BP27">
        <v>11</v>
      </c>
      <c r="BQ27">
        <v>1</v>
      </c>
      <c r="BR27" t="s">
        <v>7364</v>
      </c>
      <c r="BS27" t="s">
        <v>7388</v>
      </c>
      <c r="BT27" t="s">
        <v>7360</v>
      </c>
      <c r="BU27" t="s">
        <v>7360</v>
      </c>
      <c r="BV27" t="s">
        <v>7360</v>
      </c>
      <c r="BX27">
        <v>0</v>
      </c>
      <c r="BY27">
        <v>0</v>
      </c>
      <c r="BZ27" t="s">
        <v>7360</v>
      </c>
      <c r="CA27" t="s">
        <v>7360</v>
      </c>
      <c r="CB27">
        <v>3380666</v>
      </c>
      <c r="CC27" s="21">
        <v>44947.674953703703</v>
      </c>
      <c r="CE27" t="s">
        <v>7366</v>
      </c>
      <c r="CF27">
        <v>0</v>
      </c>
      <c r="CG27">
        <v>702002</v>
      </c>
      <c r="CH27">
        <v>702002</v>
      </c>
      <c r="CI27" s="21">
        <v>44947.677835648145</v>
      </c>
      <c r="CJ27" t="s">
        <v>7367</v>
      </c>
      <c r="CK27" t="s">
        <v>7367</v>
      </c>
      <c r="CL27" t="s">
        <v>7368</v>
      </c>
      <c r="CM27" t="s">
        <v>7368</v>
      </c>
      <c r="CS27" t="s">
        <v>7361</v>
      </c>
      <c r="CT27" t="s">
        <v>7362</v>
      </c>
      <c r="CU27" t="s">
        <v>7362</v>
      </c>
      <c r="CV27" t="s">
        <v>7362</v>
      </c>
      <c r="CW27" t="s">
        <v>7362</v>
      </c>
      <c r="CX27">
        <v>16524</v>
      </c>
      <c r="DA27">
        <v>0</v>
      </c>
    </row>
    <row r="28" spans="1:105" x14ac:dyDescent="0.3">
      <c r="A28">
        <v>1366</v>
      </c>
      <c r="B28" t="s">
        <v>7380</v>
      </c>
      <c r="C28">
        <v>50</v>
      </c>
      <c r="D28" s="20">
        <v>44947</v>
      </c>
      <c r="E28" t="s">
        <v>7356</v>
      </c>
      <c r="F28" t="s">
        <v>5267</v>
      </c>
      <c r="G28" t="s">
        <v>7357</v>
      </c>
      <c r="H28">
        <v>1</v>
      </c>
      <c r="I28" t="s">
        <v>7358</v>
      </c>
      <c r="J28">
        <v>1</v>
      </c>
      <c r="K28" s="20">
        <v>44947</v>
      </c>
      <c r="L28" s="23">
        <v>223800</v>
      </c>
      <c r="M28" t="s">
        <v>7359</v>
      </c>
      <c r="N28" t="s">
        <v>7360</v>
      </c>
      <c r="O28">
        <v>0</v>
      </c>
      <c r="P28">
        <v>11739</v>
      </c>
      <c r="Q28">
        <v>414047</v>
      </c>
      <c r="R28">
        <v>0</v>
      </c>
      <c r="S28">
        <v>20230121</v>
      </c>
      <c r="T28">
        <v>0</v>
      </c>
      <c r="U28" t="s">
        <v>7361</v>
      </c>
      <c r="V28" t="s">
        <v>7360</v>
      </c>
      <c r="W28" t="s">
        <v>7360</v>
      </c>
      <c r="X28" t="s">
        <v>7360</v>
      </c>
      <c r="Y28" t="s">
        <v>7360</v>
      </c>
      <c r="Z28" t="s">
        <v>7360</v>
      </c>
      <c r="AA28" t="s">
        <v>7362</v>
      </c>
      <c r="AB28" t="s">
        <v>7360</v>
      </c>
      <c r="AC28" t="s">
        <v>7360</v>
      </c>
      <c r="AD28" t="s">
        <v>7360</v>
      </c>
      <c r="AE28" t="s">
        <v>7360</v>
      </c>
      <c r="AF28" t="s">
        <v>1684</v>
      </c>
      <c r="AG28">
        <v>0</v>
      </c>
      <c r="AH28">
        <v>0</v>
      </c>
      <c r="AI28">
        <v>0</v>
      </c>
      <c r="AJ28">
        <v>0</v>
      </c>
      <c r="AK28">
        <v>0</v>
      </c>
      <c r="AL28" t="s">
        <v>7360</v>
      </c>
      <c r="AM28">
        <v>0</v>
      </c>
      <c r="AN28" s="20">
        <v>44947</v>
      </c>
      <c r="AO28" s="20">
        <v>44947</v>
      </c>
      <c r="AP28" s="20">
        <v>44947</v>
      </c>
      <c r="AQ28">
        <v>0</v>
      </c>
      <c r="AR28">
        <v>0</v>
      </c>
      <c r="AS28">
        <v>0</v>
      </c>
      <c r="AT28">
        <v>0</v>
      </c>
      <c r="AU28">
        <v>0</v>
      </c>
      <c r="AV28" t="s">
        <v>7360</v>
      </c>
      <c r="AW28">
        <v>0</v>
      </c>
      <c r="AX28" t="s">
        <v>7360</v>
      </c>
      <c r="AY28" t="s">
        <v>7363</v>
      </c>
      <c r="BA28">
        <v>0</v>
      </c>
      <c r="BB28" s="20">
        <v>44947</v>
      </c>
      <c r="BC28">
        <v>0</v>
      </c>
      <c r="BD28" t="s">
        <v>7360</v>
      </c>
      <c r="BF28" s="20">
        <v>44947</v>
      </c>
      <c r="BG28">
        <v>0</v>
      </c>
      <c r="BH28" t="s">
        <v>7363</v>
      </c>
      <c r="BJ28" t="s">
        <v>7362</v>
      </c>
      <c r="BK28">
        <v>0</v>
      </c>
      <c r="BL28">
        <v>0</v>
      </c>
      <c r="BM28">
        <v>0</v>
      </c>
      <c r="BN28">
        <v>0</v>
      </c>
      <c r="BO28">
        <v>169</v>
      </c>
      <c r="BP28">
        <v>11</v>
      </c>
      <c r="BQ28">
        <v>1</v>
      </c>
      <c r="BR28" t="s">
        <v>7364</v>
      </c>
      <c r="BS28" t="s">
        <v>7387</v>
      </c>
      <c r="BT28" t="s">
        <v>7360</v>
      </c>
      <c r="BU28" t="s">
        <v>7360</v>
      </c>
      <c r="BV28" t="s">
        <v>7360</v>
      </c>
      <c r="BX28">
        <v>0</v>
      </c>
      <c r="BY28">
        <v>0</v>
      </c>
      <c r="BZ28" t="s">
        <v>7360</v>
      </c>
      <c r="CA28" t="s">
        <v>7360</v>
      </c>
      <c r="CB28">
        <v>3380666</v>
      </c>
      <c r="CC28" s="21">
        <v>44947.682986111111</v>
      </c>
      <c r="CE28" t="s">
        <v>7366</v>
      </c>
      <c r="CF28">
        <v>0</v>
      </c>
      <c r="CG28">
        <v>702002</v>
      </c>
      <c r="CH28">
        <v>702002</v>
      </c>
      <c r="CI28" s="21">
        <v>44947.685046296298</v>
      </c>
      <c r="CJ28" t="s">
        <v>7367</v>
      </c>
      <c r="CK28" t="s">
        <v>7367</v>
      </c>
      <c r="CL28" t="s">
        <v>7368</v>
      </c>
      <c r="CM28" t="s">
        <v>7368</v>
      </c>
      <c r="CS28" t="s">
        <v>7361</v>
      </c>
      <c r="CT28" t="s">
        <v>7362</v>
      </c>
      <c r="CU28" t="s">
        <v>7362</v>
      </c>
      <c r="CV28" t="s">
        <v>7362</v>
      </c>
      <c r="CW28" t="s">
        <v>7362</v>
      </c>
      <c r="CX28">
        <v>223800</v>
      </c>
      <c r="DA28">
        <v>0</v>
      </c>
    </row>
    <row r="29" spans="1:105" x14ac:dyDescent="0.3">
      <c r="A29">
        <v>1373</v>
      </c>
      <c r="B29" t="s">
        <v>7383</v>
      </c>
      <c r="C29">
        <v>51</v>
      </c>
      <c r="D29" s="20">
        <v>44947</v>
      </c>
      <c r="E29" t="s">
        <v>7356</v>
      </c>
      <c r="F29" t="s">
        <v>5273</v>
      </c>
      <c r="G29" t="s">
        <v>7357</v>
      </c>
      <c r="H29">
        <v>1</v>
      </c>
      <c r="I29" t="s">
        <v>7358</v>
      </c>
      <c r="J29">
        <v>1</v>
      </c>
      <c r="K29" s="20">
        <v>44947</v>
      </c>
      <c r="L29" s="23">
        <v>134892</v>
      </c>
      <c r="M29" t="s">
        <v>7359</v>
      </c>
      <c r="N29" t="s">
        <v>7360</v>
      </c>
      <c r="O29">
        <v>0</v>
      </c>
      <c r="P29">
        <v>11738</v>
      </c>
      <c r="Q29">
        <v>414046</v>
      </c>
      <c r="R29">
        <v>0</v>
      </c>
      <c r="S29">
        <v>20230121</v>
      </c>
      <c r="T29">
        <v>0</v>
      </c>
      <c r="U29" t="s">
        <v>7361</v>
      </c>
      <c r="V29" t="s">
        <v>7360</v>
      </c>
      <c r="W29" t="s">
        <v>7360</v>
      </c>
      <c r="X29" t="s">
        <v>7360</v>
      </c>
      <c r="Y29" t="s">
        <v>7360</v>
      </c>
      <c r="Z29" t="s">
        <v>7360</v>
      </c>
      <c r="AA29" t="s">
        <v>7362</v>
      </c>
      <c r="AB29" t="s">
        <v>7360</v>
      </c>
      <c r="AC29" t="s">
        <v>7360</v>
      </c>
      <c r="AD29" t="s">
        <v>7360</v>
      </c>
      <c r="AE29" t="s">
        <v>7360</v>
      </c>
      <c r="AF29" t="s">
        <v>1684</v>
      </c>
      <c r="AG29">
        <v>0</v>
      </c>
      <c r="AH29">
        <v>0</v>
      </c>
      <c r="AI29">
        <v>0</v>
      </c>
      <c r="AJ29">
        <v>0</v>
      </c>
      <c r="AK29">
        <v>0</v>
      </c>
      <c r="AL29" t="s">
        <v>7360</v>
      </c>
      <c r="AM29">
        <v>0</v>
      </c>
      <c r="AN29" s="20">
        <v>44947</v>
      </c>
      <c r="AO29" s="20">
        <v>44947</v>
      </c>
      <c r="AP29" s="20">
        <v>44947</v>
      </c>
      <c r="AQ29">
        <v>0</v>
      </c>
      <c r="AR29">
        <v>0</v>
      </c>
      <c r="AS29">
        <v>0</v>
      </c>
      <c r="AT29">
        <v>0</v>
      </c>
      <c r="AU29">
        <v>0</v>
      </c>
      <c r="AV29" t="s">
        <v>7360</v>
      </c>
      <c r="AW29">
        <v>0</v>
      </c>
      <c r="AX29" t="s">
        <v>7360</v>
      </c>
      <c r="AY29" t="s">
        <v>7363</v>
      </c>
      <c r="BA29">
        <v>0</v>
      </c>
      <c r="BB29" s="20">
        <v>44947</v>
      </c>
      <c r="BC29">
        <v>0</v>
      </c>
      <c r="BD29" t="s">
        <v>7360</v>
      </c>
      <c r="BF29" s="20">
        <v>44947</v>
      </c>
      <c r="BG29">
        <v>0</v>
      </c>
      <c r="BH29" t="s">
        <v>7363</v>
      </c>
      <c r="BJ29" t="s">
        <v>7362</v>
      </c>
      <c r="BK29">
        <v>0</v>
      </c>
      <c r="BL29">
        <v>0</v>
      </c>
      <c r="BM29">
        <v>0</v>
      </c>
      <c r="BN29">
        <v>0</v>
      </c>
      <c r="BO29">
        <v>169</v>
      </c>
      <c r="BP29">
        <v>11</v>
      </c>
      <c r="BQ29">
        <v>1</v>
      </c>
      <c r="BR29" t="s">
        <v>7364</v>
      </c>
      <c r="BS29" t="s">
        <v>7387</v>
      </c>
      <c r="BT29" t="s">
        <v>7360</v>
      </c>
      <c r="BU29" t="s">
        <v>7360</v>
      </c>
      <c r="BV29" t="s">
        <v>7360</v>
      </c>
      <c r="BX29">
        <v>0</v>
      </c>
      <c r="BY29">
        <v>0</v>
      </c>
      <c r="BZ29" t="s">
        <v>7360</v>
      </c>
      <c r="CA29" t="s">
        <v>7360</v>
      </c>
      <c r="CB29">
        <v>3380666</v>
      </c>
      <c r="CC29" s="21">
        <v>44947.692453703705</v>
      </c>
      <c r="CE29" t="s">
        <v>7366</v>
      </c>
      <c r="CF29">
        <v>0</v>
      </c>
      <c r="CG29">
        <v>702002</v>
      </c>
      <c r="CH29">
        <v>702002</v>
      </c>
      <c r="CI29" s="21">
        <v>44947.695150462961</v>
      </c>
      <c r="CJ29" t="s">
        <v>7367</v>
      </c>
      <c r="CK29" t="s">
        <v>7367</v>
      </c>
      <c r="CL29" t="s">
        <v>7368</v>
      </c>
      <c r="CM29" t="s">
        <v>7368</v>
      </c>
      <c r="CS29" t="s">
        <v>7361</v>
      </c>
      <c r="CT29" t="s">
        <v>7362</v>
      </c>
      <c r="CU29" t="s">
        <v>7362</v>
      </c>
      <c r="CV29" t="s">
        <v>7362</v>
      </c>
      <c r="CW29" t="s">
        <v>7362</v>
      </c>
      <c r="CX29">
        <v>134892</v>
      </c>
      <c r="DA29">
        <v>0</v>
      </c>
    </row>
    <row r="30" spans="1:105" x14ac:dyDescent="0.3">
      <c r="A30">
        <v>1372</v>
      </c>
      <c r="B30" t="s">
        <v>7369</v>
      </c>
      <c r="C30">
        <v>52</v>
      </c>
      <c r="D30" s="20">
        <v>44947</v>
      </c>
      <c r="E30" t="s">
        <v>7356</v>
      </c>
      <c r="F30" t="s">
        <v>5278</v>
      </c>
      <c r="G30" t="s">
        <v>7357</v>
      </c>
      <c r="H30">
        <v>1</v>
      </c>
      <c r="I30" t="s">
        <v>7358</v>
      </c>
      <c r="J30">
        <v>1</v>
      </c>
      <c r="K30" s="20">
        <v>44947</v>
      </c>
      <c r="L30" s="23">
        <v>440000</v>
      </c>
      <c r="M30" t="s">
        <v>7359</v>
      </c>
      <c r="N30" t="s">
        <v>7360</v>
      </c>
      <c r="O30">
        <v>0</v>
      </c>
      <c r="P30">
        <v>11758</v>
      </c>
      <c r="Q30">
        <v>414060</v>
      </c>
      <c r="R30">
        <v>0</v>
      </c>
      <c r="S30">
        <v>20230121</v>
      </c>
      <c r="T30">
        <v>0</v>
      </c>
      <c r="U30" t="s">
        <v>7361</v>
      </c>
      <c r="V30" t="s">
        <v>7360</v>
      </c>
      <c r="W30" t="s">
        <v>7360</v>
      </c>
      <c r="X30" t="s">
        <v>7360</v>
      </c>
      <c r="Y30" t="s">
        <v>7360</v>
      </c>
      <c r="Z30" t="s">
        <v>7360</v>
      </c>
      <c r="AA30" t="s">
        <v>7362</v>
      </c>
      <c r="AB30" t="s">
        <v>7360</v>
      </c>
      <c r="AC30" t="s">
        <v>7360</v>
      </c>
      <c r="AD30" t="s">
        <v>7360</v>
      </c>
      <c r="AE30" t="s">
        <v>7360</v>
      </c>
      <c r="AF30" t="s">
        <v>1684</v>
      </c>
      <c r="AG30">
        <v>0</v>
      </c>
      <c r="AH30">
        <v>0</v>
      </c>
      <c r="AI30">
        <v>0</v>
      </c>
      <c r="AJ30">
        <v>0</v>
      </c>
      <c r="AK30">
        <v>0</v>
      </c>
      <c r="AL30" t="s">
        <v>7360</v>
      </c>
      <c r="AM30">
        <v>0</v>
      </c>
      <c r="AN30" s="20">
        <v>44947</v>
      </c>
      <c r="AO30" s="20">
        <v>44947</v>
      </c>
      <c r="AP30" s="20">
        <v>44947</v>
      </c>
      <c r="AQ30">
        <v>0</v>
      </c>
      <c r="AR30">
        <v>0</v>
      </c>
      <c r="AS30">
        <v>0</v>
      </c>
      <c r="AT30">
        <v>0</v>
      </c>
      <c r="AU30">
        <v>0</v>
      </c>
      <c r="AV30" t="s">
        <v>7360</v>
      </c>
      <c r="AW30">
        <v>0</v>
      </c>
      <c r="AX30" t="s">
        <v>7360</v>
      </c>
      <c r="AY30" t="s">
        <v>7363</v>
      </c>
      <c r="BA30">
        <v>0</v>
      </c>
      <c r="BB30" s="20">
        <v>44947</v>
      </c>
      <c r="BC30">
        <v>0</v>
      </c>
      <c r="BD30" t="s">
        <v>7360</v>
      </c>
      <c r="BF30" s="20">
        <v>44947</v>
      </c>
      <c r="BG30">
        <v>0</v>
      </c>
      <c r="BH30" t="s">
        <v>7363</v>
      </c>
      <c r="BJ30" t="s">
        <v>7362</v>
      </c>
      <c r="BK30">
        <v>0</v>
      </c>
      <c r="BL30">
        <v>0</v>
      </c>
      <c r="BM30">
        <v>0</v>
      </c>
      <c r="BN30">
        <v>0</v>
      </c>
      <c r="BO30">
        <v>169</v>
      </c>
      <c r="BP30">
        <v>11</v>
      </c>
      <c r="BQ30">
        <v>1</v>
      </c>
      <c r="BR30" t="s">
        <v>7364</v>
      </c>
      <c r="BS30" t="s">
        <v>7365</v>
      </c>
      <c r="BT30" t="s">
        <v>7360</v>
      </c>
      <c r="BU30" t="s">
        <v>7360</v>
      </c>
      <c r="BV30" t="s">
        <v>7360</v>
      </c>
      <c r="BX30">
        <v>0</v>
      </c>
      <c r="BY30">
        <v>0</v>
      </c>
      <c r="BZ30" t="s">
        <v>7360</v>
      </c>
      <c r="CA30" t="s">
        <v>7360</v>
      </c>
      <c r="CB30">
        <v>3380666</v>
      </c>
      <c r="CC30" s="21">
        <v>44947.70171296296</v>
      </c>
      <c r="CE30" t="s">
        <v>7366</v>
      </c>
      <c r="CF30">
        <v>0</v>
      </c>
      <c r="CG30">
        <v>702002</v>
      </c>
      <c r="CH30">
        <v>702002</v>
      </c>
      <c r="CI30" s="21">
        <v>44947.703587962962</v>
      </c>
      <c r="CJ30" t="s">
        <v>7367</v>
      </c>
      <c r="CK30" t="s">
        <v>7367</v>
      </c>
      <c r="CL30" t="s">
        <v>7368</v>
      </c>
      <c r="CM30" t="s">
        <v>7368</v>
      </c>
      <c r="CS30" t="s">
        <v>7361</v>
      </c>
      <c r="CT30" t="s">
        <v>7362</v>
      </c>
      <c r="CU30" t="s">
        <v>7362</v>
      </c>
      <c r="CV30" t="s">
        <v>7362</v>
      </c>
      <c r="CW30" t="s">
        <v>7362</v>
      </c>
      <c r="CX30">
        <v>440000</v>
      </c>
      <c r="DA30">
        <v>0</v>
      </c>
    </row>
    <row r="31" spans="1:105" x14ac:dyDescent="0.3">
      <c r="A31">
        <v>1371</v>
      </c>
      <c r="B31" t="s">
        <v>7389</v>
      </c>
      <c r="C31">
        <v>53</v>
      </c>
      <c r="D31" s="20">
        <v>44947</v>
      </c>
      <c r="E31" t="s">
        <v>7356</v>
      </c>
      <c r="F31" t="s">
        <v>5282</v>
      </c>
      <c r="G31" t="s">
        <v>7357</v>
      </c>
      <c r="H31">
        <v>1</v>
      </c>
      <c r="I31" t="s">
        <v>7358</v>
      </c>
      <c r="J31">
        <v>1</v>
      </c>
      <c r="K31" s="20">
        <v>44947</v>
      </c>
      <c r="L31" s="23">
        <v>516000</v>
      </c>
      <c r="M31" t="s">
        <v>7359</v>
      </c>
      <c r="N31" t="s">
        <v>7360</v>
      </c>
      <c r="O31">
        <v>0</v>
      </c>
      <c r="P31">
        <v>11777</v>
      </c>
      <c r="Q31">
        <v>414076</v>
      </c>
      <c r="R31">
        <v>0</v>
      </c>
      <c r="S31">
        <v>20230121</v>
      </c>
      <c r="T31">
        <v>0</v>
      </c>
      <c r="U31" t="s">
        <v>7361</v>
      </c>
      <c r="V31" t="s">
        <v>7360</v>
      </c>
      <c r="W31" t="s">
        <v>7360</v>
      </c>
      <c r="X31" t="s">
        <v>7360</v>
      </c>
      <c r="Y31" t="s">
        <v>7360</v>
      </c>
      <c r="Z31" t="s">
        <v>7360</v>
      </c>
      <c r="AA31" t="s">
        <v>7362</v>
      </c>
      <c r="AB31" t="s">
        <v>7360</v>
      </c>
      <c r="AC31" t="s">
        <v>7360</v>
      </c>
      <c r="AD31" t="s">
        <v>7360</v>
      </c>
      <c r="AE31" t="s">
        <v>7360</v>
      </c>
      <c r="AF31" t="s">
        <v>1684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7360</v>
      </c>
      <c r="AM31">
        <v>0</v>
      </c>
      <c r="AN31" s="20">
        <v>44947</v>
      </c>
      <c r="AO31" s="20">
        <v>44947</v>
      </c>
      <c r="AP31" s="20">
        <v>44947</v>
      </c>
      <c r="AQ31">
        <v>0</v>
      </c>
      <c r="AR31">
        <v>0</v>
      </c>
      <c r="AS31">
        <v>0</v>
      </c>
      <c r="AT31">
        <v>0</v>
      </c>
      <c r="AU31">
        <v>0</v>
      </c>
      <c r="AV31" t="s">
        <v>7360</v>
      </c>
      <c r="AW31">
        <v>0</v>
      </c>
      <c r="AX31" t="s">
        <v>7360</v>
      </c>
      <c r="AY31" t="s">
        <v>7363</v>
      </c>
      <c r="BA31">
        <v>0</v>
      </c>
      <c r="BB31" s="20">
        <v>44947</v>
      </c>
      <c r="BC31">
        <v>0</v>
      </c>
      <c r="BD31" t="s">
        <v>7360</v>
      </c>
      <c r="BF31" s="20">
        <v>44947</v>
      </c>
      <c r="BG31">
        <v>0</v>
      </c>
      <c r="BH31" t="s">
        <v>7363</v>
      </c>
      <c r="BJ31" t="s">
        <v>7362</v>
      </c>
      <c r="BK31">
        <v>0</v>
      </c>
      <c r="BL31">
        <v>0</v>
      </c>
      <c r="BM31">
        <v>0</v>
      </c>
      <c r="BN31">
        <v>0</v>
      </c>
      <c r="BO31">
        <v>169</v>
      </c>
      <c r="BP31">
        <v>11</v>
      </c>
      <c r="BQ31">
        <v>1</v>
      </c>
      <c r="BR31" t="s">
        <v>7364</v>
      </c>
      <c r="BS31" t="s">
        <v>7365</v>
      </c>
      <c r="BT31" t="s">
        <v>7360</v>
      </c>
      <c r="BU31" t="s">
        <v>7360</v>
      </c>
      <c r="BV31" t="s">
        <v>7360</v>
      </c>
      <c r="BX31">
        <v>0</v>
      </c>
      <c r="BY31">
        <v>0</v>
      </c>
      <c r="BZ31" t="s">
        <v>7360</v>
      </c>
      <c r="CA31" t="s">
        <v>7360</v>
      </c>
      <c r="CB31">
        <v>3380666</v>
      </c>
      <c r="CC31" s="21">
        <v>44947.708981481483</v>
      </c>
      <c r="CE31" t="s">
        <v>7366</v>
      </c>
      <c r="CF31">
        <v>0</v>
      </c>
      <c r="CG31">
        <v>702002</v>
      </c>
      <c r="CH31">
        <v>702002</v>
      </c>
      <c r="CI31" s="21">
        <v>44947.713784722226</v>
      </c>
      <c r="CJ31" t="s">
        <v>7367</v>
      </c>
      <c r="CK31" t="s">
        <v>7367</v>
      </c>
      <c r="CL31" t="s">
        <v>7368</v>
      </c>
      <c r="CM31" t="s">
        <v>7368</v>
      </c>
      <c r="CS31" t="s">
        <v>7361</v>
      </c>
      <c r="CT31" t="s">
        <v>7362</v>
      </c>
      <c r="CU31" t="s">
        <v>7362</v>
      </c>
      <c r="CV31" t="s">
        <v>7362</v>
      </c>
      <c r="CW31" t="s">
        <v>7362</v>
      </c>
      <c r="CX31">
        <v>516000</v>
      </c>
      <c r="DA31">
        <v>0</v>
      </c>
    </row>
    <row r="32" spans="1:105" x14ac:dyDescent="0.3">
      <c r="A32">
        <v>1370</v>
      </c>
      <c r="B32" t="s">
        <v>7390</v>
      </c>
      <c r="C32">
        <v>54</v>
      </c>
      <c r="D32" s="20">
        <v>44947</v>
      </c>
      <c r="E32" t="s">
        <v>7356</v>
      </c>
      <c r="F32" t="s">
        <v>5288</v>
      </c>
      <c r="G32" t="s">
        <v>7357</v>
      </c>
      <c r="H32">
        <v>1</v>
      </c>
      <c r="I32" t="s">
        <v>7358</v>
      </c>
      <c r="J32">
        <v>1</v>
      </c>
      <c r="K32" s="20">
        <v>44947</v>
      </c>
      <c r="L32" s="23">
        <v>498624</v>
      </c>
      <c r="M32" t="s">
        <v>7359</v>
      </c>
      <c r="N32" t="s">
        <v>7360</v>
      </c>
      <c r="O32">
        <v>0</v>
      </c>
      <c r="P32">
        <v>11701</v>
      </c>
      <c r="Q32">
        <v>414014</v>
      </c>
      <c r="R32">
        <v>0</v>
      </c>
      <c r="S32">
        <v>20230121</v>
      </c>
      <c r="T32">
        <v>0</v>
      </c>
      <c r="U32" t="s">
        <v>7361</v>
      </c>
      <c r="V32" t="s">
        <v>7360</v>
      </c>
      <c r="W32" t="s">
        <v>7360</v>
      </c>
      <c r="X32" t="s">
        <v>7360</v>
      </c>
      <c r="Y32" t="s">
        <v>7360</v>
      </c>
      <c r="Z32" t="s">
        <v>7360</v>
      </c>
      <c r="AA32" t="s">
        <v>7362</v>
      </c>
      <c r="AB32" t="s">
        <v>7360</v>
      </c>
      <c r="AC32" t="s">
        <v>7360</v>
      </c>
      <c r="AD32" t="s">
        <v>7360</v>
      </c>
      <c r="AE32" t="s">
        <v>7360</v>
      </c>
      <c r="AF32" t="s">
        <v>1684</v>
      </c>
      <c r="AG32">
        <v>0</v>
      </c>
      <c r="AH32">
        <v>0</v>
      </c>
      <c r="AI32">
        <v>0</v>
      </c>
      <c r="AJ32">
        <v>0</v>
      </c>
      <c r="AK32">
        <v>0</v>
      </c>
      <c r="AL32" t="s">
        <v>7360</v>
      </c>
      <c r="AM32">
        <v>0</v>
      </c>
      <c r="AN32" s="20">
        <v>44947</v>
      </c>
      <c r="AO32" s="20">
        <v>44947</v>
      </c>
      <c r="AP32" s="20">
        <v>44947</v>
      </c>
      <c r="AQ32">
        <v>0</v>
      </c>
      <c r="AR32">
        <v>0</v>
      </c>
      <c r="AS32">
        <v>0</v>
      </c>
      <c r="AT32">
        <v>0</v>
      </c>
      <c r="AU32">
        <v>0</v>
      </c>
      <c r="AV32" t="s">
        <v>7360</v>
      </c>
      <c r="AW32">
        <v>0</v>
      </c>
      <c r="AX32" t="s">
        <v>7360</v>
      </c>
      <c r="AY32" t="s">
        <v>7363</v>
      </c>
      <c r="BA32">
        <v>0</v>
      </c>
      <c r="BB32" s="20">
        <v>44947</v>
      </c>
      <c r="BC32">
        <v>0</v>
      </c>
      <c r="BD32" t="s">
        <v>7360</v>
      </c>
      <c r="BF32" s="20">
        <v>44947</v>
      </c>
      <c r="BG32">
        <v>0</v>
      </c>
      <c r="BH32" t="s">
        <v>7363</v>
      </c>
      <c r="BJ32" t="s">
        <v>7362</v>
      </c>
      <c r="BK32">
        <v>169</v>
      </c>
      <c r="BL32">
        <v>11</v>
      </c>
      <c r="BM32">
        <v>1</v>
      </c>
      <c r="BN32" t="s">
        <v>7364</v>
      </c>
      <c r="BO32">
        <v>169</v>
      </c>
      <c r="BP32">
        <v>11</v>
      </c>
      <c r="BQ32">
        <v>1</v>
      </c>
      <c r="BR32" t="s">
        <v>7364</v>
      </c>
      <c r="BS32" t="s">
        <v>7388</v>
      </c>
      <c r="BT32" t="s">
        <v>7360</v>
      </c>
      <c r="BU32" t="s">
        <v>7360</v>
      </c>
      <c r="BV32" t="s">
        <v>7360</v>
      </c>
      <c r="BX32" t="s">
        <v>7391</v>
      </c>
      <c r="BY32">
        <v>74</v>
      </c>
      <c r="BZ32" t="s">
        <v>7360</v>
      </c>
      <c r="CA32" t="s">
        <v>7360</v>
      </c>
      <c r="CB32">
        <v>3380666</v>
      </c>
      <c r="CC32" s="21">
        <v>44947.733900462961</v>
      </c>
      <c r="CE32" t="s">
        <v>7392</v>
      </c>
      <c r="CF32">
        <v>1100101</v>
      </c>
      <c r="CG32">
        <v>702002</v>
      </c>
      <c r="CH32">
        <v>53575</v>
      </c>
      <c r="CI32" s="21">
        <v>44949.594305555554</v>
      </c>
      <c r="CJ32" t="s">
        <v>7367</v>
      </c>
      <c r="CK32" t="s">
        <v>7393</v>
      </c>
      <c r="CL32" t="s">
        <v>7368</v>
      </c>
      <c r="CM32" t="s">
        <v>7394</v>
      </c>
      <c r="CS32" t="s">
        <v>7361</v>
      </c>
      <c r="CT32" t="s">
        <v>7362</v>
      </c>
      <c r="CU32" t="s">
        <v>7362</v>
      </c>
      <c r="CV32" t="s">
        <v>7362</v>
      </c>
      <c r="CW32" t="s">
        <v>7362</v>
      </c>
      <c r="CX32">
        <v>498624</v>
      </c>
      <c r="DA32">
        <v>0</v>
      </c>
    </row>
    <row r="33" spans="1:105" x14ac:dyDescent="0.3">
      <c r="A33">
        <v>1362</v>
      </c>
      <c r="B33" t="s">
        <v>7371</v>
      </c>
      <c r="C33">
        <v>55</v>
      </c>
      <c r="D33" s="20">
        <v>44947</v>
      </c>
      <c r="E33" t="s">
        <v>7356</v>
      </c>
      <c r="F33" t="s">
        <v>5293</v>
      </c>
      <c r="G33" t="s">
        <v>7357</v>
      </c>
      <c r="H33">
        <v>1</v>
      </c>
      <c r="I33" t="s">
        <v>7358</v>
      </c>
      <c r="J33">
        <v>1</v>
      </c>
      <c r="K33" s="20">
        <v>44947</v>
      </c>
      <c r="L33" s="23">
        <v>10767389</v>
      </c>
      <c r="M33" t="s">
        <v>7359</v>
      </c>
      <c r="N33" t="s">
        <v>7360</v>
      </c>
      <c r="O33">
        <v>0</v>
      </c>
      <c r="P33">
        <v>11700</v>
      </c>
      <c r="Q33">
        <v>414013</v>
      </c>
      <c r="R33">
        <v>0</v>
      </c>
      <c r="S33">
        <v>20230121</v>
      </c>
      <c r="T33">
        <v>0</v>
      </c>
      <c r="U33" t="s">
        <v>7362</v>
      </c>
      <c r="V33" t="s">
        <v>7360</v>
      </c>
      <c r="W33" t="s">
        <v>7360</v>
      </c>
      <c r="X33" t="s">
        <v>7360</v>
      </c>
      <c r="Y33" t="s">
        <v>7360</v>
      </c>
      <c r="Z33" t="s">
        <v>7360</v>
      </c>
      <c r="AA33" t="s">
        <v>7362</v>
      </c>
      <c r="AB33" t="s">
        <v>7360</v>
      </c>
      <c r="AC33" t="s">
        <v>7360</v>
      </c>
      <c r="AD33" t="s">
        <v>7360</v>
      </c>
      <c r="AE33" t="s">
        <v>7360</v>
      </c>
      <c r="AF33" t="s">
        <v>1684</v>
      </c>
      <c r="AG33">
        <v>0</v>
      </c>
      <c r="AH33">
        <v>0</v>
      </c>
      <c r="AI33">
        <v>0</v>
      </c>
      <c r="AJ33">
        <v>0</v>
      </c>
      <c r="AK33">
        <v>0</v>
      </c>
      <c r="AL33" t="s">
        <v>7360</v>
      </c>
      <c r="AM33">
        <v>0</v>
      </c>
      <c r="AN33" s="20">
        <v>44947</v>
      </c>
      <c r="AO33" s="20">
        <v>44947</v>
      </c>
      <c r="AP33" s="20">
        <v>44947</v>
      </c>
      <c r="AQ33">
        <v>0</v>
      </c>
      <c r="AR33">
        <v>0</v>
      </c>
      <c r="AS33">
        <v>0</v>
      </c>
      <c r="AT33">
        <v>0</v>
      </c>
      <c r="AU33">
        <v>0</v>
      </c>
      <c r="AV33" t="s">
        <v>7360</v>
      </c>
      <c r="AW33">
        <v>0</v>
      </c>
      <c r="AX33" t="s">
        <v>7360</v>
      </c>
      <c r="AY33" t="s">
        <v>7362</v>
      </c>
      <c r="AZ33">
        <v>1383</v>
      </c>
      <c r="BA33">
        <v>284</v>
      </c>
      <c r="BB33" s="20">
        <v>44966</v>
      </c>
      <c r="BC33">
        <v>20230209</v>
      </c>
      <c r="BD33" t="s">
        <v>7395</v>
      </c>
      <c r="BF33" s="20">
        <v>44947</v>
      </c>
      <c r="BG33">
        <v>0</v>
      </c>
      <c r="BH33" t="s">
        <v>7363</v>
      </c>
      <c r="BJ33" t="s">
        <v>7362</v>
      </c>
      <c r="BK33">
        <v>0</v>
      </c>
      <c r="BL33">
        <v>0</v>
      </c>
      <c r="BM33">
        <v>0</v>
      </c>
      <c r="BN33">
        <v>0</v>
      </c>
      <c r="BO33">
        <v>169</v>
      </c>
      <c r="BP33">
        <v>11</v>
      </c>
      <c r="BQ33">
        <v>1</v>
      </c>
      <c r="BR33" t="s">
        <v>7364</v>
      </c>
      <c r="BS33" t="s">
        <v>7374</v>
      </c>
      <c r="BT33" t="s">
        <v>7360</v>
      </c>
      <c r="BU33" t="s">
        <v>7360</v>
      </c>
      <c r="BV33" t="s">
        <v>7360</v>
      </c>
      <c r="BX33">
        <v>0</v>
      </c>
      <c r="BY33">
        <v>0</v>
      </c>
      <c r="BZ33" t="s">
        <v>7360</v>
      </c>
      <c r="CA33" t="s">
        <v>7360</v>
      </c>
      <c r="CB33">
        <v>3380666</v>
      </c>
      <c r="CC33" s="21">
        <v>44947.746631944443</v>
      </c>
      <c r="CE33" t="s">
        <v>7366</v>
      </c>
      <c r="CF33">
        <v>0</v>
      </c>
      <c r="CG33">
        <v>702002</v>
      </c>
      <c r="CH33">
        <v>702002</v>
      </c>
      <c r="CI33" s="21">
        <v>44947.749768518515</v>
      </c>
      <c r="CJ33" t="s">
        <v>7367</v>
      </c>
      <c r="CK33" t="s">
        <v>7367</v>
      </c>
      <c r="CL33" t="s">
        <v>7368</v>
      </c>
      <c r="CM33" t="s">
        <v>7368</v>
      </c>
      <c r="CS33" t="s">
        <v>7361</v>
      </c>
      <c r="CT33" t="s">
        <v>7362</v>
      </c>
      <c r="CU33" t="s">
        <v>7362</v>
      </c>
      <c r="CV33" t="s">
        <v>7362</v>
      </c>
      <c r="CW33" t="s">
        <v>7362</v>
      </c>
      <c r="CX33">
        <v>10767389</v>
      </c>
      <c r="CY33" t="s">
        <v>1684</v>
      </c>
      <c r="DA33">
        <v>0</v>
      </c>
    </row>
    <row r="34" spans="1:105" x14ac:dyDescent="0.3">
      <c r="A34">
        <v>1365</v>
      </c>
      <c r="B34" t="s">
        <v>7384</v>
      </c>
      <c r="C34">
        <v>56</v>
      </c>
      <c r="D34" s="20">
        <v>44947</v>
      </c>
      <c r="E34" t="s">
        <v>7356</v>
      </c>
      <c r="F34" t="s">
        <v>5298</v>
      </c>
      <c r="G34" t="s">
        <v>7357</v>
      </c>
      <c r="H34">
        <v>1</v>
      </c>
      <c r="I34" t="s">
        <v>7358</v>
      </c>
      <c r="J34">
        <v>1</v>
      </c>
      <c r="K34" s="20">
        <v>44947</v>
      </c>
      <c r="L34" s="23">
        <v>4674600</v>
      </c>
      <c r="M34" t="s">
        <v>7359</v>
      </c>
      <c r="N34" t="s">
        <v>7360</v>
      </c>
      <c r="O34">
        <v>0</v>
      </c>
      <c r="P34">
        <v>11756</v>
      </c>
      <c r="Q34">
        <v>414056</v>
      </c>
      <c r="R34">
        <v>0</v>
      </c>
      <c r="S34">
        <v>20230121</v>
      </c>
      <c r="T34">
        <v>0</v>
      </c>
      <c r="U34" t="s">
        <v>7361</v>
      </c>
      <c r="V34" t="s">
        <v>7360</v>
      </c>
      <c r="W34" t="s">
        <v>7360</v>
      </c>
      <c r="X34" t="s">
        <v>7360</v>
      </c>
      <c r="Y34" t="s">
        <v>7360</v>
      </c>
      <c r="Z34" t="s">
        <v>7360</v>
      </c>
      <c r="AA34" t="s">
        <v>7362</v>
      </c>
      <c r="AB34" t="s">
        <v>7360</v>
      </c>
      <c r="AC34" t="s">
        <v>7360</v>
      </c>
      <c r="AD34" t="s">
        <v>7360</v>
      </c>
      <c r="AE34" t="s">
        <v>7360</v>
      </c>
      <c r="AF34" t="s">
        <v>1684</v>
      </c>
      <c r="AG34">
        <v>0</v>
      </c>
      <c r="AH34">
        <v>0</v>
      </c>
      <c r="AI34">
        <v>0</v>
      </c>
      <c r="AJ34">
        <v>0</v>
      </c>
      <c r="AK34">
        <v>0</v>
      </c>
      <c r="AL34" t="s">
        <v>7360</v>
      </c>
      <c r="AM34">
        <v>0</v>
      </c>
      <c r="AN34" s="20">
        <v>44947</v>
      </c>
      <c r="AO34" s="20">
        <v>44947</v>
      </c>
      <c r="AP34" s="20">
        <v>44947</v>
      </c>
      <c r="AQ34">
        <v>0</v>
      </c>
      <c r="AR34">
        <v>0</v>
      </c>
      <c r="AS34">
        <v>0</v>
      </c>
      <c r="AT34">
        <v>0</v>
      </c>
      <c r="AU34">
        <v>0</v>
      </c>
      <c r="AV34" t="s">
        <v>7360</v>
      </c>
      <c r="AW34">
        <v>0</v>
      </c>
      <c r="AX34" t="s">
        <v>7360</v>
      </c>
      <c r="AY34" t="s">
        <v>7363</v>
      </c>
      <c r="BA34">
        <v>0</v>
      </c>
      <c r="BB34" s="20">
        <v>44947</v>
      </c>
      <c r="BC34">
        <v>0</v>
      </c>
      <c r="BD34" t="s">
        <v>7360</v>
      </c>
      <c r="BF34" s="20">
        <v>44947</v>
      </c>
      <c r="BG34">
        <v>0</v>
      </c>
      <c r="BH34" t="s">
        <v>7363</v>
      </c>
      <c r="BJ34" t="s">
        <v>7362</v>
      </c>
      <c r="BK34">
        <v>0</v>
      </c>
      <c r="BL34">
        <v>0</v>
      </c>
      <c r="BM34">
        <v>0</v>
      </c>
      <c r="BN34">
        <v>0</v>
      </c>
      <c r="BO34">
        <v>169</v>
      </c>
      <c r="BP34">
        <v>11</v>
      </c>
      <c r="BQ34">
        <v>1</v>
      </c>
      <c r="BR34" t="s">
        <v>7364</v>
      </c>
      <c r="BS34" t="s">
        <v>7385</v>
      </c>
      <c r="BT34" t="s">
        <v>7360</v>
      </c>
      <c r="BU34" t="s">
        <v>7360</v>
      </c>
      <c r="BV34" t="s">
        <v>7360</v>
      </c>
      <c r="BX34">
        <v>0</v>
      </c>
      <c r="BY34">
        <v>0</v>
      </c>
      <c r="BZ34" t="s">
        <v>7360</v>
      </c>
      <c r="CA34" t="s">
        <v>7360</v>
      </c>
      <c r="CB34">
        <v>3380666</v>
      </c>
      <c r="CC34" s="21">
        <v>44947.754062499997</v>
      </c>
      <c r="CE34" t="s">
        <v>7366</v>
      </c>
      <c r="CF34">
        <v>0</v>
      </c>
      <c r="CG34">
        <v>702002</v>
      </c>
      <c r="CH34">
        <v>702002</v>
      </c>
      <c r="CI34" s="21">
        <v>44947.756493055553</v>
      </c>
      <c r="CJ34" t="s">
        <v>7367</v>
      </c>
      <c r="CK34" t="s">
        <v>7367</v>
      </c>
      <c r="CL34" t="s">
        <v>7368</v>
      </c>
      <c r="CM34" t="s">
        <v>7368</v>
      </c>
      <c r="CS34" t="s">
        <v>7361</v>
      </c>
      <c r="CT34" t="s">
        <v>7362</v>
      </c>
      <c r="CU34" t="s">
        <v>7362</v>
      </c>
      <c r="CV34" t="s">
        <v>7362</v>
      </c>
      <c r="CW34" t="s">
        <v>7362</v>
      </c>
      <c r="CX34">
        <v>4674600</v>
      </c>
      <c r="DA34">
        <v>0</v>
      </c>
    </row>
    <row r="35" spans="1:105" x14ac:dyDescent="0.3">
      <c r="A35">
        <v>1362</v>
      </c>
      <c r="B35" t="s">
        <v>7371</v>
      </c>
      <c r="C35">
        <v>57</v>
      </c>
      <c r="D35" s="20">
        <v>44947</v>
      </c>
      <c r="E35" t="s">
        <v>7356</v>
      </c>
      <c r="F35" t="s">
        <v>5304</v>
      </c>
      <c r="G35" t="s">
        <v>7357</v>
      </c>
      <c r="H35">
        <v>1</v>
      </c>
      <c r="I35" t="s">
        <v>7358</v>
      </c>
      <c r="J35">
        <v>1</v>
      </c>
      <c r="K35" s="20">
        <v>44947</v>
      </c>
      <c r="L35" s="23">
        <v>2317446</v>
      </c>
      <c r="M35" t="s">
        <v>7359</v>
      </c>
      <c r="N35" t="s">
        <v>7360</v>
      </c>
      <c r="O35">
        <v>0</v>
      </c>
      <c r="P35">
        <v>11702</v>
      </c>
      <c r="Q35">
        <v>414015</v>
      </c>
      <c r="R35">
        <v>0</v>
      </c>
      <c r="S35">
        <v>20230121</v>
      </c>
      <c r="T35">
        <v>0</v>
      </c>
      <c r="U35" t="s">
        <v>7361</v>
      </c>
      <c r="V35" t="s">
        <v>7360</v>
      </c>
      <c r="W35" t="s">
        <v>7360</v>
      </c>
      <c r="X35" t="s">
        <v>7360</v>
      </c>
      <c r="Y35" t="s">
        <v>7360</v>
      </c>
      <c r="Z35" t="s">
        <v>7360</v>
      </c>
      <c r="AA35" t="s">
        <v>7362</v>
      </c>
      <c r="AB35" t="s">
        <v>7360</v>
      </c>
      <c r="AC35" t="s">
        <v>7360</v>
      </c>
      <c r="AD35" t="s">
        <v>7360</v>
      </c>
      <c r="AE35" t="s">
        <v>7360</v>
      </c>
      <c r="AF35" t="s">
        <v>1684</v>
      </c>
      <c r="AG35">
        <v>0</v>
      </c>
      <c r="AH35">
        <v>0</v>
      </c>
      <c r="AI35">
        <v>0</v>
      </c>
      <c r="AJ35">
        <v>0</v>
      </c>
      <c r="AK35">
        <v>0</v>
      </c>
      <c r="AL35" t="s">
        <v>7360</v>
      </c>
      <c r="AM35">
        <v>0</v>
      </c>
      <c r="AN35" s="20">
        <v>44947</v>
      </c>
      <c r="AO35" s="20">
        <v>44947</v>
      </c>
      <c r="AP35" s="20">
        <v>44947</v>
      </c>
      <c r="AQ35">
        <v>0</v>
      </c>
      <c r="AR35">
        <v>0</v>
      </c>
      <c r="AS35">
        <v>0</v>
      </c>
      <c r="AT35">
        <v>0</v>
      </c>
      <c r="AU35">
        <v>0</v>
      </c>
      <c r="AV35" t="s">
        <v>7360</v>
      </c>
      <c r="AW35">
        <v>0</v>
      </c>
      <c r="AX35" t="s">
        <v>7360</v>
      </c>
      <c r="AY35" t="s">
        <v>7363</v>
      </c>
      <c r="BA35">
        <v>0</v>
      </c>
      <c r="BB35" s="20">
        <v>44947</v>
      </c>
      <c r="BC35">
        <v>0</v>
      </c>
      <c r="BD35" t="s">
        <v>7360</v>
      </c>
      <c r="BF35" s="20">
        <v>44947</v>
      </c>
      <c r="BG35">
        <v>0</v>
      </c>
      <c r="BH35" t="s">
        <v>7363</v>
      </c>
      <c r="BJ35" t="s">
        <v>7362</v>
      </c>
      <c r="BK35">
        <v>0</v>
      </c>
      <c r="BL35">
        <v>0</v>
      </c>
      <c r="BM35">
        <v>0</v>
      </c>
      <c r="BN35">
        <v>0</v>
      </c>
      <c r="BO35">
        <v>169</v>
      </c>
      <c r="BP35">
        <v>11</v>
      </c>
      <c r="BQ35">
        <v>1</v>
      </c>
      <c r="BR35" t="s">
        <v>7364</v>
      </c>
      <c r="BS35" t="s">
        <v>7374</v>
      </c>
      <c r="BT35" t="s">
        <v>7360</v>
      </c>
      <c r="BU35" t="s">
        <v>7360</v>
      </c>
      <c r="BV35" t="s">
        <v>7360</v>
      </c>
      <c r="BX35">
        <v>0</v>
      </c>
      <c r="BY35">
        <v>0</v>
      </c>
      <c r="BZ35" t="s">
        <v>7360</v>
      </c>
      <c r="CA35" t="s">
        <v>7360</v>
      </c>
      <c r="CB35">
        <v>3380666</v>
      </c>
      <c r="CC35" s="21">
        <v>44947.760370370372</v>
      </c>
      <c r="CE35" t="s">
        <v>7366</v>
      </c>
      <c r="CF35">
        <v>0</v>
      </c>
      <c r="CG35">
        <v>702002</v>
      </c>
      <c r="CH35">
        <v>702002</v>
      </c>
      <c r="CI35" s="21">
        <v>44947.762013888889</v>
      </c>
      <c r="CJ35" t="s">
        <v>7367</v>
      </c>
      <c r="CK35" t="s">
        <v>7367</v>
      </c>
      <c r="CL35" t="s">
        <v>7368</v>
      </c>
      <c r="CM35" t="s">
        <v>7368</v>
      </c>
      <c r="CS35" t="s">
        <v>7361</v>
      </c>
      <c r="CT35" t="s">
        <v>7362</v>
      </c>
      <c r="CU35" t="s">
        <v>7362</v>
      </c>
      <c r="CV35" t="s">
        <v>7362</v>
      </c>
      <c r="CW35" t="s">
        <v>7362</v>
      </c>
      <c r="CX35">
        <v>2317446</v>
      </c>
      <c r="DA35">
        <v>0</v>
      </c>
    </row>
    <row r="36" spans="1:105" x14ac:dyDescent="0.3">
      <c r="A36">
        <v>1354</v>
      </c>
      <c r="B36" t="s">
        <v>7396</v>
      </c>
      <c r="C36">
        <v>254</v>
      </c>
      <c r="D36" s="20">
        <v>44964</v>
      </c>
      <c r="E36" t="s">
        <v>7372</v>
      </c>
      <c r="F36" t="s">
        <v>5309</v>
      </c>
      <c r="G36" t="s">
        <v>7370</v>
      </c>
      <c r="H36">
        <v>1</v>
      </c>
      <c r="I36" t="s">
        <v>7358</v>
      </c>
      <c r="J36">
        <v>1</v>
      </c>
      <c r="K36" s="20">
        <v>44964</v>
      </c>
      <c r="L36" s="23">
        <v>15000000</v>
      </c>
      <c r="M36" t="s">
        <v>7359</v>
      </c>
      <c r="N36" t="s">
        <v>7360</v>
      </c>
      <c r="O36">
        <v>0</v>
      </c>
      <c r="P36">
        <v>12068</v>
      </c>
      <c r="Q36">
        <v>419017</v>
      </c>
      <c r="R36">
        <v>0</v>
      </c>
      <c r="S36">
        <v>20230207</v>
      </c>
      <c r="T36">
        <v>0</v>
      </c>
      <c r="U36" t="s">
        <v>7362</v>
      </c>
      <c r="V36" t="s">
        <v>7360</v>
      </c>
      <c r="W36" t="s">
        <v>7360</v>
      </c>
      <c r="X36" t="s">
        <v>7360</v>
      </c>
      <c r="Y36" t="s">
        <v>7360</v>
      </c>
      <c r="Z36" t="s">
        <v>7360</v>
      </c>
      <c r="AA36" t="s">
        <v>7362</v>
      </c>
      <c r="AB36" t="s">
        <v>7360</v>
      </c>
      <c r="AC36" t="s">
        <v>7360</v>
      </c>
      <c r="AD36" t="s">
        <v>7360</v>
      </c>
      <c r="AE36" t="s">
        <v>7360</v>
      </c>
      <c r="AF36" t="s">
        <v>1684</v>
      </c>
      <c r="AG36">
        <v>0</v>
      </c>
      <c r="AH36">
        <v>0</v>
      </c>
      <c r="AI36">
        <v>0</v>
      </c>
      <c r="AJ36">
        <v>0</v>
      </c>
      <c r="AK36">
        <v>0</v>
      </c>
      <c r="AL36" t="s">
        <v>7360</v>
      </c>
      <c r="AM36">
        <v>0</v>
      </c>
      <c r="AN36" s="20">
        <v>44964</v>
      </c>
      <c r="AO36" s="20">
        <v>44964</v>
      </c>
      <c r="AP36" s="20">
        <v>44964</v>
      </c>
      <c r="AQ36">
        <v>0</v>
      </c>
      <c r="AR36">
        <v>0</v>
      </c>
      <c r="AS36">
        <v>0</v>
      </c>
      <c r="AT36">
        <v>0</v>
      </c>
      <c r="AU36">
        <v>0</v>
      </c>
      <c r="AV36" t="s">
        <v>7360</v>
      </c>
      <c r="AW36">
        <v>0</v>
      </c>
      <c r="AX36" t="s">
        <v>7360</v>
      </c>
      <c r="AY36" t="s">
        <v>7373</v>
      </c>
      <c r="BA36">
        <v>0</v>
      </c>
      <c r="BB36" s="20">
        <v>44964</v>
      </c>
      <c r="BC36">
        <v>0</v>
      </c>
      <c r="BD36" t="s">
        <v>7360</v>
      </c>
      <c r="BF36" s="20">
        <v>44964</v>
      </c>
      <c r="BG36">
        <v>0</v>
      </c>
      <c r="BH36" t="s">
        <v>7363</v>
      </c>
      <c r="BJ36" t="s">
        <v>7362</v>
      </c>
      <c r="BK36">
        <v>0</v>
      </c>
      <c r="BL36">
        <v>0</v>
      </c>
      <c r="BM36">
        <v>0</v>
      </c>
      <c r="BN36">
        <v>0</v>
      </c>
      <c r="BO36">
        <v>169</v>
      </c>
      <c r="BP36">
        <v>11</v>
      </c>
      <c r="BQ36">
        <v>1</v>
      </c>
      <c r="BR36" t="s">
        <v>7364</v>
      </c>
      <c r="BS36" t="s">
        <v>7374</v>
      </c>
      <c r="BT36" t="s">
        <v>7360</v>
      </c>
      <c r="BU36" t="s">
        <v>7360</v>
      </c>
      <c r="BV36" t="s">
        <v>7360</v>
      </c>
      <c r="BX36">
        <v>0</v>
      </c>
      <c r="BY36">
        <v>0</v>
      </c>
      <c r="BZ36" t="s">
        <v>7360</v>
      </c>
      <c r="CA36" t="s">
        <v>7360</v>
      </c>
      <c r="CB36">
        <v>3380666</v>
      </c>
      <c r="CC36" s="21">
        <v>44947.765266203707</v>
      </c>
      <c r="CE36" t="s">
        <v>7366</v>
      </c>
      <c r="CF36">
        <v>0</v>
      </c>
      <c r="CG36">
        <v>702002</v>
      </c>
      <c r="CH36">
        <v>702002</v>
      </c>
      <c r="CI36" s="21">
        <v>44947.768148148149</v>
      </c>
      <c r="CJ36" t="s">
        <v>7367</v>
      </c>
      <c r="CK36" t="s">
        <v>7367</v>
      </c>
      <c r="CL36" t="s">
        <v>7368</v>
      </c>
      <c r="CM36" t="s">
        <v>7368</v>
      </c>
      <c r="CS36" t="s">
        <v>7361</v>
      </c>
      <c r="CT36" t="s">
        <v>7362</v>
      </c>
      <c r="CU36" t="s">
        <v>7362</v>
      </c>
      <c r="CV36" t="s">
        <v>7362</v>
      </c>
      <c r="CW36" t="s">
        <v>7362</v>
      </c>
      <c r="CX36">
        <v>24030441</v>
      </c>
      <c r="DA36">
        <v>0</v>
      </c>
    </row>
    <row r="37" spans="1:105" x14ac:dyDescent="0.3">
      <c r="A37">
        <v>1364</v>
      </c>
      <c r="B37" t="s">
        <v>7355</v>
      </c>
      <c r="C37">
        <v>59</v>
      </c>
      <c r="D37" s="20">
        <v>44947</v>
      </c>
      <c r="E37" t="s">
        <v>7356</v>
      </c>
      <c r="F37" t="s">
        <v>5314</v>
      </c>
      <c r="G37" t="s">
        <v>7357</v>
      </c>
      <c r="H37">
        <v>1</v>
      </c>
      <c r="I37" t="s">
        <v>7358</v>
      </c>
      <c r="J37">
        <v>1</v>
      </c>
      <c r="K37" s="20">
        <v>44947</v>
      </c>
      <c r="L37" s="23">
        <v>153560</v>
      </c>
      <c r="M37" t="s">
        <v>7359</v>
      </c>
      <c r="N37" t="s">
        <v>7360</v>
      </c>
      <c r="O37">
        <v>0</v>
      </c>
      <c r="P37">
        <v>11818</v>
      </c>
      <c r="Q37">
        <v>415030</v>
      </c>
      <c r="R37">
        <v>0</v>
      </c>
      <c r="S37">
        <v>20230121</v>
      </c>
      <c r="T37">
        <v>0</v>
      </c>
      <c r="U37" t="s">
        <v>7361</v>
      </c>
      <c r="V37" t="s">
        <v>7360</v>
      </c>
      <c r="W37" t="s">
        <v>7360</v>
      </c>
      <c r="X37" t="s">
        <v>7360</v>
      </c>
      <c r="Y37" t="s">
        <v>7360</v>
      </c>
      <c r="Z37" t="s">
        <v>7360</v>
      </c>
      <c r="AA37" t="s">
        <v>7362</v>
      </c>
      <c r="AB37" t="s">
        <v>7360</v>
      </c>
      <c r="AC37" t="s">
        <v>7360</v>
      </c>
      <c r="AD37" t="s">
        <v>7360</v>
      </c>
      <c r="AE37" t="s">
        <v>7360</v>
      </c>
      <c r="AF37" t="s">
        <v>1684</v>
      </c>
      <c r="AG37">
        <v>0</v>
      </c>
      <c r="AH37">
        <v>0</v>
      </c>
      <c r="AI37">
        <v>0</v>
      </c>
      <c r="AJ37">
        <v>0</v>
      </c>
      <c r="AK37">
        <v>0</v>
      </c>
      <c r="AL37" t="s">
        <v>7360</v>
      </c>
      <c r="AM37">
        <v>0</v>
      </c>
      <c r="AN37" s="20">
        <v>44947</v>
      </c>
      <c r="AO37" s="20">
        <v>44947</v>
      </c>
      <c r="AP37" s="20">
        <v>44947</v>
      </c>
      <c r="AQ37">
        <v>0</v>
      </c>
      <c r="AR37">
        <v>0</v>
      </c>
      <c r="AS37">
        <v>0</v>
      </c>
      <c r="AT37">
        <v>0</v>
      </c>
      <c r="AU37">
        <v>0</v>
      </c>
      <c r="AV37" t="s">
        <v>7360</v>
      </c>
      <c r="AW37">
        <v>0</v>
      </c>
      <c r="AX37" t="s">
        <v>7360</v>
      </c>
      <c r="AY37" t="s">
        <v>7363</v>
      </c>
      <c r="BA37">
        <v>0</v>
      </c>
      <c r="BB37" s="20">
        <v>44947</v>
      </c>
      <c r="BC37">
        <v>0</v>
      </c>
      <c r="BD37" t="s">
        <v>7360</v>
      </c>
      <c r="BF37" s="20">
        <v>44947</v>
      </c>
      <c r="BG37">
        <v>0</v>
      </c>
      <c r="BH37" t="s">
        <v>7363</v>
      </c>
      <c r="BJ37" t="s">
        <v>7362</v>
      </c>
      <c r="BK37">
        <v>0</v>
      </c>
      <c r="BL37">
        <v>0</v>
      </c>
      <c r="BM37">
        <v>0</v>
      </c>
      <c r="BN37">
        <v>0</v>
      </c>
      <c r="BO37">
        <v>169</v>
      </c>
      <c r="BP37">
        <v>11</v>
      </c>
      <c r="BQ37">
        <v>1</v>
      </c>
      <c r="BR37" t="s">
        <v>7364</v>
      </c>
      <c r="BS37" t="s">
        <v>48</v>
      </c>
      <c r="BT37" t="s">
        <v>7360</v>
      </c>
      <c r="BU37" t="s">
        <v>7360</v>
      </c>
      <c r="BV37" t="s">
        <v>7360</v>
      </c>
      <c r="BX37">
        <v>0</v>
      </c>
      <c r="BY37">
        <v>0</v>
      </c>
      <c r="BZ37" t="s">
        <v>7360</v>
      </c>
      <c r="CA37" t="s">
        <v>7360</v>
      </c>
      <c r="CB37">
        <v>3380666</v>
      </c>
      <c r="CC37" s="21">
        <v>44947.774513888886</v>
      </c>
      <c r="CE37" t="s">
        <v>7366</v>
      </c>
      <c r="CF37">
        <v>0</v>
      </c>
      <c r="CG37">
        <v>702002</v>
      </c>
      <c r="CH37">
        <v>702002</v>
      </c>
      <c r="CI37" s="21">
        <v>44947.777071759258</v>
      </c>
      <c r="CJ37" t="s">
        <v>7367</v>
      </c>
      <c r="CK37" t="s">
        <v>7367</v>
      </c>
      <c r="CL37" t="s">
        <v>7368</v>
      </c>
      <c r="CM37" t="s">
        <v>7368</v>
      </c>
      <c r="CS37" t="s">
        <v>7361</v>
      </c>
      <c r="CT37" t="s">
        <v>7362</v>
      </c>
      <c r="CU37" t="s">
        <v>7362</v>
      </c>
      <c r="CV37" t="s">
        <v>7362</v>
      </c>
      <c r="CW37" t="s">
        <v>7362</v>
      </c>
      <c r="CX37">
        <v>153560</v>
      </c>
      <c r="DA37">
        <v>0</v>
      </c>
    </row>
    <row r="38" spans="1:105" x14ac:dyDescent="0.3">
      <c r="A38">
        <v>1354</v>
      </c>
      <c r="B38" t="s">
        <v>7396</v>
      </c>
      <c r="C38">
        <v>60</v>
      </c>
      <c r="D38" s="20">
        <v>45026</v>
      </c>
      <c r="E38" t="s">
        <v>7397</v>
      </c>
      <c r="F38" t="s">
        <v>5320</v>
      </c>
      <c r="G38" t="s">
        <v>7357</v>
      </c>
      <c r="H38">
        <v>1</v>
      </c>
      <c r="I38" t="s">
        <v>7358</v>
      </c>
      <c r="J38">
        <v>1</v>
      </c>
      <c r="K38" s="20">
        <v>44947</v>
      </c>
      <c r="L38" s="23">
        <v>11126327</v>
      </c>
      <c r="M38" t="s">
        <v>7398</v>
      </c>
      <c r="N38" t="s">
        <v>7360</v>
      </c>
      <c r="O38">
        <v>0</v>
      </c>
      <c r="P38">
        <v>11732</v>
      </c>
      <c r="R38">
        <v>0</v>
      </c>
      <c r="S38">
        <v>20230410</v>
      </c>
      <c r="T38">
        <v>0</v>
      </c>
      <c r="U38" t="s">
        <v>7362</v>
      </c>
      <c r="V38" t="s">
        <v>7360</v>
      </c>
      <c r="W38" t="s">
        <v>7360</v>
      </c>
      <c r="X38" t="s">
        <v>7360</v>
      </c>
      <c r="Y38" t="s">
        <v>7360</v>
      </c>
      <c r="Z38" t="s">
        <v>7360</v>
      </c>
      <c r="AA38" t="s">
        <v>1684</v>
      </c>
      <c r="AB38" t="s">
        <v>7360</v>
      </c>
      <c r="AC38" t="s">
        <v>7360</v>
      </c>
      <c r="AD38" t="s">
        <v>7360</v>
      </c>
      <c r="AE38" t="s">
        <v>7360</v>
      </c>
      <c r="AF38" t="s">
        <v>1684</v>
      </c>
      <c r="AG38">
        <v>0</v>
      </c>
      <c r="AH38">
        <v>0</v>
      </c>
      <c r="AI38">
        <v>0</v>
      </c>
      <c r="AJ38">
        <v>0</v>
      </c>
      <c r="AK38">
        <v>0</v>
      </c>
      <c r="AL38" t="s">
        <v>7360</v>
      </c>
      <c r="AM38">
        <v>0</v>
      </c>
      <c r="AN38" s="20">
        <v>44947</v>
      </c>
      <c r="AO38" s="20">
        <v>44947</v>
      </c>
      <c r="AP38" s="20">
        <v>44947</v>
      </c>
      <c r="AQ38">
        <v>0</v>
      </c>
      <c r="AR38">
        <v>0</v>
      </c>
      <c r="AS38">
        <v>0</v>
      </c>
      <c r="AT38">
        <v>0</v>
      </c>
      <c r="AU38">
        <v>0</v>
      </c>
      <c r="AV38" t="s">
        <v>7360</v>
      </c>
      <c r="AW38">
        <v>0</v>
      </c>
      <c r="AX38" t="s">
        <v>7360</v>
      </c>
      <c r="AY38" t="s">
        <v>7362</v>
      </c>
      <c r="BA38">
        <v>0</v>
      </c>
      <c r="BB38" s="20">
        <v>44947</v>
      </c>
      <c r="BC38">
        <v>0</v>
      </c>
      <c r="BD38" t="s">
        <v>7360</v>
      </c>
      <c r="BF38" s="20">
        <v>44947</v>
      </c>
      <c r="BG38">
        <v>0</v>
      </c>
      <c r="BH38" t="s">
        <v>7363</v>
      </c>
      <c r="BJ38" t="s">
        <v>7362</v>
      </c>
      <c r="BK38">
        <v>0</v>
      </c>
      <c r="BL38">
        <v>0</v>
      </c>
      <c r="BM38">
        <v>0</v>
      </c>
      <c r="BN38">
        <v>0</v>
      </c>
      <c r="BO38">
        <v>169</v>
      </c>
      <c r="BP38">
        <v>11</v>
      </c>
      <c r="BQ38">
        <v>1</v>
      </c>
      <c r="BR38" t="s">
        <v>7364</v>
      </c>
      <c r="BS38" t="s">
        <v>7365</v>
      </c>
      <c r="BT38" t="s">
        <v>7360</v>
      </c>
      <c r="BU38" t="s">
        <v>7360</v>
      </c>
      <c r="BV38" t="s">
        <v>7360</v>
      </c>
      <c r="BX38">
        <v>0</v>
      </c>
      <c r="BY38">
        <v>0</v>
      </c>
      <c r="BZ38" t="s">
        <v>7360</v>
      </c>
      <c r="CA38" t="s">
        <v>7360</v>
      </c>
      <c r="CB38">
        <v>3380666</v>
      </c>
      <c r="CC38" s="21">
        <v>44947.782476851855</v>
      </c>
      <c r="CE38" t="s">
        <v>7366</v>
      </c>
      <c r="CF38">
        <v>0</v>
      </c>
      <c r="CG38">
        <v>702002</v>
      </c>
      <c r="CH38">
        <v>702002</v>
      </c>
      <c r="CI38" s="21">
        <v>44949.597673611112</v>
      </c>
      <c r="CJ38" t="s">
        <v>7367</v>
      </c>
      <c r="CK38" t="s">
        <v>7367</v>
      </c>
      <c r="CL38" t="s">
        <v>7368</v>
      </c>
      <c r="CM38" t="s">
        <v>7368</v>
      </c>
      <c r="CS38" t="s">
        <v>7361</v>
      </c>
      <c r="CT38" t="s">
        <v>7362</v>
      </c>
      <c r="CU38" t="s">
        <v>7362</v>
      </c>
      <c r="CV38" t="s">
        <v>7362</v>
      </c>
      <c r="CW38" t="s">
        <v>7362</v>
      </c>
      <c r="CX38">
        <v>11126327</v>
      </c>
      <c r="DA38">
        <v>0</v>
      </c>
    </row>
    <row r="39" spans="1:105" x14ac:dyDescent="0.3">
      <c r="A39">
        <v>1362</v>
      </c>
      <c r="B39" t="s">
        <v>7371</v>
      </c>
      <c r="C39">
        <v>61</v>
      </c>
      <c r="D39" s="20">
        <v>44947</v>
      </c>
      <c r="E39" t="s">
        <v>7372</v>
      </c>
      <c r="F39" t="s">
        <v>5325</v>
      </c>
      <c r="G39" t="s">
        <v>7357</v>
      </c>
      <c r="H39">
        <v>1</v>
      </c>
      <c r="I39" t="s">
        <v>7358</v>
      </c>
      <c r="J39">
        <v>1</v>
      </c>
      <c r="K39" s="20">
        <v>44947</v>
      </c>
      <c r="L39" s="23">
        <v>940100</v>
      </c>
      <c r="M39" t="s">
        <v>7359</v>
      </c>
      <c r="N39" t="s">
        <v>7360</v>
      </c>
      <c r="O39">
        <v>0</v>
      </c>
      <c r="P39">
        <v>11704</v>
      </c>
      <c r="Q39">
        <v>414016</v>
      </c>
      <c r="R39">
        <v>0</v>
      </c>
      <c r="S39">
        <v>20230121</v>
      </c>
      <c r="T39">
        <v>0</v>
      </c>
      <c r="U39" t="s">
        <v>7362</v>
      </c>
      <c r="V39" t="s">
        <v>7360</v>
      </c>
      <c r="W39" t="s">
        <v>7360</v>
      </c>
      <c r="X39" t="s">
        <v>7360</v>
      </c>
      <c r="Y39" t="s">
        <v>7360</v>
      </c>
      <c r="Z39" t="s">
        <v>7360</v>
      </c>
      <c r="AA39" t="s">
        <v>7362</v>
      </c>
      <c r="AB39" t="s">
        <v>7360</v>
      </c>
      <c r="AC39" t="s">
        <v>7360</v>
      </c>
      <c r="AD39" t="s">
        <v>7360</v>
      </c>
      <c r="AE39" t="s">
        <v>7360</v>
      </c>
      <c r="AF39" t="s">
        <v>1684</v>
      </c>
      <c r="AG39">
        <v>0</v>
      </c>
      <c r="AH39">
        <v>0</v>
      </c>
      <c r="AI39">
        <v>0</v>
      </c>
      <c r="AJ39">
        <v>0</v>
      </c>
      <c r="AK39">
        <v>0</v>
      </c>
      <c r="AL39" t="s">
        <v>7360</v>
      </c>
      <c r="AM39">
        <v>0</v>
      </c>
      <c r="AN39" s="20">
        <v>44947</v>
      </c>
      <c r="AO39" s="20">
        <v>44947</v>
      </c>
      <c r="AP39" s="20">
        <v>44947</v>
      </c>
      <c r="AQ39">
        <v>0</v>
      </c>
      <c r="AR39">
        <v>0</v>
      </c>
      <c r="AS39">
        <v>0</v>
      </c>
      <c r="AT39">
        <v>0</v>
      </c>
      <c r="AU39">
        <v>0</v>
      </c>
      <c r="AV39" t="s">
        <v>7360</v>
      </c>
      <c r="AW39">
        <v>0</v>
      </c>
      <c r="AX39" t="s">
        <v>7360</v>
      </c>
      <c r="AY39" t="s">
        <v>7373</v>
      </c>
      <c r="BA39">
        <v>0</v>
      </c>
      <c r="BB39" s="20">
        <v>44947</v>
      </c>
      <c r="BC39">
        <v>0</v>
      </c>
      <c r="BD39" t="s">
        <v>7360</v>
      </c>
      <c r="BF39" s="20">
        <v>44947</v>
      </c>
      <c r="BG39">
        <v>0</v>
      </c>
      <c r="BH39" t="s">
        <v>7363</v>
      </c>
      <c r="BJ39" t="s">
        <v>7362</v>
      </c>
      <c r="BK39">
        <v>0</v>
      </c>
      <c r="BL39">
        <v>0</v>
      </c>
      <c r="BM39">
        <v>0</v>
      </c>
      <c r="BN39">
        <v>0</v>
      </c>
      <c r="BO39">
        <v>169</v>
      </c>
      <c r="BP39">
        <v>11</v>
      </c>
      <c r="BQ39">
        <v>1</v>
      </c>
      <c r="BR39" t="s">
        <v>7364</v>
      </c>
      <c r="BS39" t="s">
        <v>7374</v>
      </c>
      <c r="BT39" t="s">
        <v>7360</v>
      </c>
      <c r="BU39" t="s">
        <v>7360</v>
      </c>
      <c r="BV39" t="s">
        <v>7360</v>
      </c>
      <c r="BX39">
        <v>0</v>
      </c>
      <c r="BY39">
        <v>0</v>
      </c>
      <c r="BZ39" t="s">
        <v>7360</v>
      </c>
      <c r="CA39" t="s">
        <v>7360</v>
      </c>
      <c r="CB39">
        <v>3380666</v>
      </c>
      <c r="CC39" s="21">
        <v>44947.794293981482</v>
      </c>
      <c r="CE39" t="s">
        <v>7366</v>
      </c>
      <c r="CF39">
        <v>0</v>
      </c>
      <c r="CG39">
        <v>702002</v>
      </c>
      <c r="CH39">
        <v>702002</v>
      </c>
      <c r="CI39" s="21">
        <v>44947.795995370368</v>
      </c>
      <c r="CJ39" t="s">
        <v>7367</v>
      </c>
      <c r="CK39" t="s">
        <v>7367</v>
      </c>
      <c r="CL39" t="s">
        <v>7368</v>
      </c>
      <c r="CM39" t="s">
        <v>7368</v>
      </c>
      <c r="CS39" t="s">
        <v>7361</v>
      </c>
      <c r="CT39" t="s">
        <v>7362</v>
      </c>
      <c r="CU39" t="s">
        <v>7362</v>
      </c>
      <c r="CV39" t="s">
        <v>7362</v>
      </c>
      <c r="CW39" t="s">
        <v>7362</v>
      </c>
      <c r="CX39">
        <v>940100</v>
      </c>
      <c r="DA39">
        <v>0</v>
      </c>
    </row>
    <row r="40" spans="1:105" x14ac:dyDescent="0.3">
      <c r="A40">
        <v>1362</v>
      </c>
      <c r="B40" t="s">
        <v>7371</v>
      </c>
      <c r="C40">
        <v>62</v>
      </c>
      <c r="D40" s="20">
        <v>44947</v>
      </c>
      <c r="E40" t="s">
        <v>7356</v>
      </c>
      <c r="F40" t="s">
        <v>5330</v>
      </c>
      <c r="G40" t="s">
        <v>7357</v>
      </c>
      <c r="H40">
        <v>1</v>
      </c>
      <c r="I40" t="s">
        <v>7358</v>
      </c>
      <c r="J40">
        <v>1</v>
      </c>
      <c r="K40" s="20">
        <v>44947</v>
      </c>
      <c r="L40" s="23">
        <v>2606100</v>
      </c>
      <c r="M40" t="s">
        <v>7359</v>
      </c>
      <c r="N40" t="s">
        <v>7360</v>
      </c>
      <c r="O40">
        <v>0</v>
      </c>
      <c r="P40">
        <v>11781</v>
      </c>
      <c r="Q40">
        <v>414081</v>
      </c>
      <c r="R40">
        <v>0</v>
      </c>
      <c r="S40">
        <v>20230121</v>
      </c>
      <c r="T40">
        <v>0</v>
      </c>
      <c r="U40" t="s">
        <v>7361</v>
      </c>
      <c r="V40" t="s">
        <v>7360</v>
      </c>
      <c r="W40" t="s">
        <v>7360</v>
      </c>
      <c r="X40" t="s">
        <v>7360</v>
      </c>
      <c r="Y40" t="s">
        <v>7360</v>
      </c>
      <c r="Z40" t="s">
        <v>7360</v>
      </c>
      <c r="AA40" t="s">
        <v>7362</v>
      </c>
      <c r="AB40" t="s">
        <v>7360</v>
      </c>
      <c r="AC40" t="s">
        <v>7360</v>
      </c>
      <c r="AD40" t="s">
        <v>7360</v>
      </c>
      <c r="AE40" t="s">
        <v>7360</v>
      </c>
      <c r="AF40" t="s">
        <v>1684</v>
      </c>
      <c r="AG40">
        <v>0</v>
      </c>
      <c r="AH40">
        <v>0</v>
      </c>
      <c r="AI40">
        <v>0</v>
      </c>
      <c r="AJ40">
        <v>0</v>
      </c>
      <c r="AK40">
        <v>0</v>
      </c>
      <c r="AL40" t="s">
        <v>7360</v>
      </c>
      <c r="AM40">
        <v>0</v>
      </c>
      <c r="AN40" s="20">
        <v>44947</v>
      </c>
      <c r="AO40" s="20">
        <v>44947</v>
      </c>
      <c r="AP40" s="20">
        <v>44947</v>
      </c>
      <c r="AQ40">
        <v>0</v>
      </c>
      <c r="AR40">
        <v>0</v>
      </c>
      <c r="AS40">
        <v>0</v>
      </c>
      <c r="AT40">
        <v>0</v>
      </c>
      <c r="AU40">
        <v>0</v>
      </c>
      <c r="AV40" t="s">
        <v>7360</v>
      </c>
      <c r="AW40">
        <v>0</v>
      </c>
      <c r="AX40" t="s">
        <v>7360</v>
      </c>
      <c r="AY40" t="s">
        <v>7363</v>
      </c>
      <c r="BA40">
        <v>0</v>
      </c>
      <c r="BB40" s="20">
        <v>44947</v>
      </c>
      <c r="BC40">
        <v>0</v>
      </c>
      <c r="BD40" t="s">
        <v>7360</v>
      </c>
      <c r="BF40" s="20">
        <v>44947</v>
      </c>
      <c r="BG40">
        <v>0</v>
      </c>
      <c r="BH40" t="s">
        <v>7363</v>
      </c>
      <c r="BJ40" t="s">
        <v>7362</v>
      </c>
      <c r="BK40">
        <v>0</v>
      </c>
      <c r="BL40">
        <v>0</v>
      </c>
      <c r="BM40">
        <v>0</v>
      </c>
      <c r="BN40">
        <v>0</v>
      </c>
      <c r="BO40">
        <v>169</v>
      </c>
      <c r="BP40">
        <v>11</v>
      </c>
      <c r="BQ40">
        <v>1</v>
      </c>
      <c r="BR40" t="s">
        <v>7364</v>
      </c>
      <c r="BS40" t="s">
        <v>7374</v>
      </c>
      <c r="BT40" t="s">
        <v>7360</v>
      </c>
      <c r="BU40" t="s">
        <v>7360</v>
      </c>
      <c r="BV40" t="s">
        <v>7360</v>
      </c>
      <c r="BX40">
        <v>0</v>
      </c>
      <c r="BY40">
        <v>0</v>
      </c>
      <c r="BZ40" t="s">
        <v>7360</v>
      </c>
      <c r="CA40" t="s">
        <v>7360</v>
      </c>
      <c r="CB40">
        <v>3380666</v>
      </c>
      <c r="CC40" s="21">
        <v>44947.799849537034</v>
      </c>
      <c r="CE40" t="s">
        <v>7366</v>
      </c>
      <c r="CF40">
        <v>0</v>
      </c>
      <c r="CG40">
        <v>702002</v>
      </c>
      <c r="CH40">
        <v>702002</v>
      </c>
      <c r="CI40" s="21">
        <v>44947.801770833335</v>
      </c>
      <c r="CJ40" t="s">
        <v>7367</v>
      </c>
      <c r="CK40" t="s">
        <v>7367</v>
      </c>
      <c r="CL40" t="s">
        <v>7368</v>
      </c>
      <c r="CM40" t="s">
        <v>7368</v>
      </c>
      <c r="CS40" t="s">
        <v>7361</v>
      </c>
      <c r="CT40" t="s">
        <v>7362</v>
      </c>
      <c r="CU40" t="s">
        <v>7362</v>
      </c>
      <c r="CV40" t="s">
        <v>7362</v>
      </c>
      <c r="CW40" t="s">
        <v>7362</v>
      </c>
      <c r="CX40">
        <v>2606100</v>
      </c>
      <c r="DA40">
        <v>0</v>
      </c>
    </row>
    <row r="41" spans="1:105" x14ac:dyDescent="0.3">
      <c r="A41">
        <v>1362</v>
      </c>
      <c r="B41" t="s">
        <v>7371</v>
      </c>
      <c r="C41">
        <v>63</v>
      </c>
      <c r="D41" s="20">
        <v>44947</v>
      </c>
      <c r="E41" t="s">
        <v>7356</v>
      </c>
      <c r="F41" t="s">
        <v>5336</v>
      </c>
      <c r="G41" t="s">
        <v>7357</v>
      </c>
      <c r="H41">
        <v>1</v>
      </c>
      <c r="I41" t="s">
        <v>7358</v>
      </c>
      <c r="J41">
        <v>1</v>
      </c>
      <c r="K41" s="20">
        <v>44947</v>
      </c>
      <c r="L41" s="23">
        <v>11792900</v>
      </c>
      <c r="M41" t="s">
        <v>7359</v>
      </c>
      <c r="N41" t="s">
        <v>7360</v>
      </c>
      <c r="O41">
        <v>0</v>
      </c>
      <c r="P41">
        <v>11691</v>
      </c>
      <c r="Q41">
        <v>414009</v>
      </c>
      <c r="R41">
        <v>0</v>
      </c>
      <c r="S41">
        <v>20230121</v>
      </c>
      <c r="T41">
        <v>0</v>
      </c>
      <c r="U41" t="s">
        <v>7361</v>
      </c>
      <c r="V41" t="s">
        <v>7360</v>
      </c>
      <c r="W41" t="s">
        <v>7360</v>
      </c>
      <c r="X41" t="s">
        <v>7360</v>
      </c>
      <c r="Y41" t="s">
        <v>7360</v>
      </c>
      <c r="Z41" t="s">
        <v>7360</v>
      </c>
      <c r="AA41" t="s">
        <v>7362</v>
      </c>
      <c r="AB41" t="s">
        <v>7360</v>
      </c>
      <c r="AC41" t="s">
        <v>7360</v>
      </c>
      <c r="AD41" t="s">
        <v>7360</v>
      </c>
      <c r="AE41" t="s">
        <v>7360</v>
      </c>
      <c r="AF41" t="s">
        <v>1684</v>
      </c>
      <c r="AG41">
        <v>0</v>
      </c>
      <c r="AH41">
        <v>0</v>
      </c>
      <c r="AI41">
        <v>0</v>
      </c>
      <c r="AJ41">
        <v>0</v>
      </c>
      <c r="AK41">
        <v>0</v>
      </c>
      <c r="AL41" t="s">
        <v>7360</v>
      </c>
      <c r="AM41">
        <v>0</v>
      </c>
      <c r="AN41" s="20">
        <v>44947</v>
      </c>
      <c r="AO41" s="20">
        <v>44947</v>
      </c>
      <c r="AP41" s="20">
        <v>44947</v>
      </c>
      <c r="AQ41">
        <v>0</v>
      </c>
      <c r="AR41">
        <v>0</v>
      </c>
      <c r="AS41">
        <v>0</v>
      </c>
      <c r="AT41">
        <v>0</v>
      </c>
      <c r="AU41">
        <v>0</v>
      </c>
      <c r="AV41" t="s">
        <v>7360</v>
      </c>
      <c r="AW41">
        <v>0</v>
      </c>
      <c r="AX41" t="s">
        <v>7360</v>
      </c>
      <c r="AY41" t="s">
        <v>7363</v>
      </c>
      <c r="BA41">
        <v>0</v>
      </c>
      <c r="BB41" s="20">
        <v>44947</v>
      </c>
      <c r="BC41">
        <v>0</v>
      </c>
      <c r="BD41" t="s">
        <v>7360</v>
      </c>
      <c r="BF41" s="20">
        <v>44947</v>
      </c>
      <c r="BG41">
        <v>0</v>
      </c>
      <c r="BH41" t="s">
        <v>7363</v>
      </c>
      <c r="BJ41" t="s">
        <v>7362</v>
      </c>
      <c r="BK41">
        <v>0</v>
      </c>
      <c r="BL41">
        <v>0</v>
      </c>
      <c r="BM41">
        <v>0</v>
      </c>
      <c r="BN41">
        <v>0</v>
      </c>
      <c r="BO41">
        <v>169</v>
      </c>
      <c r="BP41">
        <v>11</v>
      </c>
      <c r="BQ41">
        <v>1</v>
      </c>
      <c r="BR41" t="s">
        <v>7364</v>
      </c>
      <c r="BS41" t="s">
        <v>7374</v>
      </c>
      <c r="BT41" t="s">
        <v>7360</v>
      </c>
      <c r="BU41" t="s">
        <v>7360</v>
      </c>
      <c r="BV41" t="s">
        <v>7360</v>
      </c>
      <c r="BX41">
        <v>0</v>
      </c>
      <c r="BY41">
        <v>0</v>
      </c>
      <c r="BZ41" t="s">
        <v>7360</v>
      </c>
      <c r="CA41" t="s">
        <v>7360</v>
      </c>
      <c r="CB41">
        <v>3380666</v>
      </c>
      <c r="CC41" s="21">
        <v>44947.80505787037</v>
      </c>
      <c r="CE41" t="s">
        <v>7366</v>
      </c>
      <c r="CF41">
        <v>0</v>
      </c>
      <c r="CG41">
        <v>702002</v>
      </c>
      <c r="CH41">
        <v>702002</v>
      </c>
      <c r="CI41" s="21">
        <v>44947.811736111114</v>
      </c>
      <c r="CJ41" t="s">
        <v>7367</v>
      </c>
      <c r="CK41" t="s">
        <v>7367</v>
      </c>
      <c r="CL41" t="s">
        <v>7368</v>
      </c>
      <c r="CM41" t="s">
        <v>7368</v>
      </c>
      <c r="CS41" t="s">
        <v>7361</v>
      </c>
      <c r="CT41" t="s">
        <v>7362</v>
      </c>
      <c r="CU41" t="s">
        <v>7362</v>
      </c>
      <c r="CV41" t="s">
        <v>7362</v>
      </c>
      <c r="CW41" t="s">
        <v>7362</v>
      </c>
      <c r="CX41">
        <v>11792900</v>
      </c>
      <c r="DA41">
        <v>0</v>
      </c>
    </row>
    <row r="42" spans="1:105" x14ac:dyDescent="0.3">
      <c r="A42">
        <v>1361</v>
      </c>
      <c r="B42" t="s">
        <v>7376</v>
      </c>
      <c r="C42">
        <v>64</v>
      </c>
      <c r="D42" s="20">
        <v>44949</v>
      </c>
      <c r="E42" t="s">
        <v>7372</v>
      </c>
      <c r="F42" t="s">
        <v>5341</v>
      </c>
      <c r="G42" t="s">
        <v>7357</v>
      </c>
      <c r="H42">
        <v>1</v>
      </c>
      <c r="I42" t="s">
        <v>7358</v>
      </c>
      <c r="J42">
        <v>1</v>
      </c>
      <c r="K42" s="20">
        <v>44949</v>
      </c>
      <c r="L42" s="23">
        <v>735105</v>
      </c>
      <c r="M42" t="s">
        <v>7359</v>
      </c>
      <c r="N42" t="s">
        <v>7360</v>
      </c>
      <c r="O42">
        <v>0</v>
      </c>
      <c r="P42">
        <v>11730</v>
      </c>
      <c r="Q42">
        <v>414038</v>
      </c>
      <c r="R42">
        <v>0</v>
      </c>
      <c r="S42">
        <v>20230123</v>
      </c>
      <c r="T42">
        <v>0</v>
      </c>
      <c r="U42" t="s">
        <v>7362</v>
      </c>
      <c r="V42" t="s">
        <v>7360</v>
      </c>
      <c r="W42" t="s">
        <v>7360</v>
      </c>
      <c r="X42" t="s">
        <v>7360</v>
      </c>
      <c r="Y42" t="s">
        <v>7360</v>
      </c>
      <c r="Z42" t="s">
        <v>7360</v>
      </c>
      <c r="AA42" t="s">
        <v>7362</v>
      </c>
      <c r="AB42" t="s">
        <v>7360</v>
      </c>
      <c r="AC42" t="s">
        <v>7360</v>
      </c>
      <c r="AD42" t="s">
        <v>7360</v>
      </c>
      <c r="AE42" t="s">
        <v>7360</v>
      </c>
      <c r="AF42" t="s">
        <v>1684</v>
      </c>
      <c r="AG42">
        <v>0</v>
      </c>
      <c r="AH42">
        <v>0</v>
      </c>
      <c r="AI42">
        <v>0</v>
      </c>
      <c r="AJ42">
        <v>0</v>
      </c>
      <c r="AK42">
        <v>0</v>
      </c>
      <c r="AL42" t="s">
        <v>7360</v>
      </c>
      <c r="AM42">
        <v>0</v>
      </c>
      <c r="AN42" s="20">
        <v>44949</v>
      </c>
      <c r="AO42" s="20">
        <v>44949</v>
      </c>
      <c r="AP42" s="20">
        <v>44949</v>
      </c>
      <c r="AQ42">
        <v>0</v>
      </c>
      <c r="AR42">
        <v>0</v>
      </c>
      <c r="AS42">
        <v>0</v>
      </c>
      <c r="AT42">
        <v>0</v>
      </c>
      <c r="AU42">
        <v>0</v>
      </c>
      <c r="AV42" t="s">
        <v>7360</v>
      </c>
      <c r="AW42">
        <v>0</v>
      </c>
      <c r="AX42" t="s">
        <v>7360</v>
      </c>
      <c r="AY42" t="s">
        <v>7362</v>
      </c>
      <c r="BA42">
        <v>0</v>
      </c>
      <c r="BB42" s="20">
        <v>44949</v>
      </c>
      <c r="BC42">
        <v>0</v>
      </c>
      <c r="BD42" t="s">
        <v>7360</v>
      </c>
      <c r="BF42" s="20">
        <v>44949</v>
      </c>
      <c r="BG42">
        <v>0</v>
      </c>
      <c r="BH42" t="s">
        <v>7363</v>
      </c>
      <c r="BJ42" t="s">
        <v>7362</v>
      </c>
      <c r="BK42">
        <v>0</v>
      </c>
      <c r="BL42">
        <v>0</v>
      </c>
      <c r="BM42">
        <v>0</v>
      </c>
      <c r="BN42">
        <v>0</v>
      </c>
      <c r="BO42">
        <v>169</v>
      </c>
      <c r="BP42">
        <v>11</v>
      </c>
      <c r="BQ42">
        <v>1</v>
      </c>
      <c r="BR42" t="s">
        <v>7364</v>
      </c>
      <c r="BS42" t="s">
        <v>7387</v>
      </c>
      <c r="BT42" t="s">
        <v>7360</v>
      </c>
      <c r="BU42" t="s">
        <v>7360</v>
      </c>
      <c r="BV42" t="s">
        <v>7360</v>
      </c>
      <c r="BX42">
        <v>0</v>
      </c>
      <c r="BY42">
        <v>0</v>
      </c>
      <c r="BZ42" t="s">
        <v>7360</v>
      </c>
      <c r="CA42" t="s">
        <v>7360</v>
      </c>
      <c r="CB42">
        <v>3380666</v>
      </c>
      <c r="CC42" s="21">
        <v>44949.478842592594</v>
      </c>
      <c r="CE42" t="s">
        <v>7366</v>
      </c>
      <c r="CF42">
        <v>0</v>
      </c>
      <c r="CG42">
        <v>702002</v>
      </c>
      <c r="CH42">
        <v>702002</v>
      </c>
      <c r="CI42" s="21">
        <v>44949.480798611112</v>
      </c>
      <c r="CJ42" t="s">
        <v>7367</v>
      </c>
      <c r="CK42" t="s">
        <v>7367</v>
      </c>
      <c r="CL42" t="s">
        <v>7368</v>
      </c>
      <c r="CM42" t="s">
        <v>7368</v>
      </c>
      <c r="CS42" t="s">
        <v>7361</v>
      </c>
      <c r="CT42" t="s">
        <v>7362</v>
      </c>
      <c r="CU42" t="s">
        <v>7362</v>
      </c>
      <c r="CV42" t="s">
        <v>7362</v>
      </c>
      <c r="CW42" t="s">
        <v>7362</v>
      </c>
      <c r="CX42">
        <v>735105</v>
      </c>
      <c r="DA42">
        <v>0</v>
      </c>
    </row>
    <row r="43" spans="1:105" x14ac:dyDescent="0.3">
      <c r="A43">
        <v>1361</v>
      </c>
      <c r="B43" t="s">
        <v>7376</v>
      </c>
      <c r="C43">
        <v>65</v>
      </c>
      <c r="D43" s="20">
        <v>44949</v>
      </c>
      <c r="E43" t="s">
        <v>7372</v>
      </c>
      <c r="F43" t="s">
        <v>5346</v>
      </c>
      <c r="G43" t="s">
        <v>7357</v>
      </c>
      <c r="H43">
        <v>1</v>
      </c>
      <c r="I43" t="s">
        <v>7358</v>
      </c>
      <c r="J43">
        <v>1</v>
      </c>
      <c r="K43" s="20">
        <v>44949</v>
      </c>
      <c r="L43" s="23">
        <v>735105</v>
      </c>
      <c r="M43" t="s">
        <v>7359</v>
      </c>
      <c r="N43" t="s">
        <v>7360</v>
      </c>
      <c r="O43">
        <v>0</v>
      </c>
      <c r="P43">
        <v>11731</v>
      </c>
      <c r="Q43">
        <v>414039</v>
      </c>
      <c r="R43">
        <v>0</v>
      </c>
      <c r="S43">
        <v>20230123</v>
      </c>
      <c r="T43">
        <v>0</v>
      </c>
      <c r="U43" t="s">
        <v>7362</v>
      </c>
      <c r="V43" t="s">
        <v>7360</v>
      </c>
      <c r="W43" t="s">
        <v>7360</v>
      </c>
      <c r="X43" t="s">
        <v>7360</v>
      </c>
      <c r="Y43" t="s">
        <v>7360</v>
      </c>
      <c r="Z43" t="s">
        <v>7360</v>
      </c>
      <c r="AA43" t="s">
        <v>7362</v>
      </c>
      <c r="AB43" t="s">
        <v>7360</v>
      </c>
      <c r="AC43" t="s">
        <v>7360</v>
      </c>
      <c r="AD43" t="s">
        <v>7360</v>
      </c>
      <c r="AE43" t="s">
        <v>7360</v>
      </c>
      <c r="AF43" t="s">
        <v>1684</v>
      </c>
      <c r="AG43">
        <v>0</v>
      </c>
      <c r="AH43">
        <v>0</v>
      </c>
      <c r="AI43">
        <v>0</v>
      </c>
      <c r="AJ43">
        <v>0</v>
      </c>
      <c r="AK43">
        <v>0</v>
      </c>
      <c r="AL43" t="s">
        <v>7360</v>
      </c>
      <c r="AM43">
        <v>0</v>
      </c>
      <c r="AN43" s="20">
        <v>44949</v>
      </c>
      <c r="AO43" s="20">
        <v>44949</v>
      </c>
      <c r="AP43" s="20">
        <v>44949</v>
      </c>
      <c r="AQ43">
        <v>0</v>
      </c>
      <c r="AR43">
        <v>0</v>
      </c>
      <c r="AS43">
        <v>0</v>
      </c>
      <c r="AT43">
        <v>0</v>
      </c>
      <c r="AU43">
        <v>0</v>
      </c>
      <c r="AV43" t="s">
        <v>7360</v>
      </c>
      <c r="AW43">
        <v>0</v>
      </c>
      <c r="AX43" t="s">
        <v>7360</v>
      </c>
      <c r="AY43" t="s">
        <v>7362</v>
      </c>
      <c r="BA43">
        <v>0</v>
      </c>
      <c r="BB43" s="20">
        <v>44949</v>
      </c>
      <c r="BC43">
        <v>0</v>
      </c>
      <c r="BD43" t="s">
        <v>7360</v>
      </c>
      <c r="BF43" s="20">
        <v>44949</v>
      </c>
      <c r="BG43">
        <v>0</v>
      </c>
      <c r="BH43" t="s">
        <v>7363</v>
      </c>
      <c r="BJ43" t="s">
        <v>7362</v>
      </c>
      <c r="BK43">
        <v>0</v>
      </c>
      <c r="BL43">
        <v>0</v>
      </c>
      <c r="BM43">
        <v>0</v>
      </c>
      <c r="BN43">
        <v>0</v>
      </c>
      <c r="BO43">
        <v>169</v>
      </c>
      <c r="BP43">
        <v>11</v>
      </c>
      <c r="BQ43">
        <v>1</v>
      </c>
      <c r="BR43" t="s">
        <v>7364</v>
      </c>
      <c r="BS43" t="s">
        <v>7387</v>
      </c>
      <c r="BT43" t="s">
        <v>7360</v>
      </c>
      <c r="BU43" t="s">
        <v>7360</v>
      </c>
      <c r="BV43" t="s">
        <v>7360</v>
      </c>
      <c r="BX43">
        <v>0</v>
      </c>
      <c r="BY43">
        <v>0</v>
      </c>
      <c r="BZ43" t="s">
        <v>7360</v>
      </c>
      <c r="CA43" t="s">
        <v>7360</v>
      </c>
      <c r="CB43">
        <v>3380666</v>
      </c>
      <c r="CC43" s="21">
        <v>44949.485763888886</v>
      </c>
      <c r="CE43" t="s">
        <v>7366</v>
      </c>
      <c r="CF43">
        <v>0</v>
      </c>
      <c r="CG43">
        <v>702002</v>
      </c>
      <c r="CH43">
        <v>702002</v>
      </c>
      <c r="CI43" s="21">
        <v>44949.486990740741</v>
      </c>
      <c r="CJ43" t="s">
        <v>7367</v>
      </c>
      <c r="CK43" t="s">
        <v>7367</v>
      </c>
      <c r="CL43" t="s">
        <v>7368</v>
      </c>
      <c r="CM43" t="s">
        <v>7368</v>
      </c>
      <c r="CS43" t="s">
        <v>7361</v>
      </c>
      <c r="CT43" t="s">
        <v>7362</v>
      </c>
      <c r="CU43" t="s">
        <v>7362</v>
      </c>
      <c r="CV43" t="s">
        <v>7362</v>
      </c>
      <c r="CW43" t="s">
        <v>7362</v>
      </c>
      <c r="CX43">
        <v>735105</v>
      </c>
      <c r="DA43">
        <v>0</v>
      </c>
    </row>
    <row r="44" spans="1:105" x14ac:dyDescent="0.3">
      <c r="A44">
        <v>1354</v>
      </c>
      <c r="B44" t="s">
        <v>7396</v>
      </c>
      <c r="C44">
        <v>269</v>
      </c>
      <c r="D44" s="20">
        <v>44964</v>
      </c>
      <c r="E44" t="s">
        <v>7372</v>
      </c>
      <c r="F44" t="s">
        <v>5352</v>
      </c>
      <c r="G44" t="s">
        <v>7370</v>
      </c>
      <c r="H44">
        <v>1</v>
      </c>
      <c r="I44" t="s">
        <v>7358</v>
      </c>
      <c r="J44">
        <v>1</v>
      </c>
      <c r="K44" s="20">
        <v>44965</v>
      </c>
      <c r="L44" s="23">
        <v>15000000</v>
      </c>
      <c r="M44" t="s">
        <v>7359</v>
      </c>
      <c r="N44" t="s">
        <v>7360</v>
      </c>
      <c r="O44">
        <v>0</v>
      </c>
      <c r="P44">
        <v>12053</v>
      </c>
      <c r="Q44">
        <v>419005</v>
      </c>
      <c r="R44">
        <v>0</v>
      </c>
      <c r="S44">
        <v>20230207</v>
      </c>
      <c r="T44">
        <v>0</v>
      </c>
      <c r="U44" t="s">
        <v>7362</v>
      </c>
      <c r="V44" t="s">
        <v>7360</v>
      </c>
      <c r="W44" t="s">
        <v>7360</v>
      </c>
      <c r="X44" t="s">
        <v>7360</v>
      </c>
      <c r="Y44" t="s">
        <v>7360</v>
      </c>
      <c r="Z44" t="s">
        <v>7360</v>
      </c>
      <c r="AA44" t="s">
        <v>7362</v>
      </c>
      <c r="AB44" t="s">
        <v>7360</v>
      </c>
      <c r="AC44" t="s">
        <v>7360</v>
      </c>
      <c r="AD44" t="s">
        <v>7360</v>
      </c>
      <c r="AE44" t="s">
        <v>7360</v>
      </c>
      <c r="AF44" t="s">
        <v>1684</v>
      </c>
      <c r="AG44">
        <v>0</v>
      </c>
      <c r="AH44">
        <v>0</v>
      </c>
      <c r="AI44">
        <v>0</v>
      </c>
      <c r="AJ44">
        <v>0</v>
      </c>
      <c r="AK44">
        <v>0</v>
      </c>
      <c r="AL44" t="s">
        <v>7360</v>
      </c>
      <c r="AM44">
        <v>0</v>
      </c>
      <c r="AN44" s="20">
        <v>44965</v>
      </c>
      <c r="AO44" s="20">
        <v>44965</v>
      </c>
      <c r="AP44" s="20">
        <v>44965</v>
      </c>
      <c r="AQ44">
        <v>0</v>
      </c>
      <c r="AR44">
        <v>0</v>
      </c>
      <c r="AS44">
        <v>0</v>
      </c>
      <c r="AT44">
        <v>0</v>
      </c>
      <c r="AU44">
        <v>0</v>
      </c>
      <c r="AV44" t="s">
        <v>7360</v>
      </c>
      <c r="AW44">
        <v>0</v>
      </c>
      <c r="AX44" t="s">
        <v>7360</v>
      </c>
      <c r="AY44" t="s">
        <v>7373</v>
      </c>
      <c r="BA44">
        <v>0</v>
      </c>
      <c r="BB44" s="20">
        <v>44965</v>
      </c>
      <c r="BC44">
        <v>0</v>
      </c>
      <c r="BD44" t="s">
        <v>7360</v>
      </c>
      <c r="BF44" s="20">
        <v>44965</v>
      </c>
      <c r="BG44">
        <v>0</v>
      </c>
      <c r="BH44" t="s">
        <v>7363</v>
      </c>
      <c r="BJ44" t="s">
        <v>7362</v>
      </c>
      <c r="BK44">
        <v>0</v>
      </c>
      <c r="BL44">
        <v>0</v>
      </c>
      <c r="BM44">
        <v>0</v>
      </c>
      <c r="BN44">
        <v>0</v>
      </c>
      <c r="BO44">
        <v>169</v>
      </c>
      <c r="BP44">
        <v>11</v>
      </c>
      <c r="BQ44">
        <v>1</v>
      </c>
      <c r="BR44" t="s">
        <v>7364</v>
      </c>
      <c r="BS44" t="s">
        <v>7374</v>
      </c>
      <c r="BT44" t="s">
        <v>7360</v>
      </c>
      <c r="BU44" t="s">
        <v>7360</v>
      </c>
      <c r="BV44" t="s">
        <v>7360</v>
      </c>
      <c r="BX44">
        <v>0</v>
      </c>
      <c r="BY44">
        <v>0</v>
      </c>
      <c r="BZ44" t="s">
        <v>7360</v>
      </c>
      <c r="CA44" t="s">
        <v>7360</v>
      </c>
      <c r="CB44">
        <v>3380666</v>
      </c>
      <c r="CC44" s="21">
        <v>44949.524814814817</v>
      </c>
      <c r="CE44" t="s">
        <v>7366</v>
      </c>
      <c r="CF44">
        <v>0</v>
      </c>
      <c r="CG44">
        <v>702002</v>
      </c>
      <c r="CH44">
        <v>702002</v>
      </c>
      <c r="CI44" s="21">
        <v>44949.527129629627</v>
      </c>
      <c r="CJ44" t="s">
        <v>7367</v>
      </c>
      <c r="CK44" t="s">
        <v>7367</v>
      </c>
      <c r="CL44" t="s">
        <v>7368</v>
      </c>
      <c r="CM44" t="s">
        <v>7368</v>
      </c>
      <c r="CS44" t="s">
        <v>7361</v>
      </c>
      <c r="CT44" t="s">
        <v>7362</v>
      </c>
      <c r="CU44" t="s">
        <v>7362</v>
      </c>
      <c r="CV44" t="s">
        <v>7362</v>
      </c>
      <c r="CW44" t="s">
        <v>7362</v>
      </c>
      <c r="CX44">
        <v>3750</v>
      </c>
      <c r="DA44">
        <v>0</v>
      </c>
    </row>
    <row r="45" spans="1:105" x14ac:dyDescent="0.3">
      <c r="A45">
        <v>1375</v>
      </c>
      <c r="B45" t="s">
        <v>7399</v>
      </c>
      <c r="C45">
        <v>692</v>
      </c>
      <c r="D45" s="20">
        <v>45001</v>
      </c>
      <c r="E45" t="s">
        <v>7356</v>
      </c>
      <c r="F45" t="s">
        <v>5357</v>
      </c>
      <c r="G45" t="s">
        <v>7357</v>
      </c>
      <c r="H45">
        <v>1</v>
      </c>
      <c r="I45" t="s">
        <v>7358</v>
      </c>
      <c r="J45">
        <v>1</v>
      </c>
      <c r="K45" s="20">
        <v>45001</v>
      </c>
      <c r="L45" s="23">
        <v>15025426</v>
      </c>
      <c r="M45" t="s">
        <v>7359</v>
      </c>
      <c r="N45" t="s">
        <v>7360</v>
      </c>
      <c r="O45">
        <v>0</v>
      </c>
      <c r="P45">
        <v>13040</v>
      </c>
      <c r="Q45">
        <v>453061</v>
      </c>
      <c r="R45">
        <v>0</v>
      </c>
      <c r="S45">
        <v>20230316</v>
      </c>
      <c r="T45">
        <v>0</v>
      </c>
      <c r="U45" t="s">
        <v>7361</v>
      </c>
      <c r="V45" t="s">
        <v>7360</v>
      </c>
      <c r="W45" t="s">
        <v>7360</v>
      </c>
      <c r="X45" t="s">
        <v>7360</v>
      </c>
      <c r="Y45" t="s">
        <v>7360</v>
      </c>
      <c r="Z45" t="s">
        <v>7360</v>
      </c>
      <c r="AA45" t="s">
        <v>7362</v>
      </c>
      <c r="AB45" t="s">
        <v>7360</v>
      </c>
      <c r="AC45" t="s">
        <v>7360</v>
      </c>
      <c r="AD45" t="s">
        <v>7360</v>
      </c>
      <c r="AE45" t="s">
        <v>7360</v>
      </c>
      <c r="AF45" t="s">
        <v>1684</v>
      </c>
      <c r="AG45">
        <v>0</v>
      </c>
      <c r="AH45">
        <v>0</v>
      </c>
      <c r="AI45">
        <v>0</v>
      </c>
      <c r="AJ45">
        <v>0</v>
      </c>
      <c r="AK45">
        <v>0</v>
      </c>
      <c r="AL45" t="s">
        <v>7360</v>
      </c>
      <c r="AM45">
        <v>0</v>
      </c>
      <c r="AN45" s="20">
        <v>45001</v>
      </c>
      <c r="AO45" s="20">
        <v>45001</v>
      </c>
      <c r="AP45" s="20">
        <v>45001</v>
      </c>
      <c r="AQ45">
        <v>0</v>
      </c>
      <c r="AR45">
        <v>0</v>
      </c>
      <c r="AS45">
        <v>0</v>
      </c>
      <c r="AT45">
        <v>0</v>
      </c>
      <c r="AU45">
        <v>0</v>
      </c>
      <c r="AV45" t="s">
        <v>7360</v>
      </c>
      <c r="AW45">
        <v>0</v>
      </c>
      <c r="AX45" t="s">
        <v>7360</v>
      </c>
      <c r="AY45" t="s">
        <v>7363</v>
      </c>
      <c r="BA45">
        <v>0</v>
      </c>
      <c r="BB45" s="20">
        <v>45001</v>
      </c>
      <c r="BC45">
        <v>0</v>
      </c>
      <c r="BD45" t="s">
        <v>7360</v>
      </c>
      <c r="BF45" s="20">
        <v>45001</v>
      </c>
      <c r="BG45">
        <v>0</v>
      </c>
      <c r="BH45" t="s">
        <v>7363</v>
      </c>
      <c r="BJ45" t="s">
        <v>7362</v>
      </c>
      <c r="BK45">
        <v>0</v>
      </c>
      <c r="BL45">
        <v>0</v>
      </c>
      <c r="BM45">
        <v>0</v>
      </c>
      <c r="BN45">
        <v>0</v>
      </c>
      <c r="BO45">
        <v>169</v>
      </c>
      <c r="BP45">
        <v>11</v>
      </c>
      <c r="BQ45">
        <v>1</v>
      </c>
      <c r="BR45" t="s">
        <v>7364</v>
      </c>
      <c r="BS45" t="s">
        <v>7365</v>
      </c>
      <c r="BT45" t="s">
        <v>7360</v>
      </c>
      <c r="BU45" t="s">
        <v>7360</v>
      </c>
      <c r="BV45" t="s">
        <v>7360</v>
      </c>
      <c r="BX45">
        <v>0</v>
      </c>
      <c r="BY45">
        <v>0</v>
      </c>
      <c r="BZ45" t="s">
        <v>7360</v>
      </c>
      <c r="CA45" t="s">
        <v>7360</v>
      </c>
      <c r="CB45">
        <v>3380666</v>
      </c>
      <c r="CC45" s="21">
        <v>44949.593229166669</v>
      </c>
      <c r="CE45" t="s">
        <v>7366</v>
      </c>
      <c r="CF45">
        <v>0</v>
      </c>
      <c r="CG45">
        <v>702002</v>
      </c>
      <c r="CH45">
        <v>702002</v>
      </c>
      <c r="CI45" s="21">
        <v>44952.721400462964</v>
      </c>
      <c r="CJ45" t="s">
        <v>7367</v>
      </c>
      <c r="CK45" t="s">
        <v>7367</v>
      </c>
      <c r="CL45" t="s">
        <v>7368</v>
      </c>
      <c r="CM45" t="s">
        <v>7368</v>
      </c>
      <c r="CS45" t="s">
        <v>7361</v>
      </c>
      <c r="CT45" t="s">
        <v>7362</v>
      </c>
      <c r="CU45" t="s">
        <v>7362</v>
      </c>
      <c r="CV45" t="s">
        <v>7362</v>
      </c>
      <c r="CW45" t="s">
        <v>7362</v>
      </c>
      <c r="CX45">
        <v>26474255</v>
      </c>
      <c r="DA45">
        <v>0</v>
      </c>
    </row>
    <row r="46" spans="1:105" x14ac:dyDescent="0.3">
      <c r="A46">
        <v>1354</v>
      </c>
      <c r="B46" t="s">
        <v>7396</v>
      </c>
      <c r="C46">
        <v>68</v>
      </c>
      <c r="D46" s="20">
        <v>44949</v>
      </c>
      <c r="E46" t="s">
        <v>7356</v>
      </c>
      <c r="F46" t="s">
        <v>5362</v>
      </c>
      <c r="G46" t="s">
        <v>7370</v>
      </c>
      <c r="H46">
        <v>1</v>
      </c>
      <c r="I46" t="s">
        <v>7358</v>
      </c>
      <c r="J46">
        <v>1</v>
      </c>
      <c r="K46" s="20">
        <v>44949</v>
      </c>
      <c r="L46" s="23">
        <v>888000</v>
      </c>
      <c r="M46" t="s">
        <v>7359</v>
      </c>
      <c r="N46" t="s">
        <v>7360</v>
      </c>
      <c r="O46">
        <v>0</v>
      </c>
      <c r="P46">
        <v>11760</v>
      </c>
      <c r="Q46">
        <v>414062</v>
      </c>
      <c r="R46">
        <v>0</v>
      </c>
      <c r="S46">
        <v>20230123</v>
      </c>
      <c r="T46">
        <v>0</v>
      </c>
      <c r="U46" t="s">
        <v>7361</v>
      </c>
      <c r="V46" t="s">
        <v>7360</v>
      </c>
      <c r="W46" t="s">
        <v>7360</v>
      </c>
      <c r="X46" t="s">
        <v>7360</v>
      </c>
      <c r="Y46" t="s">
        <v>7360</v>
      </c>
      <c r="Z46" t="s">
        <v>7360</v>
      </c>
      <c r="AA46" t="s">
        <v>7362</v>
      </c>
      <c r="AB46" t="s">
        <v>7360</v>
      </c>
      <c r="AC46" t="s">
        <v>7360</v>
      </c>
      <c r="AD46" t="s">
        <v>7360</v>
      </c>
      <c r="AE46" t="s">
        <v>7360</v>
      </c>
      <c r="AF46" t="s">
        <v>1684</v>
      </c>
      <c r="AG46">
        <v>0</v>
      </c>
      <c r="AH46">
        <v>0</v>
      </c>
      <c r="AI46">
        <v>0</v>
      </c>
      <c r="AJ46">
        <v>0</v>
      </c>
      <c r="AK46">
        <v>0</v>
      </c>
      <c r="AL46" t="s">
        <v>7360</v>
      </c>
      <c r="AM46">
        <v>0</v>
      </c>
      <c r="AN46" s="20">
        <v>44949</v>
      </c>
      <c r="AO46" s="20">
        <v>44949</v>
      </c>
      <c r="AP46" s="20">
        <v>44949</v>
      </c>
      <c r="AQ46">
        <v>0</v>
      </c>
      <c r="AR46">
        <v>0</v>
      </c>
      <c r="AS46">
        <v>0</v>
      </c>
      <c r="AT46">
        <v>0</v>
      </c>
      <c r="AU46">
        <v>0</v>
      </c>
      <c r="AV46" t="s">
        <v>7360</v>
      </c>
      <c r="AW46">
        <v>0</v>
      </c>
      <c r="AX46" t="s">
        <v>7360</v>
      </c>
      <c r="AY46" t="s">
        <v>7363</v>
      </c>
      <c r="BA46">
        <v>0</v>
      </c>
      <c r="BB46" s="20">
        <v>44949</v>
      </c>
      <c r="BC46">
        <v>0</v>
      </c>
      <c r="BD46" t="s">
        <v>7360</v>
      </c>
      <c r="BF46" s="20">
        <v>44949</v>
      </c>
      <c r="BG46">
        <v>0</v>
      </c>
      <c r="BH46" t="s">
        <v>7363</v>
      </c>
      <c r="BJ46" t="s">
        <v>7362</v>
      </c>
      <c r="BK46">
        <v>169</v>
      </c>
      <c r="BL46">
        <v>11</v>
      </c>
      <c r="BM46">
        <v>1</v>
      </c>
      <c r="BN46" t="s">
        <v>7364</v>
      </c>
      <c r="BO46">
        <v>169</v>
      </c>
      <c r="BP46">
        <v>11</v>
      </c>
      <c r="BQ46">
        <v>1</v>
      </c>
      <c r="BR46" t="s">
        <v>7364</v>
      </c>
      <c r="BS46" t="s">
        <v>132</v>
      </c>
      <c r="BT46" t="s">
        <v>7360</v>
      </c>
      <c r="BU46" t="s">
        <v>7360</v>
      </c>
      <c r="BV46" t="s">
        <v>7360</v>
      </c>
      <c r="BX46" t="s">
        <v>7391</v>
      </c>
      <c r="BY46">
        <v>74</v>
      </c>
      <c r="BZ46" t="s">
        <v>7360</v>
      </c>
      <c r="CA46" t="s">
        <v>7360</v>
      </c>
      <c r="CB46">
        <v>5558210</v>
      </c>
      <c r="CC46" s="21">
        <v>44949.61577546296</v>
      </c>
      <c r="CE46" t="s">
        <v>7392</v>
      </c>
      <c r="CF46">
        <v>1100101</v>
      </c>
      <c r="CG46">
        <v>53575</v>
      </c>
      <c r="CH46">
        <v>53575</v>
      </c>
      <c r="CI46" s="21">
        <v>44949.619849537034</v>
      </c>
      <c r="CJ46" t="s">
        <v>7393</v>
      </c>
      <c r="CK46" t="s">
        <v>7393</v>
      </c>
      <c r="CL46" t="s">
        <v>7394</v>
      </c>
      <c r="CM46" t="s">
        <v>7394</v>
      </c>
      <c r="CS46" t="s">
        <v>7361</v>
      </c>
      <c r="CT46" t="s">
        <v>7362</v>
      </c>
      <c r="CU46" t="s">
        <v>7362</v>
      </c>
      <c r="CV46" t="s">
        <v>7362</v>
      </c>
      <c r="CW46" t="s">
        <v>7362</v>
      </c>
      <c r="CX46">
        <v>888000</v>
      </c>
      <c r="DA46">
        <v>0</v>
      </c>
    </row>
    <row r="47" spans="1:105" x14ac:dyDescent="0.3">
      <c r="A47">
        <v>1354</v>
      </c>
      <c r="B47" t="s">
        <v>7396</v>
      </c>
      <c r="C47">
        <v>69</v>
      </c>
      <c r="D47" s="20">
        <v>44949</v>
      </c>
      <c r="E47" t="s">
        <v>7356</v>
      </c>
      <c r="F47" t="s">
        <v>5368</v>
      </c>
      <c r="G47" t="s">
        <v>7370</v>
      </c>
      <c r="H47">
        <v>1</v>
      </c>
      <c r="I47" t="s">
        <v>7358</v>
      </c>
      <c r="J47">
        <v>1</v>
      </c>
      <c r="K47" s="20">
        <v>44949</v>
      </c>
      <c r="L47" s="23">
        <v>480000</v>
      </c>
      <c r="M47" t="s">
        <v>7359</v>
      </c>
      <c r="N47" t="s">
        <v>7360</v>
      </c>
      <c r="O47">
        <v>0</v>
      </c>
      <c r="P47">
        <v>11762</v>
      </c>
      <c r="Q47">
        <v>414063</v>
      </c>
      <c r="R47">
        <v>0</v>
      </c>
      <c r="S47">
        <v>20230123</v>
      </c>
      <c r="T47">
        <v>0</v>
      </c>
      <c r="U47" t="s">
        <v>7361</v>
      </c>
      <c r="V47" t="s">
        <v>7360</v>
      </c>
      <c r="W47" t="s">
        <v>7360</v>
      </c>
      <c r="X47" t="s">
        <v>7360</v>
      </c>
      <c r="Y47" t="s">
        <v>7360</v>
      </c>
      <c r="Z47" t="s">
        <v>7360</v>
      </c>
      <c r="AA47" t="s">
        <v>7362</v>
      </c>
      <c r="AB47" t="s">
        <v>7360</v>
      </c>
      <c r="AC47" t="s">
        <v>7360</v>
      </c>
      <c r="AD47" t="s">
        <v>7360</v>
      </c>
      <c r="AE47" t="s">
        <v>7360</v>
      </c>
      <c r="AF47" t="s">
        <v>1684</v>
      </c>
      <c r="AG47">
        <v>0</v>
      </c>
      <c r="AH47">
        <v>0</v>
      </c>
      <c r="AI47">
        <v>0</v>
      </c>
      <c r="AJ47">
        <v>0</v>
      </c>
      <c r="AK47">
        <v>0</v>
      </c>
      <c r="AL47" t="s">
        <v>7360</v>
      </c>
      <c r="AM47">
        <v>0</v>
      </c>
      <c r="AN47" s="20">
        <v>44949</v>
      </c>
      <c r="AO47" s="20">
        <v>44949</v>
      </c>
      <c r="AP47" s="20">
        <v>44949</v>
      </c>
      <c r="AQ47">
        <v>0</v>
      </c>
      <c r="AR47">
        <v>0</v>
      </c>
      <c r="AS47">
        <v>0</v>
      </c>
      <c r="AT47">
        <v>0</v>
      </c>
      <c r="AU47">
        <v>0</v>
      </c>
      <c r="AV47" t="s">
        <v>7360</v>
      </c>
      <c r="AW47">
        <v>0</v>
      </c>
      <c r="AX47" t="s">
        <v>7360</v>
      </c>
      <c r="AY47" t="s">
        <v>7363</v>
      </c>
      <c r="BA47">
        <v>0</v>
      </c>
      <c r="BB47" s="20">
        <v>44949</v>
      </c>
      <c r="BC47">
        <v>0</v>
      </c>
      <c r="BD47" t="s">
        <v>7360</v>
      </c>
      <c r="BF47" s="20">
        <v>44949</v>
      </c>
      <c r="BG47">
        <v>0</v>
      </c>
      <c r="BH47" t="s">
        <v>7363</v>
      </c>
      <c r="BJ47" t="s">
        <v>7362</v>
      </c>
      <c r="BK47">
        <v>169</v>
      </c>
      <c r="BL47">
        <v>11</v>
      </c>
      <c r="BM47">
        <v>1</v>
      </c>
      <c r="BN47" t="s">
        <v>7364</v>
      </c>
      <c r="BO47">
        <v>169</v>
      </c>
      <c r="BP47">
        <v>11</v>
      </c>
      <c r="BQ47">
        <v>1</v>
      </c>
      <c r="BR47" t="s">
        <v>7364</v>
      </c>
      <c r="BS47" t="s">
        <v>132</v>
      </c>
      <c r="BT47" t="s">
        <v>7360</v>
      </c>
      <c r="BU47" t="s">
        <v>7360</v>
      </c>
      <c r="BV47" t="s">
        <v>7360</v>
      </c>
      <c r="BX47" t="s">
        <v>7391</v>
      </c>
      <c r="BY47">
        <v>74</v>
      </c>
      <c r="BZ47" t="s">
        <v>7360</v>
      </c>
      <c r="CA47" t="s">
        <v>7360</v>
      </c>
      <c r="CB47">
        <v>5558210</v>
      </c>
      <c r="CC47" s="21">
        <v>44949.653773148151</v>
      </c>
      <c r="CE47" t="s">
        <v>7392</v>
      </c>
      <c r="CF47">
        <v>1100101</v>
      </c>
      <c r="CG47">
        <v>53575</v>
      </c>
      <c r="CH47">
        <v>53575</v>
      </c>
      <c r="CI47" s="21">
        <v>44949.655243055553</v>
      </c>
      <c r="CJ47" t="s">
        <v>7393</v>
      </c>
      <c r="CK47" t="s">
        <v>7393</v>
      </c>
      <c r="CL47" t="s">
        <v>7394</v>
      </c>
      <c r="CM47" t="s">
        <v>7394</v>
      </c>
      <c r="CS47" t="s">
        <v>7361</v>
      </c>
      <c r="CT47" t="s">
        <v>7362</v>
      </c>
      <c r="CU47" t="s">
        <v>7362</v>
      </c>
      <c r="CV47" t="s">
        <v>7362</v>
      </c>
      <c r="CW47" t="s">
        <v>7362</v>
      </c>
      <c r="CX47">
        <v>480000</v>
      </c>
      <c r="DA47">
        <v>0</v>
      </c>
    </row>
    <row r="48" spans="1:105" x14ac:dyDescent="0.3">
      <c r="A48">
        <v>1362</v>
      </c>
      <c r="B48" t="s">
        <v>7371</v>
      </c>
      <c r="C48">
        <v>70</v>
      </c>
      <c r="D48" s="20">
        <v>44950</v>
      </c>
      <c r="E48" t="s">
        <v>7356</v>
      </c>
      <c r="F48" t="s">
        <v>5373</v>
      </c>
      <c r="G48" t="s">
        <v>7357</v>
      </c>
      <c r="H48">
        <v>1</v>
      </c>
      <c r="I48" t="s">
        <v>7358</v>
      </c>
      <c r="J48">
        <v>1</v>
      </c>
      <c r="K48" s="20">
        <v>44950</v>
      </c>
      <c r="L48" s="23">
        <v>856564</v>
      </c>
      <c r="M48" t="s">
        <v>7359</v>
      </c>
      <c r="N48" t="s">
        <v>7360</v>
      </c>
      <c r="O48">
        <v>0</v>
      </c>
      <c r="P48">
        <v>11863</v>
      </c>
      <c r="Q48">
        <v>416037</v>
      </c>
      <c r="R48">
        <v>0</v>
      </c>
      <c r="S48">
        <v>20230124</v>
      </c>
      <c r="T48">
        <v>0</v>
      </c>
      <c r="U48" t="s">
        <v>7361</v>
      </c>
      <c r="V48" t="s">
        <v>7360</v>
      </c>
      <c r="W48" t="s">
        <v>7360</v>
      </c>
      <c r="X48" t="s">
        <v>7360</v>
      </c>
      <c r="Y48" t="s">
        <v>7360</v>
      </c>
      <c r="Z48" t="s">
        <v>7360</v>
      </c>
      <c r="AA48" t="s">
        <v>7362</v>
      </c>
      <c r="AB48" t="s">
        <v>7360</v>
      </c>
      <c r="AC48" t="s">
        <v>7360</v>
      </c>
      <c r="AD48" t="s">
        <v>7360</v>
      </c>
      <c r="AE48" t="s">
        <v>7360</v>
      </c>
      <c r="AF48" t="s">
        <v>1684</v>
      </c>
      <c r="AG48">
        <v>0</v>
      </c>
      <c r="AH48">
        <v>0</v>
      </c>
      <c r="AI48">
        <v>0</v>
      </c>
      <c r="AJ48">
        <v>0</v>
      </c>
      <c r="AK48">
        <v>0</v>
      </c>
      <c r="AL48" t="s">
        <v>7360</v>
      </c>
      <c r="AM48">
        <v>0</v>
      </c>
      <c r="AN48" s="20">
        <v>44950</v>
      </c>
      <c r="AO48" s="20">
        <v>44950</v>
      </c>
      <c r="AP48" s="20">
        <v>44950</v>
      </c>
      <c r="AQ48">
        <v>0</v>
      </c>
      <c r="AR48">
        <v>0</v>
      </c>
      <c r="AS48">
        <v>0</v>
      </c>
      <c r="AT48">
        <v>0</v>
      </c>
      <c r="AU48">
        <v>0</v>
      </c>
      <c r="AV48" t="s">
        <v>7360</v>
      </c>
      <c r="AW48">
        <v>0</v>
      </c>
      <c r="AX48" t="s">
        <v>7360</v>
      </c>
      <c r="AY48" t="s">
        <v>7363</v>
      </c>
      <c r="BA48">
        <v>0</v>
      </c>
      <c r="BB48" s="20">
        <v>44950</v>
      </c>
      <c r="BC48">
        <v>0</v>
      </c>
      <c r="BD48" t="s">
        <v>7360</v>
      </c>
      <c r="BF48" s="20">
        <v>44950</v>
      </c>
      <c r="BG48">
        <v>0</v>
      </c>
      <c r="BH48" t="s">
        <v>7363</v>
      </c>
      <c r="BJ48" t="s">
        <v>7362</v>
      </c>
      <c r="BK48">
        <v>169</v>
      </c>
      <c r="BL48">
        <v>11</v>
      </c>
      <c r="BM48">
        <v>1</v>
      </c>
      <c r="BN48" t="s">
        <v>7364</v>
      </c>
      <c r="BO48">
        <v>169</v>
      </c>
      <c r="BP48">
        <v>11</v>
      </c>
      <c r="BQ48">
        <v>1</v>
      </c>
      <c r="BR48" t="s">
        <v>7364</v>
      </c>
      <c r="BS48" t="s">
        <v>7400</v>
      </c>
      <c r="BT48" t="s">
        <v>7360</v>
      </c>
      <c r="BU48" t="s">
        <v>7360</v>
      </c>
      <c r="BV48" t="s">
        <v>7360</v>
      </c>
      <c r="BX48" t="s">
        <v>7391</v>
      </c>
      <c r="BY48">
        <v>74</v>
      </c>
      <c r="BZ48" t="s">
        <v>7360</v>
      </c>
      <c r="CA48" t="s">
        <v>7360</v>
      </c>
      <c r="CB48">
        <v>5558210</v>
      </c>
      <c r="CC48" s="21">
        <v>44950.369050925925</v>
      </c>
      <c r="CE48" t="s">
        <v>7392</v>
      </c>
      <c r="CF48">
        <v>1100101</v>
      </c>
      <c r="CG48">
        <v>53575</v>
      </c>
      <c r="CH48">
        <v>53575</v>
      </c>
      <c r="CI48" s="21">
        <v>44957.493796296294</v>
      </c>
      <c r="CJ48" t="s">
        <v>7393</v>
      </c>
      <c r="CK48" t="s">
        <v>7393</v>
      </c>
      <c r="CL48" t="s">
        <v>7394</v>
      </c>
      <c r="CM48" t="s">
        <v>7394</v>
      </c>
      <c r="CS48" t="s">
        <v>7361</v>
      </c>
      <c r="CT48" t="s">
        <v>7362</v>
      </c>
      <c r="CU48" t="s">
        <v>7362</v>
      </c>
      <c r="CV48" t="s">
        <v>7362</v>
      </c>
      <c r="CW48" t="s">
        <v>7362</v>
      </c>
      <c r="CX48">
        <v>856564</v>
      </c>
      <c r="DA48">
        <v>0</v>
      </c>
    </row>
    <row r="49" spans="1:105" x14ac:dyDescent="0.3">
      <c r="A49">
        <v>1362</v>
      </c>
      <c r="B49" t="s">
        <v>7371</v>
      </c>
      <c r="C49">
        <v>71</v>
      </c>
      <c r="D49" s="20">
        <v>44950</v>
      </c>
      <c r="E49" t="s">
        <v>7356</v>
      </c>
      <c r="F49" t="s">
        <v>5378</v>
      </c>
      <c r="G49" t="s">
        <v>7357</v>
      </c>
      <c r="H49">
        <v>1</v>
      </c>
      <c r="I49" t="s">
        <v>7358</v>
      </c>
      <c r="J49">
        <v>1</v>
      </c>
      <c r="K49" s="20">
        <v>44950</v>
      </c>
      <c r="L49" s="23">
        <v>173003</v>
      </c>
      <c r="M49" t="s">
        <v>7359</v>
      </c>
      <c r="N49" t="s">
        <v>7360</v>
      </c>
      <c r="O49">
        <v>0</v>
      </c>
      <c r="P49">
        <v>11709</v>
      </c>
      <c r="Q49">
        <v>414029</v>
      </c>
      <c r="R49">
        <v>0</v>
      </c>
      <c r="S49">
        <v>20230124</v>
      </c>
      <c r="T49">
        <v>0</v>
      </c>
      <c r="U49" t="s">
        <v>7361</v>
      </c>
      <c r="V49" t="s">
        <v>7360</v>
      </c>
      <c r="W49" t="s">
        <v>7360</v>
      </c>
      <c r="X49" t="s">
        <v>7360</v>
      </c>
      <c r="Y49" t="s">
        <v>7360</v>
      </c>
      <c r="Z49" t="s">
        <v>7360</v>
      </c>
      <c r="AA49" t="s">
        <v>7362</v>
      </c>
      <c r="AB49" t="s">
        <v>7360</v>
      </c>
      <c r="AC49" t="s">
        <v>7360</v>
      </c>
      <c r="AD49" t="s">
        <v>7360</v>
      </c>
      <c r="AE49" t="s">
        <v>7360</v>
      </c>
      <c r="AF49" t="s">
        <v>1684</v>
      </c>
      <c r="AG49">
        <v>0</v>
      </c>
      <c r="AH49">
        <v>0</v>
      </c>
      <c r="AI49">
        <v>0</v>
      </c>
      <c r="AJ49">
        <v>0</v>
      </c>
      <c r="AK49">
        <v>0</v>
      </c>
      <c r="AL49" t="s">
        <v>7360</v>
      </c>
      <c r="AM49">
        <v>0</v>
      </c>
      <c r="AN49" s="20">
        <v>44950</v>
      </c>
      <c r="AO49" s="20">
        <v>44950</v>
      </c>
      <c r="AP49" s="20">
        <v>44950</v>
      </c>
      <c r="AQ49">
        <v>0</v>
      </c>
      <c r="AR49">
        <v>0</v>
      </c>
      <c r="AS49">
        <v>0</v>
      </c>
      <c r="AT49">
        <v>0</v>
      </c>
      <c r="AU49">
        <v>0</v>
      </c>
      <c r="AV49" t="s">
        <v>7360</v>
      </c>
      <c r="AW49">
        <v>0</v>
      </c>
      <c r="AX49" t="s">
        <v>7360</v>
      </c>
      <c r="AY49" t="s">
        <v>7363</v>
      </c>
      <c r="BA49">
        <v>0</v>
      </c>
      <c r="BB49" s="20">
        <v>44950</v>
      </c>
      <c r="BC49">
        <v>0</v>
      </c>
      <c r="BD49" t="s">
        <v>7360</v>
      </c>
      <c r="BF49" s="20">
        <v>44950</v>
      </c>
      <c r="BG49">
        <v>0</v>
      </c>
      <c r="BH49" t="s">
        <v>7363</v>
      </c>
      <c r="BJ49" t="s">
        <v>7362</v>
      </c>
      <c r="BK49">
        <v>169</v>
      </c>
      <c r="BL49">
        <v>11</v>
      </c>
      <c r="BM49">
        <v>1</v>
      </c>
      <c r="BN49" t="s">
        <v>7364</v>
      </c>
      <c r="BO49">
        <v>169</v>
      </c>
      <c r="BP49">
        <v>11</v>
      </c>
      <c r="BQ49">
        <v>1</v>
      </c>
      <c r="BR49" t="s">
        <v>7364</v>
      </c>
      <c r="BS49" t="s">
        <v>7400</v>
      </c>
      <c r="BT49" t="s">
        <v>7360</v>
      </c>
      <c r="BU49" t="s">
        <v>7360</v>
      </c>
      <c r="BV49" t="s">
        <v>7360</v>
      </c>
      <c r="BX49" t="s">
        <v>7391</v>
      </c>
      <c r="BY49">
        <v>74</v>
      </c>
      <c r="BZ49" t="s">
        <v>7360</v>
      </c>
      <c r="CA49" t="s">
        <v>7360</v>
      </c>
      <c r="CB49">
        <v>5558210</v>
      </c>
      <c r="CC49" s="21">
        <v>44950.375937500001</v>
      </c>
      <c r="CE49" t="s">
        <v>7392</v>
      </c>
      <c r="CF49">
        <v>1100101</v>
      </c>
      <c r="CG49">
        <v>53575</v>
      </c>
      <c r="CH49">
        <v>53575</v>
      </c>
      <c r="CI49" s="21">
        <v>44951.337847222225</v>
      </c>
      <c r="CJ49" t="s">
        <v>7393</v>
      </c>
      <c r="CK49" t="s">
        <v>7393</v>
      </c>
      <c r="CL49" t="s">
        <v>7394</v>
      </c>
      <c r="CM49" t="s">
        <v>7394</v>
      </c>
      <c r="CS49" t="s">
        <v>7361</v>
      </c>
      <c r="CT49" t="s">
        <v>7362</v>
      </c>
      <c r="CU49" t="s">
        <v>7362</v>
      </c>
      <c r="CV49" t="s">
        <v>7362</v>
      </c>
      <c r="CW49" t="s">
        <v>7362</v>
      </c>
      <c r="CX49">
        <v>173003</v>
      </c>
      <c r="DA49">
        <v>0</v>
      </c>
    </row>
    <row r="50" spans="1:105" x14ac:dyDescent="0.3">
      <c r="A50">
        <v>1365</v>
      </c>
      <c r="B50" t="s">
        <v>7384</v>
      </c>
      <c r="C50">
        <v>72</v>
      </c>
      <c r="D50" s="20">
        <v>44958</v>
      </c>
      <c r="E50" t="s">
        <v>7372</v>
      </c>
      <c r="F50" t="s">
        <v>5384</v>
      </c>
      <c r="G50" t="s">
        <v>7357</v>
      </c>
      <c r="H50">
        <v>1</v>
      </c>
      <c r="I50" t="s">
        <v>7358</v>
      </c>
      <c r="J50">
        <v>1</v>
      </c>
      <c r="K50" s="20">
        <v>44950</v>
      </c>
      <c r="L50" s="23">
        <v>4471236</v>
      </c>
      <c r="M50" t="s">
        <v>7359</v>
      </c>
      <c r="N50" t="s">
        <v>7360</v>
      </c>
      <c r="O50">
        <v>0</v>
      </c>
      <c r="P50">
        <v>11822</v>
      </c>
      <c r="Q50">
        <v>415031</v>
      </c>
      <c r="R50">
        <v>0</v>
      </c>
      <c r="S50">
        <v>20230201</v>
      </c>
      <c r="T50">
        <v>0</v>
      </c>
      <c r="U50" t="s">
        <v>7362</v>
      </c>
      <c r="V50" t="s">
        <v>7360</v>
      </c>
      <c r="W50" t="s">
        <v>7360</v>
      </c>
      <c r="X50" t="s">
        <v>7360</v>
      </c>
      <c r="Y50" t="s">
        <v>7360</v>
      </c>
      <c r="Z50" t="s">
        <v>7360</v>
      </c>
      <c r="AA50" t="s">
        <v>7362</v>
      </c>
      <c r="AB50" t="s">
        <v>7360</v>
      </c>
      <c r="AC50" t="s">
        <v>7360</v>
      </c>
      <c r="AD50" t="s">
        <v>7360</v>
      </c>
      <c r="AE50" t="s">
        <v>7360</v>
      </c>
      <c r="AF50" t="s">
        <v>1684</v>
      </c>
      <c r="AG50">
        <v>0</v>
      </c>
      <c r="AH50">
        <v>0</v>
      </c>
      <c r="AI50">
        <v>0</v>
      </c>
      <c r="AJ50">
        <v>0</v>
      </c>
      <c r="AK50">
        <v>0</v>
      </c>
      <c r="AL50" t="s">
        <v>7360</v>
      </c>
      <c r="AM50">
        <v>0</v>
      </c>
      <c r="AN50" s="20">
        <v>44950</v>
      </c>
      <c r="AO50" s="20">
        <v>44950</v>
      </c>
      <c r="AP50" s="20">
        <v>44950</v>
      </c>
      <c r="AQ50">
        <v>0</v>
      </c>
      <c r="AR50">
        <v>0</v>
      </c>
      <c r="AS50">
        <v>0</v>
      </c>
      <c r="AT50">
        <v>0</v>
      </c>
      <c r="AU50">
        <v>0</v>
      </c>
      <c r="AV50" t="s">
        <v>7360</v>
      </c>
      <c r="AW50">
        <v>0</v>
      </c>
      <c r="AX50" t="s">
        <v>7360</v>
      </c>
      <c r="AY50" t="s">
        <v>7362</v>
      </c>
      <c r="BA50">
        <v>0</v>
      </c>
      <c r="BB50" s="20">
        <v>44950</v>
      </c>
      <c r="BC50">
        <v>0</v>
      </c>
      <c r="BD50" t="s">
        <v>7360</v>
      </c>
      <c r="BF50" s="20">
        <v>44950</v>
      </c>
      <c r="BG50">
        <v>0</v>
      </c>
      <c r="BH50" t="s">
        <v>7363</v>
      </c>
      <c r="BJ50" t="s">
        <v>7362</v>
      </c>
      <c r="BK50">
        <v>169</v>
      </c>
      <c r="BL50">
        <v>11</v>
      </c>
      <c r="BM50">
        <v>1</v>
      </c>
      <c r="BN50" t="s">
        <v>7364</v>
      </c>
      <c r="BO50">
        <v>169</v>
      </c>
      <c r="BP50">
        <v>11</v>
      </c>
      <c r="BQ50">
        <v>1</v>
      </c>
      <c r="BR50" t="s">
        <v>7364</v>
      </c>
      <c r="BS50" t="s">
        <v>7385</v>
      </c>
      <c r="BT50" t="s">
        <v>7360</v>
      </c>
      <c r="BU50" t="s">
        <v>7360</v>
      </c>
      <c r="BV50" t="s">
        <v>7360</v>
      </c>
      <c r="BX50" t="s">
        <v>7391</v>
      </c>
      <c r="BY50">
        <v>74</v>
      </c>
      <c r="BZ50" t="s">
        <v>7360</v>
      </c>
      <c r="CA50" t="s">
        <v>7360</v>
      </c>
      <c r="CB50">
        <v>5558210</v>
      </c>
      <c r="CC50" s="21">
        <v>44950.39984953704</v>
      </c>
      <c r="CE50" t="s">
        <v>7392</v>
      </c>
      <c r="CF50">
        <v>1100101</v>
      </c>
      <c r="CG50">
        <v>53575</v>
      </c>
      <c r="CH50">
        <v>53575</v>
      </c>
      <c r="CI50" s="21">
        <v>44959.433425925927</v>
      </c>
      <c r="CJ50" t="s">
        <v>7393</v>
      </c>
      <c r="CK50" t="s">
        <v>7393</v>
      </c>
      <c r="CL50" t="s">
        <v>7394</v>
      </c>
      <c r="CM50" t="s">
        <v>7394</v>
      </c>
      <c r="CS50" t="s">
        <v>7361</v>
      </c>
      <c r="CT50" t="s">
        <v>7362</v>
      </c>
      <c r="CU50" t="s">
        <v>7362</v>
      </c>
      <c r="CV50" t="s">
        <v>7362</v>
      </c>
      <c r="CW50" t="s">
        <v>7362</v>
      </c>
      <c r="CX50">
        <v>4471236</v>
      </c>
      <c r="DA50">
        <v>0</v>
      </c>
    </row>
    <row r="51" spans="1:105" x14ac:dyDescent="0.3">
      <c r="A51">
        <v>1354</v>
      </c>
      <c r="B51" t="s">
        <v>7396</v>
      </c>
      <c r="C51">
        <v>73</v>
      </c>
      <c r="D51" s="20">
        <v>44950</v>
      </c>
      <c r="E51" t="s">
        <v>7356</v>
      </c>
      <c r="F51" t="s">
        <v>5389</v>
      </c>
      <c r="G51" t="s">
        <v>7370</v>
      </c>
      <c r="H51">
        <v>1</v>
      </c>
      <c r="I51" t="s">
        <v>7358</v>
      </c>
      <c r="J51">
        <v>1</v>
      </c>
      <c r="K51" s="20">
        <v>44950</v>
      </c>
      <c r="L51" s="23">
        <v>4500000</v>
      </c>
      <c r="M51" t="s">
        <v>7359</v>
      </c>
      <c r="N51" t="s">
        <v>7360</v>
      </c>
      <c r="O51">
        <v>0</v>
      </c>
      <c r="P51">
        <v>11757</v>
      </c>
      <c r="Q51">
        <v>414059</v>
      </c>
      <c r="R51">
        <v>0</v>
      </c>
      <c r="S51">
        <v>20230124</v>
      </c>
      <c r="T51">
        <v>0</v>
      </c>
      <c r="U51" t="s">
        <v>7361</v>
      </c>
      <c r="V51" t="s">
        <v>7360</v>
      </c>
      <c r="W51" t="s">
        <v>7360</v>
      </c>
      <c r="X51" t="s">
        <v>7360</v>
      </c>
      <c r="Y51" t="s">
        <v>7360</v>
      </c>
      <c r="Z51" t="s">
        <v>7360</v>
      </c>
      <c r="AA51" t="s">
        <v>7362</v>
      </c>
      <c r="AB51" t="s">
        <v>7360</v>
      </c>
      <c r="AC51" t="s">
        <v>7360</v>
      </c>
      <c r="AD51" t="s">
        <v>7360</v>
      </c>
      <c r="AE51" t="s">
        <v>7360</v>
      </c>
      <c r="AF51" t="s">
        <v>1684</v>
      </c>
      <c r="AG51">
        <v>0</v>
      </c>
      <c r="AH51">
        <v>0</v>
      </c>
      <c r="AI51">
        <v>0</v>
      </c>
      <c r="AJ51">
        <v>0</v>
      </c>
      <c r="AK51">
        <v>0</v>
      </c>
      <c r="AL51" t="s">
        <v>7360</v>
      </c>
      <c r="AM51">
        <v>0</v>
      </c>
      <c r="AN51" s="20">
        <v>44950</v>
      </c>
      <c r="AO51" s="20">
        <v>44950</v>
      </c>
      <c r="AP51" s="20">
        <v>44950</v>
      </c>
      <c r="AQ51">
        <v>0</v>
      </c>
      <c r="AR51">
        <v>0</v>
      </c>
      <c r="AS51">
        <v>0</v>
      </c>
      <c r="AT51">
        <v>0</v>
      </c>
      <c r="AU51">
        <v>0</v>
      </c>
      <c r="AV51" t="s">
        <v>7360</v>
      </c>
      <c r="AW51">
        <v>0</v>
      </c>
      <c r="AX51" t="s">
        <v>7360</v>
      </c>
      <c r="AY51" t="s">
        <v>7363</v>
      </c>
      <c r="BA51">
        <v>0</v>
      </c>
      <c r="BB51" s="20">
        <v>44950</v>
      </c>
      <c r="BC51">
        <v>0</v>
      </c>
      <c r="BD51" t="s">
        <v>7360</v>
      </c>
      <c r="BF51" s="20">
        <v>44950</v>
      </c>
      <c r="BG51">
        <v>0</v>
      </c>
      <c r="BH51" t="s">
        <v>7363</v>
      </c>
      <c r="BJ51" t="s">
        <v>7362</v>
      </c>
      <c r="BK51">
        <v>169</v>
      </c>
      <c r="BL51">
        <v>11</v>
      </c>
      <c r="BM51">
        <v>1</v>
      </c>
      <c r="BN51" t="s">
        <v>7364</v>
      </c>
      <c r="BO51">
        <v>169</v>
      </c>
      <c r="BP51">
        <v>11</v>
      </c>
      <c r="BQ51">
        <v>1</v>
      </c>
      <c r="BR51" t="s">
        <v>7364</v>
      </c>
      <c r="BS51" t="s">
        <v>132</v>
      </c>
      <c r="BT51" t="s">
        <v>7360</v>
      </c>
      <c r="BU51" t="s">
        <v>7360</v>
      </c>
      <c r="BV51" t="s">
        <v>7360</v>
      </c>
      <c r="BX51" t="s">
        <v>7391</v>
      </c>
      <c r="BY51">
        <v>74</v>
      </c>
      <c r="BZ51" t="s">
        <v>7360</v>
      </c>
      <c r="CA51" t="s">
        <v>7360</v>
      </c>
      <c r="CB51">
        <v>5558210</v>
      </c>
      <c r="CC51" s="21">
        <v>44950.446932870371</v>
      </c>
      <c r="CE51" t="s">
        <v>7392</v>
      </c>
      <c r="CF51">
        <v>1100101</v>
      </c>
      <c r="CG51">
        <v>53575</v>
      </c>
      <c r="CH51">
        <v>53575</v>
      </c>
      <c r="CI51" s="21">
        <v>44950.449525462966</v>
      </c>
      <c r="CJ51" t="s">
        <v>7393</v>
      </c>
      <c r="CK51" t="s">
        <v>7393</v>
      </c>
      <c r="CL51" t="s">
        <v>7394</v>
      </c>
      <c r="CM51" t="s">
        <v>7394</v>
      </c>
      <c r="CS51" t="s">
        <v>7361</v>
      </c>
      <c r="CT51" t="s">
        <v>7362</v>
      </c>
      <c r="CU51" t="s">
        <v>7362</v>
      </c>
      <c r="CV51" t="s">
        <v>7362</v>
      </c>
      <c r="CW51" t="s">
        <v>7362</v>
      </c>
      <c r="CX51">
        <v>4500000</v>
      </c>
      <c r="DA51">
        <v>0</v>
      </c>
    </row>
    <row r="52" spans="1:105" x14ac:dyDescent="0.3">
      <c r="A52">
        <v>1354</v>
      </c>
      <c r="B52" t="s">
        <v>7396</v>
      </c>
      <c r="C52">
        <v>74</v>
      </c>
      <c r="D52" s="20">
        <v>44950</v>
      </c>
      <c r="E52" t="s">
        <v>7356</v>
      </c>
      <c r="F52" t="s">
        <v>5394</v>
      </c>
      <c r="G52" t="s">
        <v>7370</v>
      </c>
      <c r="H52">
        <v>1</v>
      </c>
      <c r="I52" t="s">
        <v>7358</v>
      </c>
      <c r="J52">
        <v>1</v>
      </c>
      <c r="K52" s="20">
        <v>44950</v>
      </c>
      <c r="L52" s="23">
        <v>5260000</v>
      </c>
      <c r="M52" t="s">
        <v>7359</v>
      </c>
      <c r="N52" t="s">
        <v>7360</v>
      </c>
      <c r="O52">
        <v>0</v>
      </c>
      <c r="P52">
        <v>11763</v>
      </c>
      <c r="Q52">
        <v>414064</v>
      </c>
      <c r="R52">
        <v>0</v>
      </c>
      <c r="S52">
        <v>20230124</v>
      </c>
      <c r="T52">
        <v>0</v>
      </c>
      <c r="U52" t="s">
        <v>7361</v>
      </c>
      <c r="V52" t="s">
        <v>7360</v>
      </c>
      <c r="W52" t="s">
        <v>7360</v>
      </c>
      <c r="X52" t="s">
        <v>7360</v>
      </c>
      <c r="Y52" t="s">
        <v>7360</v>
      </c>
      <c r="Z52" t="s">
        <v>7360</v>
      </c>
      <c r="AA52" t="s">
        <v>7362</v>
      </c>
      <c r="AB52" t="s">
        <v>7360</v>
      </c>
      <c r="AC52" t="s">
        <v>7360</v>
      </c>
      <c r="AD52" t="s">
        <v>7360</v>
      </c>
      <c r="AE52" t="s">
        <v>7360</v>
      </c>
      <c r="AF52" t="s">
        <v>1684</v>
      </c>
      <c r="AG52">
        <v>0</v>
      </c>
      <c r="AH52">
        <v>0</v>
      </c>
      <c r="AI52">
        <v>0</v>
      </c>
      <c r="AJ52">
        <v>0</v>
      </c>
      <c r="AK52">
        <v>0</v>
      </c>
      <c r="AL52" t="s">
        <v>7360</v>
      </c>
      <c r="AM52">
        <v>0</v>
      </c>
      <c r="AN52" s="20">
        <v>44950</v>
      </c>
      <c r="AO52" s="20">
        <v>44950</v>
      </c>
      <c r="AP52" s="20">
        <v>44950</v>
      </c>
      <c r="AQ52">
        <v>0</v>
      </c>
      <c r="AR52">
        <v>0</v>
      </c>
      <c r="AS52">
        <v>0</v>
      </c>
      <c r="AT52">
        <v>0</v>
      </c>
      <c r="AU52">
        <v>0</v>
      </c>
      <c r="AV52" t="s">
        <v>7360</v>
      </c>
      <c r="AW52">
        <v>0</v>
      </c>
      <c r="AX52" t="s">
        <v>7360</v>
      </c>
      <c r="AY52" t="s">
        <v>7363</v>
      </c>
      <c r="BA52">
        <v>0</v>
      </c>
      <c r="BB52" s="20">
        <v>44950</v>
      </c>
      <c r="BC52">
        <v>0</v>
      </c>
      <c r="BD52" t="s">
        <v>7360</v>
      </c>
      <c r="BF52" s="20">
        <v>44950</v>
      </c>
      <c r="BG52">
        <v>0</v>
      </c>
      <c r="BH52" t="s">
        <v>7363</v>
      </c>
      <c r="BJ52" t="s">
        <v>7362</v>
      </c>
      <c r="BK52">
        <v>169</v>
      </c>
      <c r="BL52">
        <v>11</v>
      </c>
      <c r="BM52">
        <v>1</v>
      </c>
      <c r="BN52" t="s">
        <v>7364</v>
      </c>
      <c r="BO52">
        <v>169</v>
      </c>
      <c r="BP52">
        <v>11</v>
      </c>
      <c r="BQ52">
        <v>1</v>
      </c>
      <c r="BR52" t="s">
        <v>7364</v>
      </c>
      <c r="BS52" t="s">
        <v>132</v>
      </c>
      <c r="BT52" t="s">
        <v>7360</v>
      </c>
      <c r="BU52" t="s">
        <v>7360</v>
      </c>
      <c r="BV52" t="s">
        <v>7360</v>
      </c>
      <c r="BX52" t="s">
        <v>7391</v>
      </c>
      <c r="BY52">
        <v>74</v>
      </c>
      <c r="BZ52" t="s">
        <v>7360</v>
      </c>
      <c r="CA52" t="s">
        <v>7360</v>
      </c>
      <c r="CB52">
        <v>5558210</v>
      </c>
      <c r="CC52" s="21">
        <v>44950.474212962959</v>
      </c>
      <c r="CE52" t="s">
        <v>7392</v>
      </c>
      <c r="CF52">
        <v>1100101</v>
      </c>
      <c r="CG52">
        <v>53575</v>
      </c>
      <c r="CH52">
        <v>53575</v>
      </c>
      <c r="CI52" s="21">
        <v>44950.481354166666</v>
      </c>
      <c r="CJ52" t="s">
        <v>7393</v>
      </c>
      <c r="CK52" t="s">
        <v>7393</v>
      </c>
      <c r="CL52" t="s">
        <v>7394</v>
      </c>
      <c r="CM52" t="s">
        <v>7394</v>
      </c>
      <c r="CS52" t="s">
        <v>7361</v>
      </c>
      <c r="CT52" t="s">
        <v>7362</v>
      </c>
      <c r="CU52" t="s">
        <v>7362</v>
      </c>
      <c r="CV52" t="s">
        <v>7362</v>
      </c>
      <c r="CW52" t="s">
        <v>7362</v>
      </c>
      <c r="CX52">
        <v>5260000</v>
      </c>
      <c r="DA52">
        <v>0</v>
      </c>
    </row>
    <row r="53" spans="1:105" x14ac:dyDescent="0.3">
      <c r="A53">
        <v>1354</v>
      </c>
      <c r="B53" t="s">
        <v>7396</v>
      </c>
      <c r="C53">
        <v>75</v>
      </c>
      <c r="D53" s="20">
        <v>44950</v>
      </c>
      <c r="E53" t="s">
        <v>7356</v>
      </c>
      <c r="F53" t="s">
        <v>5400</v>
      </c>
      <c r="G53" t="s">
        <v>7370</v>
      </c>
      <c r="H53">
        <v>1</v>
      </c>
      <c r="I53" t="s">
        <v>7358</v>
      </c>
      <c r="J53">
        <v>1</v>
      </c>
      <c r="K53" s="20">
        <v>44950</v>
      </c>
      <c r="L53" s="23">
        <v>1728000</v>
      </c>
      <c r="M53" t="s">
        <v>7359</v>
      </c>
      <c r="N53" t="s">
        <v>7360</v>
      </c>
      <c r="O53">
        <v>0</v>
      </c>
      <c r="P53">
        <v>11764</v>
      </c>
      <c r="Q53">
        <v>414065</v>
      </c>
      <c r="R53">
        <v>0</v>
      </c>
      <c r="S53">
        <v>20230124</v>
      </c>
      <c r="T53">
        <v>0</v>
      </c>
      <c r="U53" t="s">
        <v>7361</v>
      </c>
      <c r="V53" t="s">
        <v>7360</v>
      </c>
      <c r="W53" t="s">
        <v>7360</v>
      </c>
      <c r="X53" t="s">
        <v>7360</v>
      </c>
      <c r="Y53" t="s">
        <v>7360</v>
      </c>
      <c r="Z53" t="s">
        <v>7360</v>
      </c>
      <c r="AA53" t="s">
        <v>7362</v>
      </c>
      <c r="AB53" t="s">
        <v>7360</v>
      </c>
      <c r="AC53" t="s">
        <v>7360</v>
      </c>
      <c r="AD53" t="s">
        <v>7360</v>
      </c>
      <c r="AE53" t="s">
        <v>7360</v>
      </c>
      <c r="AF53" t="s">
        <v>1684</v>
      </c>
      <c r="AG53">
        <v>0</v>
      </c>
      <c r="AH53">
        <v>0</v>
      </c>
      <c r="AI53">
        <v>0</v>
      </c>
      <c r="AJ53">
        <v>0</v>
      </c>
      <c r="AK53">
        <v>0</v>
      </c>
      <c r="AL53" t="s">
        <v>7360</v>
      </c>
      <c r="AM53">
        <v>0</v>
      </c>
      <c r="AN53" s="20">
        <v>44950</v>
      </c>
      <c r="AO53" s="20">
        <v>44950</v>
      </c>
      <c r="AP53" s="20">
        <v>44950</v>
      </c>
      <c r="AQ53">
        <v>0</v>
      </c>
      <c r="AR53">
        <v>0</v>
      </c>
      <c r="AS53">
        <v>0</v>
      </c>
      <c r="AT53">
        <v>0</v>
      </c>
      <c r="AU53">
        <v>0</v>
      </c>
      <c r="AV53" t="s">
        <v>7360</v>
      </c>
      <c r="AW53">
        <v>0</v>
      </c>
      <c r="AX53" t="s">
        <v>7360</v>
      </c>
      <c r="AY53" t="s">
        <v>7363</v>
      </c>
      <c r="BA53">
        <v>0</v>
      </c>
      <c r="BB53" s="20">
        <v>44950</v>
      </c>
      <c r="BC53">
        <v>0</v>
      </c>
      <c r="BD53" t="s">
        <v>7360</v>
      </c>
      <c r="BF53" s="20">
        <v>44950</v>
      </c>
      <c r="BG53">
        <v>0</v>
      </c>
      <c r="BH53" t="s">
        <v>7363</v>
      </c>
      <c r="BJ53" t="s">
        <v>7362</v>
      </c>
      <c r="BK53">
        <v>169</v>
      </c>
      <c r="BL53">
        <v>11</v>
      </c>
      <c r="BM53">
        <v>1</v>
      </c>
      <c r="BN53" t="s">
        <v>7364</v>
      </c>
      <c r="BO53">
        <v>169</v>
      </c>
      <c r="BP53">
        <v>11</v>
      </c>
      <c r="BQ53">
        <v>1</v>
      </c>
      <c r="BR53" t="s">
        <v>7364</v>
      </c>
      <c r="BS53" t="s">
        <v>132</v>
      </c>
      <c r="BT53" t="s">
        <v>7360</v>
      </c>
      <c r="BU53" t="s">
        <v>7360</v>
      </c>
      <c r="BV53" t="s">
        <v>7360</v>
      </c>
      <c r="BX53" t="s">
        <v>7391</v>
      </c>
      <c r="BY53">
        <v>74</v>
      </c>
      <c r="BZ53" t="s">
        <v>7360</v>
      </c>
      <c r="CA53" t="s">
        <v>7360</v>
      </c>
      <c r="CB53">
        <v>5558210</v>
      </c>
      <c r="CC53" s="21">
        <v>44950.489664351851</v>
      </c>
      <c r="CE53" t="s">
        <v>7392</v>
      </c>
      <c r="CF53">
        <v>1100101</v>
      </c>
      <c r="CG53">
        <v>53575</v>
      </c>
      <c r="CH53">
        <v>53575</v>
      </c>
      <c r="CI53" s="21">
        <v>44950.490532407406</v>
      </c>
      <c r="CJ53" t="s">
        <v>7393</v>
      </c>
      <c r="CK53" t="s">
        <v>7393</v>
      </c>
      <c r="CL53" t="s">
        <v>7394</v>
      </c>
      <c r="CM53" t="s">
        <v>7394</v>
      </c>
      <c r="CS53" t="s">
        <v>7361</v>
      </c>
      <c r="CT53" t="s">
        <v>7362</v>
      </c>
      <c r="CU53" t="s">
        <v>7362</v>
      </c>
      <c r="CV53" t="s">
        <v>7362</v>
      </c>
      <c r="CW53" t="s">
        <v>7362</v>
      </c>
      <c r="CX53">
        <v>1728000</v>
      </c>
      <c r="DA53">
        <v>0</v>
      </c>
    </row>
    <row r="54" spans="1:105" x14ac:dyDescent="0.3">
      <c r="A54">
        <v>1366</v>
      </c>
      <c r="B54" t="s">
        <v>7380</v>
      </c>
      <c r="C54">
        <v>76</v>
      </c>
      <c r="D54" s="20">
        <v>44950</v>
      </c>
      <c r="E54" t="s">
        <v>7356</v>
      </c>
      <c r="F54" t="s">
        <v>5405</v>
      </c>
      <c r="G54" t="s">
        <v>7357</v>
      </c>
      <c r="H54">
        <v>1</v>
      </c>
      <c r="I54" t="s">
        <v>7358</v>
      </c>
      <c r="J54">
        <v>1</v>
      </c>
      <c r="K54" s="20">
        <v>44950</v>
      </c>
      <c r="L54" s="23">
        <v>436800</v>
      </c>
      <c r="M54" t="s">
        <v>7359</v>
      </c>
      <c r="N54" t="s">
        <v>7360</v>
      </c>
      <c r="O54">
        <v>0</v>
      </c>
      <c r="P54">
        <v>11869</v>
      </c>
      <c r="Q54">
        <v>416043</v>
      </c>
      <c r="R54">
        <v>0</v>
      </c>
      <c r="S54">
        <v>20230124</v>
      </c>
      <c r="T54">
        <v>0</v>
      </c>
      <c r="U54" t="s">
        <v>7361</v>
      </c>
      <c r="V54" t="s">
        <v>7360</v>
      </c>
      <c r="W54" t="s">
        <v>7360</v>
      </c>
      <c r="X54" t="s">
        <v>7360</v>
      </c>
      <c r="Y54" t="s">
        <v>7360</v>
      </c>
      <c r="Z54" t="s">
        <v>7360</v>
      </c>
      <c r="AA54" t="s">
        <v>7362</v>
      </c>
      <c r="AB54" t="s">
        <v>7360</v>
      </c>
      <c r="AC54" t="s">
        <v>7360</v>
      </c>
      <c r="AD54" t="s">
        <v>7360</v>
      </c>
      <c r="AE54" t="s">
        <v>7360</v>
      </c>
      <c r="AF54" t="s">
        <v>1684</v>
      </c>
      <c r="AG54">
        <v>0</v>
      </c>
      <c r="AH54">
        <v>0</v>
      </c>
      <c r="AI54">
        <v>0</v>
      </c>
      <c r="AJ54">
        <v>0</v>
      </c>
      <c r="AK54">
        <v>0</v>
      </c>
      <c r="AL54" t="s">
        <v>7360</v>
      </c>
      <c r="AM54">
        <v>0</v>
      </c>
      <c r="AN54" s="20">
        <v>44950</v>
      </c>
      <c r="AO54" s="20">
        <v>44950</v>
      </c>
      <c r="AP54" s="20">
        <v>44950</v>
      </c>
      <c r="AQ54">
        <v>0</v>
      </c>
      <c r="AR54">
        <v>0</v>
      </c>
      <c r="AS54">
        <v>0</v>
      </c>
      <c r="AT54">
        <v>0</v>
      </c>
      <c r="AU54">
        <v>0</v>
      </c>
      <c r="AV54" t="s">
        <v>7360</v>
      </c>
      <c r="AW54">
        <v>0</v>
      </c>
      <c r="AX54" t="s">
        <v>7360</v>
      </c>
      <c r="AY54" t="s">
        <v>7363</v>
      </c>
      <c r="BA54">
        <v>0</v>
      </c>
      <c r="BB54" s="20">
        <v>44950</v>
      </c>
      <c r="BC54">
        <v>0</v>
      </c>
      <c r="BD54" t="s">
        <v>7360</v>
      </c>
      <c r="BF54" s="20">
        <v>44950</v>
      </c>
      <c r="BG54">
        <v>0</v>
      </c>
      <c r="BH54" t="s">
        <v>7363</v>
      </c>
      <c r="BJ54" t="s">
        <v>7362</v>
      </c>
      <c r="BK54">
        <v>0</v>
      </c>
      <c r="BL54">
        <v>0</v>
      </c>
      <c r="BM54">
        <v>0</v>
      </c>
      <c r="BN54">
        <v>0</v>
      </c>
      <c r="BO54">
        <v>169</v>
      </c>
      <c r="BP54">
        <v>11</v>
      </c>
      <c r="BQ54">
        <v>1</v>
      </c>
      <c r="BR54" t="s">
        <v>7364</v>
      </c>
      <c r="BS54" t="s">
        <v>7365</v>
      </c>
      <c r="BT54" t="s">
        <v>7360</v>
      </c>
      <c r="BU54" t="s">
        <v>7360</v>
      </c>
      <c r="BV54" t="s">
        <v>7360</v>
      </c>
      <c r="BX54">
        <v>0</v>
      </c>
      <c r="BY54">
        <v>0</v>
      </c>
      <c r="BZ54" t="s">
        <v>7360</v>
      </c>
      <c r="CA54" t="s">
        <v>7360</v>
      </c>
      <c r="CB54">
        <v>3380666</v>
      </c>
      <c r="CC54" s="21">
        <v>44950.500277777777</v>
      </c>
      <c r="CE54" t="s">
        <v>7366</v>
      </c>
      <c r="CF54">
        <v>0</v>
      </c>
      <c r="CG54">
        <v>702002</v>
      </c>
      <c r="CH54">
        <v>702002</v>
      </c>
      <c r="CI54" s="21">
        <v>44950.654270833336</v>
      </c>
      <c r="CJ54" t="s">
        <v>7367</v>
      </c>
      <c r="CK54" t="s">
        <v>7367</v>
      </c>
      <c r="CL54" t="s">
        <v>7368</v>
      </c>
      <c r="CM54" t="s">
        <v>7368</v>
      </c>
      <c r="CS54" t="s">
        <v>7361</v>
      </c>
      <c r="CT54" t="s">
        <v>7362</v>
      </c>
      <c r="CU54" t="s">
        <v>7362</v>
      </c>
      <c r="CV54" t="s">
        <v>7362</v>
      </c>
      <c r="CW54" t="s">
        <v>7362</v>
      </c>
      <c r="CX54">
        <v>436800</v>
      </c>
      <c r="DA54">
        <v>0</v>
      </c>
    </row>
    <row r="55" spans="1:105" x14ac:dyDescent="0.3">
      <c r="A55">
        <v>1372</v>
      </c>
      <c r="B55" t="s">
        <v>7369</v>
      </c>
      <c r="C55">
        <v>77</v>
      </c>
      <c r="D55" s="20">
        <v>44950</v>
      </c>
      <c r="E55" t="s">
        <v>7356</v>
      </c>
      <c r="F55" t="s">
        <v>5410</v>
      </c>
      <c r="G55" t="s">
        <v>7357</v>
      </c>
      <c r="H55">
        <v>1</v>
      </c>
      <c r="I55" t="s">
        <v>7358</v>
      </c>
      <c r="J55">
        <v>1</v>
      </c>
      <c r="K55" s="20">
        <v>44950</v>
      </c>
      <c r="L55" s="23">
        <v>22896</v>
      </c>
      <c r="M55" t="s">
        <v>7359</v>
      </c>
      <c r="N55" t="s">
        <v>7360</v>
      </c>
      <c r="O55">
        <v>0</v>
      </c>
      <c r="P55">
        <v>11720</v>
      </c>
      <c r="Q55">
        <v>414031</v>
      </c>
      <c r="R55">
        <v>0</v>
      </c>
      <c r="S55">
        <v>20230124</v>
      </c>
      <c r="T55">
        <v>0</v>
      </c>
      <c r="U55" t="s">
        <v>7361</v>
      </c>
      <c r="V55" t="s">
        <v>7360</v>
      </c>
      <c r="W55" t="s">
        <v>7360</v>
      </c>
      <c r="X55" t="s">
        <v>7360</v>
      </c>
      <c r="Y55" t="s">
        <v>7360</v>
      </c>
      <c r="Z55" t="s">
        <v>7360</v>
      </c>
      <c r="AA55" t="s">
        <v>7362</v>
      </c>
      <c r="AB55" t="s">
        <v>7360</v>
      </c>
      <c r="AC55" t="s">
        <v>7360</v>
      </c>
      <c r="AD55" t="s">
        <v>7360</v>
      </c>
      <c r="AE55" t="s">
        <v>7360</v>
      </c>
      <c r="AF55" t="s">
        <v>1684</v>
      </c>
      <c r="AG55">
        <v>0</v>
      </c>
      <c r="AH55">
        <v>0</v>
      </c>
      <c r="AI55">
        <v>0</v>
      </c>
      <c r="AJ55">
        <v>0</v>
      </c>
      <c r="AK55">
        <v>0</v>
      </c>
      <c r="AL55" t="s">
        <v>7360</v>
      </c>
      <c r="AM55">
        <v>0</v>
      </c>
      <c r="AN55" s="20">
        <v>44950</v>
      </c>
      <c r="AO55" s="20">
        <v>44950</v>
      </c>
      <c r="AP55" s="20">
        <v>44950</v>
      </c>
      <c r="AQ55">
        <v>0</v>
      </c>
      <c r="AR55">
        <v>0</v>
      </c>
      <c r="AS55">
        <v>0</v>
      </c>
      <c r="AT55">
        <v>0</v>
      </c>
      <c r="AU55">
        <v>0</v>
      </c>
      <c r="AV55" t="s">
        <v>7360</v>
      </c>
      <c r="AW55">
        <v>0</v>
      </c>
      <c r="AX55" t="s">
        <v>7360</v>
      </c>
      <c r="AY55" t="s">
        <v>7363</v>
      </c>
      <c r="BA55">
        <v>0</v>
      </c>
      <c r="BB55" s="20">
        <v>44950</v>
      </c>
      <c r="BC55">
        <v>0</v>
      </c>
      <c r="BD55" t="s">
        <v>7360</v>
      </c>
      <c r="BF55" s="20">
        <v>44950</v>
      </c>
      <c r="BG55">
        <v>0</v>
      </c>
      <c r="BH55" t="s">
        <v>7363</v>
      </c>
      <c r="BJ55" t="s">
        <v>7362</v>
      </c>
      <c r="BK55">
        <v>169</v>
      </c>
      <c r="BL55">
        <v>11</v>
      </c>
      <c r="BM55">
        <v>1</v>
      </c>
      <c r="BN55" t="s">
        <v>7364</v>
      </c>
      <c r="BO55">
        <v>0</v>
      </c>
      <c r="BP55">
        <v>0</v>
      </c>
      <c r="BQ55">
        <v>0</v>
      </c>
      <c r="BR55">
        <v>0</v>
      </c>
      <c r="BS55" t="s">
        <v>7379</v>
      </c>
      <c r="BT55" t="s">
        <v>7360</v>
      </c>
      <c r="BU55" t="s">
        <v>7360</v>
      </c>
      <c r="BV55" t="s">
        <v>7360</v>
      </c>
      <c r="BX55" t="s">
        <v>7391</v>
      </c>
      <c r="BY55">
        <v>74</v>
      </c>
      <c r="BZ55" t="s">
        <v>7360</v>
      </c>
      <c r="CA55" t="s">
        <v>7360</v>
      </c>
      <c r="CB55">
        <v>5558210</v>
      </c>
      <c r="CC55" s="21">
        <v>44950.594212962962</v>
      </c>
      <c r="CE55" t="s">
        <v>7392</v>
      </c>
      <c r="CF55">
        <v>1100101</v>
      </c>
      <c r="CG55">
        <v>53575</v>
      </c>
      <c r="CH55">
        <v>53575</v>
      </c>
      <c r="CI55" s="21">
        <v>44952.615497685183</v>
      </c>
      <c r="CJ55" t="s">
        <v>7393</v>
      </c>
      <c r="CK55" t="s">
        <v>7393</v>
      </c>
      <c r="CL55" t="s">
        <v>7394</v>
      </c>
      <c r="CM55" t="s">
        <v>7394</v>
      </c>
      <c r="CS55" t="s">
        <v>7361</v>
      </c>
      <c r="CT55" t="s">
        <v>7362</v>
      </c>
      <c r="CU55" t="s">
        <v>7362</v>
      </c>
      <c r="CV55" t="s">
        <v>7362</v>
      </c>
      <c r="CW55" t="s">
        <v>7362</v>
      </c>
      <c r="CX55">
        <v>22896</v>
      </c>
      <c r="DA55">
        <v>0</v>
      </c>
    </row>
    <row r="56" spans="1:105" x14ac:dyDescent="0.3">
      <c r="A56">
        <v>1354</v>
      </c>
      <c r="B56" t="s">
        <v>7396</v>
      </c>
      <c r="C56">
        <v>78</v>
      </c>
      <c r="D56" s="20">
        <v>44950</v>
      </c>
      <c r="E56" t="s">
        <v>7356</v>
      </c>
      <c r="F56" t="s">
        <v>5416</v>
      </c>
      <c r="G56" t="s">
        <v>7370</v>
      </c>
      <c r="H56">
        <v>1</v>
      </c>
      <c r="I56" t="s">
        <v>7358</v>
      </c>
      <c r="J56">
        <v>1</v>
      </c>
      <c r="K56" s="20">
        <v>44950</v>
      </c>
      <c r="L56" s="23">
        <v>5500000</v>
      </c>
      <c r="M56" t="s">
        <v>7359</v>
      </c>
      <c r="N56" t="s">
        <v>7360</v>
      </c>
      <c r="O56">
        <v>0</v>
      </c>
      <c r="P56">
        <v>11765</v>
      </c>
      <c r="Q56">
        <v>414066</v>
      </c>
      <c r="R56">
        <v>0</v>
      </c>
      <c r="S56">
        <v>20230124</v>
      </c>
      <c r="T56">
        <v>0</v>
      </c>
      <c r="U56" t="s">
        <v>7361</v>
      </c>
      <c r="V56" t="s">
        <v>7360</v>
      </c>
      <c r="W56" t="s">
        <v>7360</v>
      </c>
      <c r="X56" t="s">
        <v>7360</v>
      </c>
      <c r="Y56" t="s">
        <v>7360</v>
      </c>
      <c r="Z56" t="s">
        <v>7360</v>
      </c>
      <c r="AA56" t="s">
        <v>7362</v>
      </c>
      <c r="AB56" t="s">
        <v>7360</v>
      </c>
      <c r="AC56" t="s">
        <v>7360</v>
      </c>
      <c r="AD56" t="s">
        <v>7360</v>
      </c>
      <c r="AE56" t="s">
        <v>7360</v>
      </c>
      <c r="AF56" t="s">
        <v>1684</v>
      </c>
      <c r="AG56">
        <v>0</v>
      </c>
      <c r="AH56">
        <v>0</v>
      </c>
      <c r="AI56">
        <v>0</v>
      </c>
      <c r="AJ56">
        <v>0</v>
      </c>
      <c r="AK56">
        <v>0</v>
      </c>
      <c r="AL56" t="s">
        <v>7360</v>
      </c>
      <c r="AM56">
        <v>0</v>
      </c>
      <c r="AN56" s="20">
        <v>44950</v>
      </c>
      <c r="AO56" s="20">
        <v>44950</v>
      </c>
      <c r="AP56" s="20">
        <v>44950</v>
      </c>
      <c r="AQ56">
        <v>0</v>
      </c>
      <c r="AR56">
        <v>0</v>
      </c>
      <c r="AS56">
        <v>0</v>
      </c>
      <c r="AT56">
        <v>0</v>
      </c>
      <c r="AU56">
        <v>0</v>
      </c>
      <c r="AV56" t="s">
        <v>7360</v>
      </c>
      <c r="AW56">
        <v>0</v>
      </c>
      <c r="AX56" t="s">
        <v>7360</v>
      </c>
      <c r="AY56" t="s">
        <v>7363</v>
      </c>
      <c r="BA56">
        <v>0</v>
      </c>
      <c r="BB56" s="20">
        <v>44950</v>
      </c>
      <c r="BC56">
        <v>0</v>
      </c>
      <c r="BD56" t="s">
        <v>7360</v>
      </c>
      <c r="BF56" s="20">
        <v>44950</v>
      </c>
      <c r="BG56">
        <v>0</v>
      </c>
      <c r="BH56" t="s">
        <v>7363</v>
      </c>
      <c r="BJ56" t="s">
        <v>7362</v>
      </c>
      <c r="BK56">
        <v>169</v>
      </c>
      <c r="BL56">
        <v>11</v>
      </c>
      <c r="BM56">
        <v>1</v>
      </c>
      <c r="BN56" t="s">
        <v>7364</v>
      </c>
      <c r="BO56">
        <v>169</v>
      </c>
      <c r="BP56">
        <v>11</v>
      </c>
      <c r="BQ56">
        <v>1</v>
      </c>
      <c r="BR56" t="s">
        <v>7364</v>
      </c>
      <c r="BS56" t="s">
        <v>132</v>
      </c>
      <c r="BT56" t="s">
        <v>7360</v>
      </c>
      <c r="BU56" t="s">
        <v>7360</v>
      </c>
      <c r="BV56" t="s">
        <v>7360</v>
      </c>
      <c r="BX56" t="s">
        <v>7391</v>
      </c>
      <c r="BY56">
        <v>74</v>
      </c>
      <c r="BZ56" t="s">
        <v>7360</v>
      </c>
      <c r="CA56" t="s">
        <v>7360</v>
      </c>
      <c r="CB56">
        <v>5558210</v>
      </c>
      <c r="CC56" s="21">
        <v>44950.645868055559</v>
      </c>
      <c r="CE56" t="s">
        <v>7392</v>
      </c>
      <c r="CF56">
        <v>1100101</v>
      </c>
      <c r="CG56">
        <v>53575</v>
      </c>
      <c r="CH56">
        <v>53575</v>
      </c>
      <c r="CI56" s="21">
        <v>44950.646851851852</v>
      </c>
      <c r="CJ56" t="s">
        <v>7393</v>
      </c>
      <c r="CK56" t="s">
        <v>7393</v>
      </c>
      <c r="CL56" t="s">
        <v>7394</v>
      </c>
      <c r="CM56" t="s">
        <v>7394</v>
      </c>
      <c r="CS56" t="s">
        <v>7361</v>
      </c>
      <c r="CT56" t="s">
        <v>7362</v>
      </c>
      <c r="CU56" t="s">
        <v>7362</v>
      </c>
      <c r="CV56" t="s">
        <v>7362</v>
      </c>
      <c r="CW56" t="s">
        <v>7362</v>
      </c>
      <c r="CX56">
        <v>5500000</v>
      </c>
      <c r="DA56">
        <v>0</v>
      </c>
    </row>
    <row r="57" spans="1:105" x14ac:dyDescent="0.3">
      <c r="A57">
        <v>1354</v>
      </c>
      <c r="B57" t="s">
        <v>7396</v>
      </c>
      <c r="C57">
        <v>79</v>
      </c>
      <c r="D57" s="20">
        <v>44950</v>
      </c>
      <c r="E57" t="s">
        <v>7372</v>
      </c>
      <c r="F57" t="s">
        <v>5421</v>
      </c>
      <c r="G57" t="s">
        <v>7370</v>
      </c>
      <c r="H57">
        <v>1</v>
      </c>
      <c r="I57" t="s">
        <v>7358</v>
      </c>
      <c r="J57">
        <v>1</v>
      </c>
      <c r="K57" s="20">
        <v>44950</v>
      </c>
      <c r="L57" s="23">
        <v>4068000</v>
      </c>
      <c r="M57" t="s">
        <v>7359</v>
      </c>
      <c r="N57" t="s">
        <v>7360</v>
      </c>
      <c r="O57">
        <v>0</v>
      </c>
      <c r="P57">
        <v>11801</v>
      </c>
      <c r="Q57">
        <v>415016</v>
      </c>
      <c r="R57">
        <v>0</v>
      </c>
      <c r="S57">
        <v>20230124</v>
      </c>
      <c r="T57">
        <v>0</v>
      </c>
      <c r="U57" t="s">
        <v>7362</v>
      </c>
      <c r="V57" t="s">
        <v>7360</v>
      </c>
      <c r="W57" t="s">
        <v>7360</v>
      </c>
      <c r="X57" t="s">
        <v>7360</v>
      </c>
      <c r="Y57" t="s">
        <v>7360</v>
      </c>
      <c r="Z57" t="s">
        <v>7360</v>
      </c>
      <c r="AA57" t="s">
        <v>7362</v>
      </c>
      <c r="AB57" t="s">
        <v>7360</v>
      </c>
      <c r="AC57" t="s">
        <v>7360</v>
      </c>
      <c r="AD57" t="s">
        <v>7360</v>
      </c>
      <c r="AE57" t="s">
        <v>7360</v>
      </c>
      <c r="AF57" t="s">
        <v>1684</v>
      </c>
      <c r="AG57">
        <v>0</v>
      </c>
      <c r="AH57">
        <v>0</v>
      </c>
      <c r="AI57">
        <v>0</v>
      </c>
      <c r="AJ57">
        <v>0</v>
      </c>
      <c r="AK57">
        <v>0</v>
      </c>
      <c r="AL57" t="s">
        <v>7360</v>
      </c>
      <c r="AM57">
        <v>0</v>
      </c>
      <c r="AN57" s="20">
        <v>44950</v>
      </c>
      <c r="AO57" s="20">
        <v>44950</v>
      </c>
      <c r="AP57" s="20">
        <v>44950</v>
      </c>
      <c r="AQ57">
        <v>0</v>
      </c>
      <c r="AR57">
        <v>0</v>
      </c>
      <c r="AS57">
        <v>0</v>
      </c>
      <c r="AT57">
        <v>0</v>
      </c>
      <c r="AU57">
        <v>0</v>
      </c>
      <c r="AV57" t="s">
        <v>7360</v>
      </c>
      <c r="AW57">
        <v>0</v>
      </c>
      <c r="AX57" t="s">
        <v>7360</v>
      </c>
      <c r="AY57" t="s">
        <v>7362</v>
      </c>
      <c r="BA57">
        <v>0</v>
      </c>
      <c r="BB57" s="20">
        <v>44950</v>
      </c>
      <c r="BC57">
        <v>0</v>
      </c>
      <c r="BD57" t="s">
        <v>7360</v>
      </c>
      <c r="BF57" s="20">
        <v>44950</v>
      </c>
      <c r="BG57">
        <v>0</v>
      </c>
      <c r="BH57" t="s">
        <v>7363</v>
      </c>
      <c r="BJ57" t="s">
        <v>7362</v>
      </c>
      <c r="BK57">
        <v>0</v>
      </c>
      <c r="BL57">
        <v>0</v>
      </c>
      <c r="BM57">
        <v>0</v>
      </c>
      <c r="BN57">
        <v>0</v>
      </c>
      <c r="BO57">
        <v>169</v>
      </c>
      <c r="BP57">
        <v>11</v>
      </c>
      <c r="BQ57">
        <v>1</v>
      </c>
      <c r="BR57" t="s">
        <v>7364</v>
      </c>
      <c r="BS57" t="s">
        <v>7365</v>
      </c>
      <c r="BT57" t="s">
        <v>7360</v>
      </c>
      <c r="BU57" t="s">
        <v>7360</v>
      </c>
      <c r="BV57" t="s">
        <v>7360</v>
      </c>
      <c r="BX57">
        <v>0</v>
      </c>
      <c r="BY57">
        <v>0</v>
      </c>
      <c r="BZ57" t="s">
        <v>7360</v>
      </c>
      <c r="CA57" t="s">
        <v>7360</v>
      </c>
      <c r="CB57">
        <v>3380666</v>
      </c>
      <c r="CC57" s="21">
        <v>44950.688101851854</v>
      </c>
      <c r="CE57" t="s">
        <v>7366</v>
      </c>
      <c r="CF57">
        <v>0</v>
      </c>
      <c r="CG57">
        <v>702002</v>
      </c>
      <c r="CH57">
        <v>702002</v>
      </c>
      <c r="CI57" s="21">
        <v>44950.689247685186</v>
      </c>
      <c r="CJ57" t="s">
        <v>7367</v>
      </c>
      <c r="CK57" t="s">
        <v>7367</v>
      </c>
      <c r="CL57" t="s">
        <v>7368</v>
      </c>
      <c r="CM57" t="s">
        <v>7368</v>
      </c>
      <c r="CS57" t="s">
        <v>7361</v>
      </c>
      <c r="CT57" t="s">
        <v>7362</v>
      </c>
      <c r="CU57" t="s">
        <v>7362</v>
      </c>
      <c r="CV57" t="s">
        <v>7362</v>
      </c>
      <c r="CW57" t="s">
        <v>7362</v>
      </c>
      <c r="CX57">
        <v>4068000</v>
      </c>
      <c r="DA57">
        <v>0</v>
      </c>
    </row>
    <row r="58" spans="1:105" x14ac:dyDescent="0.3">
      <c r="A58">
        <v>1354</v>
      </c>
      <c r="B58" t="s">
        <v>7396</v>
      </c>
      <c r="C58">
        <v>80</v>
      </c>
      <c r="D58" s="20">
        <v>44950</v>
      </c>
      <c r="E58" t="s">
        <v>7356</v>
      </c>
      <c r="F58" t="s">
        <v>5426</v>
      </c>
      <c r="G58" t="s">
        <v>7357</v>
      </c>
      <c r="H58">
        <v>1</v>
      </c>
      <c r="I58" t="s">
        <v>7358</v>
      </c>
      <c r="J58">
        <v>1</v>
      </c>
      <c r="K58" s="20">
        <v>44950</v>
      </c>
      <c r="L58" s="23">
        <v>540000</v>
      </c>
      <c r="M58" t="s">
        <v>7359</v>
      </c>
      <c r="N58" t="s">
        <v>7360</v>
      </c>
      <c r="O58">
        <v>0</v>
      </c>
      <c r="P58">
        <v>11848</v>
      </c>
      <c r="Q58">
        <v>416023</v>
      </c>
      <c r="R58">
        <v>0</v>
      </c>
      <c r="S58">
        <v>20230124</v>
      </c>
      <c r="T58">
        <v>0</v>
      </c>
      <c r="U58" t="s">
        <v>7361</v>
      </c>
      <c r="V58" t="s">
        <v>7360</v>
      </c>
      <c r="W58" t="s">
        <v>7360</v>
      </c>
      <c r="X58" t="s">
        <v>7360</v>
      </c>
      <c r="Y58" t="s">
        <v>7360</v>
      </c>
      <c r="Z58" t="s">
        <v>7360</v>
      </c>
      <c r="AA58" t="s">
        <v>7362</v>
      </c>
      <c r="AB58" t="s">
        <v>7360</v>
      </c>
      <c r="AC58" t="s">
        <v>7360</v>
      </c>
      <c r="AD58" t="s">
        <v>7360</v>
      </c>
      <c r="AE58" t="s">
        <v>7360</v>
      </c>
      <c r="AF58" t="s">
        <v>1684</v>
      </c>
      <c r="AG58">
        <v>0</v>
      </c>
      <c r="AH58">
        <v>0</v>
      </c>
      <c r="AI58">
        <v>0</v>
      </c>
      <c r="AJ58">
        <v>0</v>
      </c>
      <c r="AK58">
        <v>0</v>
      </c>
      <c r="AL58" t="s">
        <v>7360</v>
      </c>
      <c r="AM58">
        <v>0</v>
      </c>
      <c r="AN58" s="20">
        <v>44950</v>
      </c>
      <c r="AO58" s="20">
        <v>44950</v>
      </c>
      <c r="AP58" s="20">
        <v>44950</v>
      </c>
      <c r="AQ58">
        <v>0</v>
      </c>
      <c r="AR58">
        <v>0</v>
      </c>
      <c r="AS58">
        <v>0</v>
      </c>
      <c r="AT58">
        <v>0</v>
      </c>
      <c r="AU58">
        <v>0</v>
      </c>
      <c r="AV58" t="s">
        <v>7360</v>
      </c>
      <c r="AW58">
        <v>0</v>
      </c>
      <c r="AX58" t="s">
        <v>7360</v>
      </c>
      <c r="AY58" t="s">
        <v>7363</v>
      </c>
      <c r="BA58">
        <v>0</v>
      </c>
      <c r="BB58" s="20">
        <v>44950</v>
      </c>
      <c r="BC58">
        <v>0</v>
      </c>
      <c r="BD58" t="s">
        <v>7360</v>
      </c>
      <c r="BF58" s="20">
        <v>44950</v>
      </c>
      <c r="BG58">
        <v>0</v>
      </c>
      <c r="BH58" t="s">
        <v>7363</v>
      </c>
      <c r="BJ58" t="s">
        <v>7362</v>
      </c>
      <c r="BK58">
        <v>0</v>
      </c>
      <c r="BL58">
        <v>0</v>
      </c>
      <c r="BM58">
        <v>0</v>
      </c>
      <c r="BN58">
        <v>0</v>
      </c>
      <c r="BO58">
        <v>169</v>
      </c>
      <c r="BP58">
        <v>11</v>
      </c>
      <c r="BQ58">
        <v>1</v>
      </c>
      <c r="BR58" t="s">
        <v>7364</v>
      </c>
      <c r="BS58" t="s">
        <v>7365</v>
      </c>
      <c r="BT58" t="s">
        <v>7360</v>
      </c>
      <c r="BU58" t="s">
        <v>7360</v>
      </c>
      <c r="BV58" t="s">
        <v>7360</v>
      </c>
      <c r="BX58">
        <v>0</v>
      </c>
      <c r="BY58">
        <v>0</v>
      </c>
      <c r="BZ58" t="s">
        <v>7360</v>
      </c>
      <c r="CA58" t="s">
        <v>7360</v>
      </c>
      <c r="CB58">
        <v>3380666</v>
      </c>
      <c r="CC58" s="21">
        <v>44950.699953703705</v>
      </c>
      <c r="CE58" t="s">
        <v>7366</v>
      </c>
      <c r="CF58">
        <v>0</v>
      </c>
      <c r="CG58">
        <v>702002</v>
      </c>
      <c r="CH58">
        <v>702002</v>
      </c>
      <c r="CI58" s="21">
        <v>44950.701296296298</v>
      </c>
      <c r="CJ58" t="s">
        <v>7367</v>
      </c>
      <c r="CK58" t="s">
        <v>7367</v>
      </c>
      <c r="CL58" t="s">
        <v>7368</v>
      </c>
      <c r="CM58" t="s">
        <v>7368</v>
      </c>
      <c r="CS58" t="s">
        <v>7361</v>
      </c>
      <c r="CT58" t="s">
        <v>7362</v>
      </c>
      <c r="CU58" t="s">
        <v>7362</v>
      </c>
      <c r="CV58" t="s">
        <v>7362</v>
      </c>
      <c r="CW58" t="s">
        <v>7362</v>
      </c>
      <c r="CX58">
        <v>540000</v>
      </c>
      <c r="DA58">
        <v>0</v>
      </c>
    </row>
    <row r="59" spans="1:105" x14ac:dyDescent="0.3">
      <c r="A59">
        <v>1362</v>
      </c>
      <c r="B59" t="s">
        <v>7371</v>
      </c>
      <c r="C59">
        <v>81</v>
      </c>
      <c r="D59" s="20">
        <v>44951</v>
      </c>
      <c r="E59" t="s">
        <v>7356</v>
      </c>
      <c r="F59" t="s">
        <v>5432</v>
      </c>
      <c r="G59" t="s">
        <v>7357</v>
      </c>
      <c r="H59">
        <v>1</v>
      </c>
      <c r="I59" t="s">
        <v>7358</v>
      </c>
      <c r="J59">
        <v>1</v>
      </c>
      <c r="K59" s="20">
        <v>44951</v>
      </c>
      <c r="L59" s="23">
        <v>11900000</v>
      </c>
      <c r="M59" t="s">
        <v>7359</v>
      </c>
      <c r="N59" t="s">
        <v>7360</v>
      </c>
      <c r="O59">
        <v>0</v>
      </c>
      <c r="P59">
        <v>11821</v>
      </c>
      <c r="Q59">
        <v>416047</v>
      </c>
      <c r="R59">
        <v>0</v>
      </c>
      <c r="S59">
        <v>20230125</v>
      </c>
      <c r="T59">
        <v>0</v>
      </c>
      <c r="U59" t="s">
        <v>7361</v>
      </c>
      <c r="V59" t="s">
        <v>7360</v>
      </c>
      <c r="W59" t="s">
        <v>7360</v>
      </c>
      <c r="X59" t="s">
        <v>7360</v>
      </c>
      <c r="Y59" t="s">
        <v>7360</v>
      </c>
      <c r="Z59" t="s">
        <v>7360</v>
      </c>
      <c r="AA59" t="s">
        <v>7362</v>
      </c>
      <c r="AB59" t="s">
        <v>7360</v>
      </c>
      <c r="AC59" t="s">
        <v>7360</v>
      </c>
      <c r="AD59" t="s">
        <v>7360</v>
      </c>
      <c r="AE59" t="s">
        <v>7360</v>
      </c>
      <c r="AF59" t="s">
        <v>1684</v>
      </c>
      <c r="AG59">
        <v>0</v>
      </c>
      <c r="AH59">
        <v>0</v>
      </c>
      <c r="AI59">
        <v>0</v>
      </c>
      <c r="AJ59">
        <v>0</v>
      </c>
      <c r="AK59">
        <v>0</v>
      </c>
      <c r="AL59" t="s">
        <v>7360</v>
      </c>
      <c r="AM59">
        <v>0</v>
      </c>
      <c r="AN59" s="20">
        <v>44951</v>
      </c>
      <c r="AO59" s="20">
        <v>44951</v>
      </c>
      <c r="AP59" s="20">
        <v>44951</v>
      </c>
      <c r="AQ59">
        <v>0</v>
      </c>
      <c r="AR59">
        <v>0</v>
      </c>
      <c r="AS59">
        <v>0</v>
      </c>
      <c r="AT59">
        <v>0</v>
      </c>
      <c r="AU59">
        <v>0</v>
      </c>
      <c r="AV59" t="s">
        <v>7360</v>
      </c>
      <c r="AW59">
        <v>0</v>
      </c>
      <c r="AX59" t="s">
        <v>7360</v>
      </c>
      <c r="AY59" t="s">
        <v>7363</v>
      </c>
      <c r="BA59">
        <v>0</v>
      </c>
      <c r="BB59" s="20">
        <v>44951</v>
      </c>
      <c r="BC59">
        <v>0</v>
      </c>
      <c r="BD59" t="s">
        <v>7360</v>
      </c>
      <c r="BF59" s="20">
        <v>44951</v>
      </c>
      <c r="BG59">
        <v>0</v>
      </c>
      <c r="BH59" t="s">
        <v>7363</v>
      </c>
      <c r="BJ59" t="s">
        <v>7362</v>
      </c>
      <c r="BK59">
        <v>0</v>
      </c>
      <c r="BL59">
        <v>0</v>
      </c>
      <c r="BM59">
        <v>0</v>
      </c>
      <c r="BN59">
        <v>0</v>
      </c>
      <c r="BO59">
        <v>169</v>
      </c>
      <c r="BP59">
        <v>11</v>
      </c>
      <c r="BQ59">
        <v>1</v>
      </c>
      <c r="BR59" t="s">
        <v>7364</v>
      </c>
      <c r="BS59" t="s">
        <v>7374</v>
      </c>
      <c r="BT59" t="s">
        <v>7360</v>
      </c>
      <c r="BU59" t="s">
        <v>7360</v>
      </c>
      <c r="BV59" t="s">
        <v>7360</v>
      </c>
      <c r="BX59">
        <v>0</v>
      </c>
      <c r="BY59">
        <v>0</v>
      </c>
      <c r="BZ59" t="s">
        <v>7360</v>
      </c>
      <c r="CA59" t="s">
        <v>7360</v>
      </c>
      <c r="CB59">
        <v>3380666</v>
      </c>
      <c r="CC59" s="21">
        <v>44951.347222222219</v>
      </c>
      <c r="CE59" t="s">
        <v>7366</v>
      </c>
      <c r="CF59">
        <v>0</v>
      </c>
      <c r="CG59">
        <v>702002</v>
      </c>
      <c r="CH59">
        <v>702002</v>
      </c>
      <c r="CI59" s="21">
        <v>44951.350694444445</v>
      </c>
      <c r="CJ59" t="s">
        <v>7367</v>
      </c>
      <c r="CK59" t="s">
        <v>7367</v>
      </c>
      <c r="CL59" t="s">
        <v>7368</v>
      </c>
      <c r="CM59" t="s">
        <v>7368</v>
      </c>
      <c r="CS59" t="s">
        <v>7361</v>
      </c>
      <c r="CT59" t="s">
        <v>7362</v>
      </c>
      <c r="CU59" t="s">
        <v>7362</v>
      </c>
      <c r="CV59" t="s">
        <v>7362</v>
      </c>
      <c r="CW59" t="s">
        <v>7362</v>
      </c>
      <c r="CX59">
        <v>11900000</v>
      </c>
      <c r="DA59">
        <v>0</v>
      </c>
    </row>
    <row r="60" spans="1:105" x14ac:dyDescent="0.3">
      <c r="A60">
        <v>1354</v>
      </c>
      <c r="B60" t="s">
        <v>7396</v>
      </c>
      <c r="C60">
        <v>82</v>
      </c>
      <c r="D60" s="20">
        <v>44951</v>
      </c>
      <c r="E60" t="s">
        <v>7356</v>
      </c>
      <c r="F60" t="s">
        <v>5437</v>
      </c>
      <c r="G60" t="s">
        <v>7370</v>
      </c>
      <c r="H60">
        <v>1</v>
      </c>
      <c r="I60" t="s">
        <v>7358</v>
      </c>
      <c r="J60">
        <v>1</v>
      </c>
      <c r="K60" s="20">
        <v>44951</v>
      </c>
      <c r="L60" s="23">
        <v>2080000</v>
      </c>
      <c r="M60" t="s">
        <v>7359</v>
      </c>
      <c r="N60" t="s">
        <v>7360</v>
      </c>
      <c r="O60">
        <v>0</v>
      </c>
      <c r="P60">
        <v>11842</v>
      </c>
      <c r="Q60">
        <v>416019</v>
      </c>
      <c r="R60">
        <v>0</v>
      </c>
      <c r="S60">
        <v>20230125</v>
      </c>
      <c r="T60">
        <v>0</v>
      </c>
      <c r="U60" t="s">
        <v>7361</v>
      </c>
      <c r="V60" t="s">
        <v>7360</v>
      </c>
      <c r="W60" t="s">
        <v>7360</v>
      </c>
      <c r="X60" t="s">
        <v>7360</v>
      </c>
      <c r="Y60" t="s">
        <v>7360</v>
      </c>
      <c r="Z60" t="s">
        <v>7360</v>
      </c>
      <c r="AA60" t="s">
        <v>7362</v>
      </c>
      <c r="AB60" t="s">
        <v>7360</v>
      </c>
      <c r="AC60" t="s">
        <v>7360</v>
      </c>
      <c r="AD60" t="s">
        <v>7360</v>
      </c>
      <c r="AE60" t="s">
        <v>7360</v>
      </c>
      <c r="AF60" t="s">
        <v>1684</v>
      </c>
      <c r="AG60">
        <v>0</v>
      </c>
      <c r="AH60">
        <v>0</v>
      </c>
      <c r="AI60">
        <v>0</v>
      </c>
      <c r="AJ60">
        <v>0</v>
      </c>
      <c r="AK60">
        <v>0</v>
      </c>
      <c r="AL60" t="s">
        <v>7360</v>
      </c>
      <c r="AM60">
        <v>0</v>
      </c>
      <c r="AN60" s="20">
        <v>44951</v>
      </c>
      <c r="AO60" s="20">
        <v>44951</v>
      </c>
      <c r="AP60" s="20">
        <v>44951</v>
      </c>
      <c r="AQ60">
        <v>0</v>
      </c>
      <c r="AR60">
        <v>0</v>
      </c>
      <c r="AS60">
        <v>0</v>
      </c>
      <c r="AT60">
        <v>0</v>
      </c>
      <c r="AU60">
        <v>0</v>
      </c>
      <c r="AV60" t="s">
        <v>7360</v>
      </c>
      <c r="AW60">
        <v>0</v>
      </c>
      <c r="AX60" t="s">
        <v>7360</v>
      </c>
      <c r="AY60" t="s">
        <v>7363</v>
      </c>
      <c r="BA60">
        <v>0</v>
      </c>
      <c r="BB60" s="20">
        <v>44951</v>
      </c>
      <c r="BC60">
        <v>0</v>
      </c>
      <c r="BD60" t="s">
        <v>7360</v>
      </c>
      <c r="BF60" s="20">
        <v>44951</v>
      </c>
      <c r="BG60">
        <v>0</v>
      </c>
      <c r="BH60" t="s">
        <v>7363</v>
      </c>
      <c r="BJ60" t="s">
        <v>7362</v>
      </c>
      <c r="BK60">
        <v>0</v>
      </c>
      <c r="BL60">
        <v>0</v>
      </c>
      <c r="BM60">
        <v>0</v>
      </c>
      <c r="BN60">
        <v>0</v>
      </c>
      <c r="BO60">
        <v>169</v>
      </c>
      <c r="BP60">
        <v>11</v>
      </c>
      <c r="BQ60">
        <v>1</v>
      </c>
      <c r="BR60" t="s">
        <v>7364</v>
      </c>
      <c r="BS60" t="s">
        <v>7365</v>
      </c>
      <c r="BT60" t="s">
        <v>7360</v>
      </c>
      <c r="BU60" t="s">
        <v>7360</v>
      </c>
      <c r="BV60" t="s">
        <v>7360</v>
      </c>
      <c r="BX60">
        <v>0</v>
      </c>
      <c r="BY60">
        <v>0</v>
      </c>
      <c r="BZ60" t="s">
        <v>7360</v>
      </c>
      <c r="CA60" t="s">
        <v>7360</v>
      </c>
      <c r="CB60">
        <v>3380666</v>
      </c>
      <c r="CC60" s="21">
        <v>44951.376180555555</v>
      </c>
      <c r="CE60" t="s">
        <v>7366</v>
      </c>
      <c r="CF60">
        <v>0</v>
      </c>
      <c r="CG60">
        <v>702002</v>
      </c>
      <c r="CH60">
        <v>702002</v>
      </c>
      <c r="CI60" s="21">
        <v>44951.379016203704</v>
      </c>
      <c r="CJ60" t="s">
        <v>7367</v>
      </c>
      <c r="CK60" t="s">
        <v>7367</v>
      </c>
      <c r="CL60" t="s">
        <v>7368</v>
      </c>
      <c r="CM60" t="s">
        <v>7368</v>
      </c>
      <c r="CS60" t="s">
        <v>7361</v>
      </c>
      <c r="CT60" t="s">
        <v>7362</v>
      </c>
      <c r="CU60" t="s">
        <v>7362</v>
      </c>
      <c r="CV60" t="s">
        <v>7362</v>
      </c>
      <c r="CW60" t="s">
        <v>7362</v>
      </c>
      <c r="CX60">
        <v>2080000</v>
      </c>
      <c r="DA60">
        <v>0</v>
      </c>
    </row>
    <row r="61" spans="1:105" x14ac:dyDescent="0.3">
      <c r="A61">
        <v>1354</v>
      </c>
      <c r="B61" t="s">
        <v>7396</v>
      </c>
      <c r="C61">
        <v>83</v>
      </c>
      <c r="D61" s="20">
        <v>44950</v>
      </c>
      <c r="E61" t="s">
        <v>7372</v>
      </c>
      <c r="F61" t="s">
        <v>5442</v>
      </c>
      <c r="G61" t="s">
        <v>7370</v>
      </c>
      <c r="H61">
        <v>1</v>
      </c>
      <c r="I61" t="s">
        <v>7358</v>
      </c>
      <c r="J61">
        <v>1</v>
      </c>
      <c r="K61" s="20">
        <v>44951</v>
      </c>
      <c r="L61" s="23">
        <v>2700000</v>
      </c>
      <c r="M61" t="s">
        <v>7359</v>
      </c>
      <c r="N61" t="s">
        <v>7360</v>
      </c>
      <c r="O61">
        <v>0</v>
      </c>
      <c r="P61">
        <v>11824</v>
      </c>
      <c r="Q61">
        <v>416003</v>
      </c>
      <c r="R61">
        <v>0</v>
      </c>
      <c r="S61">
        <v>20230124</v>
      </c>
      <c r="T61">
        <v>0</v>
      </c>
      <c r="U61" t="s">
        <v>7362</v>
      </c>
      <c r="V61" t="s">
        <v>7360</v>
      </c>
      <c r="W61" t="s">
        <v>7360</v>
      </c>
      <c r="X61" t="s">
        <v>7360</v>
      </c>
      <c r="Y61" t="s">
        <v>7360</v>
      </c>
      <c r="Z61" t="s">
        <v>7360</v>
      </c>
      <c r="AA61" t="s">
        <v>7362</v>
      </c>
      <c r="AB61" t="s">
        <v>7360</v>
      </c>
      <c r="AC61" t="s">
        <v>7360</v>
      </c>
      <c r="AD61" t="s">
        <v>7360</v>
      </c>
      <c r="AE61" t="s">
        <v>7360</v>
      </c>
      <c r="AF61" t="s">
        <v>1684</v>
      </c>
      <c r="AG61">
        <v>0</v>
      </c>
      <c r="AH61">
        <v>0</v>
      </c>
      <c r="AI61">
        <v>0</v>
      </c>
      <c r="AJ61">
        <v>0</v>
      </c>
      <c r="AK61">
        <v>0</v>
      </c>
      <c r="AL61" t="s">
        <v>7360</v>
      </c>
      <c r="AM61">
        <v>0</v>
      </c>
      <c r="AN61" s="20">
        <v>44951</v>
      </c>
      <c r="AO61" s="20">
        <v>44951</v>
      </c>
      <c r="AP61" s="20">
        <v>44951</v>
      </c>
      <c r="AQ61">
        <v>0</v>
      </c>
      <c r="AR61">
        <v>0</v>
      </c>
      <c r="AS61">
        <v>0</v>
      </c>
      <c r="AT61">
        <v>0</v>
      </c>
      <c r="AU61">
        <v>0</v>
      </c>
      <c r="AV61" t="s">
        <v>7360</v>
      </c>
      <c r="AW61">
        <v>0</v>
      </c>
      <c r="AX61" t="s">
        <v>7360</v>
      </c>
      <c r="AY61" t="s">
        <v>7362</v>
      </c>
      <c r="BA61">
        <v>0</v>
      </c>
      <c r="BB61" s="20">
        <v>44951</v>
      </c>
      <c r="BC61">
        <v>0</v>
      </c>
      <c r="BD61" t="s">
        <v>7360</v>
      </c>
      <c r="BF61" s="20">
        <v>44951</v>
      </c>
      <c r="BG61">
        <v>0</v>
      </c>
      <c r="BH61" t="s">
        <v>7363</v>
      </c>
      <c r="BJ61" t="s">
        <v>7362</v>
      </c>
      <c r="BK61">
        <v>169</v>
      </c>
      <c r="BL61">
        <v>11</v>
      </c>
      <c r="BM61">
        <v>1</v>
      </c>
      <c r="BN61" t="s">
        <v>7364</v>
      </c>
      <c r="BO61">
        <v>169</v>
      </c>
      <c r="BP61">
        <v>11</v>
      </c>
      <c r="BQ61">
        <v>1</v>
      </c>
      <c r="BR61" t="s">
        <v>7364</v>
      </c>
      <c r="BS61" t="s">
        <v>132</v>
      </c>
      <c r="BT61" t="s">
        <v>7360</v>
      </c>
      <c r="BU61" t="s">
        <v>7360</v>
      </c>
      <c r="BV61" t="s">
        <v>7360</v>
      </c>
      <c r="BX61" t="s">
        <v>7391</v>
      </c>
      <c r="BY61">
        <v>74</v>
      </c>
      <c r="BZ61" t="s">
        <v>7360</v>
      </c>
      <c r="CA61" t="s">
        <v>7360</v>
      </c>
      <c r="CB61">
        <v>5558210</v>
      </c>
      <c r="CC61" s="21">
        <v>44951.385266203702</v>
      </c>
      <c r="CE61" t="s">
        <v>7392</v>
      </c>
      <c r="CF61">
        <v>1100101</v>
      </c>
      <c r="CG61">
        <v>53575</v>
      </c>
      <c r="CH61">
        <v>53575</v>
      </c>
      <c r="CI61" s="21">
        <v>44951.387719907405</v>
      </c>
      <c r="CJ61" t="s">
        <v>7393</v>
      </c>
      <c r="CK61" t="s">
        <v>7393</v>
      </c>
      <c r="CL61" t="s">
        <v>7394</v>
      </c>
      <c r="CM61" t="s">
        <v>7394</v>
      </c>
      <c r="CS61" t="s">
        <v>7361</v>
      </c>
      <c r="CT61" t="s">
        <v>7362</v>
      </c>
      <c r="CU61" t="s">
        <v>7362</v>
      </c>
      <c r="CV61" t="s">
        <v>7362</v>
      </c>
      <c r="CW61" t="s">
        <v>7362</v>
      </c>
      <c r="CX61">
        <v>2700000</v>
      </c>
      <c r="DA61">
        <v>0</v>
      </c>
    </row>
    <row r="62" spans="1:105" x14ac:dyDescent="0.3">
      <c r="A62">
        <v>1354</v>
      </c>
      <c r="B62" t="s">
        <v>7396</v>
      </c>
      <c r="C62">
        <v>84</v>
      </c>
      <c r="D62" s="20">
        <v>44951</v>
      </c>
      <c r="E62" t="s">
        <v>7356</v>
      </c>
      <c r="F62" t="s">
        <v>5448</v>
      </c>
      <c r="G62" t="s">
        <v>7370</v>
      </c>
      <c r="H62">
        <v>1</v>
      </c>
      <c r="I62" t="s">
        <v>7358</v>
      </c>
      <c r="J62">
        <v>1</v>
      </c>
      <c r="K62" s="20">
        <v>44951</v>
      </c>
      <c r="L62" s="23">
        <v>2700000</v>
      </c>
      <c r="M62" t="s">
        <v>7359</v>
      </c>
      <c r="N62" t="s">
        <v>7360</v>
      </c>
      <c r="O62">
        <v>0</v>
      </c>
      <c r="P62">
        <v>11837</v>
      </c>
      <c r="Q62">
        <v>416015</v>
      </c>
      <c r="R62">
        <v>0</v>
      </c>
      <c r="S62">
        <v>20230125</v>
      </c>
      <c r="T62">
        <v>0</v>
      </c>
      <c r="U62" t="s">
        <v>7361</v>
      </c>
      <c r="V62" t="s">
        <v>7360</v>
      </c>
      <c r="W62" t="s">
        <v>7360</v>
      </c>
      <c r="X62" t="s">
        <v>7360</v>
      </c>
      <c r="Y62" t="s">
        <v>7360</v>
      </c>
      <c r="Z62" t="s">
        <v>7360</v>
      </c>
      <c r="AA62" t="s">
        <v>7362</v>
      </c>
      <c r="AB62" t="s">
        <v>7360</v>
      </c>
      <c r="AC62" t="s">
        <v>7360</v>
      </c>
      <c r="AD62" t="s">
        <v>7360</v>
      </c>
      <c r="AE62" t="s">
        <v>7360</v>
      </c>
      <c r="AF62" t="s">
        <v>1684</v>
      </c>
      <c r="AG62">
        <v>0</v>
      </c>
      <c r="AH62">
        <v>0</v>
      </c>
      <c r="AI62">
        <v>0</v>
      </c>
      <c r="AJ62">
        <v>0</v>
      </c>
      <c r="AK62">
        <v>0</v>
      </c>
      <c r="AL62" t="s">
        <v>7360</v>
      </c>
      <c r="AM62">
        <v>0</v>
      </c>
      <c r="AN62" s="20">
        <v>44951</v>
      </c>
      <c r="AO62" s="20">
        <v>44951</v>
      </c>
      <c r="AP62" s="20">
        <v>44951</v>
      </c>
      <c r="AQ62">
        <v>0</v>
      </c>
      <c r="AR62">
        <v>0</v>
      </c>
      <c r="AS62">
        <v>0</v>
      </c>
      <c r="AT62">
        <v>0</v>
      </c>
      <c r="AU62">
        <v>0</v>
      </c>
      <c r="AV62" t="s">
        <v>7360</v>
      </c>
      <c r="AW62">
        <v>0</v>
      </c>
      <c r="AX62" t="s">
        <v>7360</v>
      </c>
      <c r="AY62" t="s">
        <v>7363</v>
      </c>
      <c r="BA62">
        <v>0</v>
      </c>
      <c r="BB62" s="20">
        <v>44951</v>
      </c>
      <c r="BC62">
        <v>0</v>
      </c>
      <c r="BD62" t="s">
        <v>7360</v>
      </c>
      <c r="BF62" s="20">
        <v>44951</v>
      </c>
      <c r="BG62">
        <v>0</v>
      </c>
      <c r="BH62" t="s">
        <v>7363</v>
      </c>
      <c r="BJ62" t="s">
        <v>7362</v>
      </c>
      <c r="BK62">
        <v>169</v>
      </c>
      <c r="BL62">
        <v>11</v>
      </c>
      <c r="BM62">
        <v>1</v>
      </c>
      <c r="BN62" t="s">
        <v>7364</v>
      </c>
      <c r="BO62">
        <v>169</v>
      </c>
      <c r="BP62">
        <v>11</v>
      </c>
      <c r="BQ62">
        <v>1</v>
      </c>
      <c r="BR62" t="s">
        <v>7364</v>
      </c>
      <c r="BS62" t="s">
        <v>132</v>
      </c>
      <c r="BT62" t="s">
        <v>7360</v>
      </c>
      <c r="BU62" t="s">
        <v>7360</v>
      </c>
      <c r="BV62" t="s">
        <v>7360</v>
      </c>
      <c r="BX62" t="s">
        <v>7391</v>
      </c>
      <c r="BY62">
        <v>74</v>
      </c>
      <c r="BZ62" t="s">
        <v>7360</v>
      </c>
      <c r="CA62" t="s">
        <v>7360</v>
      </c>
      <c r="CB62">
        <v>5558210</v>
      </c>
      <c r="CC62" s="21">
        <v>44951.410902777781</v>
      </c>
      <c r="CE62" t="s">
        <v>7392</v>
      </c>
      <c r="CF62">
        <v>1100101</v>
      </c>
      <c r="CG62">
        <v>53575</v>
      </c>
      <c r="CH62">
        <v>53575</v>
      </c>
      <c r="CI62" s="21">
        <v>44951.41233796296</v>
      </c>
      <c r="CJ62" t="s">
        <v>7393</v>
      </c>
      <c r="CK62" t="s">
        <v>7393</v>
      </c>
      <c r="CL62" t="s">
        <v>7394</v>
      </c>
      <c r="CM62" t="s">
        <v>7394</v>
      </c>
      <c r="CS62" t="s">
        <v>7361</v>
      </c>
      <c r="CT62" t="s">
        <v>7362</v>
      </c>
      <c r="CU62" t="s">
        <v>7362</v>
      </c>
      <c r="CV62" t="s">
        <v>7362</v>
      </c>
      <c r="CW62" t="s">
        <v>7362</v>
      </c>
      <c r="CX62">
        <v>2700000</v>
      </c>
      <c r="DA62">
        <v>0</v>
      </c>
    </row>
    <row r="63" spans="1:105" x14ac:dyDescent="0.3">
      <c r="A63">
        <v>1372</v>
      </c>
      <c r="B63" t="s">
        <v>7369</v>
      </c>
      <c r="C63">
        <v>85</v>
      </c>
      <c r="D63" s="20">
        <v>44951</v>
      </c>
      <c r="E63" t="s">
        <v>7356</v>
      </c>
      <c r="F63" t="s">
        <v>5453</v>
      </c>
      <c r="G63" t="s">
        <v>7357</v>
      </c>
      <c r="H63">
        <v>1</v>
      </c>
      <c r="I63" t="s">
        <v>7358</v>
      </c>
      <c r="J63">
        <v>1</v>
      </c>
      <c r="K63" s="20">
        <v>44951</v>
      </c>
      <c r="L63" s="23">
        <v>4392596</v>
      </c>
      <c r="M63" t="s">
        <v>7359</v>
      </c>
      <c r="N63" t="s">
        <v>7360</v>
      </c>
      <c r="O63">
        <v>0</v>
      </c>
      <c r="P63">
        <v>11496</v>
      </c>
      <c r="Q63">
        <v>415002</v>
      </c>
      <c r="R63">
        <v>0</v>
      </c>
      <c r="S63">
        <v>20230125</v>
      </c>
      <c r="T63">
        <v>0</v>
      </c>
      <c r="U63" t="s">
        <v>7361</v>
      </c>
      <c r="V63" t="s">
        <v>7360</v>
      </c>
      <c r="W63" t="s">
        <v>7360</v>
      </c>
      <c r="X63" t="s">
        <v>7360</v>
      </c>
      <c r="Y63" t="s">
        <v>7360</v>
      </c>
      <c r="Z63" t="s">
        <v>7360</v>
      </c>
      <c r="AA63" t="s">
        <v>7362</v>
      </c>
      <c r="AB63" t="s">
        <v>7360</v>
      </c>
      <c r="AC63" t="s">
        <v>7360</v>
      </c>
      <c r="AD63" t="s">
        <v>7360</v>
      </c>
      <c r="AE63" t="s">
        <v>7360</v>
      </c>
      <c r="AF63" t="s">
        <v>1684</v>
      </c>
      <c r="AG63">
        <v>0</v>
      </c>
      <c r="AH63">
        <v>0</v>
      </c>
      <c r="AI63">
        <v>0</v>
      </c>
      <c r="AJ63">
        <v>0</v>
      </c>
      <c r="AK63">
        <v>0</v>
      </c>
      <c r="AL63" t="s">
        <v>7360</v>
      </c>
      <c r="AM63">
        <v>0</v>
      </c>
      <c r="AN63" s="20">
        <v>44951</v>
      </c>
      <c r="AO63" s="20">
        <v>44951</v>
      </c>
      <c r="AP63" s="20">
        <v>44951</v>
      </c>
      <c r="AQ63">
        <v>0</v>
      </c>
      <c r="AR63">
        <v>0</v>
      </c>
      <c r="AS63">
        <v>0</v>
      </c>
      <c r="AT63">
        <v>0</v>
      </c>
      <c r="AU63">
        <v>0</v>
      </c>
      <c r="AV63" t="s">
        <v>7360</v>
      </c>
      <c r="AW63">
        <v>0</v>
      </c>
      <c r="AX63" t="s">
        <v>7360</v>
      </c>
      <c r="AY63" t="s">
        <v>7363</v>
      </c>
      <c r="BA63">
        <v>0</v>
      </c>
      <c r="BB63" s="20">
        <v>44951</v>
      </c>
      <c r="BC63">
        <v>0</v>
      </c>
      <c r="BD63" t="s">
        <v>7360</v>
      </c>
      <c r="BF63" s="20">
        <v>44951</v>
      </c>
      <c r="BG63">
        <v>0</v>
      </c>
      <c r="BH63" t="s">
        <v>7363</v>
      </c>
      <c r="BJ63" t="s">
        <v>7362</v>
      </c>
      <c r="BK63">
        <v>0</v>
      </c>
      <c r="BL63">
        <v>0</v>
      </c>
      <c r="BM63">
        <v>0</v>
      </c>
      <c r="BN63">
        <v>0</v>
      </c>
      <c r="BO63">
        <v>169</v>
      </c>
      <c r="BP63">
        <v>11</v>
      </c>
      <c r="BQ63">
        <v>1</v>
      </c>
      <c r="BR63" t="s">
        <v>7364</v>
      </c>
      <c r="BS63" t="s">
        <v>7375</v>
      </c>
      <c r="BT63" t="s">
        <v>7360</v>
      </c>
      <c r="BU63" t="s">
        <v>7360</v>
      </c>
      <c r="BV63" t="s">
        <v>7360</v>
      </c>
      <c r="BX63">
        <v>0</v>
      </c>
      <c r="BY63">
        <v>0</v>
      </c>
      <c r="BZ63" t="s">
        <v>7360</v>
      </c>
      <c r="CA63" t="s">
        <v>7360</v>
      </c>
      <c r="CB63">
        <v>3380666</v>
      </c>
      <c r="CC63" s="21">
        <v>44951.420624999999</v>
      </c>
      <c r="CE63" t="s">
        <v>7366</v>
      </c>
      <c r="CF63">
        <v>0</v>
      </c>
      <c r="CG63">
        <v>702002</v>
      </c>
      <c r="CH63">
        <v>702002</v>
      </c>
      <c r="CI63" s="21">
        <v>44951.426585648151</v>
      </c>
      <c r="CJ63" t="s">
        <v>7367</v>
      </c>
      <c r="CK63" t="s">
        <v>7367</v>
      </c>
      <c r="CL63" t="s">
        <v>7368</v>
      </c>
      <c r="CM63" t="s">
        <v>7368</v>
      </c>
      <c r="CS63" t="s">
        <v>7361</v>
      </c>
      <c r="CT63" t="s">
        <v>7362</v>
      </c>
      <c r="CU63" t="s">
        <v>7362</v>
      </c>
      <c r="CV63" t="s">
        <v>7362</v>
      </c>
      <c r="CW63" t="s">
        <v>7362</v>
      </c>
      <c r="CX63">
        <v>4392596</v>
      </c>
      <c r="DA63">
        <v>0</v>
      </c>
    </row>
    <row r="64" spans="1:105" x14ac:dyDescent="0.3">
      <c r="A64">
        <v>1354</v>
      </c>
      <c r="B64" t="s">
        <v>7396</v>
      </c>
      <c r="C64">
        <v>86</v>
      </c>
      <c r="D64" s="20">
        <v>44951</v>
      </c>
      <c r="E64" t="s">
        <v>7372</v>
      </c>
      <c r="F64" t="s">
        <v>5458</v>
      </c>
      <c r="G64" t="s">
        <v>7370</v>
      </c>
      <c r="H64">
        <v>1</v>
      </c>
      <c r="I64" t="s">
        <v>7358</v>
      </c>
      <c r="J64">
        <v>1</v>
      </c>
      <c r="K64" s="20">
        <v>44951</v>
      </c>
      <c r="L64" s="23">
        <v>450000</v>
      </c>
      <c r="M64" t="s">
        <v>7359</v>
      </c>
      <c r="N64" t="s">
        <v>7360</v>
      </c>
      <c r="O64">
        <v>0</v>
      </c>
      <c r="P64">
        <v>11816</v>
      </c>
      <c r="Q64">
        <v>415027</v>
      </c>
      <c r="R64">
        <v>0</v>
      </c>
      <c r="S64">
        <v>20230125</v>
      </c>
      <c r="T64">
        <v>0</v>
      </c>
      <c r="U64" t="s">
        <v>7362</v>
      </c>
      <c r="V64" t="s">
        <v>7360</v>
      </c>
      <c r="W64" t="s">
        <v>7360</v>
      </c>
      <c r="X64" t="s">
        <v>7360</v>
      </c>
      <c r="Y64" t="s">
        <v>7360</v>
      </c>
      <c r="Z64" t="s">
        <v>7360</v>
      </c>
      <c r="AA64" t="s">
        <v>7362</v>
      </c>
      <c r="AB64" t="s">
        <v>7360</v>
      </c>
      <c r="AC64" t="s">
        <v>7360</v>
      </c>
      <c r="AD64" t="s">
        <v>7360</v>
      </c>
      <c r="AE64" t="s">
        <v>7360</v>
      </c>
      <c r="AF64" t="s">
        <v>1684</v>
      </c>
      <c r="AG64">
        <v>0</v>
      </c>
      <c r="AH64">
        <v>0</v>
      </c>
      <c r="AI64">
        <v>0</v>
      </c>
      <c r="AJ64">
        <v>0</v>
      </c>
      <c r="AK64">
        <v>0</v>
      </c>
      <c r="AL64" t="s">
        <v>7360</v>
      </c>
      <c r="AM64">
        <v>0</v>
      </c>
      <c r="AN64" s="20">
        <v>44951</v>
      </c>
      <c r="AO64" s="20">
        <v>44951</v>
      </c>
      <c r="AP64" s="20">
        <v>44951</v>
      </c>
      <c r="AQ64">
        <v>0</v>
      </c>
      <c r="AR64">
        <v>0</v>
      </c>
      <c r="AS64">
        <v>0</v>
      </c>
      <c r="AT64">
        <v>0</v>
      </c>
      <c r="AU64">
        <v>0</v>
      </c>
      <c r="AV64" t="s">
        <v>7360</v>
      </c>
      <c r="AW64">
        <v>0</v>
      </c>
      <c r="AX64" t="s">
        <v>7360</v>
      </c>
      <c r="AY64" t="s">
        <v>7362</v>
      </c>
      <c r="BA64">
        <v>0</v>
      </c>
      <c r="BB64" s="20">
        <v>44951</v>
      </c>
      <c r="BC64">
        <v>0</v>
      </c>
      <c r="BD64" t="s">
        <v>7360</v>
      </c>
      <c r="BF64" s="20">
        <v>44951</v>
      </c>
      <c r="BG64">
        <v>0</v>
      </c>
      <c r="BH64" t="s">
        <v>7363</v>
      </c>
      <c r="BJ64" t="s">
        <v>7362</v>
      </c>
      <c r="BK64">
        <v>169</v>
      </c>
      <c r="BL64">
        <v>11</v>
      </c>
      <c r="BM64">
        <v>1</v>
      </c>
      <c r="BN64" t="s">
        <v>7364</v>
      </c>
      <c r="BO64">
        <v>169</v>
      </c>
      <c r="BP64">
        <v>11</v>
      </c>
      <c r="BQ64">
        <v>1</v>
      </c>
      <c r="BR64" t="s">
        <v>7364</v>
      </c>
      <c r="BS64" t="s">
        <v>132</v>
      </c>
      <c r="BT64" t="s">
        <v>7360</v>
      </c>
      <c r="BU64" t="s">
        <v>7360</v>
      </c>
      <c r="BV64" t="s">
        <v>7360</v>
      </c>
      <c r="BX64" t="s">
        <v>7391</v>
      </c>
      <c r="BY64">
        <v>74</v>
      </c>
      <c r="BZ64" t="s">
        <v>7360</v>
      </c>
      <c r="CA64" t="s">
        <v>7360</v>
      </c>
      <c r="CB64">
        <v>5558210</v>
      </c>
      <c r="CC64" s="21">
        <v>44951.429942129631</v>
      </c>
      <c r="CE64" t="s">
        <v>7392</v>
      </c>
      <c r="CF64">
        <v>1100101</v>
      </c>
      <c r="CG64">
        <v>53575</v>
      </c>
      <c r="CH64">
        <v>53575</v>
      </c>
      <c r="CI64" s="21">
        <v>44951.431331018517</v>
      </c>
      <c r="CJ64" t="s">
        <v>7393</v>
      </c>
      <c r="CK64" t="s">
        <v>7393</v>
      </c>
      <c r="CL64" t="s">
        <v>7394</v>
      </c>
      <c r="CM64" t="s">
        <v>7394</v>
      </c>
      <c r="CS64" t="s">
        <v>7361</v>
      </c>
      <c r="CT64" t="s">
        <v>7362</v>
      </c>
      <c r="CU64" t="s">
        <v>7362</v>
      </c>
      <c r="CV64" t="s">
        <v>7362</v>
      </c>
      <c r="CW64" t="s">
        <v>7362</v>
      </c>
      <c r="CX64">
        <v>450000</v>
      </c>
      <c r="DA64">
        <v>0</v>
      </c>
    </row>
    <row r="65" spans="1:106" x14ac:dyDescent="0.3">
      <c r="A65">
        <v>1354</v>
      </c>
      <c r="B65" t="s">
        <v>7396</v>
      </c>
      <c r="C65">
        <v>87</v>
      </c>
      <c r="D65" s="20">
        <v>44951</v>
      </c>
      <c r="E65" t="s">
        <v>7356</v>
      </c>
      <c r="F65" t="s">
        <v>5464</v>
      </c>
      <c r="G65" t="s">
        <v>7370</v>
      </c>
      <c r="H65">
        <v>1</v>
      </c>
      <c r="I65" t="s">
        <v>7358</v>
      </c>
      <c r="J65">
        <v>1</v>
      </c>
      <c r="K65" s="20">
        <v>44951</v>
      </c>
      <c r="L65" s="23">
        <v>1350000</v>
      </c>
      <c r="M65" t="s">
        <v>7359</v>
      </c>
      <c r="N65" t="s">
        <v>7360</v>
      </c>
      <c r="O65">
        <v>0</v>
      </c>
      <c r="P65">
        <v>11834</v>
      </c>
      <c r="Q65">
        <v>416012</v>
      </c>
      <c r="R65">
        <v>0</v>
      </c>
      <c r="S65">
        <v>20230125</v>
      </c>
      <c r="T65">
        <v>0</v>
      </c>
      <c r="U65" t="s">
        <v>7361</v>
      </c>
      <c r="V65" t="s">
        <v>7360</v>
      </c>
      <c r="W65" t="s">
        <v>7360</v>
      </c>
      <c r="X65" t="s">
        <v>7360</v>
      </c>
      <c r="Y65" t="s">
        <v>7360</v>
      </c>
      <c r="Z65" t="s">
        <v>7360</v>
      </c>
      <c r="AA65" t="s">
        <v>7362</v>
      </c>
      <c r="AB65" t="s">
        <v>7360</v>
      </c>
      <c r="AC65" t="s">
        <v>7360</v>
      </c>
      <c r="AD65" t="s">
        <v>7360</v>
      </c>
      <c r="AE65" t="s">
        <v>7360</v>
      </c>
      <c r="AF65" t="s">
        <v>1684</v>
      </c>
      <c r="AG65">
        <v>0</v>
      </c>
      <c r="AH65">
        <v>0</v>
      </c>
      <c r="AI65">
        <v>0</v>
      </c>
      <c r="AJ65">
        <v>0</v>
      </c>
      <c r="AK65">
        <v>0</v>
      </c>
      <c r="AL65" t="s">
        <v>7360</v>
      </c>
      <c r="AM65">
        <v>0</v>
      </c>
      <c r="AN65" s="20">
        <v>44951</v>
      </c>
      <c r="AO65" s="20">
        <v>44951</v>
      </c>
      <c r="AP65" s="20">
        <v>44951</v>
      </c>
      <c r="AQ65">
        <v>0</v>
      </c>
      <c r="AR65">
        <v>0</v>
      </c>
      <c r="AS65">
        <v>0</v>
      </c>
      <c r="AT65">
        <v>0</v>
      </c>
      <c r="AU65">
        <v>0</v>
      </c>
      <c r="AV65" t="s">
        <v>7360</v>
      </c>
      <c r="AW65">
        <v>0</v>
      </c>
      <c r="AX65" t="s">
        <v>7360</v>
      </c>
      <c r="AY65" t="s">
        <v>7363</v>
      </c>
      <c r="BA65">
        <v>0</v>
      </c>
      <c r="BB65" s="20">
        <v>44951</v>
      </c>
      <c r="BC65">
        <v>0</v>
      </c>
      <c r="BD65" t="s">
        <v>7360</v>
      </c>
      <c r="BF65" s="20">
        <v>44951</v>
      </c>
      <c r="BG65">
        <v>0</v>
      </c>
      <c r="BH65" t="s">
        <v>7363</v>
      </c>
      <c r="BJ65" t="s">
        <v>7362</v>
      </c>
      <c r="BK65">
        <v>169</v>
      </c>
      <c r="BL65">
        <v>11</v>
      </c>
      <c r="BM65">
        <v>1</v>
      </c>
      <c r="BN65" t="s">
        <v>7364</v>
      </c>
      <c r="BO65">
        <v>169</v>
      </c>
      <c r="BP65">
        <v>11</v>
      </c>
      <c r="BQ65">
        <v>1</v>
      </c>
      <c r="BR65" t="s">
        <v>7364</v>
      </c>
      <c r="BS65" t="s">
        <v>132</v>
      </c>
      <c r="BT65" t="s">
        <v>7360</v>
      </c>
      <c r="BU65" t="s">
        <v>7360</v>
      </c>
      <c r="BV65" t="s">
        <v>7360</v>
      </c>
      <c r="BX65" t="s">
        <v>7391</v>
      </c>
      <c r="BY65">
        <v>74</v>
      </c>
      <c r="BZ65" t="s">
        <v>7360</v>
      </c>
      <c r="CA65" t="s">
        <v>7360</v>
      </c>
      <c r="CB65">
        <v>5558210</v>
      </c>
      <c r="CC65" s="21">
        <v>44951.459351851852</v>
      </c>
      <c r="CE65" t="s">
        <v>7392</v>
      </c>
      <c r="CF65">
        <v>1100101</v>
      </c>
      <c r="CG65">
        <v>53575</v>
      </c>
      <c r="CH65">
        <v>53575</v>
      </c>
      <c r="CI65" s="21">
        <v>44951.460497685184</v>
      </c>
      <c r="CJ65" t="s">
        <v>7393</v>
      </c>
      <c r="CK65" t="s">
        <v>7393</v>
      </c>
      <c r="CL65" t="s">
        <v>7394</v>
      </c>
      <c r="CM65" t="s">
        <v>7394</v>
      </c>
      <c r="CS65" t="s">
        <v>7361</v>
      </c>
      <c r="CT65" t="s">
        <v>7362</v>
      </c>
      <c r="CU65" t="s">
        <v>7362</v>
      </c>
      <c r="CV65" t="s">
        <v>7362</v>
      </c>
      <c r="CW65" t="s">
        <v>7362</v>
      </c>
      <c r="CX65">
        <v>1350000</v>
      </c>
      <c r="DA65">
        <v>0</v>
      </c>
    </row>
    <row r="66" spans="1:106" x14ac:dyDescent="0.3">
      <c r="A66">
        <v>1354</v>
      </c>
      <c r="B66" t="s">
        <v>7396</v>
      </c>
      <c r="C66">
        <v>88</v>
      </c>
      <c r="D66" s="20">
        <v>44951</v>
      </c>
      <c r="E66" t="s">
        <v>7356</v>
      </c>
      <c r="F66" t="s">
        <v>5469</v>
      </c>
      <c r="G66" t="s">
        <v>7370</v>
      </c>
      <c r="H66">
        <v>1</v>
      </c>
      <c r="I66" t="s">
        <v>7358</v>
      </c>
      <c r="J66">
        <v>1</v>
      </c>
      <c r="K66" s="20">
        <v>44951</v>
      </c>
      <c r="L66" s="23">
        <v>1650000</v>
      </c>
      <c r="M66" t="s">
        <v>7359</v>
      </c>
      <c r="N66" t="s">
        <v>7360</v>
      </c>
      <c r="O66">
        <v>0</v>
      </c>
      <c r="P66">
        <v>11833</v>
      </c>
      <c r="Q66">
        <v>416011</v>
      </c>
      <c r="R66">
        <v>0</v>
      </c>
      <c r="S66">
        <v>20230125</v>
      </c>
      <c r="T66">
        <v>0</v>
      </c>
      <c r="U66" t="s">
        <v>7361</v>
      </c>
      <c r="V66" t="s">
        <v>7360</v>
      </c>
      <c r="W66" t="s">
        <v>7360</v>
      </c>
      <c r="X66" t="s">
        <v>7360</v>
      </c>
      <c r="Y66" t="s">
        <v>7360</v>
      </c>
      <c r="Z66" t="s">
        <v>7360</v>
      </c>
      <c r="AA66" t="s">
        <v>7362</v>
      </c>
      <c r="AB66" t="s">
        <v>7360</v>
      </c>
      <c r="AC66" t="s">
        <v>7360</v>
      </c>
      <c r="AD66" t="s">
        <v>7360</v>
      </c>
      <c r="AE66" t="s">
        <v>7360</v>
      </c>
      <c r="AF66" t="s">
        <v>1684</v>
      </c>
      <c r="AG66">
        <v>0</v>
      </c>
      <c r="AH66">
        <v>0</v>
      </c>
      <c r="AI66">
        <v>0</v>
      </c>
      <c r="AJ66">
        <v>0</v>
      </c>
      <c r="AK66">
        <v>0</v>
      </c>
      <c r="AL66" t="s">
        <v>7360</v>
      </c>
      <c r="AM66">
        <v>0</v>
      </c>
      <c r="AN66" s="20">
        <v>44951</v>
      </c>
      <c r="AO66" s="20">
        <v>44951</v>
      </c>
      <c r="AP66" s="20">
        <v>44951</v>
      </c>
      <c r="AQ66">
        <v>0</v>
      </c>
      <c r="AR66">
        <v>0</v>
      </c>
      <c r="AS66">
        <v>0</v>
      </c>
      <c r="AT66">
        <v>0</v>
      </c>
      <c r="AU66">
        <v>0</v>
      </c>
      <c r="AV66" t="s">
        <v>7360</v>
      </c>
      <c r="AW66">
        <v>0</v>
      </c>
      <c r="AX66" t="s">
        <v>7360</v>
      </c>
      <c r="AY66" t="s">
        <v>7363</v>
      </c>
      <c r="BA66">
        <v>0</v>
      </c>
      <c r="BB66" s="20">
        <v>44951</v>
      </c>
      <c r="BC66">
        <v>0</v>
      </c>
      <c r="BD66" t="s">
        <v>7360</v>
      </c>
      <c r="BF66" s="20">
        <v>44951</v>
      </c>
      <c r="BG66">
        <v>0</v>
      </c>
      <c r="BH66" t="s">
        <v>7363</v>
      </c>
      <c r="BJ66" t="s">
        <v>7362</v>
      </c>
      <c r="BK66">
        <v>169</v>
      </c>
      <c r="BL66">
        <v>11</v>
      </c>
      <c r="BM66">
        <v>1</v>
      </c>
      <c r="BN66" t="s">
        <v>7364</v>
      </c>
      <c r="BO66">
        <v>169</v>
      </c>
      <c r="BP66">
        <v>11</v>
      </c>
      <c r="BQ66">
        <v>1</v>
      </c>
      <c r="BR66" t="s">
        <v>7364</v>
      </c>
      <c r="BS66" t="s">
        <v>132</v>
      </c>
      <c r="BT66" t="s">
        <v>7360</v>
      </c>
      <c r="BU66" t="s">
        <v>7360</v>
      </c>
      <c r="BV66" t="s">
        <v>7360</v>
      </c>
      <c r="BX66" t="s">
        <v>7391</v>
      </c>
      <c r="BY66">
        <v>74</v>
      </c>
      <c r="BZ66" t="s">
        <v>7360</v>
      </c>
      <c r="CA66" t="s">
        <v>7360</v>
      </c>
      <c r="CB66">
        <v>5558210</v>
      </c>
      <c r="CC66" s="21">
        <v>44951.469675925924</v>
      </c>
      <c r="CE66" t="s">
        <v>7392</v>
      </c>
      <c r="CF66">
        <v>1100101</v>
      </c>
      <c r="CG66">
        <v>53575</v>
      </c>
      <c r="CH66">
        <v>53575</v>
      </c>
      <c r="CI66" s="21">
        <v>44951.470509259256</v>
      </c>
      <c r="CJ66" t="s">
        <v>7393</v>
      </c>
      <c r="CK66" t="s">
        <v>7393</v>
      </c>
      <c r="CL66" t="s">
        <v>7394</v>
      </c>
      <c r="CM66" t="s">
        <v>7394</v>
      </c>
      <c r="CS66" t="s">
        <v>7361</v>
      </c>
      <c r="CT66" t="s">
        <v>7362</v>
      </c>
      <c r="CU66" t="s">
        <v>7362</v>
      </c>
      <c r="CV66" t="s">
        <v>7362</v>
      </c>
      <c r="CW66" t="s">
        <v>7362</v>
      </c>
      <c r="CX66">
        <v>1650000</v>
      </c>
      <c r="DA66">
        <v>0</v>
      </c>
    </row>
    <row r="67" spans="1:106" x14ac:dyDescent="0.3">
      <c r="A67">
        <v>1362</v>
      </c>
      <c r="B67" t="s">
        <v>7371</v>
      </c>
      <c r="C67">
        <v>89</v>
      </c>
      <c r="D67" s="20">
        <v>44951</v>
      </c>
      <c r="E67" t="s">
        <v>7356</v>
      </c>
      <c r="F67" t="s">
        <v>5474</v>
      </c>
      <c r="G67" t="s">
        <v>7357</v>
      </c>
      <c r="H67">
        <v>1</v>
      </c>
      <c r="I67" t="s">
        <v>7358</v>
      </c>
      <c r="J67">
        <v>1</v>
      </c>
      <c r="K67" s="20">
        <v>44951</v>
      </c>
      <c r="L67" s="23">
        <v>1305894</v>
      </c>
      <c r="M67" t="s">
        <v>7359</v>
      </c>
      <c r="N67" t="s">
        <v>7360</v>
      </c>
      <c r="O67">
        <v>0</v>
      </c>
      <c r="P67">
        <v>11855</v>
      </c>
      <c r="Q67">
        <v>416028</v>
      </c>
      <c r="R67">
        <v>0</v>
      </c>
      <c r="S67">
        <v>20230125</v>
      </c>
      <c r="T67">
        <v>0</v>
      </c>
      <c r="U67" t="s">
        <v>7361</v>
      </c>
      <c r="V67" t="s">
        <v>7360</v>
      </c>
      <c r="W67" t="s">
        <v>7360</v>
      </c>
      <c r="X67" t="s">
        <v>7360</v>
      </c>
      <c r="Y67" t="s">
        <v>7360</v>
      </c>
      <c r="Z67" t="s">
        <v>7360</v>
      </c>
      <c r="AA67" t="s">
        <v>7362</v>
      </c>
      <c r="AB67" t="s">
        <v>7360</v>
      </c>
      <c r="AC67" t="s">
        <v>7360</v>
      </c>
      <c r="AD67" t="s">
        <v>7360</v>
      </c>
      <c r="AE67" t="s">
        <v>7360</v>
      </c>
      <c r="AF67" t="s">
        <v>1684</v>
      </c>
      <c r="AG67">
        <v>0</v>
      </c>
      <c r="AH67">
        <v>0</v>
      </c>
      <c r="AI67">
        <v>0</v>
      </c>
      <c r="AJ67">
        <v>0</v>
      </c>
      <c r="AK67">
        <v>0</v>
      </c>
      <c r="AL67" t="s">
        <v>7360</v>
      </c>
      <c r="AM67">
        <v>0</v>
      </c>
      <c r="AN67" s="20">
        <v>44951</v>
      </c>
      <c r="AO67" s="20">
        <v>44951</v>
      </c>
      <c r="AP67" s="20">
        <v>44951</v>
      </c>
      <c r="AQ67">
        <v>0</v>
      </c>
      <c r="AR67">
        <v>0</v>
      </c>
      <c r="AS67">
        <v>0</v>
      </c>
      <c r="AT67">
        <v>0</v>
      </c>
      <c r="AU67">
        <v>0</v>
      </c>
      <c r="AV67" t="s">
        <v>7360</v>
      </c>
      <c r="AW67">
        <v>0</v>
      </c>
      <c r="AX67" t="s">
        <v>7360</v>
      </c>
      <c r="AY67" t="s">
        <v>7363</v>
      </c>
      <c r="BA67">
        <v>0</v>
      </c>
      <c r="BB67" s="20">
        <v>44951</v>
      </c>
      <c r="BC67">
        <v>0</v>
      </c>
      <c r="BD67" t="s">
        <v>7360</v>
      </c>
      <c r="BF67" s="20">
        <v>44951</v>
      </c>
      <c r="BG67">
        <v>0</v>
      </c>
      <c r="BH67" t="s">
        <v>7363</v>
      </c>
      <c r="BJ67" t="s">
        <v>7362</v>
      </c>
      <c r="BK67">
        <v>169</v>
      </c>
      <c r="BL67">
        <v>11</v>
      </c>
      <c r="BM67">
        <v>1</v>
      </c>
      <c r="BN67" t="s">
        <v>7364</v>
      </c>
      <c r="BO67">
        <v>169</v>
      </c>
      <c r="BP67">
        <v>11</v>
      </c>
      <c r="BQ67">
        <v>1</v>
      </c>
      <c r="BR67" t="s">
        <v>7364</v>
      </c>
      <c r="BS67" t="s">
        <v>7400</v>
      </c>
      <c r="BT67" t="s">
        <v>7360</v>
      </c>
      <c r="BU67" t="s">
        <v>7360</v>
      </c>
      <c r="BV67" t="s">
        <v>7360</v>
      </c>
      <c r="BX67" t="s">
        <v>7391</v>
      </c>
      <c r="BY67">
        <v>74</v>
      </c>
      <c r="BZ67" t="s">
        <v>7360</v>
      </c>
      <c r="CA67" t="s">
        <v>7360</v>
      </c>
      <c r="CB67">
        <v>5558210</v>
      </c>
      <c r="CC67" s="21">
        <v>44951.482812499999</v>
      </c>
      <c r="CE67" t="s">
        <v>7392</v>
      </c>
      <c r="CF67">
        <v>1100101</v>
      </c>
      <c r="CG67">
        <v>53575</v>
      </c>
      <c r="CH67">
        <v>53575</v>
      </c>
      <c r="CI67" s="21">
        <v>44951.483981481484</v>
      </c>
      <c r="CJ67" t="s">
        <v>7393</v>
      </c>
      <c r="CK67" t="s">
        <v>7393</v>
      </c>
      <c r="CL67" t="s">
        <v>7394</v>
      </c>
      <c r="CM67" t="s">
        <v>7394</v>
      </c>
      <c r="CS67" t="s">
        <v>7361</v>
      </c>
      <c r="CT67" t="s">
        <v>7362</v>
      </c>
      <c r="CU67" t="s">
        <v>7362</v>
      </c>
      <c r="CV67" t="s">
        <v>7362</v>
      </c>
      <c r="CW67" t="s">
        <v>7362</v>
      </c>
      <c r="CX67">
        <v>1305894</v>
      </c>
      <c r="DA67">
        <v>0</v>
      </c>
    </row>
    <row r="68" spans="1:106" x14ac:dyDescent="0.3">
      <c r="A68">
        <v>1360</v>
      </c>
      <c r="B68" t="s">
        <v>7401</v>
      </c>
      <c r="C68">
        <v>90</v>
      </c>
      <c r="D68" s="20">
        <v>44951</v>
      </c>
      <c r="E68" t="s">
        <v>7356</v>
      </c>
      <c r="F68" t="s">
        <v>5480</v>
      </c>
      <c r="G68" t="s">
        <v>7357</v>
      </c>
      <c r="H68">
        <v>1</v>
      </c>
      <c r="I68" t="s">
        <v>7358</v>
      </c>
      <c r="J68">
        <v>1</v>
      </c>
      <c r="K68" s="20">
        <v>44951</v>
      </c>
      <c r="L68" s="23">
        <v>231060</v>
      </c>
      <c r="M68" t="s">
        <v>7359</v>
      </c>
      <c r="N68" t="s">
        <v>7360</v>
      </c>
      <c r="O68">
        <v>0</v>
      </c>
      <c r="P68">
        <v>11357</v>
      </c>
      <c r="Q68">
        <v>414058</v>
      </c>
      <c r="R68">
        <v>0</v>
      </c>
      <c r="S68">
        <v>20230125</v>
      </c>
      <c r="T68">
        <v>0</v>
      </c>
      <c r="U68" t="s">
        <v>7361</v>
      </c>
      <c r="V68" t="s">
        <v>7360</v>
      </c>
      <c r="W68" t="s">
        <v>7360</v>
      </c>
      <c r="X68" t="s">
        <v>7360</v>
      </c>
      <c r="Y68" t="s">
        <v>7360</v>
      </c>
      <c r="Z68" t="s">
        <v>7360</v>
      </c>
      <c r="AA68" t="s">
        <v>7362</v>
      </c>
      <c r="AB68" t="s">
        <v>7360</v>
      </c>
      <c r="AC68" t="s">
        <v>7360</v>
      </c>
      <c r="AD68" t="s">
        <v>7360</v>
      </c>
      <c r="AE68" t="s">
        <v>7360</v>
      </c>
      <c r="AF68" t="s">
        <v>1684</v>
      </c>
      <c r="AG68">
        <v>0</v>
      </c>
      <c r="AH68">
        <v>0</v>
      </c>
      <c r="AI68">
        <v>0</v>
      </c>
      <c r="AJ68">
        <v>0</v>
      </c>
      <c r="AK68">
        <v>0</v>
      </c>
      <c r="AL68" t="s">
        <v>7360</v>
      </c>
      <c r="AM68">
        <v>0</v>
      </c>
      <c r="AN68" s="20">
        <v>44951</v>
      </c>
      <c r="AO68" s="20">
        <v>44951</v>
      </c>
      <c r="AP68" s="20">
        <v>44951</v>
      </c>
      <c r="AQ68">
        <v>0</v>
      </c>
      <c r="AR68">
        <v>0</v>
      </c>
      <c r="AS68">
        <v>0</v>
      </c>
      <c r="AT68">
        <v>0</v>
      </c>
      <c r="AU68">
        <v>0</v>
      </c>
      <c r="AV68" t="s">
        <v>7360</v>
      </c>
      <c r="AW68">
        <v>0</v>
      </c>
      <c r="AX68" t="s">
        <v>7360</v>
      </c>
      <c r="AY68" t="s">
        <v>7363</v>
      </c>
      <c r="BA68">
        <v>0</v>
      </c>
      <c r="BB68" s="20">
        <v>44951</v>
      </c>
      <c r="BC68">
        <v>0</v>
      </c>
      <c r="BD68" t="s">
        <v>7360</v>
      </c>
      <c r="BF68" s="20">
        <v>44951</v>
      </c>
      <c r="BG68">
        <v>0</v>
      </c>
      <c r="BH68" t="s">
        <v>7363</v>
      </c>
      <c r="BJ68" t="s">
        <v>7362</v>
      </c>
      <c r="BK68">
        <v>0</v>
      </c>
      <c r="BL68">
        <v>0</v>
      </c>
      <c r="BM68">
        <v>0</v>
      </c>
      <c r="BN68">
        <v>0</v>
      </c>
      <c r="BO68">
        <v>169</v>
      </c>
      <c r="BP68">
        <v>11</v>
      </c>
      <c r="BQ68">
        <v>1</v>
      </c>
      <c r="BR68" t="s">
        <v>7364</v>
      </c>
      <c r="BS68" t="s">
        <v>7386</v>
      </c>
      <c r="BT68" t="s">
        <v>7360</v>
      </c>
      <c r="BU68" t="s">
        <v>7360</v>
      </c>
      <c r="BV68" t="s">
        <v>7360</v>
      </c>
      <c r="BX68">
        <v>0</v>
      </c>
      <c r="BY68">
        <v>0</v>
      </c>
      <c r="BZ68" t="s">
        <v>7360</v>
      </c>
      <c r="CA68" t="s">
        <v>7360</v>
      </c>
      <c r="CB68">
        <v>3380666</v>
      </c>
      <c r="CC68" s="21">
        <v>44951.483217592591</v>
      </c>
      <c r="CE68" t="s">
        <v>7366</v>
      </c>
      <c r="CF68">
        <v>0</v>
      </c>
      <c r="CG68">
        <v>702002</v>
      </c>
      <c r="CH68">
        <v>702002</v>
      </c>
      <c r="CI68" s="21">
        <v>44951.486145833333</v>
      </c>
      <c r="CJ68" t="s">
        <v>7367</v>
      </c>
      <c r="CK68" t="s">
        <v>7367</v>
      </c>
      <c r="CL68" t="s">
        <v>7368</v>
      </c>
      <c r="CM68" t="s">
        <v>7368</v>
      </c>
      <c r="CS68" t="s">
        <v>7361</v>
      </c>
      <c r="CT68" t="s">
        <v>7362</v>
      </c>
      <c r="CU68" t="s">
        <v>7362</v>
      </c>
      <c r="CV68" t="s">
        <v>7362</v>
      </c>
      <c r="CW68" t="s">
        <v>7362</v>
      </c>
      <c r="CX68">
        <v>231060</v>
      </c>
      <c r="DA68">
        <v>0</v>
      </c>
    </row>
    <row r="69" spans="1:106" x14ac:dyDescent="0.3">
      <c r="A69">
        <v>1356</v>
      </c>
      <c r="B69" t="s">
        <v>7402</v>
      </c>
      <c r="C69">
        <v>465</v>
      </c>
      <c r="D69" s="20">
        <v>44979</v>
      </c>
      <c r="E69" t="s">
        <v>7356</v>
      </c>
      <c r="F69" t="s">
        <v>5485</v>
      </c>
      <c r="G69" t="s">
        <v>7377</v>
      </c>
      <c r="H69">
        <v>1</v>
      </c>
      <c r="I69" t="s">
        <v>7358</v>
      </c>
      <c r="J69">
        <v>1</v>
      </c>
      <c r="K69" s="20">
        <v>44979</v>
      </c>
      <c r="L69" s="23">
        <v>15099490</v>
      </c>
      <c r="M69" t="s">
        <v>7403</v>
      </c>
      <c r="N69" t="s">
        <v>7360</v>
      </c>
      <c r="O69">
        <v>0</v>
      </c>
      <c r="P69">
        <v>12613</v>
      </c>
      <c r="Q69">
        <v>134003</v>
      </c>
      <c r="R69">
        <v>0</v>
      </c>
      <c r="S69">
        <v>20230222</v>
      </c>
      <c r="T69">
        <v>0</v>
      </c>
      <c r="U69" t="s">
        <v>7361</v>
      </c>
      <c r="V69" t="s">
        <v>7360</v>
      </c>
      <c r="W69" t="s">
        <v>7360</v>
      </c>
      <c r="X69" t="s">
        <v>7360</v>
      </c>
      <c r="Y69" t="s">
        <v>7360</v>
      </c>
      <c r="Z69" t="s">
        <v>7360</v>
      </c>
      <c r="AA69" t="s">
        <v>7362</v>
      </c>
      <c r="AB69" t="s">
        <v>7360</v>
      </c>
      <c r="AC69" t="s">
        <v>7360</v>
      </c>
      <c r="AD69" t="s">
        <v>7360</v>
      </c>
      <c r="AE69" t="s">
        <v>7360</v>
      </c>
      <c r="AF69" t="s">
        <v>1684</v>
      </c>
      <c r="AG69">
        <v>0</v>
      </c>
      <c r="AH69">
        <v>0</v>
      </c>
      <c r="AI69">
        <v>0</v>
      </c>
      <c r="AJ69">
        <v>0</v>
      </c>
      <c r="AK69">
        <v>0</v>
      </c>
      <c r="AL69" t="s">
        <v>7360</v>
      </c>
      <c r="AM69">
        <v>0</v>
      </c>
      <c r="AN69" s="20">
        <v>44979</v>
      </c>
      <c r="AO69" s="20">
        <v>44979</v>
      </c>
      <c r="AP69" s="20">
        <v>44979</v>
      </c>
      <c r="AQ69">
        <v>0</v>
      </c>
      <c r="AR69">
        <v>0</v>
      </c>
      <c r="AS69">
        <v>0</v>
      </c>
      <c r="AT69">
        <v>0</v>
      </c>
      <c r="AU69">
        <v>0</v>
      </c>
      <c r="AV69" t="s">
        <v>7360</v>
      </c>
      <c r="AW69">
        <v>0</v>
      </c>
      <c r="AX69" t="s">
        <v>7360</v>
      </c>
      <c r="AY69" t="s">
        <v>7363</v>
      </c>
      <c r="BA69">
        <v>0</v>
      </c>
      <c r="BB69" s="20">
        <v>44979</v>
      </c>
      <c r="BC69">
        <v>0</v>
      </c>
      <c r="BD69" t="s">
        <v>7360</v>
      </c>
      <c r="BE69">
        <v>29</v>
      </c>
      <c r="BF69" s="20">
        <v>44979</v>
      </c>
      <c r="BG69">
        <v>0</v>
      </c>
      <c r="BH69" t="s">
        <v>1729</v>
      </c>
      <c r="BJ69" t="s">
        <v>7362</v>
      </c>
      <c r="BK69">
        <v>0</v>
      </c>
      <c r="BL69">
        <v>0</v>
      </c>
      <c r="BM69">
        <v>0</v>
      </c>
      <c r="BN69">
        <v>0</v>
      </c>
      <c r="BO69">
        <v>169</v>
      </c>
      <c r="BP69">
        <v>11</v>
      </c>
      <c r="BQ69">
        <v>1</v>
      </c>
      <c r="BR69" t="s">
        <v>7364</v>
      </c>
      <c r="BS69" t="s">
        <v>7382</v>
      </c>
      <c r="BT69" t="s">
        <v>7360</v>
      </c>
      <c r="BU69" t="s">
        <v>7360</v>
      </c>
      <c r="BV69" t="s">
        <v>7360</v>
      </c>
      <c r="BX69">
        <v>0</v>
      </c>
      <c r="BY69">
        <v>0</v>
      </c>
      <c r="BZ69" t="s">
        <v>7360</v>
      </c>
      <c r="CA69" t="s">
        <v>7360</v>
      </c>
      <c r="CB69">
        <v>3380666</v>
      </c>
      <c r="CC69" s="21">
        <v>44952.381562499999</v>
      </c>
      <c r="CE69" t="s">
        <v>7366</v>
      </c>
      <c r="CF69">
        <v>0</v>
      </c>
      <c r="CG69">
        <v>702002</v>
      </c>
      <c r="CH69">
        <v>702002</v>
      </c>
      <c r="CI69" s="21">
        <v>44952.384398148148</v>
      </c>
      <c r="CJ69" t="s">
        <v>7367</v>
      </c>
      <c r="CK69" t="s">
        <v>7367</v>
      </c>
      <c r="CL69" t="s">
        <v>7368</v>
      </c>
      <c r="CM69" t="s">
        <v>7368</v>
      </c>
      <c r="CS69" t="s">
        <v>7361</v>
      </c>
      <c r="CT69" t="s">
        <v>7362</v>
      </c>
      <c r="CU69" t="s">
        <v>7362</v>
      </c>
      <c r="CV69" t="s">
        <v>7362</v>
      </c>
      <c r="CW69" t="s">
        <v>7362</v>
      </c>
      <c r="CX69">
        <v>20349000</v>
      </c>
      <c r="DA69">
        <v>0</v>
      </c>
    </row>
    <row r="70" spans="1:106" x14ac:dyDescent="0.3">
      <c r="A70">
        <v>1366</v>
      </c>
      <c r="B70" t="s">
        <v>7380</v>
      </c>
      <c r="C70">
        <v>92</v>
      </c>
      <c r="D70" s="20">
        <v>44951</v>
      </c>
      <c r="E70" t="s">
        <v>7356</v>
      </c>
      <c r="F70" t="s">
        <v>5490</v>
      </c>
      <c r="G70" t="s">
        <v>7357</v>
      </c>
      <c r="H70">
        <v>1</v>
      </c>
      <c r="I70" t="s">
        <v>7358</v>
      </c>
      <c r="J70">
        <v>1</v>
      </c>
      <c r="K70" s="20">
        <v>44951</v>
      </c>
      <c r="L70" s="23">
        <v>12350000</v>
      </c>
      <c r="M70" t="s">
        <v>7403</v>
      </c>
      <c r="N70" t="s">
        <v>7360</v>
      </c>
      <c r="O70">
        <v>0</v>
      </c>
      <c r="P70">
        <v>11749</v>
      </c>
      <c r="Q70">
        <v>129007</v>
      </c>
      <c r="R70">
        <v>0</v>
      </c>
      <c r="S70">
        <v>20230125</v>
      </c>
      <c r="T70">
        <v>0</v>
      </c>
      <c r="U70" t="s">
        <v>7361</v>
      </c>
      <c r="V70" t="s">
        <v>7360</v>
      </c>
      <c r="W70" t="s">
        <v>7360</v>
      </c>
      <c r="X70" t="s">
        <v>7360</v>
      </c>
      <c r="Y70" t="s">
        <v>7360</v>
      </c>
      <c r="Z70" t="s">
        <v>7360</v>
      </c>
      <c r="AA70" t="s">
        <v>7362</v>
      </c>
      <c r="AB70" t="s">
        <v>7360</v>
      </c>
      <c r="AC70" t="s">
        <v>7360</v>
      </c>
      <c r="AD70" t="s">
        <v>7360</v>
      </c>
      <c r="AE70" t="s">
        <v>7360</v>
      </c>
      <c r="AF70" t="s">
        <v>1684</v>
      </c>
      <c r="AG70">
        <v>0</v>
      </c>
      <c r="AH70">
        <v>0</v>
      </c>
      <c r="AI70">
        <v>0</v>
      </c>
      <c r="AJ70">
        <v>0</v>
      </c>
      <c r="AK70">
        <v>0</v>
      </c>
      <c r="AL70" t="s">
        <v>7360</v>
      </c>
      <c r="AM70">
        <v>0</v>
      </c>
      <c r="AN70" s="20">
        <v>44951</v>
      </c>
      <c r="AO70" s="20">
        <v>44951</v>
      </c>
      <c r="AP70" s="20">
        <v>44951</v>
      </c>
      <c r="AQ70">
        <v>0</v>
      </c>
      <c r="AR70">
        <v>0</v>
      </c>
      <c r="AS70">
        <v>0</v>
      </c>
      <c r="AT70">
        <v>0</v>
      </c>
      <c r="AU70">
        <v>0</v>
      </c>
      <c r="AV70" t="s">
        <v>7360</v>
      </c>
      <c r="AW70">
        <v>0</v>
      </c>
      <c r="AX70" t="s">
        <v>7360</v>
      </c>
      <c r="AY70" t="s">
        <v>7363</v>
      </c>
      <c r="BA70">
        <v>0</v>
      </c>
      <c r="BB70" s="20">
        <v>44951</v>
      </c>
      <c r="BC70">
        <v>0</v>
      </c>
      <c r="BD70" t="s">
        <v>7360</v>
      </c>
      <c r="BE70">
        <v>147</v>
      </c>
      <c r="BF70" s="20">
        <v>44951</v>
      </c>
      <c r="BG70">
        <v>0</v>
      </c>
      <c r="BH70" t="s">
        <v>7363</v>
      </c>
      <c r="BJ70" t="s">
        <v>7362</v>
      </c>
      <c r="BK70">
        <v>169</v>
      </c>
      <c r="BL70">
        <v>11</v>
      </c>
      <c r="BM70">
        <v>1</v>
      </c>
      <c r="BN70" t="s">
        <v>7364</v>
      </c>
      <c r="BO70">
        <v>169</v>
      </c>
      <c r="BP70">
        <v>11</v>
      </c>
      <c r="BQ70">
        <v>1</v>
      </c>
      <c r="BR70" t="s">
        <v>7364</v>
      </c>
      <c r="BS70" t="s">
        <v>7404</v>
      </c>
      <c r="BT70" t="s">
        <v>7360</v>
      </c>
      <c r="BU70" t="s">
        <v>7360</v>
      </c>
      <c r="BV70" t="s">
        <v>7360</v>
      </c>
      <c r="BX70" t="s">
        <v>7391</v>
      </c>
      <c r="BY70">
        <v>74</v>
      </c>
      <c r="BZ70" t="s">
        <v>7360</v>
      </c>
      <c r="CA70" t="s">
        <v>7360</v>
      </c>
      <c r="CB70">
        <v>5558210</v>
      </c>
      <c r="CC70" s="21">
        <v>44951.514918981484</v>
      </c>
      <c r="CE70" t="s">
        <v>7392</v>
      </c>
      <c r="CF70">
        <v>1100101</v>
      </c>
      <c r="CG70">
        <v>53575</v>
      </c>
      <c r="CH70">
        <v>53575</v>
      </c>
      <c r="CI70" s="21">
        <v>44951.590798611112</v>
      </c>
      <c r="CJ70" t="s">
        <v>7393</v>
      </c>
      <c r="CK70" t="s">
        <v>7393</v>
      </c>
      <c r="CL70" t="s">
        <v>7394</v>
      </c>
      <c r="CM70" t="s">
        <v>7394</v>
      </c>
      <c r="CS70" t="s">
        <v>7361</v>
      </c>
      <c r="CT70" t="s">
        <v>7362</v>
      </c>
      <c r="CU70" t="s">
        <v>7362</v>
      </c>
      <c r="CV70" t="s">
        <v>7362</v>
      </c>
      <c r="CW70" t="s">
        <v>7362</v>
      </c>
      <c r="CX70">
        <v>12350000</v>
      </c>
      <c r="DA70">
        <v>0</v>
      </c>
      <c r="DB70">
        <v>129007</v>
      </c>
    </row>
    <row r="71" spans="1:106" x14ac:dyDescent="0.3">
      <c r="A71">
        <v>1366</v>
      </c>
      <c r="B71" t="s">
        <v>7380</v>
      </c>
      <c r="C71">
        <v>93</v>
      </c>
      <c r="D71" s="20">
        <v>44951</v>
      </c>
      <c r="E71" t="s">
        <v>7356</v>
      </c>
      <c r="F71" t="s">
        <v>5496</v>
      </c>
      <c r="G71" t="s">
        <v>7370</v>
      </c>
      <c r="H71">
        <v>1</v>
      </c>
      <c r="I71" t="s">
        <v>7358</v>
      </c>
      <c r="J71">
        <v>1</v>
      </c>
      <c r="K71" s="20">
        <v>44951</v>
      </c>
      <c r="L71" s="23">
        <v>5540000</v>
      </c>
      <c r="M71" t="s">
        <v>7359</v>
      </c>
      <c r="N71" t="s">
        <v>7360</v>
      </c>
      <c r="O71">
        <v>0</v>
      </c>
      <c r="P71">
        <v>11759</v>
      </c>
      <c r="Q71">
        <v>414061</v>
      </c>
      <c r="R71">
        <v>0</v>
      </c>
      <c r="S71">
        <v>20230125</v>
      </c>
      <c r="T71">
        <v>0</v>
      </c>
      <c r="U71" t="s">
        <v>7361</v>
      </c>
      <c r="V71" t="s">
        <v>7360</v>
      </c>
      <c r="W71" t="s">
        <v>7360</v>
      </c>
      <c r="X71" t="s">
        <v>7360</v>
      </c>
      <c r="Y71" t="s">
        <v>7360</v>
      </c>
      <c r="Z71" t="s">
        <v>7360</v>
      </c>
      <c r="AA71" t="s">
        <v>7362</v>
      </c>
      <c r="AB71" t="s">
        <v>7360</v>
      </c>
      <c r="AC71" t="s">
        <v>7360</v>
      </c>
      <c r="AD71" t="s">
        <v>7360</v>
      </c>
      <c r="AE71" t="s">
        <v>7360</v>
      </c>
      <c r="AF71" t="s">
        <v>1684</v>
      </c>
      <c r="AG71">
        <v>0</v>
      </c>
      <c r="AH71">
        <v>0</v>
      </c>
      <c r="AI71">
        <v>0</v>
      </c>
      <c r="AJ71">
        <v>0</v>
      </c>
      <c r="AK71">
        <v>0</v>
      </c>
      <c r="AL71" t="s">
        <v>7360</v>
      </c>
      <c r="AM71">
        <v>0</v>
      </c>
      <c r="AN71" s="20">
        <v>44951</v>
      </c>
      <c r="AO71" s="20">
        <v>44951</v>
      </c>
      <c r="AP71" s="20">
        <v>44951</v>
      </c>
      <c r="AQ71">
        <v>0</v>
      </c>
      <c r="AR71">
        <v>0</v>
      </c>
      <c r="AS71">
        <v>0</v>
      </c>
      <c r="AT71">
        <v>0</v>
      </c>
      <c r="AU71">
        <v>0</v>
      </c>
      <c r="AV71" t="s">
        <v>7360</v>
      </c>
      <c r="AW71">
        <v>0</v>
      </c>
      <c r="AX71" t="s">
        <v>7360</v>
      </c>
      <c r="AY71" t="s">
        <v>7363</v>
      </c>
      <c r="BA71">
        <v>0</v>
      </c>
      <c r="BB71" s="20">
        <v>44951</v>
      </c>
      <c r="BC71">
        <v>0</v>
      </c>
      <c r="BD71" t="s">
        <v>7360</v>
      </c>
      <c r="BF71" s="20">
        <v>44951</v>
      </c>
      <c r="BG71">
        <v>0</v>
      </c>
      <c r="BH71" t="s">
        <v>7363</v>
      </c>
      <c r="BJ71" t="s">
        <v>7362</v>
      </c>
      <c r="BK71">
        <v>0</v>
      </c>
      <c r="BL71">
        <v>0</v>
      </c>
      <c r="BM71">
        <v>0</v>
      </c>
      <c r="BN71">
        <v>0</v>
      </c>
      <c r="BO71">
        <v>169</v>
      </c>
      <c r="BP71">
        <v>11</v>
      </c>
      <c r="BQ71">
        <v>1</v>
      </c>
      <c r="BR71" t="s">
        <v>7364</v>
      </c>
      <c r="BS71" t="s">
        <v>7386</v>
      </c>
      <c r="BT71" t="s">
        <v>7360</v>
      </c>
      <c r="BU71" t="s">
        <v>7360</v>
      </c>
      <c r="BV71" t="s">
        <v>7360</v>
      </c>
      <c r="BX71">
        <v>0</v>
      </c>
      <c r="BY71">
        <v>0</v>
      </c>
      <c r="BZ71" t="s">
        <v>7360</v>
      </c>
      <c r="CA71" t="s">
        <v>7360</v>
      </c>
      <c r="CB71">
        <v>3380666</v>
      </c>
      <c r="CC71" s="21">
        <v>44951.517187500001</v>
      </c>
      <c r="CE71" t="s">
        <v>7366</v>
      </c>
      <c r="CF71">
        <v>0</v>
      </c>
      <c r="CG71">
        <v>702002</v>
      </c>
      <c r="CH71">
        <v>702002</v>
      </c>
      <c r="CI71" s="21">
        <v>44951.518541666665</v>
      </c>
      <c r="CJ71" t="s">
        <v>7367</v>
      </c>
      <c r="CK71" t="s">
        <v>7367</v>
      </c>
      <c r="CL71" t="s">
        <v>7368</v>
      </c>
      <c r="CM71" t="s">
        <v>7368</v>
      </c>
      <c r="CS71" t="s">
        <v>7361</v>
      </c>
      <c r="CT71" t="s">
        <v>7362</v>
      </c>
      <c r="CU71" t="s">
        <v>7362</v>
      </c>
      <c r="CV71" t="s">
        <v>7362</v>
      </c>
      <c r="CW71" t="s">
        <v>7362</v>
      </c>
      <c r="CX71">
        <v>5540000</v>
      </c>
      <c r="DA71">
        <v>0</v>
      </c>
    </row>
    <row r="72" spans="1:106" x14ac:dyDescent="0.3">
      <c r="A72">
        <v>1366</v>
      </c>
      <c r="B72" t="s">
        <v>7380</v>
      </c>
      <c r="C72">
        <v>94</v>
      </c>
      <c r="D72" s="20">
        <v>44951</v>
      </c>
      <c r="E72" t="s">
        <v>7372</v>
      </c>
      <c r="F72" t="s">
        <v>5500</v>
      </c>
      <c r="G72" t="s">
        <v>7357</v>
      </c>
      <c r="H72">
        <v>1</v>
      </c>
      <c r="I72" t="s">
        <v>7358</v>
      </c>
      <c r="J72">
        <v>1</v>
      </c>
      <c r="K72" s="20">
        <v>44951</v>
      </c>
      <c r="L72" s="23">
        <v>323185</v>
      </c>
      <c r="M72" t="s">
        <v>7359</v>
      </c>
      <c r="N72" t="s">
        <v>7360</v>
      </c>
      <c r="O72">
        <v>0</v>
      </c>
      <c r="P72">
        <v>11745</v>
      </c>
      <c r="Q72">
        <v>414057</v>
      </c>
      <c r="R72">
        <v>0</v>
      </c>
      <c r="S72">
        <v>20230125</v>
      </c>
      <c r="T72">
        <v>0</v>
      </c>
      <c r="U72" t="s">
        <v>7362</v>
      </c>
      <c r="V72" t="s">
        <v>7360</v>
      </c>
      <c r="W72" t="s">
        <v>7360</v>
      </c>
      <c r="X72" t="s">
        <v>7360</v>
      </c>
      <c r="Y72" t="s">
        <v>7360</v>
      </c>
      <c r="Z72" t="s">
        <v>7360</v>
      </c>
      <c r="AA72" t="s">
        <v>7362</v>
      </c>
      <c r="AB72" t="s">
        <v>7360</v>
      </c>
      <c r="AC72" t="s">
        <v>7360</v>
      </c>
      <c r="AD72" t="s">
        <v>7360</v>
      </c>
      <c r="AE72" t="s">
        <v>7360</v>
      </c>
      <c r="AF72" t="s">
        <v>1684</v>
      </c>
      <c r="AG72">
        <v>0</v>
      </c>
      <c r="AH72">
        <v>0</v>
      </c>
      <c r="AI72">
        <v>0</v>
      </c>
      <c r="AJ72">
        <v>0</v>
      </c>
      <c r="AK72">
        <v>0</v>
      </c>
      <c r="AL72" t="s">
        <v>7360</v>
      </c>
      <c r="AM72">
        <v>0</v>
      </c>
      <c r="AN72" s="20">
        <v>44951</v>
      </c>
      <c r="AO72" s="20">
        <v>44951</v>
      </c>
      <c r="AP72" s="20">
        <v>44951</v>
      </c>
      <c r="AQ72">
        <v>0</v>
      </c>
      <c r="AR72">
        <v>0</v>
      </c>
      <c r="AS72">
        <v>0</v>
      </c>
      <c r="AT72">
        <v>0</v>
      </c>
      <c r="AU72">
        <v>0</v>
      </c>
      <c r="AV72" t="s">
        <v>7360</v>
      </c>
      <c r="AW72">
        <v>0</v>
      </c>
      <c r="AX72" t="s">
        <v>7360</v>
      </c>
      <c r="AY72" t="s">
        <v>7362</v>
      </c>
      <c r="BA72">
        <v>0</v>
      </c>
      <c r="BB72" s="20">
        <v>44951</v>
      </c>
      <c r="BC72">
        <v>0</v>
      </c>
      <c r="BD72" t="s">
        <v>7360</v>
      </c>
      <c r="BF72" s="20">
        <v>44951</v>
      </c>
      <c r="BG72">
        <v>0</v>
      </c>
      <c r="BH72" t="s">
        <v>7363</v>
      </c>
      <c r="BJ72" t="s">
        <v>7362</v>
      </c>
      <c r="BK72">
        <v>0</v>
      </c>
      <c r="BL72">
        <v>0</v>
      </c>
      <c r="BM72">
        <v>0</v>
      </c>
      <c r="BN72">
        <v>0</v>
      </c>
      <c r="BO72">
        <v>169</v>
      </c>
      <c r="BP72">
        <v>11</v>
      </c>
      <c r="BQ72">
        <v>1</v>
      </c>
      <c r="BR72" t="s">
        <v>7364</v>
      </c>
      <c r="BS72" t="s">
        <v>7386</v>
      </c>
      <c r="BT72" t="s">
        <v>7360</v>
      </c>
      <c r="BU72" t="s">
        <v>7360</v>
      </c>
      <c r="BV72" t="s">
        <v>7360</v>
      </c>
      <c r="BX72">
        <v>0</v>
      </c>
      <c r="BY72">
        <v>0</v>
      </c>
      <c r="BZ72" t="s">
        <v>7360</v>
      </c>
      <c r="CA72" t="s">
        <v>7360</v>
      </c>
      <c r="CB72">
        <v>3380666</v>
      </c>
      <c r="CC72" s="21">
        <v>44951.526134259257</v>
      </c>
      <c r="CE72" t="s">
        <v>7366</v>
      </c>
      <c r="CF72">
        <v>0</v>
      </c>
      <c r="CG72">
        <v>702002</v>
      </c>
      <c r="CH72">
        <v>702002</v>
      </c>
      <c r="CI72" s="21">
        <v>44951.530138888891</v>
      </c>
      <c r="CJ72" t="s">
        <v>7367</v>
      </c>
      <c r="CK72" t="s">
        <v>7367</v>
      </c>
      <c r="CL72" t="s">
        <v>7368</v>
      </c>
      <c r="CM72" t="s">
        <v>7368</v>
      </c>
      <c r="CS72" t="s">
        <v>7361</v>
      </c>
      <c r="CT72" t="s">
        <v>7362</v>
      </c>
      <c r="CU72" t="s">
        <v>7362</v>
      </c>
      <c r="CV72" t="s">
        <v>7362</v>
      </c>
      <c r="CW72" t="s">
        <v>7362</v>
      </c>
      <c r="CX72">
        <v>323185</v>
      </c>
      <c r="DA72">
        <v>0</v>
      </c>
    </row>
    <row r="73" spans="1:106" x14ac:dyDescent="0.3">
      <c r="A73">
        <v>1370</v>
      </c>
      <c r="B73" t="s">
        <v>7390</v>
      </c>
      <c r="C73">
        <v>95</v>
      </c>
      <c r="D73" s="20">
        <v>44951</v>
      </c>
      <c r="E73" t="s">
        <v>7356</v>
      </c>
      <c r="F73" t="s">
        <v>5505</v>
      </c>
      <c r="G73" t="s">
        <v>7357</v>
      </c>
      <c r="H73">
        <v>1</v>
      </c>
      <c r="I73" t="s">
        <v>7358</v>
      </c>
      <c r="J73">
        <v>1</v>
      </c>
      <c r="K73" s="20">
        <v>44951</v>
      </c>
      <c r="L73" s="23">
        <v>13566000</v>
      </c>
      <c r="M73" t="s">
        <v>7359</v>
      </c>
      <c r="N73" t="s">
        <v>7360</v>
      </c>
      <c r="O73">
        <v>0</v>
      </c>
      <c r="P73">
        <v>11917</v>
      </c>
      <c r="Q73">
        <v>416075</v>
      </c>
      <c r="R73">
        <v>0</v>
      </c>
      <c r="S73">
        <v>20230125</v>
      </c>
      <c r="T73">
        <v>0</v>
      </c>
      <c r="U73" t="s">
        <v>7361</v>
      </c>
      <c r="V73" t="s">
        <v>7360</v>
      </c>
      <c r="W73" t="s">
        <v>7360</v>
      </c>
      <c r="X73" t="s">
        <v>7360</v>
      </c>
      <c r="Y73" t="s">
        <v>7360</v>
      </c>
      <c r="Z73" t="s">
        <v>7360</v>
      </c>
      <c r="AA73" t="s">
        <v>7362</v>
      </c>
      <c r="AB73" t="s">
        <v>7360</v>
      </c>
      <c r="AC73" t="s">
        <v>7360</v>
      </c>
      <c r="AD73" t="s">
        <v>7360</v>
      </c>
      <c r="AE73" t="s">
        <v>7360</v>
      </c>
      <c r="AF73" t="s">
        <v>1684</v>
      </c>
      <c r="AG73">
        <v>0</v>
      </c>
      <c r="AH73">
        <v>0</v>
      </c>
      <c r="AI73">
        <v>0</v>
      </c>
      <c r="AJ73">
        <v>0</v>
      </c>
      <c r="AK73">
        <v>0</v>
      </c>
      <c r="AL73" t="s">
        <v>7360</v>
      </c>
      <c r="AM73">
        <v>0</v>
      </c>
      <c r="AN73" s="20">
        <v>44951</v>
      </c>
      <c r="AO73" s="20">
        <v>44951</v>
      </c>
      <c r="AP73" s="20">
        <v>44951</v>
      </c>
      <c r="AQ73">
        <v>0</v>
      </c>
      <c r="AR73">
        <v>0</v>
      </c>
      <c r="AS73">
        <v>0</v>
      </c>
      <c r="AT73">
        <v>0</v>
      </c>
      <c r="AU73">
        <v>0</v>
      </c>
      <c r="AV73" t="s">
        <v>7360</v>
      </c>
      <c r="AW73">
        <v>0</v>
      </c>
      <c r="AX73" t="s">
        <v>7360</v>
      </c>
      <c r="AY73" t="s">
        <v>7363</v>
      </c>
      <c r="BA73">
        <v>0</v>
      </c>
      <c r="BB73" s="20">
        <v>44951</v>
      </c>
      <c r="BC73">
        <v>0</v>
      </c>
      <c r="BD73" t="s">
        <v>7360</v>
      </c>
      <c r="BF73" s="20">
        <v>44951</v>
      </c>
      <c r="BG73">
        <v>0</v>
      </c>
      <c r="BH73" t="s">
        <v>7363</v>
      </c>
      <c r="BJ73" t="s">
        <v>7362</v>
      </c>
      <c r="BK73">
        <v>169</v>
      </c>
      <c r="BL73">
        <v>11</v>
      </c>
      <c r="BM73">
        <v>1</v>
      </c>
      <c r="BN73" t="s">
        <v>7364</v>
      </c>
      <c r="BO73">
        <v>169</v>
      </c>
      <c r="BP73">
        <v>11</v>
      </c>
      <c r="BQ73">
        <v>1</v>
      </c>
      <c r="BR73" t="s">
        <v>7364</v>
      </c>
      <c r="BS73" t="s">
        <v>7387</v>
      </c>
      <c r="BT73" t="s">
        <v>7360</v>
      </c>
      <c r="BU73" t="s">
        <v>7360</v>
      </c>
      <c r="BV73" t="s">
        <v>7360</v>
      </c>
      <c r="BX73" t="s">
        <v>7391</v>
      </c>
      <c r="BY73">
        <v>74</v>
      </c>
      <c r="BZ73" t="s">
        <v>7360</v>
      </c>
      <c r="CA73" t="s">
        <v>7360</v>
      </c>
      <c r="CB73">
        <v>5558210</v>
      </c>
      <c r="CC73" s="21">
        <v>44951.598541666666</v>
      </c>
      <c r="CE73" t="s">
        <v>7392</v>
      </c>
      <c r="CF73">
        <v>1100101</v>
      </c>
      <c r="CG73">
        <v>53575</v>
      </c>
      <c r="CH73">
        <v>53575</v>
      </c>
      <c r="CI73" s="21">
        <v>44951.600208333337</v>
      </c>
      <c r="CJ73" t="s">
        <v>7393</v>
      </c>
      <c r="CK73" t="s">
        <v>7393</v>
      </c>
      <c r="CL73" t="s">
        <v>7394</v>
      </c>
      <c r="CM73" t="s">
        <v>7394</v>
      </c>
      <c r="CS73" t="s">
        <v>7361</v>
      </c>
      <c r="CT73" t="s">
        <v>7362</v>
      </c>
      <c r="CU73" t="s">
        <v>7362</v>
      </c>
      <c r="CV73" t="s">
        <v>7362</v>
      </c>
      <c r="CW73" t="s">
        <v>7362</v>
      </c>
      <c r="CX73">
        <v>13566000</v>
      </c>
      <c r="DA73">
        <v>0</v>
      </c>
    </row>
    <row r="74" spans="1:106" x14ac:dyDescent="0.3">
      <c r="A74">
        <v>1354</v>
      </c>
      <c r="B74" t="s">
        <v>7396</v>
      </c>
      <c r="C74">
        <v>96</v>
      </c>
      <c r="D74" s="20">
        <v>44951</v>
      </c>
      <c r="E74" t="s">
        <v>7356</v>
      </c>
      <c r="F74" t="s">
        <v>5511</v>
      </c>
      <c r="G74" t="s">
        <v>7370</v>
      </c>
      <c r="H74">
        <v>1</v>
      </c>
      <c r="I74" t="s">
        <v>7358</v>
      </c>
      <c r="J74">
        <v>1</v>
      </c>
      <c r="K74" s="20">
        <v>44952</v>
      </c>
      <c r="L74" s="23">
        <v>3000000</v>
      </c>
      <c r="M74" t="s">
        <v>7359</v>
      </c>
      <c r="N74" t="s">
        <v>7360</v>
      </c>
      <c r="O74">
        <v>0</v>
      </c>
      <c r="P74">
        <v>11766</v>
      </c>
      <c r="Q74">
        <v>414067</v>
      </c>
      <c r="R74">
        <v>0</v>
      </c>
      <c r="S74">
        <v>20230125</v>
      </c>
      <c r="T74">
        <v>0</v>
      </c>
      <c r="U74" t="s">
        <v>7361</v>
      </c>
      <c r="V74" t="s">
        <v>7360</v>
      </c>
      <c r="W74" t="s">
        <v>7360</v>
      </c>
      <c r="X74" t="s">
        <v>7360</v>
      </c>
      <c r="Y74" t="s">
        <v>7360</v>
      </c>
      <c r="Z74" t="s">
        <v>7360</v>
      </c>
      <c r="AA74" t="s">
        <v>7362</v>
      </c>
      <c r="AB74" t="s">
        <v>7360</v>
      </c>
      <c r="AC74" t="s">
        <v>7360</v>
      </c>
      <c r="AD74" t="s">
        <v>7360</v>
      </c>
      <c r="AE74" t="s">
        <v>7360</v>
      </c>
      <c r="AF74" t="s">
        <v>1684</v>
      </c>
      <c r="AG74">
        <v>0</v>
      </c>
      <c r="AH74">
        <v>0</v>
      </c>
      <c r="AI74">
        <v>0</v>
      </c>
      <c r="AJ74">
        <v>0</v>
      </c>
      <c r="AK74">
        <v>0</v>
      </c>
      <c r="AL74" t="s">
        <v>7360</v>
      </c>
      <c r="AM74">
        <v>0</v>
      </c>
      <c r="AN74" s="20">
        <v>44952</v>
      </c>
      <c r="AO74" s="20">
        <v>44952</v>
      </c>
      <c r="AP74" s="20">
        <v>44952</v>
      </c>
      <c r="AQ74">
        <v>0</v>
      </c>
      <c r="AR74">
        <v>0</v>
      </c>
      <c r="AS74">
        <v>0</v>
      </c>
      <c r="AT74">
        <v>0</v>
      </c>
      <c r="AU74">
        <v>0</v>
      </c>
      <c r="AV74" t="s">
        <v>7360</v>
      </c>
      <c r="AW74">
        <v>0</v>
      </c>
      <c r="AX74" t="s">
        <v>7360</v>
      </c>
      <c r="AY74" t="s">
        <v>7363</v>
      </c>
      <c r="BA74">
        <v>0</v>
      </c>
      <c r="BB74" s="20">
        <v>44952</v>
      </c>
      <c r="BC74">
        <v>0</v>
      </c>
      <c r="BD74" t="s">
        <v>7360</v>
      </c>
      <c r="BF74" s="20">
        <v>44952</v>
      </c>
      <c r="BG74">
        <v>0</v>
      </c>
      <c r="BH74" t="s">
        <v>7363</v>
      </c>
      <c r="BJ74" t="s">
        <v>7362</v>
      </c>
      <c r="BK74">
        <v>169</v>
      </c>
      <c r="BL74">
        <v>11</v>
      </c>
      <c r="BM74">
        <v>1</v>
      </c>
      <c r="BN74" t="s">
        <v>7364</v>
      </c>
      <c r="BO74">
        <v>169</v>
      </c>
      <c r="BP74">
        <v>11</v>
      </c>
      <c r="BQ74">
        <v>1</v>
      </c>
      <c r="BR74" t="s">
        <v>7364</v>
      </c>
      <c r="BS74" t="s">
        <v>132</v>
      </c>
      <c r="BT74" t="s">
        <v>7360</v>
      </c>
      <c r="BU74" t="s">
        <v>7360</v>
      </c>
      <c r="BV74" t="s">
        <v>7360</v>
      </c>
      <c r="BX74" t="s">
        <v>7391</v>
      </c>
      <c r="BY74">
        <v>74</v>
      </c>
      <c r="BZ74" t="s">
        <v>7360</v>
      </c>
      <c r="CA74" t="s">
        <v>7360</v>
      </c>
      <c r="CB74">
        <v>558210</v>
      </c>
      <c r="CC74" s="21">
        <v>44952.335034722222</v>
      </c>
      <c r="CE74" t="s">
        <v>7392</v>
      </c>
      <c r="CF74">
        <v>1100101</v>
      </c>
      <c r="CG74">
        <v>53575</v>
      </c>
      <c r="CH74">
        <v>53575</v>
      </c>
      <c r="CI74" s="21">
        <v>44952.337013888886</v>
      </c>
      <c r="CJ74" t="s">
        <v>7393</v>
      </c>
      <c r="CK74" t="s">
        <v>7393</v>
      </c>
      <c r="CL74" t="s">
        <v>7394</v>
      </c>
      <c r="CM74" t="s">
        <v>7394</v>
      </c>
      <c r="CS74" t="s">
        <v>7361</v>
      </c>
      <c r="CT74" t="s">
        <v>7362</v>
      </c>
      <c r="CU74" t="s">
        <v>7362</v>
      </c>
      <c r="CV74" t="s">
        <v>7362</v>
      </c>
      <c r="CW74" t="s">
        <v>7362</v>
      </c>
      <c r="CX74">
        <v>3000000</v>
      </c>
      <c r="DA74">
        <v>0</v>
      </c>
    </row>
    <row r="75" spans="1:106" x14ac:dyDescent="0.3">
      <c r="A75">
        <v>1354</v>
      </c>
      <c r="B75" t="s">
        <v>7396</v>
      </c>
      <c r="C75">
        <v>97</v>
      </c>
      <c r="D75" s="20">
        <v>44951</v>
      </c>
      <c r="E75" t="s">
        <v>7372</v>
      </c>
      <c r="F75" t="s">
        <v>5516</v>
      </c>
      <c r="G75" t="s">
        <v>7370</v>
      </c>
      <c r="H75">
        <v>1</v>
      </c>
      <c r="I75" t="s">
        <v>7358</v>
      </c>
      <c r="J75">
        <v>1</v>
      </c>
      <c r="K75" s="20">
        <v>44952</v>
      </c>
      <c r="L75" s="23">
        <v>1350000</v>
      </c>
      <c r="M75" t="s">
        <v>7359</v>
      </c>
      <c r="N75" t="s">
        <v>7360</v>
      </c>
      <c r="O75">
        <v>0</v>
      </c>
      <c r="P75">
        <v>11769</v>
      </c>
      <c r="Q75">
        <v>414070</v>
      </c>
      <c r="R75">
        <v>0</v>
      </c>
      <c r="S75">
        <v>20230125</v>
      </c>
      <c r="T75">
        <v>0</v>
      </c>
      <c r="U75" t="s">
        <v>7362</v>
      </c>
      <c r="V75" t="s">
        <v>7360</v>
      </c>
      <c r="W75" t="s">
        <v>7360</v>
      </c>
      <c r="X75" t="s">
        <v>7360</v>
      </c>
      <c r="Y75" t="s">
        <v>7360</v>
      </c>
      <c r="Z75" t="s">
        <v>7360</v>
      </c>
      <c r="AA75" t="s">
        <v>7362</v>
      </c>
      <c r="AB75" t="s">
        <v>7360</v>
      </c>
      <c r="AC75" t="s">
        <v>7360</v>
      </c>
      <c r="AD75" t="s">
        <v>7360</v>
      </c>
      <c r="AE75" t="s">
        <v>7360</v>
      </c>
      <c r="AF75" t="s">
        <v>1684</v>
      </c>
      <c r="AG75">
        <v>0</v>
      </c>
      <c r="AH75">
        <v>0</v>
      </c>
      <c r="AI75">
        <v>0</v>
      </c>
      <c r="AJ75">
        <v>0</v>
      </c>
      <c r="AK75">
        <v>0</v>
      </c>
      <c r="AL75" t="s">
        <v>7360</v>
      </c>
      <c r="AM75">
        <v>0</v>
      </c>
      <c r="AN75" s="20">
        <v>44952</v>
      </c>
      <c r="AO75" s="20">
        <v>44952</v>
      </c>
      <c r="AP75" s="20">
        <v>44952</v>
      </c>
      <c r="AQ75">
        <v>0</v>
      </c>
      <c r="AR75">
        <v>0</v>
      </c>
      <c r="AS75">
        <v>0</v>
      </c>
      <c r="AT75">
        <v>0</v>
      </c>
      <c r="AU75">
        <v>0</v>
      </c>
      <c r="AV75" t="s">
        <v>7360</v>
      </c>
      <c r="AW75">
        <v>0</v>
      </c>
      <c r="AX75" t="s">
        <v>7360</v>
      </c>
      <c r="AY75" t="s">
        <v>7362</v>
      </c>
      <c r="BA75">
        <v>0</v>
      </c>
      <c r="BB75" s="20">
        <v>44952</v>
      </c>
      <c r="BC75">
        <v>0</v>
      </c>
      <c r="BD75" t="s">
        <v>7360</v>
      </c>
      <c r="BF75" s="20">
        <v>44952</v>
      </c>
      <c r="BG75">
        <v>0</v>
      </c>
      <c r="BH75" t="s">
        <v>7363</v>
      </c>
      <c r="BJ75" t="s">
        <v>7362</v>
      </c>
      <c r="BK75">
        <v>169</v>
      </c>
      <c r="BL75">
        <v>11</v>
      </c>
      <c r="BM75">
        <v>1</v>
      </c>
      <c r="BN75" t="s">
        <v>7364</v>
      </c>
      <c r="BO75">
        <v>169</v>
      </c>
      <c r="BP75">
        <v>11</v>
      </c>
      <c r="BQ75">
        <v>1</v>
      </c>
      <c r="BR75" t="s">
        <v>7364</v>
      </c>
      <c r="BS75" t="s">
        <v>132</v>
      </c>
      <c r="BT75" t="s">
        <v>7360</v>
      </c>
      <c r="BU75" t="s">
        <v>7360</v>
      </c>
      <c r="BV75" t="s">
        <v>7360</v>
      </c>
      <c r="BX75" t="s">
        <v>7391</v>
      </c>
      <c r="BY75">
        <v>74</v>
      </c>
      <c r="BZ75" t="s">
        <v>7360</v>
      </c>
      <c r="CA75" t="s">
        <v>7360</v>
      </c>
      <c r="CB75">
        <v>5558210</v>
      </c>
      <c r="CC75" s="21">
        <v>44952.342546296299</v>
      </c>
      <c r="CE75" t="s">
        <v>7392</v>
      </c>
      <c r="CF75">
        <v>1100101</v>
      </c>
      <c r="CG75">
        <v>53575</v>
      </c>
      <c r="CH75">
        <v>53575</v>
      </c>
      <c r="CI75" s="21">
        <v>44952.347974537035</v>
      </c>
      <c r="CJ75" t="s">
        <v>7393</v>
      </c>
      <c r="CK75" t="s">
        <v>7393</v>
      </c>
      <c r="CL75" t="s">
        <v>7394</v>
      </c>
      <c r="CM75" t="s">
        <v>7394</v>
      </c>
      <c r="CS75" t="s">
        <v>7361</v>
      </c>
      <c r="CT75" t="s">
        <v>7362</v>
      </c>
      <c r="CU75" t="s">
        <v>7362</v>
      </c>
      <c r="CV75" t="s">
        <v>7362</v>
      </c>
      <c r="CW75" t="s">
        <v>7362</v>
      </c>
      <c r="CX75">
        <v>1350000</v>
      </c>
      <c r="DA75">
        <v>0</v>
      </c>
    </row>
    <row r="76" spans="1:106" x14ac:dyDescent="0.3">
      <c r="A76">
        <v>1354</v>
      </c>
      <c r="B76" t="s">
        <v>7396</v>
      </c>
      <c r="C76">
        <v>98</v>
      </c>
      <c r="D76" s="20">
        <v>44952</v>
      </c>
      <c r="E76" t="s">
        <v>7356</v>
      </c>
      <c r="F76" t="s">
        <v>5521</v>
      </c>
      <c r="G76" t="s">
        <v>7370</v>
      </c>
      <c r="H76">
        <v>1</v>
      </c>
      <c r="I76" t="s">
        <v>7358</v>
      </c>
      <c r="J76">
        <v>1</v>
      </c>
      <c r="K76" s="20">
        <v>44952</v>
      </c>
      <c r="L76" s="23">
        <v>1350000</v>
      </c>
      <c r="M76" t="s">
        <v>7359</v>
      </c>
      <c r="N76" t="s">
        <v>7360</v>
      </c>
      <c r="O76">
        <v>0</v>
      </c>
      <c r="P76">
        <v>11771</v>
      </c>
      <c r="Q76">
        <v>414071</v>
      </c>
      <c r="R76">
        <v>0</v>
      </c>
      <c r="S76">
        <v>20230126</v>
      </c>
      <c r="T76">
        <v>0</v>
      </c>
      <c r="U76" t="s">
        <v>7361</v>
      </c>
      <c r="V76" t="s">
        <v>7360</v>
      </c>
      <c r="W76" t="s">
        <v>7360</v>
      </c>
      <c r="X76" t="s">
        <v>7360</v>
      </c>
      <c r="Y76" t="s">
        <v>7360</v>
      </c>
      <c r="Z76" t="s">
        <v>7360</v>
      </c>
      <c r="AA76" t="s">
        <v>7362</v>
      </c>
      <c r="AB76" t="s">
        <v>7360</v>
      </c>
      <c r="AC76" t="s">
        <v>7360</v>
      </c>
      <c r="AD76" t="s">
        <v>7360</v>
      </c>
      <c r="AE76" t="s">
        <v>7360</v>
      </c>
      <c r="AF76" t="s">
        <v>1684</v>
      </c>
      <c r="AG76">
        <v>0</v>
      </c>
      <c r="AH76">
        <v>0</v>
      </c>
      <c r="AI76">
        <v>0</v>
      </c>
      <c r="AJ76">
        <v>0</v>
      </c>
      <c r="AK76">
        <v>0</v>
      </c>
      <c r="AL76" t="s">
        <v>7360</v>
      </c>
      <c r="AM76">
        <v>0</v>
      </c>
      <c r="AN76" s="20">
        <v>44952</v>
      </c>
      <c r="AO76" s="20">
        <v>44952</v>
      </c>
      <c r="AP76" s="20">
        <v>44952</v>
      </c>
      <c r="AQ76">
        <v>0</v>
      </c>
      <c r="AR76">
        <v>0</v>
      </c>
      <c r="AS76">
        <v>0</v>
      </c>
      <c r="AT76">
        <v>0</v>
      </c>
      <c r="AU76">
        <v>0</v>
      </c>
      <c r="AV76" t="s">
        <v>7360</v>
      </c>
      <c r="AW76">
        <v>0</v>
      </c>
      <c r="AX76" t="s">
        <v>7360</v>
      </c>
      <c r="AY76" t="s">
        <v>7363</v>
      </c>
      <c r="BA76">
        <v>0</v>
      </c>
      <c r="BB76" s="20">
        <v>44952</v>
      </c>
      <c r="BC76">
        <v>0</v>
      </c>
      <c r="BD76" t="s">
        <v>7360</v>
      </c>
      <c r="BF76" s="20">
        <v>44952</v>
      </c>
      <c r="BG76">
        <v>0</v>
      </c>
      <c r="BH76" t="s">
        <v>7363</v>
      </c>
      <c r="BJ76" t="s">
        <v>7362</v>
      </c>
      <c r="BK76">
        <v>169</v>
      </c>
      <c r="BL76">
        <v>11</v>
      </c>
      <c r="BM76">
        <v>1</v>
      </c>
      <c r="BN76" t="s">
        <v>7364</v>
      </c>
      <c r="BO76">
        <v>169</v>
      </c>
      <c r="BP76">
        <v>11</v>
      </c>
      <c r="BQ76">
        <v>1</v>
      </c>
      <c r="BR76" t="s">
        <v>7364</v>
      </c>
      <c r="BS76" t="s">
        <v>132</v>
      </c>
      <c r="BT76" t="s">
        <v>7360</v>
      </c>
      <c r="BU76" t="s">
        <v>7360</v>
      </c>
      <c r="BV76" t="s">
        <v>7360</v>
      </c>
      <c r="BX76" t="s">
        <v>7391</v>
      </c>
      <c r="BY76">
        <v>74</v>
      </c>
      <c r="BZ76" t="s">
        <v>7360</v>
      </c>
      <c r="CA76" t="s">
        <v>7360</v>
      </c>
      <c r="CB76">
        <v>5558210</v>
      </c>
      <c r="CC76" s="21">
        <v>44952.357407407406</v>
      </c>
      <c r="CE76" t="s">
        <v>7392</v>
      </c>
      <c r="CF76">
        <v>1100101</v>
      </c>
      <c r="CG76">
        <v>53575</v>
      </c>
      <c r="CH76">
        <v>53575</v>
      </c>
      <c r="CI76" s="21">
        <v>44952.359895833331</v>
      </c>
      <c r="CJ76" t="s">
        <v>7393</v>
      </c>
      <c r="CK76" t="s">
        <v>7393</v>
      </c>
      <c r="CL76" t="s">
        <v>7394</v>
      </c>
      <c r="CM76" t="s">
        <v>7394</v>
      </c>
      <c r="CS76" t="s">
        <v>7361</v>
      </c>
      <c r="CT76" t="s">
        <v>7362</v>
      </c>
      <c r="CU76" t="s">
        <v>7362</v>
      </c>
      <c r="CV76" t="s">
        <v>7362</v>
      </c>
      <c r="CW76" t="s">
        <v>7362</v>
      </c>
      <c r="CX76">
        <v>1350000</v>
      </c>
      <c r="DA76">
        <v>0</v>
      </c>
    </row>
    <row r="77" spans="1:106" x14ac:dyDescent="0.3">
      <c r="A77">
        <v>1357</v>
      </c>
      <c r="B77" t="s">
        <v>7405</v>
      </c>
      <c r="C77">
        <v>99</v>
      </c>
      <c r="D77" s="20">
        <v>44952</v>
      </c>
      <c r="E77" t="s">
        <v>7356</v>
      </c>
      <c r="F77" t="s">
        <v>5527</v>
      </c>
      <c r="G77" t="s">
        <v>7357</v>
      </c>
      <c r="H77">
        <v>1</v>
      </c>
      <c r="I77" t="s">
        <v>7358</v>
      </c>
      <c r="J77">
        <v>1</v>
      </c>
      <c r="K77" s="20">
        <v>44952</v>
      </c>
      <c r="L77" s="23">
        <v>3623550</v>
      </c>
      <c r="M77" t="s">
        <v>7359</v>
      </c>
      <c r="N77" t="s">
        <v>7360</v>
      </c>
      <c r="O77">
        <v>0</v>
      </c>
      <c r="P77">
        <v>11909</v>
      </c>
      <c r="Q77">
        <v>416071</v>
      </c>
      <c r="R77">
        <v>0</v>
      </c>
      <c r="S77">
        <v>20230126</v>
      </c>
      <c r="T77">
        <v>0</v>
      </c>
      <c r="U77" t="s">
        <v>7361</v>
      </c>
      <c r="V77" t="s">
        <v>7360</v>
      </c>
      <c r="W77" t="s">
        <v>7360</v>
      </c>
      <c r="X77" t="s">
        <v>7360</v>
      </c>
      <c r="Y77" t="s">
        <v>7360</v>
      </c>
      <c r="Z77" t="s">
        <v>7360</v>
      </c>
      <c r="AA77" t="s">
        <v>7362</v>
      </c>
      <c r="AB77" t="s">
        <v>7360</v>
      </c>
      <c r="AC77" t="s">
        <v>7360</v>
      </c>
      <c r="AD77" t="s">
        <v>7360</v>
      </c>
      <c r="AE77" t="s">
        <v>7360</v>
      </c>
      <c r="AF77" t="s">
        <v>1684</v>
      </c>
      <c r="AG77">
        <v>0</v>
      </c>
      <c r="AH77">
        <v>0</v>
      </c>
      <c r="AI77">
        <v>0</v>
      </c>
      <c r="AJ77">
        <v>0</v>
      </c>
      <c r="AK77">
        <v>0</v>
      </c>
      <c r="AL77" t="s">
        <v>7360</v>
      </c>
      <c r="AM77">
        <v>0</v>
      </c>
      <c r="AN77" s="20">
        <v>44952</v>
      </c>
      <c r="AO77" s="20">
        <v>44952</v>
      </c>
      <c r="AP77" s="20">
        <v>44952</v>
      </c>
      <c r="AQ77">
        <v>0</v>
      </c>
      <c r="AR77">
        <v>0</v>
      </c>
      <c r="AS77">
        <v>0</v>
      </c>
      <c r="AT77">
        <v>0</v>
      </c>
      <c r="AU77">
        <v>0</v>
      </c>
      <c r="AV77" t="s">
        <v>7360</v>
      </c>
      <c r="AW77">
        <v>0</v>
      </c>
      <c r="AX77" t="s">
        <v>7360</v>
      </c>
      <c r="AY77" t="s">
        <v>7363</v>
      </c>
      <c r="BA77">
        <v>0</v>
      </c>
      <c r="BB77" s="20">
        <v>44952</v>
      </c>
      <c r="BC77">
        <v>0</v>
      </c>
      <c r="BD77" t="s">
        <v>7360</v>
      </c>
      <c r="BF77" s="20">
        <v>44952</v>
      </c>
      <c r="BG77">
        <v>0</v>
      </c>
      <c r="BH77" t="s">
        <v>1684</v>
      </c>
      <c r="BJ77" t="s">
        <v>7362</v>
      </c>
      <c r="BK77">
        <v>0</v>
      </c>
      <c r="BL77">
        <v>0</v>
      </c>
      <c r="BM77">
        <v>0</v>
      </c>
      <c r="BN77">
        <v>0</v>
      </c>
      <c r="BO77">
        <v>169</v>
      </c>
      <c r="BP77">
        <v>11</v>
      </c>
      <c r="BQ77">
        <v>1</v>
      </c>
      <c r="BR77" t="s">
        <v>7364</v>
      </c>
      <c r="BS77" t="s">
        <v>7382</v>
      </c>
      <c r="BT77" t="s">
        <v>7360</v>
      </c>
      <c r="BU77" t="s">
        <v>7360</v>
      </c>
      <c r="BV77" t="s">
        <v>7360</v>
      </c>
      <c r="BX77">
        <v>0</v>
      </c>
      <c r="BY77">
        <v>0</v>
      </c>
      <c r="BZ77" t="s">
        <v>7360</v>
      </c>
      <c r="CA77" t="s">
        <v>7360</v>
      </c>
      <c r="CB77">
        <v>3380666</v>
      </c>
      <c r="CC77" s="21">
        <v>44952.367372685185</v>
      </c>
      <c r="CE77" t="s">
        <v>7366</v>
      </c>
      <c r="CF77">
        <v>0</v>
      </c>
      <c r="CG77">
        <v>702002</v>
      </c>
      <c r="CH77">
        <v>702002</v>
      </c>
      <c r="CI77" s="21">
        <v>44952.370729166665</v>
      </c>
      <c r="CJ77" t="s">
        <v>7367</v>
      </c>
      <c r="CK77" t="s">
        <v>7367</v>
      </c>
      <c r="CL77" t="s">
        <v>7368</v>
      </c>
      <c r="CM77" t="s">
        <v>7368</v>
      </c>
      <c r="CS77" t="s">
        <v>7361</v>
      </c>
      <c r="CT77" t="s">
        <v>7362</v>
      </c>
      <c r="CU77" t="s">
        <v>7362</v>
      </c>
      <c r="CV77" t="s">
        <v>7362</v>
      </c>
      <c r="CW77" t="s">
        <v>7362</v>
      </c>
      <c r="CX77">
        <v>3623550</v>
      </c>
      <c r="DA77">
        <v>0</v>
      </c>
    </row>
    <row r="78" spans="1:106" x14ac:dyDescent="0.3">
      <c r="A78">
        <v>1354</v>
      </c>
      <c r="B78" t="s">
        <v>7396</v>
      </c>
      <c r="C78">
        <v>100</v>
      </c>
      <c r="D78" s="20">
        <v>44951</v>
      </c>
      <c r="E78" t="s">
        <v>7356</v>
      </c>
      <c r="F78" t="s">
        <v>5532</v>
      </c>
      <c r="G78" t="s">
        <v>7370</v>
      </c>
      <c r="H78">
        <v>1</v>
      </c>
      <c r="I78" t="s">
        <v>7358</v>
      </c>
      <c r="J78">
        <v>1</v>
      </c>
      <c r="K78" s="20">
        <v>44952</v>
      </c>
      <c r="L78" s="23">
        <v>1950000</v>
      </c>
      <c r="M78" t="s">
        <v>7359</v>
      </c>
      <c r="N78" t="s">
        <v>7360</v>
      </c>
      <c r="O78">
        <v>0</v>
      </c>
      <c r="P78">
        <v>11773</v>
      </c>
      <c r="Q78">
        <v>414073</v>
      </c>
      <c r="R78">
        <v>0</v>
      </c>
      <c r="S78">
        <v>20230125</v>
      </c>
      <c r="T78">
        <v>0</v>
      </c>
      <c r="U78" t="s">
        <v>7361</v>
      </c>
      <c r="V78" t="s">
        <v>7360</v>
      </c>
      <c r="W78" t="s">
        <v>7360</v>
      </c>
      <c r="X78" t="s">
        <v>7360</v>
      </c>
      <c r="Y78" t="s">
        <v>7360</v>
      </c>
      <c r="Z78" t="s">
        <v>7360</v>
      </c>
      <c r="AA78" t="s">
        <v>7362</v>
      </c>
      <c r="AB78" t="s">
        <v>7360</v>
      </c>
      <c r="AC78" t="s">
        <v>7360</v>
      </c>
      <c r="AD78" t="s">
        <v>7360</v>
      </c>
      <c r="AE78" t="s">
        <v>7360</v>
      </c>
      <c r="AF78" t="s">
        <v>1684</v>
      </c>
      <c r="AG78">
        <v>0</v>
      </c>
      <c r="AH78">
        <v>0</v>
      </c>
      <c r="AI78">
        <v>0</v>
      </c>
      <c r="AJ78">
        <v>0</v>
      </c>
      <c r="AK78">
        <v>0</v>
      </c>
      <c r="AL78" t="s">
        <v>7360</v>
      </c>
      <c r="AM78">
        <v>0</v>
      </c>
      <c r="AN78" s="20">
        <v>44952</v>
      </c>
      <c r="AO78" s="20">
        <v>44952</v>
      </c>
      <c r="AP78" s="20">
        <v>44952</v>
      </c>
      <c r="AQ78">
        <v>0</v>
      </c>
      <c r="AR78">
        <v>0</v>
      </c>
      <c r="AS78">
        <v>0</v>
      </c>
      <c r="AT78">
        <v>0</v>
      </c>
      <c r="AU78">
        <v>0</v>
      </c>
      <c r="AV78" t="s">
        <v>7360</v>
      </c>
      <c r="AW78">
        <v>0</v>
      </c>
      <c r="AX78" t="s">
        <v>7360</v>
      </c>
      <c r="AY78" t="s">
        <v>7363</v>
      </c>
      <c r="BA78">
        <v>0</v>
      </c>
      <c r="BB78" s="20">
        <v>44952</v>
      </c>
      <c r="BC78">
        <v>0</v>
      </c>
      <c r="BD78" t="s">
        <v>7360</v>
      </c>
      <c r="BF78" s="20">
        <v>44952</v>
      </c>
      <c r="BG78">
        <v>0</v>
      </c>
      <c r="BH78" t="s">
        <v>7363</v>
      </c>
      <c r="BJ78" t="s">
        <v>7362</v>
      </c>
      <c r="BK78">
        <v>169</v>
      </c>
      <c r="BL78">
        <v>11</v>
      </c>
      <c r="BM78">
        <v>1</v>
      </c>
      <c r="BN78" t="s">
        <v>7364</v>
      </c>
      <c r="BO78">
        <v>169</v>
      </c>
      <c r="BP78">
        <v>11</v>
      </c>
      <c r="BQ78">
        <v>1</v>
      </c>
      <c r="BR78" t="s">
        <v>7364</v>
      </c>
      <c r="BS78" t="s">
        <v>132</v>
      </c>
      <c r="BT78" t="s">
        <v>7360</v>
      </c>
      <c r="BU78" t="s">
        <v>7360</v>
      </c>
      <c r="BV78" t="s">
        <v>7360</v>
      </c>
      <c r="BX78" t="s">
        <v>7391</v>
      </c>
      <c r="BY78">
        <v>74</v>
      </c>
      <c r="BZ78" t="s">
        <v>7360</v>
      </c>
      <c r="CA78" t="s">
        <v>7360</v>
      </c>
      <c r="CB78">
        <v>5558210</v>
      </c>
      <c r="CC78" s="21">
        <v>44952.372465277775</v>
      </c>
      <c r="CE78" t="s">
        <v>7392</v>
      </c>
      <c r="CF78">
        <v>1100101</v>
      </c>
      <c r="CG78">
        <v>53575</v>
      </c>
      <c r="CH78">
        <v>53575</v>
      </c>
      <c r="CI78" s="21">
        <v>44952.375891203701</v>
      </c>
      <c r="CJ78" t="s">
        <v>7393</v>
      </c>
      <c r="CK78" t="s">
        <v>7393</v>
      </c>
      <c r="CL78" t="s">
        <v>7394</v>
      </c>
      <c r="CM78" t="s">
        <v>7394</v>
      </c>
      <c r="CS78" t="s">
        <v>7361</v>
      </c>
      <c r="CT78" t="s">
        <v>7362</v>
      </c>
      <c r="CU78" t="s">
        <v>7362</v>
      </c>
      <c r="CV78" t="s">
        <v>7362</v>
      </c>
      <c r="CW78" t="s">
        <v>7362</v>
      </c>
      <c r="CX78">
        <v>1950000</v>
      </c>
      <c r="DA78">
        <v>0</v>
      </c>
    </row>
    <row r="79" spans="1:106" x14ac:dyDescent="0.3">
      <c r="A79">
        <v>1354</v>
      </c>
      <c r="B79" t="s">
        <v>7396</v>
      </c>
      <c r="C79">
        <v>101</v>
      </c>
      <c r="D79" s="20">
        <v>44951</v>
      </c>
      <c r="E79" t="s">
        <v>7356</v>
      </c>
      <c r="F79" t="s">
        <v>5537</v>
      </c>
      <c r="G79" t="s">
        <v>7370</v>
      </c>
      <c r="H79">
        <v>1</v>
      </c>
      <c r="I79" t="s">
        <v>7358</v>
      </c>
      <c r="J79">
        <v>1</v>
      </c>
      <c r="K79" s="20">
        <v>44952</v>
      </c>
      <c r="L79" s="23">
        <v>2940000</v>
      </c>
      <c r="M79" t="s">
        <v>7359</v>
      </c>
      <c r="N79" t="s">
        <v>7360</v>
      </c>
      <c r="O79">
        <v>0</v>
      </c>
      <c r="P79">
        <v>11775</v>
      </c>
      <c r="Q79">
        <v>414075</v>
      </c>
      <c r="R79">
        <v>0</v>
      </c>
      <c r="S79">
        <v>20230125</v>
      </c>
      <c r="T79">
        <v>0</v>
      </c>
      <c r="U79" t="s">
        <v>7361</v>
      </c>
      <c r="V79" t="s">
        <v>7360</v>
      </c>
      <c r="W79" t="s">
        <v>7360</v>
      </c>
      <c r="X79" t="s">
        <v>7360</v>
      </c>
      <c r="Y79" t="s">
        <v>7360</v>
      </c>
      <c r="Z79" t="s">
        <v>7360</v>
      </c>
      <c r="AA79" t="s">
        <v>7362</v>
      </c>
      <c r="AB79" t="s">
        <v>7360</v>
      </c>
      <c r="AC79" t="s">
        <v>7360</v>
      </c>
      <c r="AD79" t="s">
        <v>7360</v>
      </c>
      <c r="AE79" t="s">
        <v>7360</v>
      </c>
      <c r="AF79" t="s">
        <v>1684</v>
      </c>
      <c r="AG79">
        <v>0</v>
      </c>
      <c r="AH79">
        <v>0</v>
      </c>
      <c r="AI79">
        <v>0</v>
      </c>
      <c r="AJ79">
        <v>0</v>
      </c>
      <c r="AK79">
        <v>0</v>
      </c>
      <c r="AL79" t="s">
        <v>7360</v>
      </c>
      <c r="AM79">
        <v>0</v>
      </c>
      <c r="AN79" s="20">
        <v>44952</v>
      </c>
      <c r="AO79" s="20">
        <v>44952</v>
      </c>
      <c r="AP79" s="20">
        <v>44952</v>
      </c>
      <c r="AQ79">
        <v>0</v>
      </c>
      <c r="AR79">
        <v>0</v>
      </c>
      <c r="AS79">
        <v>0</v>
      </c>
      <c r="AT79">
        <v>0</v>
      </c>
      <c r="AU79">
        <v>0</v>
      </c>
      <c r="AV79" t="s">
        <v>7360</v>
      </c>
      <c r="AW79">
        <v>0</v>
      </c>
      <c r="AX79" t="s">
        <v>7360</v>
      </c>
      <c r="AY79" t="s">
        <v>7363</v>
      </c>
      <c r="BA79">
        <v>0</v>
      </c>
      <c r="BB79" s="20">
        <v>44952</v>
      </c>
      <c r="BC79">
        <v>0</v>
      </c>
      <c r="BD79" t="s">
        <v>7360</v>
      </c>
      <c r="BF79" s="20">
        <v>44952</v>
      </c>
      <c r="BG79">
        <v>0</v>
      </c>
      <c r="BH79" t="s">
        <v>7363</v>
      </c>
      <c r="BJ79" t="s">
        <v>7362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 t="s">
        <v>132</v>
      </c>
      <c r="BT79" t="s">
        <v>7360</v>
      </c>
      <c r="BU79" t="s">
        <v>7360</v>
      </c>
      <c r="BV79" t="s">
        <v>7360</v>
      </c>
      <c r="BX79">
        <v>0</v>
      </c>
      <c r="BY79">
        <v>0</v>
      </c>
      <c r="BZ79" t="s">
        <v>7360</v>
      </c>
      <c r="CA79" t="s">
        <v>7360</v>
      </c>
      <c r="CB79" t="s">
        <v>7360</v>
      </c>
      <c r="CC79" s="21">
        <v>44952.380474537036</v>
      </c>
      <c r="CE79" t="s">
        <v>7366</v>
      </c>
      <c r="CF79">
        <v>0</v>
      </c>
      <c r="CG79">
        <v>53575</v>
      </c>
      <c r="CH79">
        <v>53575</v>
      </c>
      <c r="CI79" s="21">
        <v>44952.381377314814</v>
      </c>
      <c r="CJ79" t="s">
        <v>7393</v>
      </c>
      <c r="CK79" t="s">
        <v>7393</v>
      </c>
      <c r="CL79" t="s">
        <v>7394</v>
      </c>
      <c r="CM79" t="s">
        <v>7394</v>
      </c>
      <c r="CS79" t="s">
        <v>7361</v>
      </c>
      <c r="CT79" t="s">
        <v>7362</v>
      </c>
      <c r="CU79" t="s">
        <v>7362</v>
      </c>
      <c r="CV79" t="s">
        <v>7362</v>
      </c>
      <c r="CW79" t="s">
        <v>7362</v>
      </c>
      <c r="CX79">
        <v>2940000</v>
      </c>
      <c r="DA79">
        <v>0</v>
      </c>
    </row>
    <row r="80" spans="1:106" x14ac:dyDescent="0.3">
      <c r="A80">
        <v>1356</v>
      </c>
      <c r="B80" t="s">
        <v>7402</v>
      </c>
      <c r="C80">
        <v>804</v>
      </c>
      <c r="D80" s="20">
        <v>45012</v>
      </c>
      <c r="E80" t="s">
        <v>7372</v>
      </c>
      <c r="F80" t="s">
        <v>5543</v>
      </c>
      <c r="G80" t="s">
        <v>7377</v>
      </c>
      <c r="H80">
        <v>1</v>
      </c>
      <c r="I80" t="s">
        <v>7358</v>
      </c>
      <c r="J80">
        <v>1</v>
      </c>
      <c r="K80" s="20">
        <v>45012</v>
      </c>
      <c r="L80" s="23">
        <v>15099490</v>
      </c>
      <c r="M80" t="s">
        <v>7403</v>
      </c>
      <c r="N80" t="s">
        <v>7360</v>
      </c>
      <c r="O80">
        <v>0</v>
      </c>
      <c r="P80">
        <v>13108</v>
      </c>
      <c r="Q80">
        <v>142009</v>
      </c>
      <c r="R80">
        <v>0</v>
      </c>
      <c r="S80">
        <v>20230327</v>
      </c>
      <c r="T80">
        <v>0</v>
      </c>
      <c r="U80" t="s">
        <v>7362</v>
      </c>
      <c r="V80" t="s">
        <v>7360</v>
      </c>
      <c r="W80" t="s">
        <v>7360</v>
      </c>
      <c r="X80" t="s">
        <v>7360</v>
      </c>
      <c r="Y80" t="s">
        <v>7360</v>
      </c>
      <c r="Z80" t="s">
        <v>7360</v>
      </c>
      <c r="AA80" t="s">
        <v>7362</v>
      </c>
      <c r="AB80" t="s">
        <v>7360</v>
      </c>
      <c r="AC80" t="s">
        <v>7360</v>
      </c>
      <c r="AD80" t="s">
        <v>7360</v>
      </c>
      <c r="AE80" t="s">
        <v>7360</v>
      </c>
      <c r="AF80" t="s">
        <v>1684</v>
      </c>
      <c r="AG80">
        <v>0</v>
      </c>
      <c r="AH80">
        <v>0</v>
      </c>
      <c r="AI80">
        <v>0</v>
      </c>
      <c r="AJ80">
        <v>0</v>
      </c>
      <c r="AK80">
        <v>0</v>
      </c>
      <c r="AL80" t="s">
        <v>7360</v>
      </c>
      <c r="AM80">
        <v>0</v>
      </c>
      <c r="AN80" s="20">
        <v>45012</v>
      </c>
      <c r="AO80" s="20">
        <v>45012</v>
      </c>
      <c r="AP80" s="20">
        <v>45012</v>
      </c>
      <c r="AQ80">
        <v>0</v>
      </c>
      <c r="AR80">
        <v>0</v>
      </c>
      <c r="AS80">
        <v>0</v>
      </c>
      <c r="AT80">
        <v>0</v>
      </c>
      <c r="AU80">
        <v>0</v>
      </c>
      <c r="AV80" t="s">
        <v>7360</v>
      </c>
      <c r="AW80">
        <v>0</v>
      </c>
      <c r="AX80" t="s">
        <v>7360</v>
      </c>
      <c r="AY80" t="s">
        <v>7362</v>
      </c>
      <c r="BA80">
        <v>0</v>
      </c>
      <c r="BB80" s="20">
        <v>45012</v>
      </c>
      <c r="BC80">
        <v>0</v>
      </c>
      <c r="BD80" t="s">
        <v>7360</v>
      </c>
      <c r="BE80">
        <v>29</v>
      </c>
      <c r="BF80" s="20">
        <v>45012</v>
      </c>
      <c r="BG80">
        <v>0</v>
      </c>
      <c r="BH80" t="s">
        <v>1729</v>
      </c>
      <c r="BJ80" t="s">
        <v>7362</v>
      </c>
      <c r="BK80">
        <v>0</v>
      </c>
      <c r="BL80">
        <v>0</v>
      </c>
      <c r="BM80">
        <v>0</v>
      </c>
      <c r="BN80">
        <v>0</v>
      </c>
      <c r="BO80">
        <v>169</v>
      </c>
      <c r="BP80">
        <v>11</v>
      </c>
      <c r="BQ80">
        <v>1</v>
      </c>
      <c r="BR80" t="s">
        <v>7364</v>
      </c>
      <c r="BS80" t="s">
        <v>7386</v>
      </c>
      <c r="BT80" t="s">
        <v>7360</v>
      </c>
      <c r="BU80" t="s">
        <v>7360</v>
      </c>
      <c r="BV80" t="s">
        <v>7360</v>
      </c>
      <c r="BX80">
        <v>0</v>
      </c>
      <c r="BY80">
        <v>0</v>
      </c>
      <c r="BZ80" t="s">
        <v>7360</v>
      </c>
      <c r="CA80" t="s">
        <v>7360</v>
      </c>
      <c r="CB80">
        <v>3360666</v>
      </c>
      <c r="CC80" s="21">
        <v>44952.462881944448</v>
      </c>
      <c r="CE80" t="s">
        <v>7366</v>
      </c>
      <c r="CF80">
        <v>0</v>
      </c>
      <c r="CG80">
        <v>702002</v>
      </c>
      <c r="CH80">
        <v>702002</v>
      </c>
      <c r="CI80" s="21">
        <v>44956.404976851853</v>
      </c>
      <c r="CJ80" t="s">
        <v>7367</v>
      </c>
      <c r="CK80" t="s">
        <v>7367</v>
      </c>
      <c r="CL80" t="s">
        <v>7368</v>
      </c>
      <c r="CM80" t="s">
        <v>7368</v>
      </c>
      <c r="CS80" t="s">
        <v>7361</v>
      </c>
      <c r="CT80" t="s">
        <v>7362</v>
      </c>
      <c r="CU80" t="s">
        <v>7362</v>
      </c>
      <c r="CV80" t="s">
        <v>7362</v>
      </c>
      <c r="CW80" t="s">
        <v>7362</v>
      </c>
      <c r="CX80">
        <v>27370000</v>
      </c>
      <c r="DA80">
        <v>0</v>
      </c>
      <c r="DB80">
        <v>130003</v>
      </c>
    </row>
    <row r="81" spans="1:105" x14ac:dyDescent="0.3">
      <c r="A81">
        <v>1354</v>
      </c>
      <c r="B81" t="s">
        <v>7396</v>
      </c>
      <c r="C81">
        <v>103</v>
      </c>
      <c r="D81" s="20">
        <v>44952</v>
      </c>
      <c r="E81" t="s">
        <v>7356</v>
      </c>
      <c r="F81" t="s">
        <v>5548</v>
      </c>
      <c r="G81" t="s">
        <v>7370</v>
      </c>
      <c r="H81">
        <v>1</v>
      </c>
      <c r="I81" t="s">
        <v>7358</v>
      </c>
      <c r="J81">
        <v>1</v>
      </c>
      <c r="K81" s="20">
        <v>44952</v>
      </c>
      <c r="L81" s="23">
        <v>2230000</v>
      </c>
      <c r="M81" t="s">
        <v>7359</v>
      </c>
      <c r="N81" t="s">
        <v>7360</v>
      </c>
      <c r="O81">
        <v>0</v>
      </c>
      <c r="P81">
        <v>11778</v>
      </c>
      <c r="Q81">
        <v>414078</v>
      </c>
      <c r="R81">
        <v>0</v>
      </c>
      <c r="S81">
        <v>20230126</v>
      </c>
      <c r="T81">
        <v>0</v>
      </c>
      <c r="U81" t="s">
        <v>7361</v>
      </c>
      <c r="V81" t="s">
        <v>7360</v>
      </c>
      <c r="W81" t="s">
        <v>7360</v>
      </c>
      <c r="X81" t="s">
        <v>7360</v>
      </c>
      <c r="Y81" t="s">
        <v>7360</v>
      </c>
      <c r="Z81" t="s">
        <v>7360</v>
      </c>
      <c r="AA81" t="s">
        <v>7362</v>
      </c>
      <c r="AB81" t="s">
        <v>7360</v>
      </c>
      <c r="AC81" t="s">
        <v>7360</v>
      </c>
      <c r="AD81" t="s">
        <v>7360</v>
      </c>
      <c r="AE81" t="s">
        <v>7360</v>
      </c>
      <c r="AF81" t="s">
        <v>1684</v>
      </c>
      <c r="AG81">
        <v>0</v>
      </c>
      <c r="AH81">
        <v>0</v>
      </c>
      <c r="AI81">
        <v>0</v>
      </c>
      <c r="AJ81">
        <v>0</v>
      </c>
      <c r="AK81">
        <v>0</v>
      </c>
      <c r="AL81" t="s">
        <v>7360</v>
      </c>
      <c r="AM81">
        <v>0</v>
      </c>
      <c r="AN81" s="20">
        <v>44952</v>
      </c>
      <c r="AO81" s="20">
        <v>44952</v>
      </c>
      <c r="AP81" s="20">
        <v>44952</v>
      </c>
      <c r="AQ81">
        <v>0</v>
      </c>
      <c r="AR81">
        <v>0</v>
      </c>
      <c r="AS81">
        <v>0</v>
      </c>
      <c r="AT81">
        <v>0</v>
      </c>
      <c r="AU81">
        <v>0</v>
      </c>
      <c r="AV81" t="s">
        <v>7360</v>
      </c>
      <c r="AW81">
        <v>0</v>
      </c>
      <c r="AX81" t="s">
        <v>7360</v>
      </c>
      <c r="AY81" t="s">
        <v>7363</v>
      </c>
      <c r="BA81">
        <v>0</v>
      </c>
      <c r="BB81" s="20">
        <v>44952</v>
      </c>
      <c r="BC81">
        <v>0</v>
      </c>
      <c r="BD81" t="s">
        <v>7360</v>
      </c>
      <c r="BF81" s="20">
        <v>44952</v>
      </c>
      <c r="BG81">
        <v>0</v>
      </c>
      <c r="BH81" t="s">
        <v>7363</v>
      </c>
      <c r="BJ81" t="s">
        <v>7362</v>
      </c>
      <c r="BK81">
        <v>169</v>
      </c>
      <c r="BL81">
        <v>11</v>
      </c>
      <c r="BM81">
        <v>1</v>
      </c>
      <c r="BN81" t="s">
        <v>7364</v>
      </c>
      <c r="BO81">
        <v>0</v>
      </c>
      <c r="BP81">
        <v>0</v>
      </c>
      <c r="BQ81">
        <v>0</v>
      </c>
      <c r="BR81">
        <v>0</v>
      </c>
      <c r="BS81" t="s">
        <v>132</v>
      </c>
      <c r="BT81" t="s">
        <v>7360</v>
      </c>
      <c r="BU81" t="s">
        <v>7360</v>
      </c>
      <c r="BV81" t="s">
        <v>7360</v>
      </c>
      <c r="BX81" t="s">
        <v>7391</v>
      </c>
      <c r="BY81">
        <v>74</v>
      </c>
      <c r="BZ81" t="s">
        <v>7360</v>
      </c>
      <c r="CA81" t="s">
        <v>7360</v>
      </c>
      <c r="CB81" t="s">
        <v>7360</v>
      </c>
      <c r="CC81" s="21">
        <v>44952.385798611111</v>
      </c>
      <c r="CE81" t="s">
        <v>7392</v>
      </c>
      <c r="CF81">
        <v>1100101</v>
      </c>
      <c r="CG81">
        <v>53575</v>
      </c>
      <c r="CH81">
        <v>53575</v>
      </c>
      <c r="CI81" s="21">
        <v>44952.386770833335</v>
      </c>
      <c r="CJ81" t="s">
        <v>7393</v>
      </c>
      <c r="CK81" t="s">
        <v>7393</v>
      </c>
      <c r="CL81" t="s">
        <v>7394</v>
      </c>
      <c r="CM81" t="s">
        <v>7394</v>
      </c>
      <c r="CS81" t="s">
        <v>7361</v>
      </c>
      <c r="CT81" t="s">
        <v>7362</v>
      </c>
      <c r="CU81" t="s">
        <v>7362</v>
      </c>
      <c r="CV81" t="s">
        <v>7362</v>
      </c>
      <c r="CW81" t="s">
        <v>7362</v>
      </c>
      <c r="CX81">
        <v>2230000</v>
      </c>
      <c r="DA81">
        <v>0</v>
      </c>
    </row>
    <row r="82" spans="1:105" x14ac:dyDescent="0.3">
      <c r="A82">
        <v>1357</v>
      </c>
      <c r="B82" t="s">
        <v>7405</v>
      </c>
      <c r="C82">
        <v>104</v>
      </c>
      <c r="D82" s="20">
        <v>44952</v>
      </c>
      <c r="E82" t="s">
        <v>7356</v>
      </c>
      <c r="F82" t="s">
        <v>5553</v>
      </c>
      <c r="G82" t="s">
        <v>7357</v>
      </c>
      <c r="H82">
        <v>1</v>
      </c>
      <c r="I82" t="s">
        <v>7358</v>
      </c>
      <c r="J82">
        <v>1</v>
      </c>
      <c r="K82" s="20">
        <v>44952</v>
      </c>
      <c r="L82" s="23">
        <v>2099160</v>
      </c>
      <c r="M82" t="s">
        <v>7359</v>
      </c>
      <c r="N82" t="s">
        <v>7360</v>
      </c>
      <c r="O82">
        <v>0</v>
      </c>
      <c r="P82">
        <v>11945</v>
      </c>
      <c r="Q82">
        <v>416085</v>
      </c>
      <c r="R82">
        <v>0</v>
      </c>
      <c r="S82">
        <v>20230126</v>
      </c>
      <c r="T82">
        <v>0</v>
      </c>
      <c r="U82" t="s">
        <v>7361</v>
      </c>
      <c r="V82" t="s">
        <v>7360</v>
      </c>
      <c r="W82" t="s">
        <v>7360</v>
      </c>
      <c r="X82" t="s">
        <v>7360</v>
      </c>
      <c r="Y82" t="s">
        <v>7360</v>
      </c>
      <c r="Z82" t="s">
        <v>7360</v>
      </c>
      <c r="AA82" t="s">
        <v>7362</v>
      </c>
      <c r="AB82" t="s">
        <v>7360</v>
      </c>
      <c r="AC82" t="s">
        <v>7360</v>
      </c>
      <c r="AD82" t="s">
        <v>7360</v>
      </c>
      <c r="AE82" t="s">
        <v>7360</v>
      </c>
      <c r="AF82" t="s">
        <v>1684</v>
      </c>
      <c r="AG82">
        <v>0</v>
      </c>
      <c r="AH82">
        <v>0</v>
      </c>
      <c r="AI82">
        <v>0</v>
      </c>
      <c r="AJ82">
        <v>0</v>
      </c>
      <c r="AK82">
        <v>0</v>
      </c>
      <c r="AL82" t="s">
        <v>7360</v>
      </c>
      <c r="AM82">
        <v>0</v>
      </c>
      <c r="AN82" s="20">
        <v>44952</v>
      </c>
      <c r="AO82" s="20">
        <v>44952</v>
      </c>
      <c r="AP82" s="20">
        <v>44952</v>
      </c>
      <c r="AQ82">
        <v>0</v>
      </c>
      <c r="AR82">
        <v>0</v>
      </c>
      <c r="AS82">
        <v>0</v>
      </c>
      <c r="AT82">
        <v>0</v>
      </c>
      <c r="AU82">
        <v>0</v>
      </c>
      <c r="AV82" t="s">
        <v>7360</v>
      </c>
      <c r="AW82">
        <v>0</v>
      </c>
      <c r="AX82" t="s">
        <v>7360</v>
      </c>
      <c r="AY82" t="s">
        <v>7363</v>
      </c>
      <c r="BA82">
        <v>0</v>
      </c>
      <c r="BB82" s="20">
        <v>44952</v>
      </c>
      <c r="BC82">
        <v>0</v>
      </c>
      <c r="BD82" t="s">
        <v>7360</v>
      </c>
      <c r="BF82" s="20">
        <v>44952</v>
      </c>
      <c r="BG82">
        <v>0</v>
      </c>
      <c r="BH82" t="s">
        <v>1684</v>
      </c>
      <c r="BJ82" t="s">
        <v>7362</v>
      </c>
      <c r="BK82">
        <v>0</v>
      </c>
      <c r="BL82">
        <v>0</v>
      </c>
      <c r="BM82">
        <v>0</v>
      </c>
      <c r="BN82">
        <v>0</v>
      </c>
      <c r="BO82">
        <v>169</v>
      </c>
      <c r="BP82">
        <v>11</v>
      </c>
      <c r="BQ82">
        <v>1</v>
      </c>
      <c r="BR82" t="s">
        <v>7364</v>
      </c>
      <c r="BS82" t="s">
        <v>7382</v>
      </c>
      <c r="BT82" t="s">
        <v>7360</v>
      </c>
      <c r="BU82" t="s">
        <v>7360</v>
      </c>
      <c r="BV82" t="s">
        <v>7360</v>
      </c>
      <c r="BX82">
        <v>0</v>
      </c>
      <c r="BY82">
        <v>0</v>
      </c>
      <c r="BZ82" t="s">
        <v>7360</v>
      </c>
      <c r="CA82" t="s">
        <v>7360</v>
      </c>
      <c r="CB82">
        <v>3380666</v>
      </c>
      <c r="CC82" s="21">
        <v>44952.39539351852</v>
      </c>
      <c r="CE82" t="s">
        <v>7366</v>
      </c>
      <c r="CF82">
        <v>0</v>
      </c>
      <c r="CG82">
        <v>702002</v>
      </c>
      <c r="CH82">
        <v>702002</v>
      </c>
      <c r="CI82" s="21">
        <v>44952.397048611114</v>
      </c>
      <c r="CJ82" t="s">
        <v>7367</v>
      </c>
      <c r="CK82" t="s">
        <v>7367</v>
      </c>
      <c r="CL82" t="s">
        <v>7368</v>
      </c>
      <c r="CM82" t="s">
        <v>7368</v>
      </c>
      <c r="CS82" t="s">
        <v>7361</v>
      </c>
      <c r="CT82" t="s">
        <v>7362</v>
      </c>
      <c r="CU82" t="s">
        <v>7362</v>
      </c>
      <c r="CV82" t="s">
        <v>7362</v>
      </c>
      <c r="CW82" t="s">
        <v>7362</v>
      </c>
      <c r="CX82">
        <v>2099160</v>
      </c>
      <c r="DA82">
        <v>0</v>
      </c>
    </row>
    <row r="83" spans="1:105" x14ac:dyDescent="0.3">
      <c r="A83">
        <v>1357</v>
      </c>
      <c r="B83" t="s">
        <v>7405</v>
      </c>
      <c r="C83">
        <v>105</v>
      </c>
      <c r="D83" s="20">
        <v>44952</v>
      </c>
      <c r="E83" t="s">
        <v>7356</v>
      </c>
      <c r="F83" t="s">
        <v>5559</v>
      </c>
      <c r="G83" t="s">
        <v>7357</v>
      </c>
      <c r="H83">
        <v>1</v>
      </c>
      <c r="I83" t="s">
        <v>7358</v>
      </c>
      <c r="J83">
        <v>1</v>
      </c>
      <c r="K83" s="20">
        <v>44952</v>
      </c>
      <c r="L83" s="23">
        <v>2364740</v>
      </c>
      <c r="M83" t="s">
        <v>7359</v>
      </c>
      <c r="N83" t="s">
        <v>7360</v>
      </c>
      <c r="O83">
        <v>0</v>
      </c>
      <c r="P83">
        <v>11878</v>
      </c>
      <c r="Q83">
        <v>416050</v>
      </c>
      <c r="R83">
        <v>0</v>
      </c>
      <c r="S83">
        <v>20230126</v>
      </c>
      <c r="T83">
        <v>0</v>
      </c>
      <c r="U83" t="s">
        <v>7361</v>
      </c>
      <c r="V83" t="s">
        <v>7360</v>
      </c>
      <c r="W83" t="s">
        <v>7360</v>
      </c>
      <c r="X83" t="s">
        <v>7360</v>
      </c>
      <c r="Y83" t="s">
        <v>7360</v>
      </c>
      <c r="Z83" t="s">
        <v>7360</v>
      </c>
      <c r="AA83" t="s">
        <v>7362</v>
      </c>
      <c r="AB83" t="s">
        <v>7360</v>
      </c>
      <c r="AC83" t="s">
        <v>7360</v>
      </c>
      <c r="AD83" t="s">
        <v>7360</v>
      </c>
      <c r="AE83" t="s">
        <v>7360</v>
      </c>
      <c r="AF83" t="s">
        <v>1684</v>
      </c>
      <c r="AG83">
        <v>0</v>
      </c>
      <c r="AH83">
        <v>0</v>
      </c>
      <c r="AI83">
        <v>0</v>
      </c>
      <c r="AJ83">
        <v>0</v>
      </c>
      <c r="AK83">
        <v>0</v>
      </c>
      <c r="AL83" t="s">
        <v>7360</v>
      </c>
      <c r="AM83">
        <v>0</v>
      </c>
      <c r="AN83" s="20">
        <v>44952</v>
      </c>
      <c r="AO83" s="20">
        <v>44952</v>
      </c>
      <c r="AP83" s="20">
        <v>44952</v>
      </c>
      <c r="AQ83">
        <v>0</v>
      </c>
      <c r="AR83">
        <v>0</v>
      </c>
      <c r="AS83">
        <v>0</v>
      </c>
      <c r="AT83">
        <v>0</v>
      </c>
      <c r="AU83">
        <v>0</v>
      </c>
      <c r="AV83" t="s">
        <v>7360</v>
      </c>
      <c r="AW83">
        <v>0</v>
      </c>
      <c r="AX83" t="s">
        <v>7360</v>
      </c>
      <c r="AY83" t="s">
        <v>7363</v>
      </c>
      <c r="BA83">
        <v>0</v>
      </c>
      <c r="BB83" s="20">
        <v>44952</v>
      </c>
      <c r="BC83">
        <v>0</v>
      </c>
      <c r="BD83" t="s">
        <v>7360</v>
      </c>
      <c r="BF83" s="20">
        <v>44952</v>
      </c>
      <c r="BG83">
        <v>0</v>
      </c>
      <c r="BH83" t="s">
        <v>1684</v>
      </c>
      <c r="BJ83" t="s">
        <v>7362</v>
      </c>
      <c r="BK83">
        <v>0</v>
      </c>
      <c r="BL83">
        <v>0</v>
      </c>
      <c r="BM83">
        <v>0</v>
      </c>
      <c r="BN83">
        <v>0</v>
      </c>
      <c r="BO83">
        <v>169</v>
      </c>
      <c r="BP83">
        <v>11</v>
      </c>
      <c r="BQ83">
        <v>1</v>
      </c>
      <c r="BR83" t="s">
        <v>7364</v>
      </c>
      <c r="BS83" t="s">
        <v>7382</v>
      </c>
      <c r="BT83" t="s">
        <v>7360</v>
      </c>
      <c r="BU83" t="s">
        <v>7360</v>
      </c>
      <c r="BV83" t="s">
        <v>7360</v>
      </c>
      <c r="BX83">
        <v>0</v>
      </c>
      <c r="BY83">
        <v>0</v>
      </c>
      <c r="BZ83" t="s">
        <v>7360</v>
      </c>
      <c r="CA83" t="s">
        <v>7360</v>
      </c>
      <c r="CB83">
        <v>3380666</v>
      </c>
      <c r="CC83" s="21">
        <v>44952.402581018519</v>
      </c>
      <c r="CE83" t="s">
        <v>7366</v>
      </c>
      <c r="CF83">
        <v>0</v>
      </c>
      <c r="CG83">
        <v>702002</v>
      </c>
      <c r="CH83">
        <v>702002</v>
      </c>
      <c r="CI83" s="21">
        <v>44952.407280092593</v>
      </c>
      <c r="CJ83" t="s">
        <v>7367</v>
      </c>
      <c r="CK83" t="s">
        <v>7367</v>
      </c>
      <c r="CL83" t="s">
        <v>7368</v>
      </c>
      <c r="CM83" t="s">
        <v>7368</v>
      </c>
      <c r="CS83" t="s">
        <v>7361</v>
      </c>
      <c r="CT83" t="s">
        <v>7362</v>
      </c>
      <c r="CU83" t="s">
        <v>7362</v>
      </c>
      <c r="CV83" t="s">
        <v>7362</v>
      </c>
      <c r="CW83" t="s">
        <v>7362</v>
      </c>
      <c r="CX83">
        <v>2364740</v>
      </c>
      <c r="DA83">
        <v>0</v>
      </c>
    </row>
    <row r="84" spans="1:105" x14ac:dyDescent="0.3">
      <c r="A84">
        <v>1366</v>
      </c>
      <c r="B84" t="s">
        <v>7380</v>
      </c>
      <c r="C84">
        <v>106</v>
      </c>
      <c r="D84" s="20">
        <v>44951</v>
      </c>
      <c r="E84" t="s">
        <v>7356</v>
      </c>
      <c r="F84" t="s">
        <v>5564</v>
      </c>
      <c r="G84" t="s">
        <v>7357</v>
      </c>
      <c r="H84">
        <v>1</v>
      </c>
      <c r="I84" t="s">
        <v>7358</v>
      </c>
      <c r="J84">
        <v>1</v>
      </c>
      <c r="K84" s="20">
        <v>44952</v>
      </c>
      <c r="L84" s="23">
        <v>1942507</v>
      </c>
      <c r="M84" t="s">
        <v>7359</v>
      </c>
      <c r="N84" t="s">
        <v>7360</v>
      </c>
      <c r="O84">
        <v>0</v>
      </c>
      <c r="P84">
        <v>11710</v>
      </c>
      <c r="Q84">
        <v>414021</v>
      </c>
      <c r="R84">
        <v>0</v>
      </c>
      <c r="S84">
        <v>20230125</v>
      </c>
      <c r="T84">
        <v>0</v>
      </c>
      <c r="U84" t="s">
        <v>7361</v>
      </c>
      <c r="V84" t="s">
        <v>7360</v>
      </c>
      <c r="W84" t="s">
        <v>7360</v>
      </c>
      <c r="X84" t="s">
        <v>7360</v>
      </c>
      <c r="Y84" t="s">
        <v>7360</v>
      </c>
      <c r="Z84" t="s">
        <v>7360</v>
      </c>
      <c r="AA84" t="s">
        <v>7362</v>
      </c>
      <c r="AB84" t="s">
        <v>7360</v>
      </c>
      <c r="AC84" t="s">
        <v>7360</v>
      </c>
      <c r="AD84" t="s">
        <v>7360</v>
      </c>
      <c r="AE84" t="s">
        <v>7360</v>
      </c>
      <c r="AF84" t="s">
        <v>1684</v>
      </c>
      <c r="AG84">
        <v>0</v>
      </c>
      <c r="AH84">
        <v>0</v>
      </c>
      <c r="AI84">
        <v>0</v>
      </c>
      <c r="AJ84">
        <v>0</v>
      </c>
      <c r="AK84">
        <v>0</v>
      </c>
      <c r="AL84" t="s">
        <v>7360</v>
      </c>
      <c r="AM84">
        <v>0</v>
      </c>
      <c r="AN84" s="20">
        <v>44952</v>
      </c>
      <c r="AO84" s="20">
        <v>44952</v>
      </c>
      <c r="AP84" s="20">
        <v>44952</v>
      </c>
      <c r="AQ84">
        <v>0</v>
      </c>
      <c r="AR84">
        <v>0</v>
      </c>
      <c r="AS84">
        <v>0</v>
      </c>
      <c r="AT84">
        <v>0</v>
      </c>
      <c r="AU84">
        <v>0</v>
      </c>
      <c r="AV84" t="s">
        <v>7360</v>
      </c>
      <c r="AW84">
        <v>0</v>
      </c>
      <c r="AX84" t="s">
        <v>7360</v>
      </c>
      <c r="AY84" t="s">
        <v>7363</v>
      </c>
      <c r="BA84">
        <v>0</v>
      </c>
      <c r="BB84" s="20">
        <v>44952</v>
      </c>
      <c r="BC84">
        <v>0</v>
      </c>
      <c r="BD84" t="s">
        <v>7360</v>
      </c>
      <c r="BF84" s="20">
        <v>44952</v>
      </c>
      <c r="BG84">
        <v>0</v>
      </c>
      <c r="BH84" t="s">
        <v>7363</v>
      </c>
      <c r="BJ84" t="s">
        <v>7362</v>
      </c>
      <c r="BK84">
        <v>169</v>
      </c>
      <c r="BL84">
        <v>11</v>
      </c>
      <c r="BM84">
        <v>1</v>
      </c>
      <c r="BN84" t="s">
        <v>7364</v>
      </c>
      <c r="BO84">
        <v>169</v>
      </c>
      <c r="BP84">
        <v>11</v>
      </c>
      <c r="BQ84">
        <v>1</v>
      </c>
      <c r="BR84" t="s">
        <v>7364</v>
      </c>
      <c r="BS84" t="s">
        <v>7387</v>
      </c>
      <c r="BT84" t="s">
        <v>7360</v>
      </c>
      <c r="BU84" t="s">
        <v>7360</v>
      </c>
      <c r="BV84" t="s">
        <v>7360</v>
      </c>
      <c r="BX84" t="s">
        <v>7391</v>
      </c>
      <c r="BY84">
        <v>74</v>
      </c>
      <c r="BZ84" t="s">
        <v>7360</v>
      </c>
      <c r="CA84" t="s">
        <v>7360</v>
      </c>
      <c r="CB84">
        <v>5558210</v>
      </c>
      <c r="CC84" s="21">
        <v>44952.418298611112</v>
      </c>
      <c r="CE84" t="s">
        <v>7392</v>
      </c>
      <c r="CF84">
        <v>1100101</v>
      </c>
      <c r="CG84">
        <v>53575</v>
      </c>
      <c r="CH84">
        <v>53575</v>
      </c>
      <c r="CI84" s="21">
        <v>44952.422847222224</v>
      </c>
      <c r="CJ84" t="s">
        <v>7393</v>
      </c>
      <c r="CK84" t="s">
        <v>7393</v>
      </c>
      <c r="CL84" t="s">
        <v>7394</v>
      </c>
      <c r="CM84" t="s">
        <v>7394</v>
      </c>
      <c r="CS84" t="s">
        <v>7361</v>
      </c>
      <c r="CT84" t="s">
        <v>7362</v>
      </c>
      <c r="CU84" t="s">
        <v>7362</v>
      </c>
      <c r="CV84" t="s">
        <v>7362</v>
      </c>
      <c r="CW84" t="s">
        <v>7362</v>
      </c>
      <c r="CX84">
        <v>1942507</v>
      </c>
      <c r="DA84">
        <v>0</v>
      </c>
    </row>
    <row r="85" spans="1:105" x14ac:dyDescent="0.3">
      <c r="A85">
        <v>1373</v>
      </c>
      <c r="B85" t="s">
        <v>7383</v>
      </c>
      <c r="C85">
        <v>107</v>
      </c>
      <c r="D85" s="20">
        <v>44952</v>
      </c>
      <c r="E85" t="s">
        <v>7356</v>
      </c>
      <c r="F85" t="s">
        <v>5569</v>
      </c>
      <c r="G85" t="s">
        <v>7357</v>
      </c>
      <c r="H85">
        <v>1</v>
      </c>
      <c r="I85" t="s">
        <v>7358</v>
      </c>
      <c r="J85">
        <v>1</v>
      </c>
      <c r="K85" s="20">
        <v>44952</v>
      </c>
      <c r="L85" s="23">
        <v>920000</v>
      </c>
      <c r="M85" t="s">
        <v>7359</v>
      </c>
      <c r="N85" t="s">
        <v>7360</v>
      </c>
      <c r="O85">
        <v>0</v>
      </c>
      <c r="P85">
        <v>11901</v>
      </c>
      <c r="Q85">
        <v>416064</v>
      </c>
      <c r="R85">
        <v>0</v>
      </c>
      <c r="S85">
        <v>20230126</v>
      </c>
      <c r="T85">
        <v>0</v>
      </c>
      <c r="U85" t="s">
        <v>7361</v>
      </c>
      <c r="V85" t="s">
        <v>7360</v>
      </c>
      <c r="W85" t="s">
        <v>7360</v>
      </c>
      <c r="X85" t="s">
        <v>7360</v>
      </c>
      <c r="Y85" t="s">
        <v>7360</v>
      </c>
      <c r="Z85" t="s">
        <v>7360</v>
      </c>
      <c r="AA85" t="s">
        <v>7362</v>
      </c>
      <c r="AB85" t="s">
        <v>7360</v>
      </c>
      <c r="AC85" t="s">
        <v>7360</v>
      </c>
      <c r="AD85" t="s">
        <v>7360</v>
      </c>
      <c r="AE85" t="s">
        <v>7360</v>
      </c>
      <c r="AF85" t="s">
        <v>1684</v>
      </c>
      <c r="AG85">
        <v>0</v>
      </c>
      <c r="AH85">
        <v>0</v>
      </c>
      <c r="AI85">
        <v>0</v>
      </c>
      <c r="AJ85">
        <v>0</v>
      </c>
      <c r="AK85">
        <v>0</v>
      </c>
      <c r="AL85" t="s">
        <v>7360</v>
      </c>
      <c r="AM85">
        <v>0</v>
      </c>
      <c r="AN85" s="20">
        <v>44952</v>
      </c>
      <c r="AO85" s="20">
        <v>44952</v>
      </c>
      <c r="AP85" s="20">
        <v>44952</v>
      </c>
      <c r="AQ85">
        <v>0</v>
      </c>
      <c r="AR85">
        <v>0</v>
      </c>
      <c r="AS85">
        <v>0</v>
      </c>
      <c r="AT85">
        <v>0</v>
      </c>
      <c r="AU85">
        <v>0</v>
      </c>
      <c r="AV85" t="s">
        <v>7360</v>
      </c>
      <c r="AW85">
        <v>0</v>
      </c>
      <c r="AX85" t="s">
        <v>7360</v>
      </c>
      <c r="AY85" t="s">
        <v>7363</v>
      </c>
      <c r="BA85">
        <v>0</v>
      </c>
      <c r="BB85" s="20">
        <v>44952</v>
      </c>
      <c r="BC85">
        <v>0</v>
      </c>
      <c r="BD85" t="s">
        <v>7360</v>
      </c>
      <c r="BF85" s="20">
        <v>44952</v>
      </c>
      <c r="BG85">
        <v>0</v>
      </c>
      <c r="BH85" t="s">
        <v>7363</v>
      </c>
      <c r="BJ85" t="s">
        <v>7362</v>
      </c>
      <c r="BK85">
        <v>169</v>
      </c>
      <c r="BL85">
        <v>11</v>
      </c>
      <c r="BM85">
        <v>1</v>
      </c>
      <c r="BN85" t="s">
        <v>7364</v>
      </c>
      <c r="BO85">
        <v>169</v>
      </c>
      <c r="BP85">
        <v>11</v>
      </c>
      <c r="BQ85">
        <v>1</v>
      </c>
      <c r="BR85" t="s">
        <v>7364</v>
      </c>
      <c r="BS85" t="s">
        <v>7387</v>
      </c>
      <c r="BT85" t="s">
        <v>7360</v>
      </c>
      <c r="BU85" t="s">
        <v>7360</v>
      </c>
      <c r="BV85" t="s">
        <v>7360</v>
      </c>
      <c r="BX85" t="s">
        <v>7391</v>
      </c>
      <c r="BY85">
        <v>74</v>
      </c>
      <c r="BZ85" t="s">
        <v>7360</v>
      </c>
      <c r="CA85" t="s">
        <v>7360</v>
      </c>
      <c r="CB85">
        <v>5558210</v>
      </c>
      <c r="CC85" s="21">
        <v>44952.428171296298</v>
      </c>
      <c r="CE85" t="s">
        <v>7392</v>
      </c>
      <c r="CF85">
        <v>1100101</v>
      </c>
      <c r="CG85">
        <v>53575</v>
      </c>
      <c r="CH85">
        <v>53575</v>
      </c>
      <c r="CI85" s="21">
        <v>44952.432222222225</v>
      </c>
      <c r="CJ85" t="s">
        <v>7393</v>
      </c>
      <c r="CK85" t="s">
        <v>7393</v>
      </c>
      <c r="CL85" t="s">
        <v>7394</v>
      </c>
      <c r="CM85" t="s">
        <v>7394</v>
      </c>
      <c r="CS85" t="s">
        <v>7361</v>
      </c>
      <c r="CT85" t="s">
        <v>7362</v>
      </c>
      <c r="CU85" t="s">
        <v>7362</v>
      </c>
      <c r="CV85" t="s">
        <v>7362</v>
      </c>
      <c r="CW85" t="s">
        <v>7362</v>
      </c>
      <c r="CX85">
        <v>920000</v>
      </c>
      <c r="DA85">
        <v>0</v>
      </c>
    </row>
    <row r="86" spans="1:105" x14ac:dyDescent="0.3">
      <c r="A86">
        <v>1354</v>
      </c>
      <c r="B86" t="s">
        <v>7396</v>
      </c>
      <c r="C86">
        <v>108</v>
      </c>
      <c r="D86" s="20">
        <v>44952</v>
      </c>
      <c r="E86" t="s">
        <v>7356</v>
      </c>
      <c r="F86" t="s">
        <v>5575</v>
      </c>
      <c r="G86" t="s">
        <v>7370</v>
      </c>
      <c r="H86">
        <v>1</v>
      </c>
      <c r="I86" t="s">
        <v>7358</v>
      </c>
      <c r="J86">
        <v>1</v>
      </c>
      <c r="K86" s="20">
        <v>44952</v>
      </c>
      <c r="L86" s="23">
        <v>2850000</v>
      </c>
      <c r="M86" t="s">
        <v>7359</v>
      </c>
      <c r="N86" t="s">
        <v>7360</v>
      </c>
      <c r="O86">
        <v>0</v>
      </c>
      <c r="P86">
        <v>11835</v>
      </c>
      <c r="Q86">
        <v>416013</v>
      </c>
      <c r="R86">
        <v>0</v>
      </c>
      <c r="S86">
        <v>20230126</v>
      </c>
      <c r="T86">
        <v>0</v>
      </c>
      <c r="U86" t="s">
        <v>7361</v>
      </c>
      <c r="V86" t="s">
        <v>7360</v>
      </c>
      <c r="W86" t="s">
        <v>7360</v>
      </c>
      <c r="X86" t="s">
        <v>7360</v>
      </c>
      <c r="Y86" t="s">
        <v>7360</v>
      </c>
      <c r="Z86" t="s">
        <v>7360</v>
      </c>
      <c r="AA86" t="s">
        <v>7362</v>
      </c>
      <c r="AB86" t="s">
        <v>7360</v>
      </c>
      <c r="AC86" t="s">
        <v>7360</v>
      </c>
      <c r="AD86" t="s">
        <v>7360</v>
      </c>
      <c r="AE86" t="s">
        <v>7360</v>
      </c>
      <c r="AF86" t="s">
        <v>1684</v>
      </c>
      <c r="AG86">
        <v>0</v>
      </c>
      <c r="AH86">
        <v>0</v>
      </c>
      <c r="AI86">
        <v>0</v>
      </c>
      <c r="AJ86">
        <v>0</v>
      </c>
      <c r="AK86">
        <v>0</v>
      </c>
      <c r="AL86" t="s">
        <v>7360</v>
      </c>
      <c r="AM86">
        <v>0</v>
      </c>
      <c r="AN86" s="20">
        <v>44952</v>
      </c>
      <c r="AO86" s="20">
        <v>44952</v>
      </c>
      <c r="AP86" s="20">
        <v>44952</v>
      </c>
      <c r="AQ86">
        <v>0</v>
      </c>
      <c r="AR86">
        <v>0</v>
      </c>
      <c r="AS86">
        <v>0</v>
      </c>
      <c r="AT86">
        <v>0</v>
      </c>
      <c r="AU86">
        <v>0</v>
      </c>
      <c r="AV86" t="s">
        <v>7360</v>
      </c>
      <c r="AW86">
        <v>0</v>
      </c>
      <c r="AX86" t="s">
        <v>7360</v>
      </c>
      <c r="AY86" t="s">
        <v>7363</v>
      </c>
      <c r="BA86">
        <v>0</v>
      </c>
      <c r="BB86" s="20">
        <v>44952</v>
      </c>
      <c r="BC86">
        <v>0</v>
      </c>
      <c r="BD86" t="s">
        <v>7360</v>
      </c>
      <c r="BF86" s="20">
        <v>44952</v>
      </c>
      <c r="BG86">
        <v>0</v>
      </c>
      <c r="BH86" t="s">
        <v>7363</v>
      </c>
      <c r="BJ86" t="s">
        <v>7362</v>
      </c>
      <c r="BK86">
        <v>0</v>
      </c>
      <c r="BL86">
        <v>0</v>
      </c>
      <c r="BM86">
        <v>0</v>
      </c>
      <c r="BN86">
        <v>0</v>
      </c>
      <c r="BO86">
        <v>169</v>
      </c>
      <c r="BP86">
        <v>11</v>
      </c>
      <c r="BQ86">
        <v>1</v>
      </c>
      <c r="BR86" t="s">
        <v>7364</v>
      </c>
      <c r="BS86" t="s">
        <v>7365</v>
      </c>
      <c r="BT86" t="s">
        <v>7360</v>
      </c>
      <c r="BU86" t="s">
        <v>7360</v>
      </c>
      <c r="BV86" t="s">
        <v>7360</v>
      </c>
      <c r="BX86">
        <v>0</v>
      </c>
      <c r="BY86">
        <v>0</v>
      </c>
      <c r="BZ86" t="s">
        <v>7360</v>
      </c>
      <c r="CA86" t="s">
        <v>7360</v>
      </c>
      <c r="CB86">
        <v>3380666</v>
      </c>
      <c r="CC86" s="21">
        <v>44952.446157407408</v>
      </c>
      <c r="CE86" t="s">
        <v>7366</v>
      </c>
      <c r="CF86">
        <v>0</v>
      </c>
      <c r="CG86">
        <v>702002</v>
      </c>
      <c r="CH86">
        <v>702002</v>
      </c>
      <c r="CI86" s="21">
        <v>44952.447858796295</v>
      </c>
      <c r="CJ86" t="s">
        <v>7367</v>
      </c>
      <c r="CK86" t="s">
        <v>7367</v>
      </c>
      <c r="CL86" t="s">
        <v>7368</v>
      </c>
      <c r="CM86" t="s">
        <v>7368</v>
      </c>
      <c r="CS86" t="s">
        <v>7361</v>
      </c>
      <c r="CT86" t="s">
        <v>7362</v>
      </c>
      <c r="CU86" t="s">
        <v>7362</v>
      </c>
      <c r="CV86" t="s">
        <v>7362</v>
      </c>
      <c r="CW86" t="s">
        <v>7362</v>
      </c>
      <c r="CX86">
        <v>2850000</v>
      </c>
      <c r="DA86">
        <v>0</v>
      </c>
    </row>
    <row r="87" spans="1:105" x14ac:dyDescent="0.3">
      <c r="A87">
        <v>1373</v>
      </c>
      <c r="B87" t="s">
        <v>7383</v>
      </c>
      <c r="C87">
        <v>255</v>
      </c>
      <c r="D87" s="20">
        <v>44964</v>
      </c>
      <c r="E87" t="s">
        <v>7356</v>
      </c>
      <c r="F87" t="s">
        <v>5580</v>
      </c>
      <c r="G87" t="s">
        <v>7357</v>
      </c>
      <c r="H87">
        <v>1</v>
      </c>
      <c r="I87" t="s">
        <v>7358</v>
      </c>
      <c r="J87">
        <v>1</v>
      </c>
      <c r="K87" s="20">
        <v>44964</v>
      </c>
      <c r="L87" s="23">
        <v>15372440</v>
      </c>
      <c r="M87" t="s">
        <v>7359</v>
      </c>
      <c r="N87" t="s">
        <v>7360</v>
      </c>
      <c r="O87">
        <v>0</v>
      </c>
      <c r="P87">
        <v>12150</v>
      </c>
      <c r="Q87">
        <v>420019</v>
      </c>
      <c r="R87">
        <v>0</v>
      </c>
      <c r="S87">
        <v>20230207</v>
      </c>
      <c r="T87">
        <v>0</v>
      </c>
      <c r="U87" t="s">
        <v>7361</v>
      </c>
      <c r="V87" t="s">
        <v>7360</v>
      </c>
      <c r="W87" t="s">
        <v>7360</v>
      </c>
      <c r="X87" t="s">
        <v>7360</v>
      </c>
      <c r="Y87" t="s">
        <v>7360</v>
      </c>
      <c r="Z87" t="s">
        <v>7360</v>
      </c>
      <c r="AA87" t="s">
        <v>7362</v>
      </c>
      <c r="AB87" t="s">
        <v>7360</v>
      </c>
      <c r="AC87" t="s">
        <v>7360</v>
      </c>
      <c r="AD87" t="s">
        <v>7360</v>
      </c>
      <c r="AE87" t="s">
        <v>7360</v>
      </c>
      <c r="AF87" t="s">
        <v>1684</v>
      </c>
      <c r="AG87">
        <v>0</v>
      </c>
      <c r="AH87">
        <v>0</v>
      </c>
      <c r="AI87">
        <v>0</v>
      </c>
      <c r="AJ87">
        <v>0</v>
      </c>
      <c r="AK87">
        <v>0</v>
      </c>
      <c r="AL87" t="s">
        <v>7360</v>
      </c>
      <c r="AM87">
        <v>0</v>
      </c>
      <c r="AN87" s="20">
        <v>44964</v>
      </c>
      <c r="AO87" s="20">
        <v>44964</v>
      </c>
      <c r="AP87" s="20">
        <v>44964</v>
      </c>
      <c r="AQ87">
        <v>0</v>
      </c>
      <c r="AR87">
        <v>0</v>
      </c>
      <c r="AS87">
        <v>0</v>
      </c>
      <c r="AT87">
        <v>0</v>
      </c>
      <c r="AU87">
        <v>0</v>
      </c>
      <c r="AV87" t="s">
        <v>7360</v>
      </c>
      <c r="AW87">
        <v>0</v>
      </c>
      <c r="AX87" t="s">
        <v>7360</v>
      </c>
      <c r="AY87" t="s">
        <v>7363</v>
      </c>
      <c r="BA87">
        <v>0</v>
      </c>
      <c r="BB87" s="20">
        <v>44964</v>
      </c>
      <c r="BC87">
        <v>0</v>
      </c>
      <c r="BD87" t="s">
        <v>7360</v>
      </c>
      <c r="BF87" s="20">
        <v>44964</v>
      </c>
      <c r="BG87">
        <v>0</v>
      </c>
      <c r="BH87" t="s">
        <v>7363</v>
      </c>
      <c r="BJ87" t="s">
        <v>7362</v>
      </c>
      <c r="BK87">
        <v>169</v>
      </c>
      <c r="BL87">
        <v>11</v>
      </c>
      <c r="BM87">
        <v>1</v>
      </c>
      <c r="BN87" t="s">
        <v>7364</v>
      </c>
      <c r="BO87">
        <v>0</v>
      </c>
      <c r="BP87">
        <v>0</v>
      </c>
      <c r="BQ87">
        <v>0</v>
      </c>
      <c r="BR87">
        <v>0</v>
      </c>
      <c r="BS87" t="s">
        <v>7387</v>
      </c>
      <c r="BT87" t="s">
        <v>7360</v>
      </c>
      <c r="BU87" t="s">
        <v>7360</v>
      </c>
      <c r="BV87" t="s">
        <v>7360</v>
      </c>
      <c r="BX87" t="s">
        <v>7391</v>
      </c>
      <c r="BY87">
        <v>74</v>
      </c>
      <c r="BZ87" t="s">
        <v>7360</v>
      </c>
      <c r="CA87" t="s">
        <v>7360</v>
      </c>
      <c r="CB87" t="s">
        <v>7360</v>
      </c>
      <c r="CC87" s="21">
        <v>44952.644826388889</v>
      </c>
      <c r="CE87" t="s">
        <v>7392</v>
      </c>
      <c r="CF87">
        <v>1100101</v>
      </c>
      <c r="CG87">
        <v>53575</v>
      </c>
      <c r="CH87">
        <v>53575</v>
      </c>
      <c r="CI87" s="21">
        <v>44952.646620370368</v>
      </c>
      <c r="CJ87" t="s">
        <v>7393</v>
      </c>
      <c r="CK87" t="s">
        <v>7393</v>
      </c>
      <c r="CL87" t="s">
        <v>7394</v>
      </c>
      <c r="CM87" t="s">
        <v>7394</v>
      </c>
      <c r="CS87" t="s">
        <v>7361</v>
      </c>
      <c r="CT87" t="s">
        <v>7362</v>
      </c>
      <c r="CU87" t="s">
        <v>7362</v>
      </c>
      <c r="CV87" t="s">
        <v>7362</v>
      </c>
      <c r="CW87" t="s">
        <v>7362</v>
      </c>
      <c r="CX87">
        <v>15470000</v>
      </c>
      <c r="DA87">
        <v>0</v>
      </c>
    </row>
    <row r="88" spans="1:105" x14ac:dyDescent="0.3">
      <c r="A88">
        <v>1354</v>
      </c>
      <c r="B88" t="s">
        <v>7396</v>
      </c>
      <c r="C88">
        <v>110</v>
      </c>
      <c r="D88" s="20">
        <v>44952</v>
      </c>
      <c r="E88" t="s">
        <v>7356</v>
      </c>
      <c r="F88" t="s">
        <v>5585</v>
      </c>
      <c r="G88" t="s">
        <v>7370</v>
      </c>
      <c r="H88">
        <v>1</v>
      </c>
      <c r="I88" t="s">
        <v>7358</v>
      </c>
      <c r="J88">
        <v>1</v>
      </c>
      <c r="K88" s="20">
        <v>44952</v>
      </c>
      <c r="L88" s="23">
        <v>7200000</v>
      </c>
      <c r="M88" t="s">
        <v>7359</v>
      </c>
      <c r="N88" t="s">
        <v>7360</v>
      </c>
      <c r="O88">
        <v>0</v>
      </c>
      <c r="P88">
        <v>11810</v>
      </c>
      <c r="Q88">
        <v>415024</v>
      </c>
      <c r="R88">
        <v>0</v>
      </c>
      <c r="S88">
        <v>20230126</v>
      </c>
      <c r="T88">
        <v>0</v>
      </c>
      <c r="U88" t="s">
        <v>7361</v>
      </c>
      <c r="V88" t="s">
        <v>7360</v>
      </c>
      <c r="W88" t="s">
        <v>7360</v>
      </c>
      <c r="X88" t="s">
        <v>7360</v>
      </c>
      <c r="Y88" t="s">
        <v>7360</v>
      </c>
      <c r="Z88" t="s">
        <v>7360</v>
      </c>
      <c r="AA88" t="s">
        <v>7362</v>
      </c>
      <c r="AB88" t="s">
        <v>7360</v>
      </c>
      <c r="AC88" t="s">
        <v>7360</v>
      </c>
      <c r="AD88" t="s">
        <v>7360</v>
      </c>
      <c r="AE88" t="s">
        <v>7360</v>
      </c>
      <c r="AF88" t="s">
        <v>1684</v>
      </c>
      <c r="AG88">
        <v>0</v>
      </c>
      <c r="AH88">
        <v>0</v>
      </c>
      <c r="AI88">
        <v>0</v>
      </c>
      <c r="AJ88">
        <v>0</v>
      </c>
      <c r="AK88">
        <v>0</v>
      </c>
      <c r="AL88" t="s">
        <v>7360</v>
      </c>
      <c r="AM88">
        <v>0</v>
      </c>
      <c r="AN88" s="20">
        <v>44952</v>
      </c>
      <c r="AO88" s="20">
        <v>44952</v>
      </c>
      <c r="AP88" s="20">
        <v>44952</v>
      </c>
      <c r="AQ88">
        <v>0</v>
      </c>
      <c r="AR88">
        <v>0</v>
      </c>
      <c r="AS88">
        <v>0</v>
      </c>
      <c r="AT88">
        <v>0</v>
      </c>
      <c r="AU88">
        <v>0</v>
      </c>
      <c r="AV88" t="s">
        <v>7360</v>
      </c>
      <c r="AW88">
        <v>0</v>
      </c>
      <c r="AX88" t="s">
        <v>7360</v>
      </c>
      <c r="AY88" t="s">
        <v>7363</v>
      </c>
      <c r="BA88">
        <v>0</v>
      </c>
      <c r="BB88" s="20">
        <v>44952</v>
      </c>
      <c r="BC88">
        <v>0</v>
      </c>
      <c r="BD88" t="s">
        <v>7360</v>
      </c>
      <c r="BF88" s="20">
        <v>44952</v>
      </c>
      <c r="BG88">
        <v>0</v>
      </c>
      <c r="BH88" t="s">
        <v>7363</v>
      </c>
      <c r="BJ88" t="s">
        <v>7362</v>
      </c>
      <c r="BK88">
        <v>0</v>
      </c>
      <c r="BL88">
        <v>0</v>
      </c>
      <c r="BM88">
        <v>0</v>
      </c>
      <c r="BN88">
        <v>0</v>
      </c>
      <c r="BO88">
        <v>169</v>
      </c>
      <c r="BP88">
        <v>11</v>
      </c>
      <c r="BQ88">
        <v>1</v>
      </c>
      <c r="BR88" t="s">
        <v>7364</v>
      </c>
      <c r="BS88" t="s">
        <v>7365</v>
      </c>
      <c r="BT88" t="s">
        <v>7360</v>
      </c>
      <c r="BU88" t="s">
        <v>7360</v>
      </c>
      <c r="BV88" t="s">
        <v>7360</v>
      </c>
      <c r="BX88">
        <v>0</v>
      </c>
      <c r="BY88">
        <v>0</v>
      </c>
      <c r="BZ88" t="s">
        <v>7360</v>
      </c>
      <c r="CA88" t="s">
        <v>7360</v>
      </c>
      <c r="CB88">
        <v>3380666</v>
      </c>
      <c r="CC88" s="21">
        <v>44952.468263888892</v>
      </c>
      <c r="CE88" t="s">
        <v>7366</v>
      </c>
      <c r="CF88">
        <v>0</v>
      </c>
      <c r="CG88">
        <v>702002</v>
      </c>
      <c r="CH88">
        <v>702002</v>
      </c>
      <c r="CI88" s="21">
        <v>44952.470289351855</v>
      </c>
      <c r="CJ88" t="s">
        <v>7367</v>
      </c>
      <c r="CK88" t="s">
        <v>7367</v>
      </c>
      <c r="CL88" t="s">
        <v>7368</v>
      </c>
      <c r="CM88" t="s">
        <v>7368</v>
      </c>
      <c r="CS88" t="s">
        <v>7361</v>
      </c>
      <c r="CT88" t="s">
        <v>7362</v>
      </c>
      <c r="CU88" t="s">
        <v>7362</v>
      </c>
      <c r="CV88" t="s">
        <v>7362</v>
      </c>
      <c r="CW88" t="s">
        <v>7362</v>
      </c>
      <c r="CX88">
        <v>7200000</v>
      </c>
      <c r="DA88">
        <v>0</v>
      </c>
    </row>
    <row r="89" spans="1:105" x14ac:dyDescent="0.3">
      <c r="A89">
        <v>1354</v>
      </c>
      <c r="B89" t="s">
        <v>7396</v>
      </c>
      <c r="C89">
        <v>111</v>
      </c>
      <c r="D89" s="20">
        <v>44952</v>
      </c>
      <c r="E89" t="s">
        <v>7356</v>
      </c>
      <c r="F89" t="s">
        <v>5591</v>
      </c>
      <c r="G89" t="s">
        <v>7370</v>
      </c>
      <c r="H89">
        <v>1</v>
      </c>
      <c r="I89" t="s">
        <v>7358</v>
      </c>
      <c r="J89">
        <v>1</v>
      </c>
      <c r="K89" s="20">
        <v>44952</v>
      </c>
      <c r="L89" s="23">
        <v>4050000</v>
      </c>
      <c r="M89" t="s">
        <v>7359</v>
      </c>
      <c r="N89" t="s">
        <v>7360</v>
      </c>
      <c r="O89">
        <v>0</v>
      </c>
      <c r="P89">
        <v>11779</v>
      </c>
      <c r="Q89">
        <v>414079</v>
      </c>
      <c r="R89">
        <v>0</v>
      </c>
      <c r="S89">
        <v>20230126</v>
      </c>
      <c r="T89">
        <v>0</v>
      </c>
      <c r="U89" t="s">
        <v>7361</v>
      </c>
      <c r="V89" t="s">
        <v>7360</v>
      </c>
      <c r="W89" t="s">
        <v>7360</v>
      </c>
      <c r="X89" t="s">
        <v>7360</v>
      </c>
      <c r="Y89" t="s">
        <v>7360</v>
      </c>
      <c r="Z89" t="s">
        <v>7360</v>
      </c>
      <c r="AA89" t="s">
        <v>7362</v>
      </c>
      <c r="AB89" t="s">
        <v>7360</v>
      </c>
      <c r="AC89" t="s">
        <v>7360</v>
      </c>
      <c r="AD89" t="s">
        <v>7360</v>
      </c>
      <c r="AE89" t="s">
        <v>7360</v>
      </c>
      <c r="AF89" t="s">
        <v>1684</v>
      </c>
      <c r="AG89">
        <v>0</v>
      </c>
      <c r="AH89">
        <v>0</v>
      </c>
      <c r="AI89">
        <v>0</v>
      </c>
      <c r="AJ89">
        <v>0</v>
      </c>
      <c r="AK89">
        <v>0</v>
      </c>
      <c r="AL89" t="s">
        <v>7360</v>
      </c>
      <c r="AM89">
        <v>0</v>
      </c>
      <c r="AN89" s="20">
        <v>44952</v>
      </c>
      <c r="AO89" s="20">
        <v>44952</v>
      </c>
      <c r="AP89" s="20">
        <v>44952</v>
      </c>
      <c r="AQ89">
        <v>0</v>
      </c>
      <c r="AR89">
        <v>0</v>
      </c>
      <c r="AS89">
        <v>0</v>
      </c>
      <c r="AT89">
        <v>0</v>
      </c>
      <c r="AU89">
        <v>0</v>
      </c>
      <c r="AV89" t="s">
        <v>7360</v>
      </c>
      <c r="AW89">
        <v>0</v>
      </c>
      <c r="AX89" t="s">
        <v>7360</v>
      </c>
      <c r="AY89" t="s">
        <v>7363</v>
      </c>
      <c r="BA89">
        <v>0</v>
      </c>
      <c r="BB89" s="20">
        <v>44952</v>
      </c>
      <c r="BC89">
        <v>0</v>
      </c>
      <c r="BD89" t="s">
        <v>7360</v>
      </c>
      <c r="BF89" s="20">
        <v>44952</v>
      </c>
      <c r="BG89">
        <v>0</v>
      </c>
      <c r="BH89" t="s">
        <v>7363</v>
      </c>
      <c r="BJ89" t="s">
        <v>7362</v>
      </c>
      <c r="BK89">
        <v>169</v>
      </c>
      <c r="BL89">
        <v>11</v>
      </c>
      <c r="BM89">
        <v>1</v>
      </c>
      <c r="BN89" t="s">
        <v>7364</v>
      </c>
      <c r="BO89">
        <v>169</v>
      </c>
      <c r="BP89">
        <v>11</v>
      </c>
      <c r="BQ89">
        <v>1</v>
      </c>
      <c r="BR89" t="s">
        <v>7364</v>
      </c>
      <c r="BS89" t="s">
        <v>132</v>
      </c>
      <c r="BT89" t="s">
        <v>7360</v>
      </c>
      <c r="BU89" t="s">
        <v>7360</v>
      </c>
      <c r="BV89" t="s">
        <v>7360</v>
      </c>
      <c r="BX89" t="s">
        <v>7391</v>
      </c>
      <c r="BY89">
        <v>74</v>
      </c>
      <c r="BZ89" t="s">
        <v>7360</v>
      </c>
      <c r="CA89" t="s">
        <v>7360</v>
      </c>
      <c r="CB89">
        <v>3380666</v>
      </c>
      <c r="CC89" s="21">
        <v>44952.476655092592</v>
      </c>
      <c r="CE89" t="s">
        <v>7392</v>
      </c>
      <c r="CF89">
        <v>1100101</v>
      </c>
      <c r="CG89">
        <v>51669</v>
      </c>
      <c r="CH89">
        <v>51669</v>
      </c>
      <c r="CI89" s="21">
        <v>44952.480081018519</v>
      </c>
      <c r="CJ89" t="s">
        <v>7406</v>
      </c>
      <c r="CK89" t="s">
        <v>7406</v>
      </c>
      <c r="CL89" t="s">
        <v>7407</v>
      </c>
      <c r="CM89" t="s">
        <v>7407</v>
      </c>
      <c r="CS89" t="s">
        <v>7361</v>
      </c>
      <c r="CT89" t="s">
        <v>7362</v>
      </c>
      <c r="CU89" t="s">
        <v>7362</v>
      </c>
      <c r="CV89" t="s">
        <v>7362</v>
      </c>
      <c r="CW89" t="s">
        <v>7362</v>
      </c>
      <c r="CX89">
        <v>4050000</v>
      </c>
      <c r="DA89">
        <v>0</v>
      </c>
    </row>
    <row r="90" spans="1:105" x14ac:dyDescent="0.3">
      <c r="A90">
        <v>1354</v>
      </c>
      <c r="B90" t="s">
        <v>7396</v>
      </c>
      <c r="C90">
        <v>112</v>
      </c>
      <c r="D90" s="20">
        <v>44952</v>
      </c>
      <c r="E90" t="s">
        <v>7372</v>
      </c>
      <c r="F90" t="s">
        <v>5596</v>
      </c>
      <c r="G90" t="s">
        <v>7370</v>
      </c>
      <c r="H90">
        <v>1</v>
      </c>
      <c r="I90" t="s">
        <v>7358</v>
      </c>
      <c r="J90">
        <v>1</v>
      </c>
      <c r="K90" s="20">
        <v>44952</v>
      </c>
      <c r="L90" s="23">
        <v>4068000</v>
      </c>
      <c r="M90" t="s">
        <v>7359</v>
      </c>
      <c r="N90" t="s">
        <v>7360</v>
      </c>
      <c r="O90">
        <v>0</v>
      </c>
      <c r="P90">
        <v>11799</v>
      </c>
      <c r="Q90">
        <v>415015</v>
      </c>
      <c r="R90">
        <v>0</v>
      </c>
      <c r="S90">
        <v>20230126</v>
      </c>
      <c r="T90">
        <v>0</v>
      </c>
      <c r="U90" t="s">
        <v>7362</v>
      </c>
      <c r="V90" t="s">
        <v>7360</v>
      </c>
      <c r="W90" t="s">
        <v>7360</v>
      </c>
      <c r="X90" t="s">
        <v>7360</v>
      </c>
      <c r="Y90" t="s">
        <v>7360</v>
      </c>
      <c r="Z90" t="s">
        <v>7360</v>
      </c>
      <c r="AA90" t="s">
        <v>7362</v>
      </c>
      <c r="AB90" t="s">
        <v>7360</v>
      </c>
      <c r="AC90" t="s">
        <v>7360</v>
      </c>
      <c r="AD90" t="s">
        <v>7360</v>
      </c>
      <c r="AE90" t="s">
        <v>7360</v>
      </c>
      <c r="AF90" t="s">
        <v>1684</v>
      </c>
      <c r="AG90">
        <v>0</v>
      </c>
      <c r="AH90">
        <v>0</v>
      </c>
      <c r="AI90">
        <v>0</v>
      </c>
      <c r="AJ90">
        <v>0</v>
      </c>
      <c r="AK90">
        <v>0</v>
      </c>
      <c r="AL90" t="s">
        <v>7360</v>
      </c>
      <c r="AM90">
        <v>0</v>
      </c>
      <c r="AN90" s="20">
        <v>44952</v>
      </c>
      <c r="AO90" s="20">
        <v>44952</v>
      </c>
      <c r="AP90" s="20">
        <v>44952</v>
      </c>
      <c r="AQ90">
        <v>0</v>
      </c>
      <c r="AR90">
        <v>0</v>
      </c>
      <c r="AS90">
        <v>0</v>
      </c>
      <c r="AT90">
        <v>0</v>
      </c>
      <c r="AU90">
        <v>0</v>
      </c>
      <c r="AV90" t="s">
        <v>7360</v>
      </c>
      <c r="AW90">
        <v>0</v>
      </c>
      <c r="AX90" t="s">
        <v>7360</v>
      </c>
      <c r="AY90" t="s">
        <v>7362</v>
      </c>
      <c r="BA90">
        <v>0</v>
      </c>
      <c r="BB90" s="20">
        <v>44952</v>
      </c>
      <c r="BC90">
        <v>0</v>
      </c>
      <c r="BD90" t="s">
        <v>7360</v>
      </c>
      <c r="BF90" s="20">
        <v>44952</v>
      </c>
      <c r="BG90">
        <v>0</v>
      </c>
      <c r="BH90" t="s">
        <v>7363</v>
      </c>
      <c r="BJ90" t="s">
        <v>7362</v>
      </c>
      <c r="BK90">
        <v>0</v>
      </c>
      <c r="BL90">
        <v>0</v>
      </c>
      <c r="BM90">
        <v>0</v>
      </c>
      <c r="BN90">
        <v>0</v>
      </c>
      <c r="BO90">
        <v>169</v>
      </c>
      <c r="BP90">
        <v>11</v>
      </c>
      <c r="BQ90">
        <v>1</v>
      </c>
      <c r="BR90" t="s">
        <v>7364</v>
      </c>
      <c r="BS90" t="s">
        <v>7365</v>
      </c>
      <c r="BT90" t="s">
        <v>7360</v>
      </c>
      <c r="BU90" t="s">
        <v>7360</v>
      </c>
      <c r="BV90" t="s">
        <v>7360</v>
      </c>
      <c r="BX90">
        <v>0</v>
      </c>
      <c r="BY90">
        <v>0</v>
      </c>
      <c r="BZ90" t="s">
        <v>7360</v>
      </c>
      <c r="CA90" t="s">
        <v>7360</v>
      </c>
      <c r="CB90">
        <v>3380666</v>
      </c>
      <c r="CC90" s="21">
        <v>44952.477627314816</v>
      </c>
      <c r="CE90" t="s">
        <v>7366</v>
      </c>
      <c r="CF90">
        <v>0</v>
      </c>
      <c r="CG90">
        <v>702002</v>
      </c>
      <c r="CH90">
        <v>702002</v>
      </c>
      <c r="CI90" s="21">
        <v>44952.479016203702</v>
      </c>
      <c r="CJ90" t="s">
        <v>7367</v>
      </c>
      <c r="CK90" t="s">
        <v>7367</v>
      </c>
      <c r="CL90" t="s">
        <v>7368</v>
      </c>
      <c r="CM90" t="s">
        <v>7368</v>
      </c>
      <c r="CS90" t="s">
        <v>7361</v>
      </c>
      <c r="CT90" t="s">
        <v>7362</v>
      </c>
      <c r="CU90" t="s">
        <v>7362</v>
      </c>
      <c r="CV90" t="s">
        <v>7362</v>
      </c>
      <c r="CW90" t="s">
        <v>7362</v>
      </c>
      <c r="CX90">
        <v>4068000</v>
      </c>
      <c r="DA90">
        <v>0</v>
      </c>
    </row>
    <row r="91" spans="1:105" x14ac:dyDescent="0.3">
      <c r="A91">
        <v>1372</v>
      </c>
      <c r="B91" t="s">
        <v>7369</v>
      </c>
      <c r="C91">
        <v>113</v>
      </c>
      <c r="D91" s="20">
        <v>44952</v>
      </c>
      <c r="E91" t="s">
        <v>7356</v>
      </c>
      <c r="F91" t="s">
        <v>5601</v>
      </c>
      <c r="G91" t="s">
        <v>7357</v>
      </c>
      <c r="H91">
        <v>1</v>
      </c>
      <c r="I91" t="s">
        <v>7358</v>
      </c>
      <c r="J91">
        <v>1</v>
      </c>
      <c r="K91" s="20">
        <v>44952</v>
      </c>
      <c r="L91" s="23">
        <v>2025599</v>
      </c>
      <c r="M91" t="s">
        <v>7359</v>
      </c>
      <c r="N91" t="s">
        <v>7360</v>
      </c>
      <c r="O91">
        <v>0</v>
      </c>
      <c r="P91">
        <v>11905</v>
      </c>
      <c r="Q91">
        <v>416068</v>
      </c>
      <c r="R91">
        <v>0</v>
      </c>
      <c r="S91">
        <v>20230126</v>
      </c>
      <c r="T91">
        <v>0</v>
      </c>
      <c r="U91" t="s">
        <v>7361</v>
      </c>
      <c r="V91" t="s">
        <v>7360</v>
      </c>
      <c r="W91" t="s">
        <v>7360</v>
      </c>
      <c r="X91" t="s">
        <v>7360</v>
      </c>
      <c r="Y91" t="s">
        <v>7360</v>
      </c>
      <c r="Z91" t="s">
        <v>7360</v>
      </c>
      <c r="AA91" t="s">
        <v>7362</v>
      </c>
      <c r="AB91" t="s">
        <v>7360</v>
      </c>
      <c r="AC91" t="s">
        <v>7360</v>
      </c>
      <c r="AD91" t="s">
        <v>7360</v>
      </c>
      <c r="AE91" t="s">
        <v>7360</v>
      </c>
      <c r="AF91" t="s">
        <v>1684</v>
      </c>
      <c r="AG91">
        <v>0</v>
      </c>
      <c r="AH91">
        <v>0</v>
      </c>
      <c r="AI91">
        <v>0</v>
      </c>
      <c r="AJ91">
        <v>0</v>
      </c>
      <c r="AK91">
        <v>0</v>
      </c>
      <c r="AL91" t="s">
        <v>7360</v>
      </c>
      <c r="AM91">
        <v>0</v>
      </c>
      <c r="AN91" s="20">
        <v>44952</v>
      </c>
      <c r="AO91" s="20">
        <v>44952</v>
      </c>
      <c r="AP91" s="20">
        <v>44952</v>
      </c>
      <c r="AQ91">
        <v>0</v>
      </c>
      <c r="AR91">
        <v>0</v>
      </c>
      <c r="AS91">
        <v>0</v>
      </c>
      <c r="AT91">
        <v>0</v>
      </c>
      <c r="AU91">
        <v>0</v>
      </c>
      <c r="AV91" t="s">
        <v>7360</v>
      </c>
      <c r="AW91">
        <v>0</v>
      </c>
      <c r="AX91" t="s">
        <v>7360</v>
      </c>
      <c r="AY91" t="s">
        <v>7363</v>
      </c>
      <c r="BA91">
        <v>0</v>
      </c>
      <c r="BB91" s="20">
        <v>44952</v>
      </c>
      <c r="BC91">
        <v>0</v>
      </c>
      <c r="BD91" t="s">
        <v>7360</v>
      </c>
      <c r="BF91" s="20">
        <v>44952</v>
      </c>
      <c r="BG91">
        <v>0</v>
      </c>
      <c r="BH91" t="s">
        <v>7363</v>
      </c>
      <c r="BJ91" t="s">
        <v>7362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 t="s">
        <v>7387</v>
      </c>
      <c r="BT91" t="s">
        <v>7360</v>
      </c>
      <c r="BU91" t="s">
        <v>7360</v>
      </c>
      <c r="BV91" t="s">
        <v>7360</v>
      </c>
      <c r="BX91">
        <v>0</v>
      </c>
      <c r="BY91">
        <v>0</v>
      </c>
      <c r="BZ91" t="s">
        <v>7360</v>
      </c>
      <c r="CA91" t="s">
        <v>7360</v>
      </c>
      <c r="CB91">
        <v>5558210</v>
      </c>
      <c r="CC91" s="21">
        <v>44952.480578703704</v>
      </c>
      <c r="CE91" t="s">
        <v>7366</v>
      </c>
      <c r="CF91">
        <v>0</v>
      </c>
      <c r="CG91">
        <v>53575</v>
      </c>
      <c r="CH91">
        <v>53575</v>
      </c>
      <c r="CI91" s="21">
        <v>44952.483981481484</v>
      </c>
      <c r="CJ91" t="s">
        <v>7393</v>
      </c>
      <c r="CK91" t="s">
        <v>7393</v>
      </c>
      <c r="CL91" t="s">
        <v>7394</v>
      </c>
      <c r="CM91" t="s">
        <v>7394</v>
      </c>
      <c r="CS91" t="s">
        <v>7361</v>
      </c>
      <c r="CT91" t="s">
        <v>7362</v>
      </c>
      <c r="CU91" t="s">
        <v>7362</v>
      </c>
      <c r="CV91" t="s">
        <v>7362</v>
      </c>
      <c r="CW91" t="s">
        <v>7362</v>
      </c>
      <c r="CX91">
        <v>2025599</v>
      </c>
      <c r="DA91">
        <v>0</v>
      </c>
    </row>
    <row r="92" spans="1:105" x14ac:dyDescent="0.3">
      <c r="A92">
        <v>1354</v>
      </c>
      <c r="B92" t="s">
        <v>7396</v>
      </c>
      <c r="C92">
        <v>114</v>
      </c>
      <c r="D92" s="20">
        <v>44952</v>
      </c>
      <c r="E92" t="s">
        <v>7372</v>
      </c>
      <c r="F92" t="s">
        <v>5607</v>
      </c>
      <c r="G92" t="s">
        <v>7370</v>
      </c>
      <c r="H92">
        <v>1</v>
      </c>
      <c r="I92" t="s">
        <v>7358</v>
      </c>
      <c r="J92">
        <v>1</v>
      </c>
      <c r="K92" s="20">
        <v>44952</v>
      </c>
      <c r="L92" s="23">
        <v>4068000</v>
      </c>
      <c r="M92" t="s">
        <v>7359</v>
      </c>
      <c r="N92" t="s">
        <v>7360</v>
      </c>
      <c r="O92">
        <v>0</v>
      </c>
      <c r="P92">
        <v>11785</v>
      </c>
      <c r="Q92">
        <v>415005</v>
      </c>
      <c r="R92">
        <v>0</v>
      </c>
      <c r="S92">
        <v>20230126</v>
      </c>
      <c r="T92">
        <v>0</v>
      </c>
      <c r="U92" t="s">
        <v>7362</v>
      </c>
      <c r="V92" t="s">
        <v>7360</v>
      </c>
      <c r="W92" t="s">
        <v>7360</v>
      </c>
      <c r="X92" t="s">
        <v>7360</v>
      </c>
      <c r="Y92" t="s">
        <v>7360</v>
      </c>
      <c r="Z92" t="s">
        <v>7360</v>
      </c>
      <c r="AA92" t="s">
        <v>7362</v>
      </c>
      <c r="AB92" t="s">
        <v>7360</v>
      </c>
      <c r="AC92" t="s">
        <v>7360</v>
      </c>
      <c r="AD92" t="s">
        <v>7360</v>
      </c>
      <c r="AE92" t="s">
        <v>7360</v>
      </c>
      <c r="AF92" t="s">
        <v>1684</v>
      </c>
      <c r="AG92">
        <v>0</v>
      </c>
      <c r="AH92">
        <v>0</v>
      </c>
      <c r="AI92">
        <v>0</v>
      </c>
      <c r="AJ92">
        <v>0</v>
      </c>
      <c r="AK92">
        <v>0</v>
      </c>
      <c r="AL92" t="s">
        <v>7360</v>
      </c>
      <c r="AM92">
        <v>0</v>
      </c>
      <c r="AN92" s="20">
        <v>44952</v>
      </c>
      <c r="AO92" s="20">
        <v>44952</v>
      </c>
      <c r="AP92" s="20">
        <v>44952</v>
      </c>
      <c r="AQ92">
        <v>0</v>
      </c>
      <c r="AR92">
        <v>0</v>
      </c>
      <c r="AS92">
        <v>0</v>
      </c>
      <c r="AT92">
        <v>0</v>
      </c>
      <c r="AU92">
        <v>0</v>
      </c>
      <c r="AV92" t="s">
        <v>7360</v>
      </c>
      <c r="AW92">
        <v>0</v>
      </c>
      <c r="AX92" t="s">
        <v>7360</v>
      </c>
      <c r="AY92" t="s">
        <v>7362</v>
      </c>
      <c r="BA92">
        <v>0</v>
      </c>
      <c r="BB92" s="20">
        <v>44952</v>
      </c>
      <c r="BC92">
        <v>0</v>
      </c>
      <c r="BD92" t="s">
        <v>7360</v>
      </c>
      <c r="BF92" s="20">
        <v>44952</v>
      </c>
      <c r="BG92">
        <v>0</v>
      </c>
      <c r="BH92" t="s">
        <v>7363</v>
      </c>
      <c r="BJ92" t="s">
        <v>7362</v>
      </c>
      <c r="BK92">
        <v>0</v>
      </c>
      <c r="BL92">
        <v>0</v>
      </c>
      <c r="BM92">
        <v>0</v>
      </c>
      <c r="BN92">
        <v>0</v>
      </c>
      <c r="BO92">
        <v>169</v>
      </c>
      <c r="BP92">
        <v>11</v>
      </c>
      <c r="BQ92">
        <v>1</v>
      </c>
      <c r="BR92" t="s">
        <v>7364</v>
      </c>
      <c r="BS92" t="s">
        <v>7365</v>
      </c>
      <c r="BT92" t="s">
        <v>7360</v>
      </c>
      <c r="BU92" t="s">
        <v>7360</v>
      </c>
      <c r="BV92" t="s">
        <v>7360</v>
      </c>
      <c r="BX92">
        <v>0</v>
      </c>
      <c r="BY92">
        <v>0</v>
      </c>
      <c r="BZ92" t="s">
        <v>7360</v>
      </c>
      <c r="CA92" t="s">
        <v>7360</v>
      </c>
      <c r="CB92">
        <v>3380666</v>
      </c>
      <c r="CC92" s="21">
        <v>44952.485254629632</v>
      </c>
      <c r="CE92" t="s">
        <v>7366</v>
      </c>
      <c r="CF92">
        <v>0</v>
      </c>
      <c r="CG92">
        <v>702002</v>
      </c>
      <c r="CH92">
        <v>702002</v>
      </c>
      <c r="CI92" s="21">
        <v>44952.486747685187</v>
      </c>
      <c r="CJ92" t="s">
        <v>7367</v>
      </c>
      <c r="CK92" t="s">
        <v>7367</v>
      </c>
      <c r="CL92" t="s">
        <v>7368</v>
      </c>
      <c r="CM92" t="s">
        <v>7368</v>
      </c>
      <c r="CS92" t="s">
        <v>7361</v>
      </c>
      <c r="CT92" t="s">
        <v>7362</v>
      </c>
      <c r="CU92" t="s">
        <v>7362</v>
      </c>
      <c r="CV92" t="s">
        <v>7362</v>
      </c>
      <c r="CW92" t="s">
        <v>7362</v>
      </c>
      <c r="CX92">
        <v>4068000</v>
      </c>
      <c r="DA92">
        <v>0</v>
      </c>
    </row>
    <row r="93" spans="1:105" x14ac:dyDescent="0.3">
      <c r="A93">
        <v>1354</v>
      </c>
      <c r="B93" t="s">
        <v>7396</v>
      </c>
      <c r="C93">
        <v>115</v>
      </c>
      <c r="D93" s="20">
        <v>44952</v>
      </c>
      <c r="E93" t="s">
        <v>7356</v>
      </c>
      <c r="F93" t="s">
        <v>5612</v>
      </c>
      <c r="G93" t="s">
        <v>7370</v>
      </c>
      <c r="H93">
        <v>1</v>
      </c>
      <c r="I93" t="s">
        <v>7358</v>
      </c>
      <c r="J93">
        <v>1</v>
      </c>
      <c r="K93" s="20">
        <v>44952</v>
      </c>
      <c r="L93" s="23">
        <v>2700000</v>
      </c>
      <c r="M93" t="s">
        <v>7359</v>
      </c>
      <c r="N93" t="s">
        <v>7360</v>
      </c>
      <c r="O93">
        <v>0</v>
      </c>
      <c r="P93">
        <v>11780</v>
      </c>
      <c r="Q93">
        <v>414080</v>
      </c>
      <c r="R93">
        <v>0</v>
      </c>
      <c r="S93">
        <v>20230126</v>
      </c>
      <c r="T93">
        <v>0</v>
      </c>
      <c r="U93" t="s">
        <v>7361</v>
      </c>
      <c r="V93" t="s">
        <v>7360</v>
      </c>
      <c r="W93" t="s">
        <v>7360</v>
      </c>
      <c r="X93" t="s">
        <v>7360</v>
      </c>
      <c r="Y93" t="s">
        <v>7360</v>
      </c>
      <c r="Z93" t="s">
        <v>7360</v>
      </c>
      <c r="AA93" t="s">
        <v>7362</v>
      </c>
      <c r="AB93" t="s">
        <v>7360</v>
      </c>
      <c r="AC93" t="s">
        <v>7360</v>
      </c>
      <c r="AD93" t="s">
        <v>7360</v>
      </c>
      <c r="AE93" t="s">
        <v>7360</v>
      </c>
      <c r="AF93" t="s">
        <v>1684</v>
      </c>
      <c r="AG93">
        <v>0</v>
      </c>
      <c r="AH93">
        <v>0</v>
      </c>
      <c r="AI93">
        <v>0</v>
      </c>
      <c r="AJ93">
        <v>0</v>
      </c>
      <c r="AK93">
        <v>0</v>
      </c>
      <c r="AL93" t="s">
        <v>7360</v>
      </c>
      <c r="AM93">
        <v>0</v>
      </c>
      <c r="AN93" s="20">
        <v>44952</v>
      </c>
      <c r="AO93" s="20">
        <v>44952</v>
      </c>
      <c r="AP93" s="20">
        <v>44952</v>
      </c>
      <c r="AQ93">
        <v>0</v>
      </c>
      <c r="AR93">
        <v>0</v>
      </c>
      <c r="AS93">
        <v>0</v>
      </c>
      <c r="AT93">
        <v>0</v>
      </c>
      <c r="AU93">
        <v>0</v>
      </c>
      <c r="AV93" t="s">
        <v>7360</v>
      </c>
      <c r="AW93">
        <v>0</v>
      </c>
      <c r="AX93" t="s">
        <v>7360</v>
      </c>
      <c r="AY93" t="s">
        <v>7363</v>
      </c>
      <c r="BA93">
        <v>0</v>
      </c>
      <c r="BB93" s="20">
        <v>44952</v>
      </c>
      <c r="BC93">
        <v>0</v>
      </c>
      <c r="BD93" t="s">
        <v>7360</v>
      </c>
      <c r="BF93" s="20">
        <v>44952</v>
      </c>
      <c r="BG93">
        <v>0</v>
      </c>
      <c r="BH93" t="s">
        <v>7363</v>
      </c>
      <c r="BJ93" t="s">
        <v>7362</v>
      </c>
      <c r="BK93">
        <v>169</v>
      </c>
      <c r="BL93">
        <v>11</v>
      </c>
      <c r="BM93">
        <v>1</v>
      </c>
      <c r="BN93" t="s">
        <v>7364</v>
      </c>
      <c r="BO93">
        <v>169</v>
      </c>
      <c r="BP93">
        <v>11</v>
      </c>
      <c r="BQ93">
        <v>1</v>
      </c>
      <c r="BR93" t="s">
        <v>7364</v>
      </c>
      <c r="BS93" t="s">
        <v>132</v>
      </c>
      <c r="BT93" t="s">
        <v>7360</v>
      </c>
      <c r="BU93" t="s">
        <v>7360</v>
      </c>
      <c r="BV93" t="s">
        <v>7360</v>
      </c>
      <c r="BX93" t="s">
        <v>7391</v>
      </c>
      <c r="BY93">
        <v>74</v>
      </c>
      <c r="BZ93" t="s">
        <v>7360</v>
      </c>
      <c r="CA93" t="s">
        <v>7360</v>
      </c>
      <c r="CB93">
        <v>3380666</v>
      </c>
      <c r="CC93" s="21">
        <v>44952.486979166664</v>
      </c>
      <c r="CE93" t="s">
        <v>7392</v>
      </c>
      <c r="CF93">
        <v>1100101</v>
      </c>
      <c r="CG93">
        <v>51669</v>
      </c>
      <c r="CH93">
        <v>51669</v>
      </c>
      <c r="CI93" s="21">
        <v>44952.488576388889</v>
      </c>
      <c r="CJ93" t="s">
        <v>7406</v>
      </c>
      <c r="CK93" t="s">
        <v>7406</v>
      </c>
      <c r="CL93" t="s">
        <v>7407</v>
      </c>
      <c r="CM93" t="s">
        <v>7407</v>
      </c>
      <c r="CS93" t="s">
        <v>7361</v>
      </c>
      <c r="CT93" t="s">
        <v>7362</v>
      </c>
      <c r="CU93" t="s">
        <v>7362</v>
      </c>
      <c r="CV93" t="s">
        <v>7362</v>
      </c>
      <c r="CW93" t="s">
        <v>7362</v>
      </c>
      <c r="CX93">
        <v>2700000</v>
      </c>
      <c r="DA93">
        <v>0</v>
      </c>
    </row>
    <row r="94" spans="1:105" x14ac:dyDescent="0.3">
      <c r="A94">
        <v>1370</v>
      </c>
      <c r="B94" t="s">
        <v>7390</v>
      </c>
      <c r="C94">
        <v>116</v>
      </c>
      <c r="D94" s="20">
        <v>44952</v>
      </c>
      <c r="E94" t="s">
        <v>7356</v>
      </c>
      <c r="F94" t="s">
        <v>5617</v>
      </c>
      <c r="G94" t="s">
        <v>7357</v>
      </c>
      <c r="H94">
        <v>1</v>
      </c>
      <c r="I94" t="s">
        <v>7358</v>
      </c>
      <c r="J94">
        <v>1</v>
      </c>
      <c r="K94" s="20">
        <v>44952</v>
      </c>
      <c r="L94" s="23">
        <v>221052</v>
      </c>
      <c r="M94" t="s">
        <v>7359</v>
      </c>
      <c r="N94" t="s">
        <v>7360</v>
      </c>
      <c r="O94">
        <v>0</v>
      </c>
      <c r="P94">
        <v>11911</v>
      </c>
      <c r="Q94">
        <v>416072</v>
      </c>
      <c r="R94">
        <v>0</v>
      </c>
      <c r="S94">
        <v>20230126</v>
      </c>
      <c r="T94">
        <v>0</v>
      </c>
      <c r="U94" t="s">
        <v>7361</v>
      </c>
      <c r="V94" t="s">
        <v>7360</v>
      </c>
      <c r="W94" t="s">
        <v>7360</v>
      </c>
      <c r="X94" t="s">
        <v>7360</v>
      </c>
      <c r="Y94" t="s">
        <v>7360</v>
      </c>
      <c r="Z94" t="s">
        <v>7360</v>
      </c>
      <c r="AA94" t="s">
        <v>7362</v>
      </c>
      <c r="AB94" t="s">
        <v>7360</v>
      </c>
      <c r="AC94" t="s">
        <v>7360</v>
      </c>
      <c r="AD94" t="s">
        <v>7360</v>
      </c>
      <c r="AE94" t="s">
        <v>7360</v>
      </c>
      <c r="AF94" t="s">
        <v>1684</v>
      </c>
      <c r="AG94">
        <v>0</v>
      </c>
      <c r="AH94">
        <v>0</v>
      </c>
      <c r="AI94">
        <v>0</v>
      </c>
      <c r="AJ94">
        <v>0</v>
      </c>
      <c r="AK94">
        <v>0</v>
      </c>
      <c r="AL94" t="s">
        <v>7360</v>
      </c>
      <c r="AM94">
        <v>0</v>
      </c>
      <c r="AN94" s="20">
        <v>44952</v>
      </c>
      <c r="AO94" s="20">
        <v>44952</v>
      </c>
      <c r="AP94" s="20">
        <v>44952</v>
      </c>
      <c r="AQ94">
        <v>0</v>
      </c>
      <c r="AR94">
        <v>0</v>
      </c>
      <c r="AS94">
        <v>0</v>
      </c>
      <c r="AT94">
        <v>0</v>
      </c>
      <c r="AU94">
        <v>0</v>
      </c>
      <c r="AV94" t="s">
        <v>7360</v>
      </c>
      <c r="AW94">
        <v>0</v>
      </c>
      <c r="AX94" t="s">
        <v>7360</v>
      </c>
      <c r="AY94" t="s">
        <v>7363</v>
      </c>
      <c r="BA94">
        <v>0</v>
      </c>
      <c r="BB94" s="20">
        <v>44952</v>
      </c>
      <c r="BC94">
        <v>0</v>
      </c>
      <c r="BD94" t="s">
        <v>7360</v>
      </c>
      <c r="BF94" s="20">
        <v>44952</v>
      </c>
      <c r="BG94">
        <v>0</v>
      </c>
      <c r="BH94" t="s">
        <v>7363</v>
      </c>
      <c r="BJ94" t="s">
        <v>7362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 t="s">
        <v>7387</v>
      </c>
      <c r="BT94" t="s">
        <v>7360</v>
      </c>
      <c r="BU94" t="s">
        <v>7360</v>
      </c>
      <c r="BV94" t="s">
        <v>7360</v>
      </c>
      <c r="BX94">
        <v>0</v>
      </c>
      <c r="BY94">
        <v>0</v>
      </c>
      <c r="BZ94" t="s">
        <v>7360</v>
      </c>
      <c r="CA94" t="s">
        <v>7360</v>
      </c>
      <c r="CB94" t="s">
        <v>7360</v>
      </c>
      <c r="CC94" s="21">
        <v>44952.487939814811</v>
      </c>
      <c r="CE94" t="s">
        <v>7366</v>
      </c>
      <c r="CF94">
        <v>0</v>
      </c>
      <c r="CG94">
        <v>53575</v>
      </c>
      <c r="CH94">
        <v>53575</v>
      </c>
      <c r="CI94" s="21">
        <v>44952.489583333336</v>
      </c>
      <c r="CJ94" t="s">
        <v>7393</v>
      </c>
      <c r="CK94" t="s">
        <v>7393</v>
      </c>
      <c r="CL94" t="s">
        <v>7394</v>
      </c>
      <c r="CM94" t="s">
        <v>7394</v>
      </c>
      <c r="CS94" t="s">
        <v>7361</v>
      </c>
      <c r="CT94" t="s">
        <v>7362</v>
      </c>
      <c r="CU94" t="s">
        <v>7362</v>
      </c>
      <c r="CV94" t="s">
        <v>7362</v>
      </c>
      <c r="CW94" t="s">
        <v>7362</v>
      </c>
      <c r="CX94">
        <v>221052</v>
      </c>
      <c r="DA94">
        <v>0</v>
      </c>
    </row>
    <row r="95" spans="1:105" x14ac:dyDescent="0.3">
      <c r="A95">
        <v>1354</v>
      </c>
      <c r="B95" t="s">
        <v>7396</v>
      </c>
      <c r="C95">
        <v>117</v>
      </c>
      <c r="D95" s="20">
        <v>44952</v>
      </c>
      <c r="E95" t="s">
        <v>7372</v>
      </c>
      <c r="F95" t="s">
        <v>5623</v>
      </c>
      <c r="G95" t="s">
        <v>7370</v>
      </c>
      <c r="H95">
        <v>1</v>
      </c>
      <c r="I95" t="s">
        <v>7358</v>
      </c>
      <c r="J95">
        <v>1</v>
      </c>
      <c r="K95" s="20">
        <v>44952</v>
      </c>
      <c r="L95" s="23">
        <v>4068000</v>
      </c>
      <c r="M95" t="s">
        <v>7359</v>
      </c>
      <c r="N95" t="s">
        <v>7360</v>
      </c>
      <c r="O95">
        <v>0</v>
      </c>
      <c r="P95">
        <v>11787</v>
      </c>
      <c r="Q95">
        <v>415007</v>
      </c>
      <c r="R95">
        <v>0</v>
      </c>
      <c r="S95">
        <v>20230126</v>
      </c>
      <c r="T95">
        <v>0</v>
      </c>
      <c r="U95" t="s">
        <v>7362</v>
      </c>
      <c r="V95" t="s">
        <v>7360</v>
      </c>
      <c r="W95" t="s">
        <v>7360</v>
      </c>
      <c r="X95" t="s">
        <v>7360</v>
      </c>
      <c r="Y95" t="s">
        <v>7360</v>
      </c>
      <c r="Z95" t="s">
        <v>7360</v>
      </c>
      <c r="AA95" t="s">
        <v>7362</v>
      </c>
      <c r="AB95" t="s">
        <v>7360</v>
      </c>
      <c r="AC95" t="s">
        <v>7360</v>
      </c>
      <c r="AD95" t="s">
        <v>7360</v>
      </c>
      <c r="AE95" t="s">
        <v>7360</v>
      </c>
      <c r="AF95" t="s">
        <v>1684</v>
      </c>
      <c r="AG95">
        <v>0</v>
      </c>
      <c r="AH95">
        <v>0</v>
      </c>
      <c r="AI95">
        <v>0</v>
      </c>
      <c r="AJ95">
        <v>0</v>
      </c>
      <c r="AK95">
        <v>0</v>
      </c>
      <c r="AL95" t="s">
        <v>7360</v>
      </c>
      <c r="AM95">
        <v>0</v>
      </c>
      <c r="AN95" s="20">
        <v>44952</v>
      </c>
      <c r="AO95" s="20">
        <v>44952</v>
      </c>
      <c r="AP95" s="20">
        <v>44952</v>
      </c>
      <c r="AQ95">
        <v>0</v>
      </c>
      <c r="AR95">
        <v>0</v>
      </c>
      <c r="AS95">
        <v>0</v>
      </c>
      <c r="AT95">
        <v>0</v>
      </c>
      <c r="AU95">
        <v>0</v>
      </c>
      <c r="AV95" t="s">
        <v>7360</v>
      </c>
      <c r="AW95">
        <v>0</v>
      </c>
      <c r="AX95" t="s">
        <v>7360</v>
      </c>
      <c r="AY95" t="s">
        <v>7362</v>
      </c>
      <c r="BA95">
        <v>0</v>
      </c>
      <c r="BB95" s="20">
        <v>44952</v>
      </c>
      <c r="BC95">
        <v>0</v>
      </c>
      <c r="BD95" t="s">
        <v>7360</v>
      </c>
      <c r="BF95" s="20">
        <v>44952</v>
      </c>
      <c r="BG95">
        <v>0</v>
      </c>
      <c r="BH95" t="s">
        <v>7363</v>
      </c>
      <c r="BJ95" t="s">
        <v>7362</v>
      </c>
      <c r="BK95">
        <v>0</v>
      </c>
      <c r="BL95">
        <v>0</v>
      </c>
      <c r="BM95">
        <v>0</v>
      </c>
      <c r="BN95">
        <v>0</v>
      </c>
      <c r="BO95">
        <v>169</v>
      </c>
      <c r="BP95">
        <v>11</v>
      </c>
      <c r="BQ95">
        <v>1</v>
      </c>
      <c r="BR95" t="s">
        <v>7364</v>
      </c>
      <c r="BS95" t="s">
        <v>7365</v>
      </c>
      <c r="BT95" t="s">
        <v>7360</v>
      </c>
      <c r="BU95" t="s">
        <v>7360</v>
      </c>
      <c r="BV95" t="s">
        <v>7360</v>
      </c>
      <c r="BX95">
        <v>0</v>
      </c>
      <c r="BY95">
        <v>0</v>
      </c>
      <c r="BZ95" t="s">
        <v>7360</v>
      </c>
      <c r="CA95" t="s">
        <v>7360</v>
      </c>
      <c r="CB95">
        <v>3380666</v>
      </c>
      <c r="CC95" s="21">
        <v>44952.491979166669</v>
      </c>
      <c r="CE95" t="s">
        <v>7366</v>
      </c>
      <c r="CF95">
        <v>0</v>
      </c>
      <c r="CG95">
        <v>702002</v>
      </c>
      <c r="CH95">
        <v>702002</v>
      </c>
      <c r="CI95" s="21">
        <v>44952.49359953704</v>
      </c>
      <c r="CJ95" t="s">
        <v>7367</v>
      </c>
      <c r="CK95" t="s">
        <v>7367</v>
      </c>
      <c r="CL95" t="s">
        <v>7368</v>
      </c>
      <c r="CM95" t="s">
        <v>7368</v>
      </c>
      <c r="CS95" t="s">
        <v>7361</v>
      </c>
      <c r="CT95" t="s">
        <v>7362</v>
      </c>
      <c r="CU95" t="s">
        <v>7362</v>
      </c>
      <c r="CV95" t="s">
        <v>7362</v>
      </c>
      <c r="CW95" t="s">
        <v>7362</v>
      </c>
      <c r="CX95">
        <v>4068000</v>
      </c>
      <c r="DA95">
        <v>0</v>
      </c>
    </row>
    <row r="96" spans="1:105" x14ac:dyDescent="0.3">
      <c r="A96">
        <v>1354</v>
      </c>
      <c r="B96" t="s">
        <v>7396</v>
      </c>
      <c r="C96">
        <v>118</v>
      </c>
      <c r="D96" s="20">
        <v>44952</v>
      </c>
      <c r="E96" t="s">
        <v>7356</v>
      </c>
      <c r="F96" t="s">
        <v>5628</v>
      </c>
      <c r="G96" t="s">
        <v>7370</v>
      </c>
      <c r="H96">
        <v>1</v>
      </c>
      <c r="I96" t="s">
        <v>7358</v>
      </c>
      <c r="J96">
        <v>1</v>
      </c>
      <c r="K96" s="20">
        <v>44952</v>
      </c>
      <c r="L96" s="23">
        <v>1350000</v>
      </c>
      <c r="M96" t="s">
        <v>7359</v>
      </c>
      <c r="N96" t="s">
        <v>7360</v>
      </c>
      <c r="O96">
        <v>0</v>
      </c>
      <c r="P96">
        <v>11786</v>
      </c>
      <c r="Q96">
        <v>415006</v>
      </c>
      <c r="R96">
        <v>0</v>
      </c>
      <c r="S96">
        <v>20230126</v>
      </c>
      <c r="T96">
        <v>0</v>
      </c>
      <c r="U96" t="s">
        <v>7361</v>
      </c>
      <c r="V96" t="s">
        <v>7360</v>
      </c>
      <c r="W96" t="s">
        <v>7360</v>
      </c>
      <c r="X96" t="s">
        <v>7360</v>
      </c>
      <c r="Y96" t="s">
        <v>7360</v>
      </c>
      <c r="Z96" t="s">
        <v>7360</v>
      </c>
      <c r="AA96" t="s">
        <v>7362</v>
      </c>
      <c r="AB96" t="s">
        <v>7360</v>
      </c>
      <c r="AC96" t="s">
        <v>7360</v>
      </c>
      <c r="AD96" t="s">
        <v>7360</v>
      </c>
      <c r="AE96" t="s">
        <v>7360</v>
      </c>
      <c r="AF96" t="s">
        <v>1684</v>
      </c>
      <c r="AG96">
        <v>0</v>
      </c>
      <c r="AH96">
        <v>0</v>
      </c>
      <c r="AI96">
        <v>0</v>
      </c>
      <c r="AJ96">
        <v>0</v>
      </c>
      <c r="AK96">
        <v>0</v>
      </c>
      <c r="AL96" t="s">
        <v>7360</v>
      </c>
      <c r="AM96">
        <v>0</v>
      </c>
      <c r="AN96" s="20">
        <v>44952</v>
      </c>
      <c r="AO96" s="20">
        <v>44952</v>
      </c>
      <c r="AP96" s="20">
        <v>44952</v>
      </c>
      <c r="AQ96">
        <v>0</v>
      </c>
      <c r="AR96">
        <v>0</v>
      </c>
      <c r="AS96">
        <v>0</v>
      </c>
      <c r="AT96">
        <v>0</v>
      </c>
      <c r="AU96">
        <v>0</v>
      </c>
      <c r="AV96" t="s">
        <v>7360</v>
      </c>
      <c r="AW96">
        <v>0</v>
      </c>
      <c r="AX96" t="s">
        <v>7360</v>
      </c>
      <c r="AY96" t="s">
        <v>7363</v>
      </c>
      <c r="BA96">
        <v>0</v>
      </c>
      <c r="BB96" s="20">
        <v>44952</v>
      </c>
      <c r="BC96">
        <v>0</v>
      </c>
      <c r="BD96" t="s">
        <v>7360</v>
      </c>
      <c r="BF96" s="20">
        <v>44952</v>
      </c>
      <c r="BG96">
        <v>0</v>
      </c>
      <c r="BH96" t="s">
        <v>7363</v>
      </c>
      <c r="BJ96" t="s">
        <v>7362</v>
      </c>
      <c r="BK96">
        <v>169</v>
      </c>
      <c r="BL96">
        <v>11</v>
      </c>
      <c r="BM96">
        <v>1</v>
      </c>
      <c r="BN96" t="s">
        <v>7364</v>
      </c>
      <c r="BO96">
        <v>169</v>
      </c>
      <c r="BP96">
        <v>11</v>
      </c>
      <c r="BQ96">
        <v>1</v>
      </c>
      <c r="BR96" t="s">
        <v>7364</v>
      </c>
      <c r="BS96" t="s">
        <v>132</v>
      </c>
      <c r="BT96" t="s">
        <v>7360</v>
      </c>
      <c r="BU96" t="s">
        <v>7360</v>
      </c>
      <c r="BV96" t="s">
        <v>7360</v>
      </c>
      <c r="BX96" t="s">
        <v>7391</v>
      </c>
      <c r="BY96">
        <v>74</v>
      </c>
      <c r="BZ96" t="s">
        <v>7360</v>
      </c>
      <c r="CA96" t="s">
        <v>7360</v>
      </c>
      <c r="CB96">
        <v>3380666</v>
      </c>
      <c r="CC96" s="21">
        <v>44952.495868055557</v>
      </c>
      <c r="CE96" t="s">
        <v>7392</v>
      </c>
      <c r="CF96">
        <v>1100101</v>
      </c>
      <c r="CG96">
        <v>51669</v>
      </c>
      <c r="CH96">
        <v>51669</v>
      </c>
      <c r="CI96" s="21">
        <v>44952.498425925929</v>
      </c>
      <c r="CJ96" t="s">
        <v>7406</v>
      </c>
      <c r="CK96" t="s">
        <v>7406</v>
      </c>
      <c r="CL96" t="s">
        <v>7407</v>
      </c>
      <c r="CM96" t="s">
        <v>7407</v>
      </c>
      <c r="CS96" t="s">
        <v>7361</v>
      </c>
      <c r="CT96" t="s">
        <v>7362</v>
      </c>
      <c r="CU96" t="s">
        <v>7362</v>
      </c>
      <c r="CV96" t="s">
        <v>7362</v>
      </c>
      <c r="CW96" t="s">
        <v>7362</v>
      </c>
      <c r="CX96">
        <v>1350000</v>
      </c>
      <c r="DA96">
        <v>0</v>
      </c>
    </row>
    <row r="97" spans="1:106" x14ac:dyDescent="0.3">
      <c r="A97">
        <v>1354</v>
      </c>
      <c r="B97" t="s">
        <v>7396</v>
      </c>
      <c r="C97">
        <v>119</v>
      </c>
      <c r="D97" s="20">
        <v>44952</v>
      </c>
      <c r="E97" t="s">
        <v>7372</v>
      </c>
      <c r="F97" t="s">
        <v>5633</v>
      </c>
      <c r="G97" t="s">
        <v>7370</v>
      </c>
      <c r="H97">
        <v>1</v>
      </c>
      <c r="I97" t="s">
        <v>7358</v>
      </c>
      <c r="J97">
        <v>1</v>
      </c>
      <c r="K97" s="20">
        <v>44952</v>
      </c>
      <c r="L97" s="23">
        <v>4068000</v>
      </c>
      <c r="M97" t="s">
        <v>7359</v>
      </c>
      <c r="N97" t="s">
        <v>7360</v>
      </c>
      <c r="O97">
        <v>0</v>
      </c>
      <c r="P97">
        <v>11790</v>
      </c>
      <c r="Q97">
        <v>415009</v>
      </c>
      <c r="R97">
        <v>0</v>
      </c>
      <c r="S97">
        <v>20230126</v>
      </c>
      <c r="T97">
        <v>0</v>
      </c>
      <c r="U97" t="s">
        <v>7362</v>
      </c>
      <c r="V97" t="s">
        <v>7360</v>
      </c>
      <c r="W97" t="s">
        <v>7360</v>
      </c>
      <c r="X97" t="s">
        <v>7360</v>
      </c>
      <c r="Y97" t="s">
        <v>7360</v>
      </c>
      <c r="Z97" t="s">
        <v>7360</v>
      </c>
      <c r="AA97" t="s">
        <v>7362</v>
      </c>
      <c r="AB97" t="s">
        <v>7360</v>
      </c>
      <c r="AC97" t="s">
        <v>7360</v>
      </c>
      <c r="AD97" t="s">
        <v>7360</v>
      </c>
      <c r="AE97" t="s">
        <v>7360</v>
      </c>
      <c r="AF97" t="s">
        <v>1684</v>
      </c>
      <c r="AG97">
        <v>0</v>
      </c>
      <c r="AH97">
        <v>0</v>
      </c>
      <c r="AI97">
        <v>0</v>
      </c>
      <c r="AJ97">
        <v>0</v>
      </c>
      <c r="AK97">
        <v>0</v>
      </c>
      <c r="AL97" t="s">
        <v>7360</v>
      </c>
      <c r="AM97">
        <v>0</v>
      </c>
      <c r="AN97" s="20">
        <v>44952</v>
      </c>
      <c r="AO97" s="20">
        <v>44952</v>
      </c>
      <c r="AP97" s="20">
        <v>44952</v>
      </c>
      <c r="AQ97">
        <v>0</v>
      </c>
      <c r="AR97">
        <v>0</v>
      </c>
      <c r="AS97">
        <v>0</v>
      </c>
      <c r="AT97">
        <v>0</v>
      </c>
      <c r="AU97">
        <v>0</v>
      </c>
      <c r="AV97" t="s">
        <v>7360</v>
      </c>
      <c r="AW97">
        <v>0</v>
      </c>
      <c r="AX97" t="s">
        <v>7360</v>
      </c>
      <c r="AY97" t="s">
        <v>7362</v>
      </c>
      <c r="BA97">
        <v>0</v>
      </c>
      <c r="BB97" s="20">
        <v>44952</v>
      </c>
      <c r="BC97">
        <v>0</v>
      </c>
      <c r="BD97" t="s">
        <v>7360</v>
      </c>
      <c r="BF97" s="20">
        <v>44952</v>
      </c>
      <c r="BG97">
        <v>0</v>
      </c>
      <c r="BH97" t="s">
        <v>7363</v>
      </c>
      <c r="BJ97" t="s">
        <v>7362</v>
      </c>
      <c r="BK97">
        <v>0</v>
      </c>
      <c r="BL97">
        <v>0</v>
      </c>
      <c r="BM97">
        <v>0</v>
      </c>
      <c r="BN97">
        <v>0</v>
      </c>
      <c r="BO97">
        <v>169</v>
      </c>
      <c r="BP97">
        <v>11</v>
      </c>
      <c r="BQ97">
        <v>1</v>
      </c>
      <c r="BR97" t="s">
        <v>7364</v>
      </c>
      <c r="BS97" t="s">
        <v>7365</v>
      </c>
      <c r="BT97" t="s">
        <v>7360</v>
      </c>
      <c r="BU97" t="s">
        <v>7360</v>
      </c>
      <c r="BV97" t="s">
        <v>7360</v>
      </c>
      <c r="BX97">
        <v>0</v>
      </c>
      <c r="BY97">
        <v>0</v>
      </c>
      <c r="BZ97" t="s">
        <v>7360</v>
      </c>
      <c r="CA97" t="s">
        <v>7360</v>
      </c>
      <c r="CB97">
        <v>3380666</v>
      </c>
      <c r="CC97" s="21">
        <v>44952.499328703707</v>
      </c>
      <c r="CE97" t="s">
        <v>7366</v>
      </c>
      <c r="CF97">
        <v>0</v>
      </c>
      <c r="CG97">
        <v>702002</v>
      </c>
      <c r="CH97">
        <v>702002</v>
      </c>
      <c r="CI97" s="21">
        <v>44952.500497685185</v>
      </c>
      <c r="CJ97" t="s">
        <v>7367</v>
      </c>
      <c r="CK97" t="s">
        <v>7367</v>
      </c>
      <c r="CL97" t="s">
        <v>7368</v>
      </c>
      <c r="CM97" t="s">
        <v>7368</v>
      </c>
      <c r="CS97" t="s">
        <v>7361</v>
      </c>
      <c r="CT97" t="s">
        <v>7362</v>
      </c>
      <c r="CU97" t="s">
        <v>7362</v>
      </c>
      <c r="CV97" t="s">
        <v>7362</v>
      </c>
      <c r="CW97" t="s">
        <v>7362</v>
      </c>
      <c r="CX97">
        <v>4068000</v>
      </c>
      <c r="DA97">
        <v>0</v>
      </c>
    </row>
    <row r="98" spans="1:106" x14ac:dyDescent="0.3">
      <c r="A98">
        <v>1370</v>
      </c>
      <c r="B98" t="s">
        <v>7390</v>
      </c>
      <c r="C98">
        <v>120</v>
      </c>
      <c r="D98" s="20">
        <v>44952</v>
      </c>
      <c r="E98" t="s">
        <v>7356</v>
      </c>
      <c r="F98" t="s">
        <v>5639</v>
      </c>
      <c r="G98" t="s">
        <v>7357</v>
      </c>
      <c r="H98">
        <v>1</v>
      </c>
      <c r="I98" t="s">
        <v>7358</v>
      </c>
      <c r="J98">
        <v>1</v>
      </c>
      <c r="K98" s="20">
        <v>44952</v>
      </c>
      <c r="L98" s="23">
        <v>496297</v>
      </c>
      <c r="M98" t="s">
        <v>7359</v>
      </c>
      <c r="N98" t="s">
        <v>7360</v>
      </c>
      <c r="O98">
        <v>0</v>
      </c>
      <c r="P98">
        <v>11912</v>
      </c>
      <c r="Q98">
        <v>416073</v>
      </c>
      <c r="R98">
        <v>0</v>
      </c>
      <c r="S98">
        <v>20230126</v>
      </c>
      <c r="T98">
        <v>0</v>
      </c>
      <c r="U98" t="s">
        <v>7361</v>
      </c>
      <c r="V98" t="s">
        <v>7360</v>
      </c>
      <c r="W98" t="s">
        <v>7360</v>
      </c>
      <c r="X98" t="s">
        <v>7360</v>
      </c>
      <c r="Y98" t="s">
        <v>7360</v>
      </c>
      <c r="Z98" t="s">
        <v>7360</v>
      </c>
      <c r="AA98" t="s">
        <v>7362</v>
      </c>
      <c r="AB98" t="s">
        <v>7360</v>
      </c>
      <c r="AC98" t="s">
        <v>7360</v>
      </c>
      <c r="AD98" t="s">
        <v>7360</v>
      </c>
      <c r="AE98" t="s">
        <v>7360</v>
      </c>
      <c r="AF98" t="s">
        <v>1684</v>
      </c>
      <c r="AG98">
        <v>0</v>
      </c>
      <c r="AH98">
        <v>0</v>
      </c>
      <c r="AI98">
        <v>0</v>
      </c>
      <c r="AJ98">
        <v>0</v>
      </c>
      <c r="AK98">
        <v>0</v>
      </c>
      <c r="AL98" t="s">
        <v>7360</v>
      </c>
      <c r="AM98">
        <v>0</v>
      </c>
      <c r="AN98" s="20">
        <v>44952</v>
      </c>
      <c r="AO98" s="20">
        <v>44952</v>
      </c>
      <c r="AP98" s="20">
        <v>44952</v>
      </c>
      <c r="AQ98">
        <v>0</v>
      </c>
      <c r="AR98">
        <v>0</v>
      </c>
      <c r="AS98">
        <v>0</v>
      </c>
      <c r="AT98">
        <v>0</v>
      </c>
      <c r="AU98">
        <v>0</v>
      </c>
      <c r="AV98" t="s">
        <v>7360</v>
      </c>
      <c r="AW98">
        <v>0</v>
      </c>
      <c r="AX98" t="s">
        <v>7360</v>
      </c>
      <c r="AY98" t="s">
        <v>7363</v>
      </c>
      <c r="BA98">
        <v>0</v>
      </c>
      <c r="BB98" s="20">
        <v>44952</v>
      </c>
      <c r="BC98">
        <v>0</v>
      </c>
      <c r="BD98" t="s">
        <v>7360</v>
      </c>
      <c r="BF98" s="20">
        <v>44952</v>
      </c>
      <c r="BG98">
        <v>0</v>
      </c>
      <c r="BH98" t="s">
        <v>7363</v>
      </c>
      <c r="BJ98" t="s">
        <v>7362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 t="s">
        <v>7387</v>
      </c>
      <c r="BT98" t="s">
        <v>7360</v>
      </c>
      <c r="BU98" t="s">
        <v>7360</v>
      </c>
      <c r="BV98" t="s">
        <v>7360</v>
      </c>
      <c r="BX98">
        <v>0</v>
      </c>
      <c r="BY98">
        <v>76</v>
      </c>
      <c r="BZ98">
        <v>0</v>
      </c>
      <c r="CA98">
        <v>0</v>
      </c>
      <c r="CB98">
        <v>5558210</v>
      </c>
      <c r="CC98" s="21">
        <v>44952.501342592594</v>
      </c>
      <c r="CE98" t="s">
        <v>7408</v>
      </c>
      <c r="CF98">
        <v>1105001</v>
      </c>
      <c r="CG98">
        <v>53575</v>
      </c>
      <c r="CH98">
        <v>53575</v>
      </c>
      <c r="CI98" s="21">
        <v>44952.502615740741</v>
      </c>
      <c r="CJ98" t="s">
        <v>7393</v>
      </c>
      <c r="CK98" t="s">
        <v>7393</v>
      </c>
      <c r="CL98" t="s">
        <v>7394</v>
      </c>
      <c r="CM98" t="s">
        <v>7394</v>
      </c>
      <c r="CS98" t="s">
        <v>7361</v>
      </c>
      <c r="CT98" t="s">
        <v>7362</v>
      </c>
      <c r="CU98" t="s">
        <v>7362</v>
      </c>
      <c r="CV98" t="s">
        <v>7362</v>
      </c>
      <c r="CW98" t="s">
        <v>7362</v>
      </c>
      <c r="CX98">
        <v>496297</v>
      </c>
      <c r="DA98">
        <v>0</v>
      </c>
    </row>
    <row r="99" spans="1:106" x14ac:dyDescent="0.3">
      <c r="A99">
        <v>1354</v>
      </c>
      <c r="B99" t="s">
        <v>7396</v>
      </c>
      <c r="C99">
        <v>121</v>
      </c>
      <c r="D99" s="20">
        <v>44952</v>
      </c>
      <c r="E99" t="s">
        <v>7356</v>
      </c>
      <c r="F99" t="s">
        <v>5644</v>
      </c>
      <c r="G99" t="s">
        <v>7370</v>
      </c>
      <c r="H99">
        <v>1</v>
      </c>
      <c r="I99" t="s">
        <v>7358</v>
      </c>
      <c r="J99">
        <v>1</v>
      </c>
      <c r="K99" s="20">
        <v>44952</v>
      </c>
      <c r="L99" s="23">
        <v>8550000</v>
      </c>
      <c r="M99" t="s">
        <v>7359</v>
      </c>
      <c r="N99" t="s">
        <v>7360</v>
      </c>
      <c r="O99">
        <v>0</v>
      </c>
      <c r="P99">
        <v>11783</v>
      </c>
      <c r="Q99">
        <v>415003</v>
      </c>
      <c r="R99">
        <v>0</v>
      </c>
      <c r="S99">
        <v>20230126</v>
      </c>
      <c r="T99">
        <v>0</v>
      </c>
      <c r="U99" t="s">
        <v>7361</v>
      </c>
      <c r="V99" t="s">
        <v>7360</v>
      </c>
      <c r="W99" t="s">
        <v>7360</v>
      </c>
      <c r="X99" t="s">
        <v>7360</v>
      </c>
      <c r="Y99" t="s">
        <v>7360</v>
      </c>
      <c r="Z99" t="s">
        <v>7360</v>
      </c>
      <c r="AA99" t="s">
        <v>7362</v>
      </c>
      <c r="AB99" t="s">
        <v>7360</v>
      </c>
      <c r="AC99" t="s">
        <v>7360</v>
      </c>
      <c r="AD99" t="s">
        <v>7360</v>
      </c>
      <c r="AE99" t="s">
        <v>7360</v>
      </c>
      <c r="AF99" t="s">
        <v>1684</v>
      </c>
      <c r="AG99">
        <v>0</v>
      </c>
      <c r="AH99">
        <v>0</v>
      </c>
      <c r="AI99">
        <v>0</v>
      </c>
      <c r="AJ99">
        <v>0</v>
      </c>
      <c r="AK99">
        <v>0</v>
      </c>
      <c r="AL99" t="s">
        <v>7360</v>
      </c>
      <c r="AM99">
        <v>0</v>
      </c>
      <c r="AN99" s="20">
        <v>44952</v>
      </c>
      <c r="AO99" s="20">
        <v>44952</v>
      </c>
      <c r="AP99" s="20">
        <v>44952</v>
      </c>
      <c r="AQ99">
        <v>0</v>
      </c>
      <c r="AR99">
        <v>0</v>
      </c>
      <c r="AS99">
        <v>0</v>
      </c>
      <c r="AT99">
        <v>0</v>
      </c>
      <c r="AU99">
        <v>0</v>
      </c>
      <c r="AV99" t="s">
        <v>7360</v>
      </c>
      <c r="AW99">
        <v>0</v>
      </c>
      <c r="AX99" t="s">
        <v>7360</v>
      </c>
      <c r="AY99" t="s">
        <v>7363</v>
      </c>
      <c r="BA99">
        <v>0</v>
      </c>
      <c r="BB99" s="20">
        <v>44952</v>
      </c>
      <c r="BC99">
        <v>0</v>
      </c>
      <c r="BD99" t="s">
        <v>7360</v>
      </c>
      <c r="BF99" s="20">
        <v>44952</v>
      </c>
      <c r="BG99">
        <v>0</v>
      </c>
      <c r="BH99" t="s">
        <v>7363</v>
      </c>
      <c r="BJ99" t="s">
        <v>7362</v>
      </c>
      <c r="BK99">
        <v>169</v>
      </c>
      <c r="BL99">
        <v>11</v>
      </c>
      <c r="BM99">
        <v>1</v>
      </c>
      <c r="BN99" t="s">
        <v>7364</v>
      </c>
      <c r="BO99">
        <v>169</v>
      </c>
      <c r="BP99">
        <v>11</v>
      </c>
      <c r="BQ99">
        <v>1</v>
      </c>
      <c r="BR99" t="s">
        <v>7364</v>
      </c>
      <c r="BS99" t="s">
        <v>132</v>
      </c>
      <c r="BT99" t="s">
        <v>7360</v>
      </c>
      <c r="BU99" t="s">
        <v>7360</v>
      </c>
      <c r="BV99" t="s">
        <v>7360</v>
      </c>
      <c r="BX99" t="s">
        <v>7391</v>
      </c>
      <c r="BY99">
        <v>74</v>
      </c>
      <c r="BZ99" t="s">
        <v>7360</v>
      </c>
      <c r="CA99" t="s">
        <v>7360</v>
      </c>
      <c r="CB99">
        <v>3380666</v>
      </c>
      <c r="CC99" s="21">
        <v>44952.504594907405</v>
      </c>
      <c r="CE99" t="s">
        <v>7392</v>
      </c>
      <c r="CF99">
        <v>1100101</v>
      </c>
      <c r="CG99">
        <v>51669</v>
      </c>
      <c r="CH99">
        <v>51669</v>
      </c>
      <c r="CI99" s="21">
        <v>44952.50582175926</v>
      </c>
      <c r="CJ99" t="s">
        <v>7406</v>
      </c>
      <c r="CK99" t="s">
        <v>7406</v>
      </c>
      <c r="CL99" t="s">
        <v>7407</v>
      </c>
      <c r="CM99" t="s">
        <v>7407</v>
      </c>
      <c r="CS99" t="s">
        <v>7361</v>
      </c>
      <c r="CT99" t="s">
        <v>7362</v>
      </c>
      <c r="CU99" t="s">
        <v>7362</v>
      </c>
      <c r="CV99" t="s">
        <v>7362</v>
      </c>
      <c r="CW99" t="s">
        <v>7362</v>
      </c>
      <c r="CX99">
        <v>8550000</v>
      </c>
      <c r="DA99">
        <v>0</v>
      </c>
    </row>
    <row r="100" spans="1:106" x14ac:dyDescent="0.3">
      <c r="A100">
        <v>1361</v>
      </c>
      <c r="B100" t="s">
        <v>7376</v>
      </c>
      <c r="C100">
        <v>122</v>
      </c>
      <c r="D100" s="20">
        <v>44952</v>
      </c>
      <c r="E100" t="s">
        <v>7356</v>
      </c>
      <c r="F100" t="s">
        <v>5649</v>
      </c>
      <c r="G100" t="s">
        <v>7377</v>
      </c>
      <c r="H100">
        <v>1</v>
      </c>
      <c r="I100" t="s">
        <v>7358</v>
      </c>
      <c r="J100">
        <v>1</v>
      </c>
      <c r="K100" s="20">
        <v>44952</v>
      </c>
      <c r="L100" s="23">
        <v>80920</v>
      </c>
      <c r="M100" t="s">
        <v>7359</v>
      </c>
      <c r="N100" t="s">
        <v>7360</v>
      </c>
      <c r="O100">
        <v>0</v>
      </c>
      <c r="P100">
        <v>11744</v>
      </c>
      <c r="Q100">
        <v>414051</v>
      </c>
      <c r="R100">
        <v>0</v>
      </c>
      <c r="S100">
        <v>20230126</v>
      </c>
      <c r="T100">
        <v>0</v>
      </c>
      <c r="U100" t="s">
        <v>7361</v>
      </c>
      <c r="V100" t="s">
        <v>7360</v>
      </c>
      <c r="W100" t="s">
        <v>7360</v>
      </c>
      <c r="X100" t="s">
        <v>7360</v>
      </c>
      <c r="Y100" t="s">
        <v>7360</v>
      </c>
      <c r="Z100" t="s">
        <v>7360</v>
      </c>
      <c r="AA100" t="s">
        <v>7362</v>
      </c>
      <c r="AB100" t="s">
        <v>7360</v>
      </c>
      <c r="AC100" t="s">
        <v>7360</v>
      </c>
      <c r="AD100" t="s">
        <v>7360</v>
      </c>
      <c r="AE100" t="s">
        <v>7360</v>
      </c>
      <c r="AF100" t="s">
        <v>1684</v>
      </c>
      <c r="AG100">
        <v>0</v>
      </c>
      <c r="AH100">
        <v>0</v>
      </c>
      <c r="AI100">
        <v>0</v>
      </c>
      <c r="AJ100">
        <v>0</v>
      </c>
      <c r="AK100">
        <v>0</v>
      </c>
      <c r="AL100" t="s">
        <v>7360</v>
      </c>
      <c r="AM100">
        <v>0</v>
      </c>
      <c r="AN100" s="20">
        <v>44952</v>
      </c>
      <c r="AO100" s="20">
        <v>44952</v>
      </c>
      <c r="AP100" s="20">
        <v>44952</v>
      </c>
      <c r="AQ100">
        <v>0</v>
      </c>
      <c r="AR100">
        <v>0</v>
      </c>
      <c r="AS100">
        <v>0</v>
      </c>
      <c r="AT100">
        <v>0</v>
      </c>
      <c r="AU100">
        <v>0</v>
      </c>
      <c r="AV100" t="s">
        <v>7360</v>
      </c>
      <c r="AW100">
        <v>0</v>
      </c>
      <c r="AX100" t="s">
        <v>7360</v>
      </c>
      <c r="AY100" t="s">
        <v>7363</v>
      </c>
      <c r="BA100">
        <v>0</v>
      </c>
      <c r="BB100" s="20">
        <v>44952</v>
      </c>
      <c r="BC100">
        <v>0</v>
      </c>
      <c r="BD100" t="s">
        <v>7360</v>
      </c>
      <c r="BF100" s="20">
        <v>44952</v>
      </c>
      <c r="BG100">
        <v>0</v>
      </c>
      <c r="BH100" t="s">
        <v>7363</v>
      </c>
      <c r="BJ100" t="s">
        <v>7362</v>
      </c>
      <c r="BK100">
        <v>169</v>
      </c>
      <c r="BL100">
        <v>11</v>
      </c>
      <c r="BM100">
        <v>1</v>
      </c>
      <c r="BN100" t="s">
        <v>7364</v>
      </c>
      <c r="BO100">
        <v>0</v>
      </c>
      <c r="BP100">
        <v>0</v>
      </c>
      <c r="BQ100">
        <v>0</v>
      </c>
      <c r="BR100">
        <v>0</v>
      </c>
      <c r="BS100" t="s">
        <v>7388</v>
      </c>
      <c r="BT100" t="s">
        <v>7360</v>
      </c>
      <c r="BU100" t="s">
        <v>7360</v>
      </c>
      <c r="BV100" t="s">
        <v>7360</v>
      </c>
      <c r="BX100" t="s">
        <v>7391</v>
      </c>
      <c r="BY100">
        <v>74</v>
      </c>
      <c r="BZ100" t="s">
        <v>7360</v>
      </c>
      <c r="CA100" t="s">
        <v>7360</v>
      </c>
      <c r="CB100" t="s">
        <v>7360</v>
      </c>
      <c r="CC100" s="21">
        <v>44952.510995370372</v>
      </c>
      <c r="CE100" t="s">
        <v>7392</v>
      </c>
      <c r="CF100">
        <v>1100101</v>
      </c>
      <c r="CG100">
        <v>53575</v>
      </c>
      <c r="CH100">
        <v>53575</v>
      </c>
      <c r="CI100" s="21">
        <v>44952.512662037036</v>
      </c>
      <c r="CJ100" t="s">
        <v>7393</v>
      </c>
      <c r="CK100" t="s">
        <v>7393</v>
      </c>
      <c r="CL100" t="s">
        <v>7394</v>
      </c>
      <c r="CM100" t="s">
        <v>7394</v>
      </c>
      <c r="CS100" t="s">
        <v>7361</v>
      </c>
      <c r="CT100" t="s">
        <v>7362</v>
      </c>
      <c r="CU100" t="s">
        <v>7362</v>
      </c>
      <c r="CV100" t="s">
        <v>7362</v>
      </c>
      <c r="CW100" t="s">
        <v>7362</v>
      </c>
      <c r="CX100">
        <v>80920</v>
      </c>
      <c r="DA100">
        <v>0</v>
      </c>
    </row>
    <row r="101" spans="1:106" x14ac:dyDescent="0.3">
      <c r="A101">
        <v>1354</v>
      </c>
      <c r="B101" t="s">
        <v>7396</v>
      </c>
      <c r="C101">
        <v>123</v>
      </c>
      <c r="D101" s="20">
        <v>44952</v>
      </c>
      <c r="E101" t="s">
        <v>7356</v>
      </c>
      <c r="F101" t="s">
        <v>5655</v>
      </c>
      <c r="G101" t="s">
        <v>7370</v>
      </c>
      <c r="H101">
        <v>1</v>
      </c>
      <c r="I101" t="s">
        <v>7358</v>
      </c>
      <c r="J101">
        <v>1</v>
      </c>
      <c r="K101" s="20">
        <v>44952</v>
      </c>
      <c r="L101" s="23">
        <v>1650000</v>
      </c>
      <c r="M101" t="s">
        <v>7359</v>
      </c>
      <c r="N101" t="s">
        <v>7360</v>
      </c>
      <c r="O101">
        <v>0</v>
      </c>
      <c r="P101">
        <v>11789</v>
      </c>
      <c r="Q101">
        <v>415008</v>
      </c>
      <c r="R101">
        <v>0</v>
      </c>
      <c r="S101">
        <v>20230126</v>
      </c>
      <c r="T101">
        <v>0</v>
      </c>
      <c r="U101" t="s">
        <v>7361</v>
      </c>
      <c r="V101" t="s">
        <v>7360</v>
      </c>
      <c r="W101" t="s">
        <v>7360</v>
      </c>
      <c r="X101" t="s">
        <v>7360</v>
      </c>
      <c r="Y101" t="s">
        <v>7360</v>
      </c>
      <c r="Z101" t="s">
        <v>7360</v>
      </c>
      <c r="AA101" t="s">
        <v>7362</v>
      </c>
      <c r="AB101" t="s">
        <v>7360</v>
      </c>
      <c r="AC101" t="s">
        <v>7360</v>
      </c>
      <c r="AD101" t="s">
        <v>7360</v>
      </c>
      <c r="AE101" t="s">
        <v>7360</v>
      </c>
      <c r="AF101" t="s">
        <v>1684</v>
      </c>
      <c r="AG101">
        <v>0</v>
      </c>
      <c r="AH101">
        <v>0</v>
      </c>
      <c r="AI101">
        <v>0</v>
      </c>
      <c r="AJ101">
        <v>0</v>
      </c>
      <c r="AK101">
        <v>0</v>
      </c>
      <c r="AL101" t="s">
        <v>7360</v>
      </c>
      <c r="AM101">
        <v>0</v>
      </c>
      <c r="AN101" s="20">
        <v>44952</v>
      </c>
      <c r="AO101" s="20">
        <v>44952</v>
      </c>
      <c r="AP101" s="20">
        <v>44952</v>
      </c>
      <c r="AQ101">
        <v>0</v>
      </c>
      <c r="AR101">
        <v>0</v>
      </c>
      <c r="AS101">
        <v>0</v>
      </c>
      <c r="AT101">
        <v>0</v>
      </c>
      <c r="AU101">
        <v>0</v>
      </c>
      <c r="AV101" t="s">
        <v>7360</v>
      </c>
      <c r="AW101">
        <v>0</v>
      </c>
      <c r="AX101" t="s">
        <v>7360</v>
      </c>
      <c r="AY101" t="s">
        <v>7363</v>
      </c>
      <c r="BA101">
        <v>0</v>
      </c>
      <c r="BB101" s="20">
        <v>44952</v>
      </c>
      <c r="BC101">
        <v>0</v>
      </c>
      <c r="BD101" t="s">
        <v>7360</v>
      </c>
      <c r="BF101" s="20">
        <v>44952</v>
      </c>
      <c r="BG101">
        <v>0</v>
      </c>
      <c r="BH101" t="s">
        <v>7363</v>
      </c>
      <c r="BJ101" t="s">
        <v>7362</v>
      </c>
      <c r="BK101">
        <v>169</v>
      </c>
      <c r="BL101">
        <v>11</v>
      </c>
      <c r="BM101">
        <v>1</v>
      </c>
      <c r="BN101" t="s">
        <v>7364</v>
      </c>
      <c r="BO101">
        <v>169</v>
      </c>
      <c r="BP101">
        <v>11</v>
      </c>
      <c r="BQ101">
        <v>1</v>
      </c>
      <c r="BR101" t="s">
        <v>7364</v>
      </c>
      <c r="BS101" t="s">
        <v>132</v>
      </c>
      <c r="BT101" t="s">
        <v>7360</v>
      </c>
      <c r="BU101" t="s">
        <v>7360</v>
      </c>
      <c r="BV101" t="s">
        <v>7360</v>
      </c>
      <c r="BX101" t="s">
        <v>7391</v>
      </c>
      <c r="BY101">
        <v>74</v>
      </c>
      <c r="BZ101" t="s">
        <v>7360</v>
      </c>
      <c r="CA101" t="s">
        <v>7360</v>
      </c>
      <c r="CB101">
        <v>3380666</v>
      </c>
      <c r="CC101" s="21">
        <v>44952.517268518517</v>
      </c>
      <c r="CE101" t="s">
        <v>7392</v>
      </c>
      <c r="CF101">
        <v>1100101</v>
      </c>
      <c r="CG101">
        <v>51669</v>
      </c>
      <c r="CH101">
        <v>51669</v>
      </c>
      <c r="CI101" s="21">
        <v>44952.532349537039</v>
      </c>
      <c r="CJ101" t="s">
        <v>7406</v>
      </c>
      <c r="CK101" t="s">
        <v>7406</v>
      </c>
      <c r="CL101" t="s">
        <v>7407</v>
      </c>
      <c r="CM101" t="s">
        <v>7407</v>
      </c>
      <c r="CS101" t="s">
        <v>7361</v>
      </c>
      <c r="CT101" t="s">
        <v>7362</v>
      </c>
      <c r="CU101" t="s">
        <v>7362</v>
      </c>
      <c r="CV101" t="s">
        <v>7362</v>
      </c>
      <c r="CW101" t="s">
        <v>7362</v>
      </c>
      <c r="CX101">
        <v>1650000</v>
      </c>
      <c r="DA101">
        <v>0</v>
      </c>
    </row>
    <row r="102" spans="1:106" x14ac:dyDescent="0.3">
      <c r="A102">
        <v>1372</v>
      </c>
      <c r="B102" t="s">
        <v>7369</v>
      </c>
      <c r="C102">
        <v>124</v>
      </c>
      <c r="D102" s="20">
        <v>44952</v>
      </c>
      <c r="E102" t="s">
        <v>7356</v>
      </c>
      <c r="F102" t="s">
        <v>5660</v>
      </c>
      <c r="G102" t="s">
        <v>7357</v>
      </c>
      <c r="H102">
        <v>1</v>
      </c>
      <c r="I102" t="s">
        <v>7358</v>
      </c>
      <c r="J102">
        <v>1</v>
      </c>
      <c r="K102" s="20">
        <v>44952</v>
      </c>
      <c r="L102" s="23">
        <v>1830101</v>
      </c>
      <c r="M102" t="s">
        <v>7359</v>
      </c>
      <c r="N102" t="s">
        <v>7360</v>
      </c>
      <c r="O102">
        <v>0</v>
      </c>
      <c r="P102">
        <v>11748</v>
      </c>
      <c r="Q102">
        <v>414052</v>
      </c>
      <c r="R102">
        <v>0</v>
      </c>
      <c r="S102">
        <v>20230126</v>
      </c>
      <c r="T102">
        <v>0</v>
      </c>
      <c r="U102" t="s">
        <v>7361</v>
      </c>
      <c r="V102" t="s">
        <v>7360</v>
      </c>
      <c r="W102" t="s">
        <v>7360</v>
      </c>
      <c r="X102" t="s">
        <v>7360</v>
      </c>
      <c r="Y102" t="s">
        <v>7360</v>
      </c>
      <c r="Z102" t="s">
        <v>7360</v>
      </c>
      <c r="AA102" t="s">
        <v>7362</v>
      </c>
      <c r="AB102" t="s">
        <v>7360</v>
      </c>
      <c r="AC102" t="s">
        <v>7360</v>
      </c>
      <c r="AD102" t="s">
        <v>7360</v>
      </c>
      <c r="AE102" t="s">
        <v>7360</v>
      </c>
      <c r="AF102" t="s">
        <v>1684</v>
      </c>
      <c r="AG102">
        <v>0</v>
      </c>
      <c r="AH102">
        <v>0</v>
      </c>
      <c r="AI102">
        <v>0</v>
      </c>
      <c r="AJ102">
        <v>0</v>
      </c>
      <c r="AK102">
        <v>0</v>
      </c>
      <c r="AL102" t="s">
        <v>7360</v>
      </c>
      <c r="AM102">
        <v>0</v>
      </c>
      <c r="AN102" s="20">
        <v>44952</v>
      </c>
      <c r="AO102" s="20">
        <v>44952</v>
      </c>
      <c r="AP102" s="20">
        <v>44952</v>
      </c>
      <c r="AQ102">
        <v>0</v>
      </c>
      <c r="AR102">
        <v>0</v>
      </c>
      <c r="AS102">
        <v>0</v>
      </c>
      <c r="AT102">
        <v>0</v>
      </c>
      <c r="AU102">
        <v>0</v>
      </c>
      <c r="AV102" t="s">
        <v>7360</v>
      </c>
      <c r="AW102">
        <v>0</v>
      </c>
      <c r="AX102" t="s">
        <v>7360</v>
      </c>
      <c r="AY102" t="s">
        <v>7363</v>
      </c>
      <c r="BA102">
        <v>0</v>
      </c>
      <c r="BB102" s="20">
        <v>44952</v>
      </c>
      <c r="BC102">
        <v>0</v>
      </c>
      <c r="BD102" t="s">
        <v>7360</v>
      </c>
      <c r="BF102" s="20">
        <v>44952</v>
      </c>
      <c r="BG102">
        <v>0</v>
      </c>
      <c r="BH102" t="s">
        <v>7363</v>
      </c>
      <c r="BJ102" t="s">
        <v>7362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 t="s">
        <v>7360</v>
      </c>
      <c r="BT102" t="s">
        <v>7360</v>
      </c>
      <c r="BU102" t="s">
        <v>7360</v>
      </c>
      <c r="BV102" t="s">
        <v>7360</v>
      </c>
      <c r="BX102">
        <v>0</v>
      </c>
      <c r="BY102">
        <v>0</v>
      </c>
      <c r="BZ102" t="s">
        <v>7360</v>
      </c>
      <c r="CA102" t="s">
        <v>7360</v>
      </c>
      <c r="CB102" t="s">
        <v>7360</v>
      </c>
      <c r="CC102" s="21">
        <v>44952.521099537036</v>
      </c>
      <c r="CE102" t="s">
        <v>7366</v>
      </c>
      <c r="CF102">
        <v>0</v>
      </c>
      <c r="CG102">
        <v>53575</v>
      </c>
      <c r="CH102">
        <v>53575</v>
      </c>
      <c r="CI102" s="21">
        <v>44952.681296296294</v>
      </c>
      <c r="CJ102" t="s">
        <v>7393</v>
      </c>
      <c r="CK102" t="s">
        <v>7393</v>
      </c>
      <c r="CL102" t="s">
        <v>7394</v>
      </c>
      <c r="CM102" t="s">
        <v>7394</v>
      </c>
      <c r="CS102" t="s">
        <v>7361</v>
      </c>
      <c r="CT102" t="s">
        <v>7362</v>
      </c>
      <c r="CU102" t="s">
        <v>7362</v>
      </c>
      <c r="CV102" t="s">
        <v>7362</v>
      </c>
      <c r="CW102" t="s">
        <v>7362</v>
      </c>
      <c r="CX102">
        <v>1830101</v>
      </c>
      <c r="DA102">
        <v>0</v>
      </c>
    </row>
    <row r="103" spans="1:106" x14ac:dyDescent="0.3">
      <c r="A103">
        <v>1354</v>
      </c>
      <c r="B103" t="s">
        <v>7396</v>
      </c>
      <c r="C103">
        <v>125</v>
      </c>
      <c r="D103" s="20">
        <v>44952</v>
      </c>
      <c r="E103" t="s">
        <v>7372</v>
      </c>
      <c r="F103" t="s">
        <v>5665</v>
      </c>
      <c r="G103" t="s">
        <v>7370</v>
      </c>
      <c r="H103">
        <v>1</v>
      </c>
      <c r="I103" t="s">
        <v>7358</v>
      </c>
      <c r="J103">
        <v>1</v>
      </c>
      <c r="K103" s="20">
        <v>44952</v>
      </c>
      <c r="L103" s="23">
        <v>2712000</v>
      </c>
      <c r="M103" t="s">
        <v>7359</v>
      </c>
      <c r="N103" t="s">
        <v>7360</v>
      </c>
      <c r="O103">
        <v>0</v>
      </c>
      <c r="P103">
        <v>11802</v>
      </c>
      <c r="Q103">
        <v>415017</v>
      </c>
      <c r="R103">
        <v>0</v>
      </c>
      <c r="S103">
        <v>20230126</v>
      </c>
      <c r="T103">
        <v>0</v>
      </c>
      <c r="U103" t="s">
        <v>7362</v>
      </c>
      <c r="V103" t="s">
        <v>7360</v>
      </c>
      <c r="W103" t="s">
        <v>7360</v>
      </c>
      <c r="X103" t="s">
        <v>7360</v>
      </c>
      <c r="Y103" t="s">
        <v>7360</v>
      </c>
      <c r="Z103" t="s">
        <v>7360</v>
      </c>
      <c r="AA103" t="s">
        <v>7362</v>
      </c>
      <c r="AB103" t="s">
        <v>7360</v>
      </c>
      <c r="AC103" t="s">
        <v>7360</v>
      </c>
      <c r="AD103" t="s">
        <v>7360</v>
      </c>
      <c r="AE103" t="s">
        <v>7360</v>
      </c>
      <c r="AF103" t="s">
        <v>1684</v>
      </c>
      <c r="AG103">
        <v>0</v>
      </c>
      <c r="AH103">
        <v>0</v>
      </c>
      <c r="AI103">
        <v>0</v>
      </c>
      <c r="AJ103">
        <v>0</v>
      </c>
      <c r="AK103">
        <v>0</v>
      </c>
      <c r="AL103" t="s">
        <v>7360</v>
      </c>
      <c r="AM103">
        <v>0</v>
      </c>
      <c r="AN103" s="20">
        <v>44952</v>
      </c>
      <c r="AO103" s="20">
        <v>44952</v>
      </c>
      <c r="AP103" s="20">
        <v>44952</v>
      </c>
      <c r="AQ103">
        <v>0</v>
      </c>
      <c r="AR103">
        <v>0</v>
      </c>
      <c r="AS103">
        <v>0</v>
      </c>
      <c r="AT103">
        <v>0</v>
      </c>
      <c r="AU103">
        <v>0</v>
      </c>
      <c r="AV103" t="s">
        <v>7360</v>
      </c>
      <c r="AW103">
        <v>0</v>
      </c>
      <c r="AX103" t="s">
        <v>7360</v>
      </c>
      <c r="AY103" t="s">
        <v>7362</v>
      </c>
      <c r="BA103">
        <v>0</v>
      </c>
      <c r="BB103" s="20">
        <v>44952</v>
      </c>
      <c r="BC103">
        <v>0</v>
      </c>
      <c r="BD103" t="s">
        <v>7360</v>
      </c>
      <c r="BF103" s="20">
        <v>44952</v>
      </c>
      <c r="BG103">
        <v>0</v>
      </c>
      <c r="BH103" t="s">
        <v>7363</v>
      </c>
      <c r="BJ103" t="s">
        <v>7362</v>
      </c>
      <c r="BK103">
        <v>0</v>
      </c>
      <c r="BL103">
        <v>0</v>
      </c>
      <c r="BM103">
        <v>0</v>
      </c>
      <c r="BN103">
        <v>0</v>
      </c>
      <c r="BO103">
        <v>169</v>
      </c>
      <c r="BP103">
        <v>11</v>
      </c>
      <c r="BQ103">
        <v>1</v>
      </c>
      <c r="BR103" t="s">
        <v>7364</v>
      </c>
      <c r="BS103" t="s">
        <v>7365</v>
      </c>
      <c r="BT103" t="s">
        <v>7360</v>
      </c>
      <c r="BU103" t="s">
        <v>7360</v>
      </c>
      <c r="BV103" t="s">
        <v>7360</v>
      </c>
      <c r="BX103">
        <v>0</v>
      </c>
      <c r="BY103">
        <v>0</v>
      </c>
      <c r="BZ103" t="s">
        <v>7360</v>
      </c>
      <c r="CA103" t="s">
        <v>7360</v>
      </c>
      <c r="CB103">
        <v>3380666</v>
      </c>
      <c r="CC103" s="21">
        <v>44952.582939814813</v>
      </c>
      <c r="CE103" t="s">
        <v>7366</v>
      </c>
      <c r="CF103">
        <v>0</v>
      </c>
      <c r="CG103">
        <v>702002</v>
      </c>
      <c r="CH103">
        <v>702002</v>
      </c>
      <c r="CI103" s="21">
        <v>44952.586689814816</v>
      </c>
      <c r="CJ103" t="s">
        <v>7367</v>
      </c>
      <c r="CK103" t="s">
        <v>7367</v>
      </c>
      <c r="CL103" t="s">
        <v>7368</v>
      </c>
      <c r="CM103" t="s">
        <v>7368</v>
      </c>
      <c r="CS103" t="s">
        <v>7361</v>
      </c>
      <c r="CT103" t="s">
        <v>7362</v>
      </c>
      <c r="CU103" t="s">
        <v>7362</v>
      </c>
      <c r="CV103" t="s">
        <v>7362</v>
      </c>
      <c r="CW103" t="s">
        <v>7362</v>
      </c>
      <c r="CX103">
        <v>2712000</v>
      </c>
      <c r="DA103">
        <v>0</v>
      </c>
    </row>
    <row r="104" spans="1:106" x14ac:dyDescent="0.3">
      <c r="A104">
        <v>1354</v>
      </c>
      <c r="B104" t="s">
        <v>7396</v>
      </c>
      <c r="C104">
        <v>126</v>
      </c>
      <c r="D104" s="20">
        <v>44952</v>
      </c>
      <c r="E104" t="s">
        <v>7356</v>
      </c>
      <c r="F104" t="s">
        <v>5596</v>
      </c>
      <c r="G104" t="s">
        <v>7370</v>
      </c>
      <c r="H104">
        <v>1</v>
      </c>
      <c r="I104" t="s">
        <v>7358</v>
      </c>
      <c r="J104">
        <v>1</v>
      </c>
      <c r="K104" s="20">
        <v>44952</v>
      </c>
      <c r="L104" s="23">
        <v>1950000</v>
      </c>
      <c r="M104" t="s">
        <v>7359</v>
      </c>
      <c r="N104" t="s">
        <v>7360</v>
      </c>
      <c r="O104">
        <v>0</v>
      </c>
      <c r="P104">
        <v>11792</v>
      </c>
      <c r="Q104">
        <v>415011</v>
      </c>
      <c r="R104">
        <v>0</v>
      </c>
      <c r="S104">
        <v>20230126</v>
      </c>
      <c r="T104">
        <v>0</v>
      </c>
      <c r="U104" t="s">
        <v>7361</v>
      </c>
      <c r="V104" t="s">
        <v>7360</v>
      </c>
      <c r="W104" t="s">
        <v>7360</v>
      </c>
      <c r="X104" t="s">
        <v>7360</v>
      </c>
      <c r="Y104" t="s">
        <v>7360</v>
      </c>
      <c r="Z104" t="s">
        <v>7360</v>
      </c>
      <c r="AA104" t="s">
        <v>7362</v>
      </c>
      <c r="AB104" t="s">
        <v>7360</v>
      </c>
      <c r="AC104" t="s">
        <v>7360</v>
      </c>
      <c r="AD104" t="s">
        <v>7360</v>
      </c>
      <c r="AE104" t="s">
        <v>7360</v>
      </c>
      <c r="AF104" t="s">
        <v>1684</v>
      </c>
      <c r="AG104">
        <v>0</v>
      </c>
      <c r="AH104">
        <v>0</v>
      </c>
      <c r="AI104">
        <v>0</v>
      </c>
      <c r="AJ104">
        <v>0</v>
      </c>
      <c r="AK104">
        <v>0</v>
      </c>
      <c r="AL104" t="s">
        <v>7360</v>
      </c>
      <c r="AM104">
        <v>0</v>
      </c>
      <c r="AN104" s="20">
        <v>44952</v>
      </c>
      <c r="AO104" s="20">
        <v>44952</v>
      </c>
      <c r="AP104" s="20">
        <v>44952</v>
      </c>
      <c r="AQ104">
        <v>0</v>
      </c>
      <c r="AR104">
        <v>0</v>
      </c>
      <c r="AS104">
        <v>0</v>
      </c>
      <c r="AT104">
        <v>0</v>
      </c>
      <c r="AU104">
        <v>0</v>
      </c>
      <c r="AV104" t="s">
        <v>7360</v>
      </c>
      <c r="AW104">
        <v>0</v>
      </c>
      <c r="AX104" t="s">
        <v>7360</v>
      </c>
      <c r="AY104" t="s">
        <v>7363</v>
      </c>
      <c r="BA104">
        <v>0</v>
      </c>
      <c r="BB104" s="20">
        <v>44952</v>
      </c>
      <c r="BC104">
        <v>0</v>
      </c>
      <c r="BD104" t="s">
        <v>7360</v>
      </c>
      <c r="BF104" s="20">
        <v>44952</v>
      </c>
      <c r="BG104">
        <v>0</v>
      </c>
      <c r="BH104" t="s">
        <v>7363</v>
      </c>
      <c r="BJ104" t="s">
        <v>7362</v>
      </c>
      <c r="BK104">
        <v>169</v>
      </c>
      <c r="BL104">
        <v>11</v>
      </c>
      <c r="BM104">
        <v>1</v>
      </c>
      <c r="BN104" t="s">
        <v>7364</v>
      </c>
      <c r="BO104">
        <v>169</v>
      </c>
      <c r="BP104">
        <v>11</v>
      </c>
      <c r="BQ104">
        <v>1</v>
      </c>
      <c r="BR104" t="s">
        <v>7364</v>
      </c>
      <c r="BS104" t="s">
        <v>132</v>
      </c>
      <c r="BT104" t="s">
        <v>7360</v>
      </c>
      <c r="BU104" t="s">
        <v>7360</v>
      </c>
      <c r="BV104" t="s">
        <v>7360</v>
      </c>
      <c r="BX104" t="s">
        <v>7391</v>
      </c>
      <c r="BY104">
        <v>74</v>
      </c>
      <c r="BZ104" t="s">
        <v>7360</v>
      </c>
      <c r="CA104" t="s">
        <v>7360</v>
      </c>
      <c r="CB104">
        <v>3380666</v>
      </c>
      <c r="CC104" s="21">
        <v>44952.594444444447</v>
      </c>
      <c r="CE104" t="s">
        <v>7392</v>
      </c>
      <c r="CF104">
        <v>1100101</v>
      </c>
      <c r="CG104">
        <v>51669</v>
      </c>
      <c r="CH104">
        <v>51669</v>
      </c>
      <c r="CI104" s="21">
        <v>44952.599108796298</v>
      </c>
      <c r="CJ104" t="s">
        <v>7406</v>
      </c>
      <c r="CK104" t="s">
        <v>7406</v>
      </c>
      <c r="CL104" t="s">
        <v>7407</v>
      </c>
      <c r="CM104" t="s">
        <v>7407</v>
      </c>
      <c r="CS104" t="s">
        <v>7361</v>
      </c>
      <c r="CT104" t="s">
        <v>7362</v>
      </c>
      <c r="CU104" t="s">
        <v>7362</v>
      </c>
      <c r="CV104" t="s">
        <v>7362</v>
      </c>
      <c r="CW104" t="s">
        <v>7362</v>
      </c>
      <c r="CX104">
        <v>1950000</v>
      </c>
      <c r="DA104">
        <v>0</v>
      </c>
    </row>
    <row r="105" spans="1:106" x14ac:dyDescent="0.3">
      <c r="A105">
        <v>1355</v>
      </c>
      <c r="B105" t="s">
        <v>7409</v>
      </c>
      <c r="C105">
        <v>127</v>
      </c>
      <c r="D105" s="20">
        <v>44952</v>
      </c>
      <c r="E105" t="s">
        <v>7356</v>
      </c>
      <c r="F105" t="s">
        <v>5601</v>
      </c>
      <c r="G105" t="s">
        <v>7357</v>
      </c>
      <c r="H105">
        <v>1</v>
      </c>
      <c r="I105" t="s">
        <v>7358</v>
      </c>
      <c r="J105">
        <v>1</v>
      </c>
      <c r="K105" s="20">
        <v>44952</v>
      </c>
      <c r="L105" s="23">
        <v>5095363</v>
      </c>
      <c r="M105" t="s">
        <v>7403</v>
      </c>
      <c r="N105" t="s">
        <v>7360</v>
      </c>
      <c r="O105">
        <v>0</v>
      </c>
      <c r="P105">
        <v>11941</v>
      </c>
      <c r="Q105">
        <v>129013</v>
      </c>
      <c r="R105">
        <v>0</v>
      </c>
      <c r="S105">
        <v>20230126</v>
      </c>
      <c r="T105">
        <v>0</v>
      </c>
      <c r="U105" t="s">
        <v>7361</v>
      </c>
      <c r="V105" t="s">
        <v>7360</v>
      </c>
      <c r="W105" t="s">
        <v>7360</v>
      </c>
      <c r="X105" t="s">
        <v>7360</v>
      </c>
      <c r="Y105" t="s">
        <v>7360</v>
      </c>
      <c r="Z105" t="s">
        <v>7360</v>
      </c>
      <c r="AA105" t="s">
        <v>7362</v>
      </c>
      <c r="AB105" t="s">
        <v>7360</v>
      </c>
      <c r="AC105" t="s">
        <v>7360</v>
      </c>
      <c r="AD105" t="s">
        <v>7360</v>
      </c>
      <c r="AE105" t="s">
        <v>7360</v>
      </c>
      <c r="AF105" t="s">
        <v>1684</v>
      </c>
      <c r="AG105">
        <v>0</v>
      </c>
      <c r="AH105">
        <v>0</v>
      </c>
      <c r="AI105">
        <v>0</v>
      </c>
      <c r="AJ105">
        <v>0</v>
      </c>
      <c r="AK105">
        <v>0</v>
      </c>
      <c r="AL105" t="s">
        <v>7360</v>
      </c>
      <c r="AM105">
        <v>0</v>
      </c>
      <c r="AN105" s="20">
        <v>44952</v>
      </c>
      <c r="AO105" s="20">
        <v>44952</v>
      </c>
      <c r="AP105" s="20">
        <v>44952</v>
      </c>
      <c r="AQ105">
        <v>0</v>
      </c>
      <c r="AR105">
        <v>0</v>
      </c>
      <c r="AS105">
        <v>0</v>
      </c>
      <c r="AT105">
        <v>0</v>
      </c>
      <c r="AU105">
        <v>0</v>
      </c>
      <c r="AV105" t="s">
        <v>7360</v>
      </c>
      <c r="AW105">
        <v>0</v>
      </c>
      <c r="AX105" t="s">
        <v>7360</v>
      </c>
      <c r="AY105" t="s">
        <v>7363</v>
      </c>
      <c r="BA105">
        <v>0</v>
      </c>
      <c r="BB105" s="20">
        <v>44952</v>
      </c>
      <c r="BC105">
        <v>0</v>
      </c>
      <c r="BD105" t="s">
        <v>7360</v>
      </c>
      <c r="BE105">
        <v>118</v>
      </c>
      <c r="BF105" s="20">
        <v>44952</v>
      </c>
      <c r="BG105">
        <v>0</v>
      </c>
      <c r="BH105" t="s">
        <v>7363</v>
      </c>
      <c r="BJ105" t="s">
        <v>7362</v>
      </c>
      <c r="BK105">
        <v>169</v>
      </c>
      <c r="BL105">
        <v>11</v>
      </c>
      <c r="BM105">
        <v>1</v>
      </c>
      <c r="BN105" t="s">
        <v>7364</v>
      </c>
      <c r="BO105">
        <v>0</v>
      </c>
      <c r="BP105">
        <v>0</v>
      </c>
      <c r="BQ105">
        <v>0</v>
      </c>
      <c r="BR105">
        <v>0</v>
      </c>
      <c r="BS105" t="s">
        <v>48</v>
      </c>
      <c r="BT105" t="s">
        <v>7360</v>
      </c>
      <c r="BU105" t="s">
        <v>7360</v>
      </c>
      <c r="BV105" t="s">
        <v>7360</v>
      </c>
      <c r="BX105" t="s">
        <v>7391</v>
      </c>
      <c r="BY105">
        <v>74</v>
      </c>
      <c r="BZ105" t="s">
        <v>7360</v>
      </c>
      <c r="CA105" t="s">
        <v>7360</v>
      </c>
      <c r="CB105" t="s">
        <v>7360</v>
      </c>
      <c r="CC105" s="21">
        <v>44952.601203703707</v>
      </c>
      <c r="CE105" t="s">
        <v>7392</v>
      </c>
      <c r="CF105">
        <v>1100101</v>
      </c>
      <c r="CG105">
        <v>53575</v>
      </c>
      <c r="CH105">
        <v>53575</v>
      </c>
      <c r="CI105" s="21">
        <v>44952.603738425925</v>
      </c>
      <c r="CJ105" t="s">
        <v>7393</v>
      </c>
      <c r="CK105" t="s">
        <v>7393</v>
      </c>
      <c r="CL105" t="s">
        <v>7394</v>
      </c>
      <c r="CM105" t="s">
        <v>7394</v>
      </c>
      <c r="CS105" t="s">
        <v>7361</v>
      </c>
      <c r="CT105" t="s">
        <v>7362</v>
      </c>
      <c r="CU105" t="s">
        <v>7362</v>
      </c>
      <c r="CV105" t="s">
        <v>7362</v>
      </c>
      <c r="CW105" t="s">
        <v>7362</v>
      </c>
      <c r="CX105">
        <v>5095363</v>
      </c>
      <c r="DA105">
        <v>0</v>
      </c>
      <c r="DB105">
        <v>129013</v>
      </c>
    </row>
    <row r="106" spans="1:106" x14ac:dyDescent="0.3">
      <c r="A106">
        <v>1365</v>
      </c>
      <c r="B106" t="s">
        <v>7384</v>
      </c>
      <c r="C106">
        <v>128</v>
      </c>
      <c r="D106" s="20">
        <v>44952</v>
      </c>
      <c r="E106" t="s">
        <v>7372</v>
      </c>
      <c r="F106" t="s">
        <v>5607</v>
      </c>
      <c r="G106" t="s">
        <v>7370</v>
      </c>
      <c r="H106">
        <v>1</v>
      </c>
      <c r="I106" t="s">
        <v>7358</v>
      </c>
      <c r="J106">
        <v>1</v>
      </c>
      <c r="K106" s="20">
        <v>44952</v>
      </c>
      <c r="L106" s="23">
        <v>3339000</v>
      </c>
      <c r="M106" t="s">
        <v>7359</v>
      </c>
      <c r="N106" t="s">
        <v>7360</v>
      </c>
      <c r="O106">
        <v>0</v>
      </c>
      <c r="P106">
        <v>11940</v>
      </c>
      <c r="Q106">
        <v>416083</v>
      </c>
      <c r="R106">
        <v>0</v>
      </c>
      <c r="S106">
        <v>20230126</v>
      </c>
      <c r="T106">
        <v>0</v>
      </c>
      <c r="U106" t="s">
        <v>7362</v>
      </c>
      <c r="V106" t="s">
        <v>7360</v>
      </c>
      <c r="W106" t="s">
        <v>7360</v>
      </c>
      <c r="X106" t="s">
        <v>7360</v>
      </c>
      <c r="Y106" t="s">
        <v>7360</v>
      </c>
      <c r="Z106" t="s">
        <v>7360</v>
      </c>
      <c r="AA106" t="s">
        <v>7362</v>
      </c>
      <c r="AB106" t="s">
        <v>7360</v>
      </c>
      <c r="AC106" t="s">
        <v>7360</v>
      </c>
      <c r="AD106" t="s">
        <v>7360</v>
      </c>
      <c r="AE106" t="s">
        <v>7360</v>
      </c>
      <c r="AF106" t="s">
        <v>1684</v>
      </c>
      <c r="AG106">
        <v>0</v>
      </c>
      <c r="AH106">
        <v>0</v>
      </c>
      <c r="AI106">
        <v>0</v>
      </c>
      <c r="AJ106">
        <v>0</v>
      </c>
      <c r="AK106">
        <v>0</v>
      </c>
      <c r="AL106" t="s">
        <v>7360</v>
      </c>
      <c r="AM106">
        <v>0</v>
      </c>
      <c r="AN106" s="20">
        <v>44952</v>
      </c>
      <c r="AO106" s="20">
        <v>44952</v>
      </c>
      <c r="AP106" s="20">
        <v>44952</v>
      </c>
      <c r="AQ106">
        <v>0</v>
      </c>
      <c r="AR106">
        <v>0</v>
      </c>
      <c r="AS106">
        <v>0</v>
      </c>
      <c r="AT106">
        <v>0</v>
      </c>
      <c r="AU106">
        <v>0</v>
      </c>
      <c r="AV106" t="s">
        <v>7360</v>
      </c>
      <c r="AW106">
        <v>0</v>
      </c>
      <c r="AX106" t="s">
        <v>7360</v>
      </c>
      <c r="AY106" t="s">
        <v>7362</v>
      </c>
      <c r="BA106">
        <v>0</v>
      </c>
      <c r="BB106" s="20">
        <v>44952</v>
      </c>
      <c r="BC106">
        <v>0</v>
      </c>
      <c r="BD106" t="s">
        <v>7360</v>
      </c>
      <c r="BF106" s="20">
        <v>44952</v>
      </c>
      <c r="BG106">
        <v>0</v>
      </c>
      <c r="BH106" t="s">
        <v>7363</v>
      </c>
      <c r="BJ106" t="s">
        <v>7362</v>
      </c>
      <c r="BK106">
        <v>169</v>
      </c>
      <c r="BL106">
        <v>11</v>
      </c>
      <c r="BM106">
        <v>1</v>
      </c>
      <c r="BN106" t="s">
        <v>7364</v>
      </c>
      <c r="BO106">
        <v>0</v>
      </c>
      <c r="BP106">
        <v>0</v>
      </c>
      <c r="BQ106">
        <v>0</v>
      </c>
      <c r="BR106">
        <v>0</v>
      </c>
      <c r="BS106" t="s">
        <v>7385</v>
      </c>
      <c r="BT106" t="s">
        <v>7360</v>
      </c>
      <c r="BU106" t="s">
        <v>7360</v>
      </c>
      <c r="BV106" t="s">
        <v>7360</v>
      </c>
      <c r="BX106" t="s">
        <v>7391</v>
      </c>
      <c r="BY106">
        <v>74</v>
      </c>
      <c r="BZ106" t="s">
        <v>7360</v>
      </c>
      <c r="CA106" t="s">
        <v>7360</v>
      </c>
      <c r="CB106" t="s">
        <v>7360</v>
      </c>
      <c r="CC106" s="21">
        <v>44952.607766203706</v>
      </c>
      <c r="CE106" t="s">
        <v>7392</v>
      </c>
      <c r="CF106">
        <v>1100101</v>
      </c>
      <c r="CG106">
        <v>53575</v>
      </c>
      <c r="CH106">
        <v>53575</v>
      </c>
      <c r="CI106" s="21">
        <v>44952.608877314815</v>
      </c>
      <c r="CJ106" t="s">
        <v>7393</v>
      </c>
      <c r="CK106" t="s">
        <v>7393</v>
      </c>
      <c r="CL106" t="s">
        <v>7394</v>
      </c>
      <c r="CM106" t="s">
        <v>7394</v>
      </c>
      <c r="CS106" t="s">
        <v>7361</v>
      </c>
      <c r="CT106" t="s">
        <v>7362</v>
      </c>
      <c r="CU106" t="s">
        <v>7362</v>
      </c>
      <c r="CV106" t="s">
        <v>7362</v>
      </c>
      <c r="CW106" t="s">
        <v>7362</v>
      </c>
      <c r="CX106">
        <v>3339000</v>
      </c>
      <c r="DA106">
        <v>0</v>
      </c>
    </row>
    <row r="107" spans="1:106" x14ac:dyDescent="0.3">
      <c r="A107">
        <v>1373</v>
      </c>
      <c r="B107" t="s">
        <v>7383</v>
      </c>
      <c r="C107">
        <v>129</v>
      </c>
      <c r="D107" s="20">
        <v>44952</v>
      </c>
      <c r="E107" t="s">
        <v>7356</v>
      </c>
      <c r="F107" t="s">
        <v>5612</v>
      </c>
      <c r="G107" t="s">
        <v>7357</v>
      </c>
      <c r="H107">
        <v>1</v>
      </c>
      <c r="I107" t="s">
        <v>7358</v>
      </c>
      <c r="J107">
        <v>1</v>
      </c>
      <c r="K107" s="20">
        <v>44952</v>
      </c>
      <c r="L107" s="23">
        <v>692820</v>
      </c>
      <c r="M107" t="s">
        <v>7359</v>
      </c>
      <c r="N107" t="s">
        <v>7360</v>
      </c>
      <c r="O107">
        <v>0</v>
      </c>
      <c r="P107">
        <v>11814</v>
      </c>
      <c r="Q107">
        <v>415026</v>
      </c>
      <c r="R107">
        <v>0</v>
      </c>
      <c r="S107">
        <v>20230126</v>
      </c>
      <c r="T107">
        <v>0</v>
      </c>
      <c r="U107" t="s">
        <v>7361</v>
      </c>
      <c r="V107" t="s">
        <v>7360</v>
      </c>
      <c r="W107" t="s">
        <v>7360</v>
      </c>
      <c r="X107" t="s">
        <v>7360</v>
      </c>
      <c r="Y107" t="s">
        <v>7360</v>
      </c>
      <c r="Z107" t="s">
        <v>7360</v>
      </c>
      <c r="AA107" t="s">
        <v>7362</v>
      </c>
      <c r="AB107" t="s">
        <v>7360</v>
      </c>
      <c r="AC107" t="s">
        <v>7360</v>
      </c>
      <c r="AD107" t="s">
        <v>7360</v>
      </c>
      <c r="AE107" t="s">
        <v>7360</v>
      </c>
      <c r="AF107" t="s">
        <v>1684</v>
      </c>
      <c r="AG107">
        <v>0</v>
      </c>
      <c r="AH107">
        <v>0</v>
      </c>
      <c r="AI107">
        <v>0</v>
      </c>
      <c r="AJ107">
        <v>0</v>
      </c>
      <c r="AK107">
        <v>0</v>
      </c>
      <c r="AL107" t="s">
        <v>7360</v>
      </c>
      <c r="AM107">
        <v>0</v>
      </c>
      <c r="AN107" s="20">
        <v>44952</v>
      </c>
      <c r="AO107" s="20">
        <v>44952</v>
      </c>
      <c r="AP107" s="20">
        <v>44952</v>
      </c>
      <c r="AQ107">
        <v>0</v>
      </c>
      <c r="AR107">
        <v>0</v>
      </c>
      <c r="AS107">
        <v>0</v>
      </c>
      <c r="AT107">
        <v>0</v>
      </c>
      <c r="AU107">
        <v>0</v>
      </c>
      <c r="AV107" t="s">
        <v>7360</v>
      </c>
      <c r="AW107">
        <v>0</v>
      </c>
      <c r="AX107" t="s">
        <v>7360</v>
      </c>
      <c r="AY107" t="s">
        <v>7363</v>
      </c>
      <c r="BA107">
        <v>0</v>
      </c>
      <c r="BB107" s="20">
        <v>44952</v>
      </c>
      <c r="BC107">
        <v>0</v>
      </c>
      <c r="BD107" t="s">
        <v>7360</v>
      </c>
      <c r="BF107" s="20">
        <v>44952</v>
      </c>
      <c r="BG107">
        <v>0</v>
      </c>
      <c r="BH107" t="s">
        <v>7363</v>
      </c>
      <c r="BJ107" t="s">
        <v>7362</v>
      </c>
      <c r="BK107">
        <v>169</v>
      </c>
      <c r="BL107">
        <v>11</v>
      </c>
      <c r="BM107">
        <v>1</v>
      </c>
      <c r="BN107" t="s">
        <v>7364</v>
      </c>
      <c r="BO107">
        <v>169</v>
      </c>
      <c r="BP107">
        <v>11</v>
      </c>
      <c r="BQ107">
        <v>1</v>
      </c>
      <c r="BR107" t="s">
        <v>7364</v>
      </c>
      <c r="BS107" t="s">
        <v>132</v>
      </c>
      <c r="BT107" t="s">
        <v>7360</v>
      </c>
      <c r="BU107" t="s">
        <v>7360</v>
      </c>
      <c r="BV107" t="s">
        <v>7360</v>
      </c>
      <c r="BX107" t="s">
        <v>7391</v>
      </c>
      <c r="BY107">
        <v>74</v>
      </c>
      <c r="BZ107" t="s">
        <v>7360</v>
      </c>
      <c r="CA107" t="s">
        <v>7360</v>
      </c>
      <c r="CB107">
        <v>3380666</v>
      </c>
      <c r="CC107" s="21">
        <v>44952.611168981479</v>
      </c>
      <c r="CE107" t="s">
        <v>7392</v>
      </c>
      <c r="CF107">
        <v>1100101</v>
      </c>
      <c r="CG107">
        <v>51669</v>
      </c>
      <c r="CH107">
        <v>51669</v>
      </c>
      <c r="CI107" s="21">
        <v>44952.612604166665</v>
      </c>
      <c r="CJ107" t="s">
        <v>7406</v>
      </c>
      <c r="CK107" t="s">
        <v>7406</v>
      </c>
      <c r="CL107" t="s">
        <v>7407</v>
      </c>
      <c r="CM107" t="s">
        <v>7407</v>
      </c>
      <c r="CS107" t="s">
        <v>7361</v>
      </c>
      <c r="CT107" t="s">
        <v>7362</v>
      </c>
      <c r="CU107" t="s">
        <v>7362</v>
      </c>
      <c r="CV107" t="s">
        <v>7362</v>
      </c>
      <c r="CW107" t="s">
        <v>7362</v>
      </c>
      <c r="CX107">
        <v>692820</v>
      </c>
      <c r="DA107">
        <v>0</v>
      </c>
    </row>
    <row r="108" spans="1:106" x14ac:dyDescent="0.3">
      <c r="A108">
        <v>1354</v>
      </c>
      <c r="B108" t="s">
        <v>7396</v>
      </c>
      <c r="C108">
        <v>130</v>
      </c>
      <c r="D108" s="20">
        <v>44952</v>
      </c>
      <c r="E108" t="s">
        <v>7356</v>
      </c>
      <c r="F108" t="s">
        <v>5617</v>
      </c>
      <c r="G108" t="s">
        <v>7370</v>
      </c>
      <c r="H108">
        <v>1</v>
      </c>
      <c r="I108" t="s">
        <v>7358</v>
      </c>
      <c r="J108">
        <v>1</v>
      </c>
      <c r="K108" s="20">
        <v>44952</v>
      </c>
      <c r="L108" s="23">
        <v>3600000</v>
      </c>
      <c r="M108" t="s">
        <v>7359</v>
      </c>
      <c r="N108" t="s">
        <v>7360</v>
      </c>
      <c r="O108">
        <v>0</v>
      </c>
      <c r="P108">
        <v>11811</v>
      </c>
      <c r="Q108">
        <v>415025</v>
      </c>
      <c r="R108">
        <v>0</v>
      </c>
      <c r="S108">
        <v>20230126</v>
      </c>
      <c r="T108">
        <v>0</v>
      </c>
      <c r="U108" t="s">
        <v>7361</v>
      </c>
      <c r="V108" t="s">
        <v>7360</v>
      </c>
      <c r="W108" t="s">
        <v>7360</v>
      </c>
      <c r="X108" t="s">
        <v>7360</v>
      </c>
      <c r="Y108" t="s">
        <v>7360</v>
      </c>
      <c r="Z108" t="s">
        <v>7360</v>
      </c>
      <c r="AA108" t="s">
        <v>7362</v>
      </c>
      <c r="AB108" t="s">
        <v>7360</v>
      </c>
      <c r="AC108" t="s">
        <v>7360</v>
      </c>
      <c r="AD108" t="s">
        <v>7360</v>
      </c>
      <c r="AE108" t="s">
        <v>7360</v>
      </c>
      <c r="AF108" t="s">
        <v>1684</v>
      </c>
      <c r="AG108">
        <v>0</v>
      </c>
      <c r="AH108">
        <v>0</v>
      </c>
      <c r="AI108">
        <v>0</v>
      </c>
      <c r="AJ108">
        <v>0</v>
      </c>
      <c r="AK108">
        <v>0</v>
      </c>
      <c r="AL108" t="s">
        <v>7360</v>
      </c>
      <c r="AM108">
        <v>0</v>
      </c>
      <c r="AN108" s="20">
        <v>44952</v>
      </c>
      <c r="AO108" s="20">
        <v>44952</v>
      </c>
      <c r="AP108" s="20">
        <v>44952</v>
      </c>
      <c r="AQ108">
        <v>0</v>
      </c>
      <c r="AR108">
        <v>0</v>
      </c>
      <c r="AS108">
        <v>0</v>
      </c>
      <c r="AT108">
        <v>0</v>
      </c>
      <c r="AU108">
        <v>0</v>
      </c>
      <c r="AV108" t="s">
        <v>7360</v>
      </c>
      <c r="AW108">
        <v>0</v>
      </c>
      <c r="AX108" t="s">
        <v>7360</v>
      </c>
      <c r="AY108" t="s">
        <v>7363</v>
      </c>
      <c r="BA108">
        <v>0</v>
      </c>
      <c r="BB108" s="20">
        <v>44952</v>
      </c>
      <c r="BC108">
        <v>0</v>
      </c>
      <c r="BD108" t="s">
        <v>7360</v>
      </c>
      <c r="BF108" s="20">
        <v>44952</v>
      </c>
      <c r="BG108">
        <v>0</v>
      </c>
      <c r="BH108" t="s">
        <v>7363</v>
      </c>
      <c r="BJ108" t="s">
        <v>7362</v>
      </c>
      <c r="BK108">
        <v>0</v>
      </c>
      <c r="BL108">
        <v>0</v>
      </c>
      <c r="BM108">
        <v>0</v>
      </c>
      <c r="BN108">
        <v>0</v>
      </c>
      <c r="BO108">
        <v>169</v>
      </c>
      <c r="BP108">
        <v>11</v>
      </c>
      <c r="BQ108">
        <v>1</v>
      </c>
      <c r="BR108" t="s">
        <v>7364</v>
      </c>
      <c r="BS108" t="s">
        <v>7365</v>
      </c>
      <c r="BT108" t="s">
        <v>7360</v>
      </c>
      <c r="BU108" t="s">
        <v>7360</v>
      </c>
      <c r="BV108" t="s">
        <v>7360</v>
      </c>
      <c r="BX108">
        <v>0</v>
      </c>
      <c r="BY108">
        <v>0</v>
      </c>
      <c r="BZ108" t="s">
        <v>7360</v>
      </c>
      <c r="CA108" t="s">
        <v>7360</v>
      </c>
      <c r="CB108">
        <v>3380666</v>
      </c>
      <c r="CC108" s="21">
        <v>44952.610590277778</v>
      </c>
      <c r="CE108" t="s">
        <v>7366</v>
      </c>
      <c r="CF108">
        <v>0</v>
      </c>
      <c r="CG108">
        <v>702002</v>
      </c>
      <c r="CH108">
        <v>702002</v>
      </c>
      <c r="CI108" s="21">
        <v>44952.612986111111</v>
      </c>
      <c r="CJ108" t="s">
        <v>7367</v>
      </c>
      <c r="CK108" t="s">
        <v>7367</v>
      </c>
      <c r="CL108" t="s">
        <v>7368</v>
      </c>
      <c r="CM108" t="s">
        <v>7368</v>
      </c>
      <c r="CS108" t="s">
        <v>7361</v>
      </c>
      <c r="CT108" t="s">
        <v>7362</v>
      </c>
      <c r="CU108" t="s">
        <v>7362</v>
      </c>
      <c r="CV108" t="s">
        <v>7362</v>
      </c>
      <c r="CW108" t="s">
        <v>7362</v>
      </c>
      <c r="CX108">
        <v>3600000</v>
      </c>
      <c r="DA108">
        <v>0</v>
      </c>
    </row>
    <row r="109" spans="1:106" x14ac:dyDescent="0.3">
      <c r="A109">
        <v>1354</v>
      </c>
      <c r="B109" t="s">
        <v>7396</v>
      </c>
      <c r="C109">
        <v>131</v>
      </c>
      <c r="D109" s="20">
        <v>44952</v>
      </c>
      <c r="E109" t="s">
        <v>7356</v>
      </c>
      <c r="F109" t="s">
        <v>5623</v>
      </c>
      <c r="G109" t="s">
        <v>7370</v>
      </c>
      <c r="H109">
        <v>1</v>
      </c>
      <c r="I109" t="s">
        <v>7358</v>
      </c>
      <c r="J109">
        <v>1</v>
      </c>
      <c r="K109" s="20">
        <v>44952</v>
      </c>
      <c r="L109" s="23">
        <v>3000000</v>
      </c>
      <c r="M109" t="s">
        <v>7359</v>
      </c>
      <c r="N109" t="s">
        <v>7360</v>
      </c>
      <c r="O109">
        <v>0</v>
      </c>
      <c r="P109">
        <v>11817</v>
      </c>
      <c r="Q109">
        <v>415028</v>
      </c>
      <c r="R109">
        <v>0</v>
      </c>
      <c r="S109">
        <v>20230126</v>
      </c>
      <c r="T109">
        <v>0</v>
      </c>
      <c r="U109" t="s">
        <v>7361</v>
      </c>
      <c r="V109" t="s">
        <v>7360</v>
      </c>
      <c r="W109" t="s">
        <v>7360</v>
      </c>
      <c r="X109" t="s">
        <v>7360</v>
      </c>
      <c r="Y109" t="s">
        <v>7360</v>
      </c>
      <c r="Z109" t="s">
        <v>7360</v>
      </c>
      <c r="AA109" t="s">
        <v>7362</v>
      </c>
      <c r="AB109" t="s">
        <v>7360</v>
      </c>
      <c r="AC109" t="s">
        <v>7360</v>
      </c>
      <c r="AD109" t="s">
        <v>7360</v>
      </c>
      <c r="AE109" t="s">
        <v>7360</v>
      </c>
      <c r="AF109" t="s">
        <v>1684</v>
      </c>
      <c r="AG109">
        <v>0</v>
      </c>
      <c r="AH109">
        <v>0</v>
      </c>
      <c r="AI109">
        <v>0</v>
      </c>
      <c r="AJ109">
        <v>0</v>
      </c>
      <c r="AK109">
        <v>0</v>
      </c>
      <c r="AL109" t="s">
        <v>7360</v>
      </c>
      <c r="AM109">
        <v>0</v>
      </c>
      <c r="AN109" s="20">
        <v>44952</v>
      </c>
      <c r="AO109" s="20">
        <v>44952</v>
      </c>
      <c r="AP109" s="20">
        <v>44952</v>
      </c>
      <c r="AQ109">
        <v>0</v>
      </c>
      <c r="AR109">
        <v>0</v>
      </c>
      <c r="AS109">
        <v>0</v>
      </c>
      <c r="AT109">
        <v>0</v>
      </c>
      <c r="AU109">
        <v>0</v>
      </c>
      <c r="AV109" t="s">
        <v>7360</v>
      </c>
      <c r="AW109">
        <v>0</v>
      </c>
      <c r="AX109" t="s">
        <v>7360</v>
      </c>
      <c r="AY109" t="s">
        <v>7363</v>
      </c>
      <c r="BA109">
        <v>0</v>
      </c>
      <c r="BB109" s="20">
        <v>44952</v>
      </c>
      <c r="BC109">
        <v>0</v>
      </c>
      <c r="BD109" t="s">
        <v>7360</v>
      </c>
      <c r="BF109" s="20">
        <v>44952</v>
      </c>
      <c r="BG109">
        <v>0</v>
      </c>
      <c r="BH109" t="s">
        <v>7363</v>
      </c>
      <c r="BJ109" t="s">
        <v>7362</v>
      </c>
      <c r="BK109">
        <v>169</v>
      </c>
      <c r="BL109">
        <v>11</v>
      </c>
      <c r="BM109">
        <v>1</v>
      </c>
      <c r="BN109" t="s">
        <v>7364</v>
      </c>
      <c r="BO109">
        <v>169</v>
      </c>
      <c r="BP109">
        <v>11</v>
      </c>
      <c r="BQ109">
        <v>1</v>
      </c>
      <c r="BR109" t="s">
        <v>7364</v>
      </c>
      <c r="BS109" t="s">
        <v>132</v>
      </c>
      <c r="BT109" t="s">
        <v>7360</v>
      </c>
      <c r="BU109" t="s">
        <v>7360</v>
      </c>
      <c r="BV109" t="s">
        <v>7360</v>
      </c>
      <c r="BX109" t="s">
        <v>7391</v>
      </c>
      <c r="BY109">
        <v>74</v>
      </c>
      <c r="BZ109" t="s">
        <v>7360</v>
      </c>
      <c r="CA109" t="s">
        <v>7360</v>
      </c>
      <c r="CB109">
        <v>3380666</v>
      </c>
      <c r="CC109" s="21">
        <v>44952.621053240742</v>
      </c>
      <c r="CE109" t="s">
        <v>7392</v>
      </c>
      <c r="CF109">
        <v>1100101</v>
      </c>
      <c r="CG109">
        <v>51669</v>
      </c>
      <c r="CH109">
        <v>51669</v>
      </c>
      <c r="CI109" s="21">
        <v>44952.623043981483</v>
      </c>
      <c r="CJ109" t="s">
        <v>7406</v>
      </c>
      <c r="CK109" t="s">
        <v>7406</v>
      </c>
      <c r="CL109" t="s">
        <v>7407</v>
      </c>
      <c r="CM109" t="s">
        <v>7407</v>
      </c>
      <c r="CS109" t="s">
        <v>7361</v>
      </c>
      <c r="CT109" t="s">
        <v>7362</v>
      </c>
      <c r="CU109" t="s">
        <v>7362</v>
      </c>
      <c r="CV109" t="s">
        <v>7362</v>
      </c>
      <c r="CW109" t="s">
        <v>7362</v>
      </c>
      <c r="CX109">
        <v>3000000</v>
      </c>
      <c r="DA109">
        <v>0</v>
      </c>
    </row>
    <row r="110" spans="1:106" x14ac:dyDescent="0.3">
      <c r="A110">
        <v>1355</v>
      </c>
      <c r="B110" t="s">
        <v>7409</v>
      </c>
      <c r="C110">
        <v>132</v>
      </c>
      <c r="D110" s="20">
        <v>44952</v>
      </c>
      <c r="E110" t="s">
        <v>7356</v>
      </c>
      <c r="F110" t="s">
        <v>5628</v>
      </c>
      <c r="G110" t="s">
        <v>7370</v>
      </c>
      <c r="H110">
        <v>1</v>
      </c>
      <c r="I110" t="s">
        <v>7358</v>
      </c>
      <c r="J110">
        <v>1</v>
      </c>
      <c r="K110" s="20">
        <v>44952</v>
      </c>
      <c r="L110" s="23">
        <v>2250000</v>
      </c>
      <c r="M110" t="s">
        <v>7359</v>
      </c>
      <c r="N110" t="s">
        <v>7360</v>
      </c>
      <c r="O110">
        <v>0</v>
      </c>
      <c r="P110">
        <v>11825</v>
      </c>
      <c r="Q110">
        <v>416002</v>
      </c>
      <c r="R110">
        <v>0</v>
      </c>
      <c r="S110">
        <v>20230126</v>
      </c>
      <c r="T110">
        <v>0</v>
      </c>
      <c r="U110" t="s">
        <v>7362</v>
      </c>
      <c r="V110" t="s">
        <v>7360</v>
      </c>
      <c r="W110" t="s">
        <v>7360</v>
      </c>
      <c r="X110" t="s">
        <v>7360</v>
      </c>
      <c r="Y110" t="s">
        <v>7360</v>
      </c>
      <c r="Z110" t="s">
        <v>7360</v>
      </c>
      <c r="AA110" t="s">
        <v>7362</v>
      </c>
      <c r="AB110" t="s">
        <v>7360</v>
      </c>
      <c r="AC110" t="s">
        <v>7360</v>
      </c>
      <c r="AD110" t="s">
        <v>7360</v>
      </c>
      <c r="AE110" t="s">
        <v>7360</v>
      </c>
      <c r="AF110" t="s">
        <v>1684</v>
      </c>
      <c r="AG110">
        <v>0</v>
      </c>
      <c r="AH110">
        <v>0</v>
      </c>
      <c r="AI110">
        <v>0</v>
      </c>
      <c r="AJ110">
        <v>0</v>
      </c>
      <c r="AK110">
        <v>0</v>
      </c>
      <c r="AL110" t="s">
        <v>7360</v>
      </c>
      <c r="AM110">
        <v>0</v>
      </c>
      <c r="AN110" s="20">
        <v>44952</v>
      </c>
      <c r="AO110" s="20">
        <v>44952</v>
      </c>
      <c r="AP110" s="20">
        <v>44952</v>
      </c>
      <c r="AQ110">
        <v>0</v>
      </c>
      <c r="AR110">
        <v>0</v>
      </c>
      <c r="AS110">
        <v>0</v>
      </c>
      <c r="AT110">
        <v>0</v>
      </c>
      <c r="AU110">
        <v>0</v>
      </c>
      <c r="AV110" t="s">
        <v>7360</v>
      </c>
      <c r="AW110">
        <v>0</v>
      </c>
      <c r="AX110" t="s">
        <v>7360</v>
      </c>
      <c r="AY110" t="s">
        <v>7362</v>
      </c>
      <c r="AZ110">
        <v>1384</v>
      </c>
      <c r="BA110">
        <v>73</v>
      </c>
      <c r="BB110" s="20">
        <v>44972</v>
      </c>
      <c r="BC110">
        <v>20230215</v>
      </c>
      <c r="BD110" t="s">
        <v>7410</v>
      </c>
      <c r="BF110" s="20">
        <v>44952</v>
      </c>
      <c r="BG110">
        <v>0</v>
      </c>
      <c r="BH110" t="s">
        <v>7363</v>
      </c>
      <c r="BJ110" t="s">
        <v>7362</v>
      </c>
      <c r="BK110">
        <v>169</v>
      </c>
      <c r="BL110">
        <v>11</v>
      </c>
      <c r="BM110">
        <v>1</v>
      </c>
      <c r="BN110" t="s">
        <v>7364</v>
      </c>
      <c r="BO110">
        <v>0</v>
      </c>
      <c r="BP110">
        <v>0</v>
      </c>
      <c r="BQ110">
        <v>0</v>
      </c>
      <c r="BR110">
        <v>0</v>
      </c>
      <c r="BS110" t="s">
        <v>7411</v>
      </c>
      <c r="BT110" t="s">
        <v>7360</v>
      </c>
      <c r="BU110" t="s">
        <v>7360</v>
      </c>
      <c r="BV110" t="s">
        <v>7360</v>
      </c>
      <c r="BX110" t="s">
        <v>7391</v>
      </c>
      <c r="BY110">
        <v>80</v>
      </c>
      <c r="BZ110">
        <v>0</v>
      </c>
      <c r="CA110">
        <v>0</v>
      </c>
      <c r="CB110" t="s">
        <v>7360</v>
      </c>
      <c r="CC110" s="21">
        <v>44952.625694444447</v>
      </c>
      <c r="CE110" t="s">
        <v>7412</v>
      </c>
      <c r="CF110">
        <v>1108001</v>
      </c>
      <c r="CG110">
        <v>53575</v>
      </c>
      <c r="CH110">
        <v>53575</v>
      </c>
      <c r="CI110" s="21">
        <v>44952.62703703704</v>
      </c>
      <c r="CJ110" t="s">
        <v>7393</v>
      </c>
      <c r="CK110" t="s">
        <v>7393</v>
      </c>
      <c r="CL110" t="s">
        <v>7394</v>
      </c>
      <c r="CM110" t="s">
        <v>7394</v>
      </c>
      <c r="CS110" t="s">
        <v>7361</v>
      </c>
      <c r="CT110" t="s">
        <v>7362</v>
      </c>
      <c r="CU110" t="s">
        <v>7362</v>
      </c>
      <c r="CV110" t="s">
        <v>7362</v>
      </c>
      <c r="CW110" t="s">
        <v>7362</v>
      </c>
      <c r="CX110">
        <v>2250000</v>
      </c>
      <c r="CY110" t="s">
        <v>1684</v>
      </c>
      <c r="DA110">
        <v>0</v>
      </c>
    </row>
    <row r="111" spans="1:106" x14ac:dyDescent="0.3">
      <c r="A111">
        <v>1354</v>
      </c>
      <c r="B111" t="s">
        <v>7396</v>
      </c>
      <c r="C111">
        <v>133</v>
      </c>
      <c r="D111" s="20">
        <v>44952</v>
      </c>
      <c r="E111" t="s">
        <v>7356</v>
      </c>
      <c r="F111" t="s">
        <v>5633</v>
      </c>
      <c r="G111" t="s">
        <v>7370</v>
      </c>
      <c r="H111">
        <v>1</v>
      </c>
      <c r="I111" t="s">
        <v>7358</v>
      </c>
      <c r="J111">
        <v>1</v>
      </c>
      <c r="K111" s="20">
        <v>44952</v>
      </c>
      <c r="L111" s="23">
        <v>3000000</v>
      </c>
      <c r="M111" t="s">
        <v>7359</v>
      </c>
      <c r="N111" t="s">
        <v>7360</v>
      </c>
      <c r="O111">
        <v>0</v>
      </c>
      <c r="P111">
        <v>11823</v>
      </c>
      <c r="Q111">
        <v>416001</v>
      </c>
      <c r="R111">
        <v>0</v>
      </c>
      <c r="S111">
        <v>20230126</v>
      </c>
      <c r="T111">
        <v>0</v>
      </c>
      <c r="U111" t="s">
        <v>7361</v>
      </c>
      <c r="V111" t="s">
        <v>7360</v>
      </c>
      <c r="W111" t="s">
        <v>7360</v>
      </c>
      <c r="X111" t="s">
        <v>7360</v>
      </c>
      <c r="Y111" t="s">
        <v>7360</v>
      </c>
      <c r="Z111" t="s">
        <v>7360</v>
      </c>
      <c r="AA111" t="s">
        <v>7362</v>
      </c>
      <c r="AB111" t="s">
        <v>7360</v>
      </c>
      <c r="AC111" t="s">
        <v>7360</v>
      </c>
      <c r="AD111" t="s">
        <v>7360</v>
      </c>
      <c r="AE111" t="s">
        <v>7360</v>
      </c>
      <c r="AF111" t="s">
        <v>1684</v>
      </c>
      <c r="AG111">
        <v>0</v>
      </c>
      <c r="AH111">
        <v>0</v>
      </c>
      <c r="AI111">
        <v>0</v>
      </c>
      <c r="AJ111">
        <v>0</v>
      </c>
      <c r="AK111">
        <v>0</v>
      </c>
      <c r="AL111" t="s">
        <v>7360</v>
      </c>
      <c r="AM111">
        <v>0</v>
      </c>
      <c r="AN111" s="20">
        <v>44952</v>
      </c>
      <c r="AO111" s="20">
        <v>44952</v>
      </c>
      <c r="AP111" s="20">
        <v>44952</v>
      </c>
      <c r="AQ111">
        <v>0</v>
      </c>
      <c r="AR111">
        <v>0</v>
      </c>
      <c r="AS111">
        <v>0</v>
      </c>
      <c r="AT111">
        <v>0</v>
      </c>
      <c r="AU111">
        <v>0</v>
      </c>
      <c r="AV111" t="s">
        <v>7360</v>
      </c>
      <c r="AW111">
        <v>0</v>
      </c>
      <c r="AX111" t="s">
        <v>7360</v>
      </c>
      <c r="AY111" t="s">
        <v>7363</v>
      </c>
      <c r="BA111">
        <v>0</v>
      </c>
      <c r="BB111" s="20">
        <v>44952</v>
      </c>
      <c r="BC111">
        <v>0</v>
      </c>
      <c r="BD111" t="s">
        <v>7360</v>
      </c>
      <c r="BF111" s="20">
        <v>44952</v>
      </c>
      <c r="BG111">
        <v>0</v>
      </c>
      <c r="BH111" t="s">
        <v>7363</v>
      </c>
      <c r="BJ111" t="s">
        <v>7362</v>
      </c>
      <c r="BK111">
        <v>169</v>
      </c>
      <c r="BL111">
        <v>11</v>
      </c>
      <c r="BM111">
        <v>1</v>
      </c>
      <c r="BN111" t="s">
        <v>7364</v>
      </c>
      <c r="BO111">
        <v>169</v>
      </c>
      <c r="BP111">
        <v>11</v>
      </c>
      <c r="BQ111">
        <v>1</v>
      </c>
      <c r="BR111" t="s">
        <v>7364</v>
      </c>
      <c r="BS111" t="s">
        <v>132</v>
      </c>
      <c r="BT111" t="s">
        <v>7360</v>
      </c>
      <c r="BU111" t="s">
        <v>7360</v>
      </c>
      <c r="BV111" t="s">
        <v>7360</v>
      </c>
      <c r="BX111" t="s">
        <v>7391</v>
      </c>
      <c r="BY111">
        <v>74</v>
      </c>
      <c r="BZ111" t="s">
        <v>7360</v>
      </c>
      <c r="CA111" t="s">
        <v>7360</v>
      </c>
      <c r="CB111">
        <v>3380666</v>
      </c>
      <c r="CC111" s="21">
        <v>44952.62773148148</v>
      </c>
      <c r="CE111" t="s">
        <v>7392</v>
      </c>
      <c r="CF111">
        <v>1100101</v>
      </c>
      <c r="CG111">
        <v>51669</v>
      </c>
      <c r="CH111">
        <v>51669</v>
      </c>
      <c r="CI111" s="21">
        <v>44952.628981481481</v>
      </c>
      <c r="CJ111" t="s">
        <v>7406</v>
      </c>
      <c r="CK111" t="s">
        <v>7406</v>
      </c>
      <c r="CL111" t="s">
        <v>7407</v>
      </c>
      <c r="CM111" t="s">
        <v>7407</v>
      </c>
      <c r="CS111" t="s">
        <v>7361</v>
      </c>
      <c r="CT111" t="s">
        <v>7362</v>
      </c>
      <c r="CU111" t="s">
        <v>7362</v>
      </c>
      <c r="CV111" t="s">
        <v>7362</v>
      </c>
      <c r="CW111" t="s">
        <v>7362</v>
      </c>
      <c r="CX111">
        <v>3000000</v>
      </c>
      <c r="DA111">
        <v>0</v>
      </c>
    </row>
    <row r="112" spans="1:106" x14ac:dyDescent="0.3">
      <c r="A112">
        <v>1355</v>
      </c>
      <c r="B112" t="s">
        <v>7409</v>
      </c>
      <c r="C112">
        <v>134</v>
      </c>
      <c r="D112" s="20">
        <v>44952</v>
      </c>
      <c r="E112" t="s">
        <v>7372</v>
      </c>
      <c r="F112" t="s">
        <v>5639</v>
      </c>
      <c r="G112" t="s">
        <v>7370</v>
      </c>
      <c r="H112">
        <v>1</v>
      </c>
      <c r="I112" t="s">
        <v>7358</v>
      </c>
      <c r="J112">
        <v>1</v>
      </c>
      <c r="K112" s="20">
        <v>44952</v>
      </c>
      <c r="L112" s="23">
        <v>1750000</v>
      </c>
      <c r="M112" t="s">
        <v>7359</v>
      </c>
      <c r="N112" t="s">
        <v>7360</v>
      </c>
      <c r="O112">
        <v>0</v>
      </c>
      <c r="P112">
        <v>11828</v>
      </c>
      <c r="Q112">
        <v>416006</v>
      </c>
      <c r="R112">
        <v>0</v>
      </c>
      <c r="S112">
        <v>20230126</v>
      </c>
      <c r="T112">
        <v>0</v>
      </c>
      <c r="U112" t="s">
        <v>7362</v>
      </c>
      <c r="V112" t="s">
        <v>7360</v>
      </c>
      <c r="W112" t="s">
        <v>7360</v>
      </c>
      <c r="X112" t="s">
        <v>7360</v>
      </c>
      <c r="Y112" t="s">
        <v>7360</v>
      </c>
      <c r="Z112" t="s">
        <v>7360</v>
      </c>
      <c r="AA112" t="s">
        <v>7362</v>
      </c>
      <c r="AB112" t="s">
        <v>7360</v>
      </c>
      <c r="AC112" t="s">
        <v>7360</v>
      </c>
      <c r="AD112" t="s">
        <v>7360</v>
      </c>
      <c r="AE112" t="s">
        <v>7360</v>
      </c>
      <c r="AF112" t="s">
        <v>1684</v>
      </c>
      <c r="AG112">
        <v>0</v>
      </c>
      <c r="AH112">
        <v>0</v>
      </c>
      <c r="AI112">
        <v>0</v>
      </c>
      <c r="AJ112">
        <v>0</v>
      </c>
      <c r="AK112">
        <v>0</v>
      </c>
      <c r="AL112" t="s">
        <v>7360</v>
      </c>
      <c r="AM112">
        <v>0</v>
      </c>
      <c r="AN112" s="20">
        <v>44952</v>
      </c>
      <c r="AO112" s="20">
        <v>44952</v>
      </c>
      <c r="AP112" s="20">
        <v>44952</v>
      </c>
      <c r="AQ112">
        <v>0</v>
      </c>
      <c r="AR112">
        <v>0</v>
      </c>
      <c r="AS112">
        <v>0</v>
      </c>
      <c r="AT112">
        <v>0</v>
      </c>
      <c r="AU112">
        <v>0</v>
      </c>
      <c r="AV112" t="s">
        <v>7360</v>
      </c>
      <c r="AW112">
        <v>0</v>
      </c>
      <c r="AX112" t="s">
        <v>7360</v>
      </c>
      <c r="AY112" t="s">
        <v>7362</v>
      </c>
      <c r="BA112">
        <v>0</v>
      </c>
      <c r="BB112" s="20">
        <v>44952</v>
      </c>
      <c r="BC112">
        <v>0</v>
      </c>
      <c r="BD112" t="s">
        <v>7360</v>
      </c>
      <c r="BF112" s="20">
        <v>44952</v>
      </c>
      <c r="BG112">
        <v>0</v>
      </c>
      <c r="BH112" t="s">
        <v>7363</v>
      </c>
      <c r="BJ112" t="s">
        <v>7362</v>
      </c>
      <c r="BK112">
        <v>169</v>
      </c>
      <c r="BL112">
        <v>11</v>
      </c>
      <c r="BM112">
        <v>1</v>
      </c>
      <c r="BN112" t="s">
        <v>7364</v>
      </c>
      <c r="BO112">
        <v>0</v>
      </c>
      <c r="BP112">
        <v>0</v>
      </c>
      <c r="BQ112">
        <v>0</v>
      </c>
      <c r="BR112">
        <v>0</v>
      </c>
      <c r="BS112" t="s">
        <v>7411</v>
      </c>
      <c r="BT112" t="s">
        <v>7360</v>
      </c>
      <c r="BU112" t="s">
        <v>7360</v>
      </c>
      <c r="BV112" t="s">
        <v>7360</v>
      </c>
      <c r="BX112" t="s">
        <v>7391</v>
      </c>
      <c r="BY112">
        <v>80</v>
      </c>
      <c r="BZ112">
        <v>0</v>
      </c>
      <c r="CA112">
        <v>0</v>
      </c>
      <c r="CB112" t="s">
        <v>7360</v>
      </c>
      <c r="CC112" s="21">
        <v>44952.631377314814</v>
      </c>
      <c r="CE112" t="s">
        <v>7412</v>
      </c>
      <c r="CF112">
        <v>1108001</v>
      </c>
      <c r="CG112">
        <v>53575</v>
      </c>
      <c r="CH112">
        <v>53575</v>
      </c>
      <c r="CI112" s="21">
        <v>44952.633437500001</v>
      </c>
      <c r="CJ112" t="s">
        <v>7393</v>
      </c>
      <c r="CK112" t="s">
        <v>7393</v>
      </c>
      <c r="CL112" t="s">
        <v>7394</v>
      </c>
      <c r="CM112" t="s">
        <v>7394</v>
      </c>
      <c r="CS112" t="s">
        <v>7361</v>
      </c>
      <c r="CT112" t="s">
        <v>7362</v>
      </c>
      <c r="CU112" t="s">
        <v>7362</v>
      </c>
      <c r="CV112" t="s">
        <v>7362</v>
      </c>
      <c r="CW112" t="s">
        <v>7362</v>
      </c>
      <c r="CX112">
        <v>1750000</v>
      </c>
      <c r="DA112">
        <v>0</v>
      </c>
    </row>
    <row r="113" spans="1:106" x14ac:dyDescent="0.3">
      <c r="A113">
        <v>1354</v>
      </c>
      <c r="B113" t="s">
        <v>7396</v>
      </c>
      <c r="C113">
        <v>135</v>
      </c>
      <c r="D113" s="20">
        <v>44952</v>
      </c>
      <c r="E113" t="s">
        <v>7372</v>
      </c>
      <c r="F113" t="s">
        <v>5644</v>
      </c>
      <c r="G113" t="s">
        <v>7370</v>
      </c>
      <c r="H113">
        <v>1</v>
      </c>
      <c r="I113" t="s">
        <v>7358</v>
      </c>
      <c r="J113">
        <v>1</v>
      </c>
      <c r="K113" s="20">
        <v>44952</v>
      </c>
      <c r="L113" s="23">
        <v>1650000</v>
      </c>
      <c r="M113" t="s">
        <v>7359</v>
      </c>
      <c r="N113" t="s">
        <v>7360</v>
      </c>
      <c r="O113">
        <v>0</v>
      </c>
      <c r="P113">
        <v>11829</v>
      </c>
      <c r="Q113">
        <v>416007</v>
      </c>
      <c r="R113">
        <v>0</v>
      </c>
      <c r="S113">
        <v>20230126</v>
      </c>
      <c r="T113">
        <v>0</v>
      </c>
      <c r="U113" t="s">
        <v>7362</v>
      </c>
      <c r="V113" t="s">
        <v>7360</v>
      </c>
      <c r="W113" t="s">
        <v>7360</v>
      </c>
      <c r="X113" t="s">
        <v>7360</v>
      </c>
      <c r="Y113" t="s">
        <v>7360</v>
      </c>
      <c r="Z113" t="s">
        <v>7360</v>
      </c>
      <c r="AA113" t="s">
        <v>7362</v>
      </c>
      <c r="AB113" t="s">
        <v>7360</v>
      </c>
      <c r="AC113" t="s">
        <v>7360</v>
      </c>
      <c r="AD113" t="s">
        <v>7360</v>
      </c>
      <c r="AE113" t="s">
        <v>7360</v>
      </c>
      <c r="AF113" t="s">
        <v>1684</v>
      </c>
      <c r="AG113">
        <v>0</v>
      </c>
      <c r="AH113">
        <v>0</v>
      </c>
      <c r="AI113">
        <v>0</v>
      </c>
      <c r="AJ113">
        <v>0</v>
      </c>
      <c r="AK113">
        <v>0</v>
      </c>
      <c r="AL113" t="s">
        <v>7360</v>
      </c>
      <c r="AM113">
        <v>0</v>
      </c>
      <c r="AN113" s="20">
        <v>44952</v>
      </c>
      <c r="AO113" s="20">
        <v>44952</v>
      </c>
      <c r="AP113" s="20">
        <v>44952</v>
      </c>
      <c r="AQ113">
        <v>0</v>
      </c>
      <c r="AR113">
        <v>0</v>
      </c>
      <c r="AS113">
        <v>0</v>
      </c>
      <c r="AT113">
        <v>0</v>
      </c>
      <c r="AU113">
        <v>0</v>
      </c>
      <c r="AV113" t="s">
        <v>7360</v>
      </c>
      <c r="AW113">
        <v>0</v>
      </c>
      <c r="AX113" t="s">
        <v>7360</v>
      </c>
      <c r="AY113" t="s">
        <v>7362</v>
      </c>
      <c r="BA113">
        <v>0</v>
      </c>
      <c r="BB113" s="20">
        <v>44952</v>
      </c>
      <c r="BC113">
        <v>0</v>
      </c>
      <c r="BD113" t="s">
        <v>7360</v>
      </c>
      <c r="BF113" s="20">
        <v>44952</v>
      </c>
      <c r="BG113">
        <v>0</v>
      </c>
      <c r="BH113" t="s">
        <v>7363</v>
      </c>
      <c r="BJ113" t="s">
        <v>7362</v>
      </c>
      <c r="BK113">
        <v>169</v>
      </c>
      <c r="BL113">
        <v>11</v>
      </c>
      <c r="BM113">
        <v>1</v>
      </c>
      <c r="BN113" t="s">
        <v>7364</v>
      </c>
      <c r="BO113">
        <v>169</v>
      </c>
      <c r="BP113">
        <v>11</v>
      </c>
      <c r="BQ113">
        <v>1</v>
      </c>
      <c r="BR113" t="s">
        <v>7364</v>
      </c>
      <c r="BS113" t="s">
        <v>132</v>
      </c>
      <c r="BT113" t="s">
        <v>7360</v>
      </c>
      <c r="BU113" t="s">
        <v>7360</v>
      </c>
      <c r="BV113" t="s">
        <v>7360</v>
      </c>
      <c r="BX113" t="s">
        <v>7391</v>
      </c>
      <c r="BY113">
        <v>74</v>
      </c>
      <c r="BZ113" t="s">
        <v>7360</v>
      </c>
      <c r="CA113" t="s">
        <v>7360</v>
      </c>
      <c r="CB113">
        <v>3380666</v>
      </c>
      <c r="CC113" s="21">
        <v>44952.633958333332</v>
      </c>
      <c r="CE113" t="s">
        <v>7392</v>
      </c>
      <c r="CF113">
        <v>1100101</v>
      </c>
      <c r="CG113">
        <v>51669</v>
      </c>
      <c r="CH113">
        <v>51669</v>
      </c>
      <c r="CI113" s="21">
        <v>44952.635347222225</v>
      </c>
      <c r="CJ113" t="s">
        <v>7406</v>
      </c>
      <c r="CK113" t="s">
        <v>7406</v>
      </c>
      <c r="CL113" t="s">
        <v>7407</v>
      </c>
      <c r="CM113" t="s">
        <v>7407</v>
      </c>
      <c r="CS113" t="s">
        <v>7361</v>
      </c>
      <c r="CT113" t="s">
        <v>7362</v>
      </c>
      <c r="CU113" t="s">
        <v>7362</v>
      </c>
      <c r="CV113" t="s">
        <v>7362</v>
      </c>
      <c r="CW113" t="s">
        <v>7362</v>
      </c>
      <c r="CX113">
        <v>1650000</v>
      </c>
      <c r="DA113">
        <v>0</v>
      </c>
    </row>
    <row r="114" spans="1:106" x14ac:dyDescent="0.3">
      <c r="A114">
        <v>1354</v>
      </c>
      <c r="B114" t="s">
        <v>7396</v>
      </c>
      <c r="C114">
        <v>136</v>
      </c>
      <c r="D114" s="20">
        <v>44952</v>
      </c>
      <c r="E114" t="s">
        <v>7356</v>
      </c>
      <c r="F114" t="s">
        <v>5633</v>
      </c>
      <c r="G114" t="s">
        <v>7370</v>
      </c>
      <c r="H114">
        <v>1</v>
      </c>
      <c r="I114" t="s">
        <v>7358</v>
      </c>
      <c r="J114">
        <v>1</v>
      </c>
      <c r="K114" s="20">
        <v>44952</v>
      </c>
      <c r="L114" s="23">
        <v>2000000</v>
      </c>
      <c r="M114" t="s">
        <v>7359</v>
      </c>
      <c r="N114" t="s">
        <v>7360</v>
      </c>
      <c r="O114">
        <v>0</v>
      </c>
      <c r="P114">
        <v>11841</v>
      </c>
      <c r="Q114">
        <v>416018</v>
      </c>
      <c r="R114">
        <v>0</v>
      </c>
      <c r="S114">
        <v>20230126</v>
      </c>
      <c r="T114">
        <v>0</v>
      </c>
      <c r="U114" t="s">
        <v>7361</v>
      </c>
      <c r="V114" t="s">
        <v>7360</v>
      </c>
      <c r="W114" t="s">
        <v>7360</v>
      </c>
      <c r="X114" t="s">
        <v>7360</v>
      </c>
      <c r="Y114" t="s">
        <v>7360</v>
      </c>
      <c r="Z114" t="s">
        <v>7360</v>
      </c>
      <c r="AA114" t="s">
        <v>7362</v>
      </c>
      <c r="AB114" t="s">
        <v>7360</v>
      </c>
      <c r="AC114" t="s">
        <v>7360</v>
      </c>
      <c r="AD114" t="s">
        <v>7360</v>
      </c>
      <c r="AE114" t="s">
        <v>7360</v>
      </c>
      <c r="AF114" t="s">
        <v>1684</v>
      </c>
      <c r="AG114">
        <v>0</v>
      </c>
      <c r="AH114">
        <v>0</v>
      </c>
      <c r="AI114">
        <v>0</v>
      </c>
      <c r="AJ114">
        <v>0</v>
      </c>
      <c r="AK114">
        <v>0</v>
      </c>
      <c r="AL114" t="s">
        <v>7360</v>
      </c>
      <c r="AM114">
        <v>0</v>
      </c>
      <c r="AN114" s="20">
        <v>44952</v>
      </c>
      <c r="AO114" s="20">
        <v>44952</v>
      </c>
      <c r="AP114" s="20">
        <v>44952</v>
      </c>
      <c r="AQ114">
        <v>0</v>
      </c>
      <c r="AR114">
        <v>0</v>
      </c>
      <c r="AS114">
        <v>0</v>
      </c>
      <c r="AT114">
        <v>0</v>
      </c>
      <c r="AU114">
        <v>0</v>
      </c>
      <c r="AV114" t="s">
        <v>7360</v>
      </c>
      <c r="AW114">
        <v>0</v>
      </c>
      <c r="AX114" t="s">
        <v>7360</v>
      </c>
      <c r="AY114" t="s">
        <v>7363</v>
      </c>
      <c r="BA114">
        <v>0</v>
      </c>
      <c r="BB114" s="20">
        <v>44952</v>
      </c>
      <c r="BC114">
        <v>0</v>
      </c>
      <c r="BD114" t="s">
        <v>7360</v>
      </c>
      <c r="BF114" s="20">
        <v>44952</v>
      </c>
      <c r="BG114">
        <v>0</v>
      </c>
      <c r="BH114" t="s">
        <v>7363</v>
      </c>
      <c r="BJ114" t="s">
        <v>7362</v>
      </c>
      <c r="BK114">
        <v>0</v>
      </c>
      <c r="BL114">
        <v>0</v>
      </c>
      <c r="BM114">
        <v>0</v>
      </c>
      <c r="BN114">
        <v>0</v>
      </c>
      <c r="BO114">
        <v>169</v>
      </c>
      <c r="BP114">
        <v>11</v>
      </c>
      <c r="BQ114">
        <v>1</v>
      </c>
      <c r="BR114" t="s">
        <v>7364</v>
      </c>
      <c r="BS114" t="s">
        <v>7365</v>
      </c>
      <c r="BT114" t="s">
        <v>7360</v>
      </c>
      <c r="BU114" t="s">
        <v>7360</v>
      </c>
      <c r="BV114" t="s">
        <v>7360</v>
      </c>
      <c r="BX114">
        <v>0</v>
      </c>
      <c r="BY114">
        <v>0</v>
      </c>
      <c r="BZ114" t="s">
        <v>7360</v>
      </c>
      <c r="CA114" t="s">
        <v>7360</v>
      </c>
      <c r="CB114">
        <v>3380666</v>
      </c>
      <c r="CC114" s="21">
        <v>44952.621145833335</v>
      </c>
      <c r="CE114" t="s">
        <v>7366</v>
      </c>
      <c r="CF114">
        <v>0</v>
      </c>
      <c r="CG114">
        <v>702002</v>
      </c>
      <c r="CH114">
        <v>702002</v>
      </c>
      <c r="CI114" s="21">
        <v>44952.638912037037</v>
      </c>
      <c r="CJ114" t="s">
        <v>7367</v>
      </c>
      <c r="CK114" t="s">
        <v>7367</v>
      </c>
      <c r="CL114" t="s">
        <v>7368</v>
      </c>
      <c r="CM114" t="s">
        <v>7368</v>
      </c>
      <c r="CS114" t="s">
        <v>7361</v>
      </c>
      <c r="CT114" t="s">
        <v>7362</v>
      </c>
      <c r="CU114" t="s">
        <v>7362</v>
      </c>
      <c r="CV114" t="s">
        <v>7362</v>
      </c>
      <c r="CW114" t="s">
        <v>7362</v>
      </c>
      <c r="CX114">
        <v>2000000</v>
      </c>
      <c r="DA114">
        <v>0</v>
      </c>
    </row>
    <row r="115" spans="1:106" x14ac:dyDescent="0.3">
      <c r="A115">
        <v>1355</v>
      </c>
      <c r="B115" t="s">
        <v>7409</v>
      </c>
      <c r="C115">
        <v>137</v>
      </c>
      <c r="D115" s="20">
        <v>44952</v>
      </c>
      <c r="E115" t="s">
        <v>7356</v>
      </c>
      <c r="F115" t="s">
        <v>5639</v>
      </c>
      <c r="G115" t="s">
        <v>7370</v>
      </c>
      <c r="H115">
        <v>1</v>
      </c>
      <c r="I115" t="s">
        <v>7358</v>
      </c>
      <c r="J115">
        <v>1</v>
      </c>
      <c r="K115" s="20">
        <v>44952</v>
      </c>
      <c r="L115" s="23">
        <v>1750000</v>
      </c>
      <c r="M115" t="s">
        <v>7359</v>
      </c>
      <c r="N115" t="s">
        <v>7360</v>
      </c>
      <c r="O115">
        <v>0</v>
      </c>
      <c r="P115">
        <v>11827</v>
      </c>
      <c r="Q115">
        <v>416005</v>
      </c>
      <c r="R115">
        <v>0</v>
      </c>
      <c r="S115">
        <v>20230126</v>
      </c>
      <c r="T115">
        <v>0</v>
      </c>
      <c r="U115" t="s">
        <v>7361</v>
      </c>
      <c r="V115" t="s">
        <v>7360</v>
      </c>
      <c r="W115" t="s">
        <v>7360</v>
      </c>
      <c r="X115" t="s">
        <v>7360</v>
      </c>
      <c r="Y115" t="s">
        <v>7360</v>
      </c>
      <c r="Z115" t="s">
        <v>7360</v>
      </c>
      <c r="AA115" t="s">
        <v>7362</v>
      </c>
      <c r="AB115" t="s">
        <v>7360</v>
      </c>
      <c r="AC115" t="s">
        <v>7360</v>
      </c>
      <c r="AD115" t="s">
        <v>7360</v>
      </c>
      <c r="AE115" t="s">
        <v>7360</v>
      </c>
      <c r="AF115" t="s">
        <v>1684</v>
      </c>
      <c r="AG115">
        <v>0</v>
      </c>
      <c r="AH115">
        <v>0</v>
      </c>
      <c r="AI115">
        <v>0</v>
      </c>
      <c r="AJ115">
        <v>0</v>
      </c>
      <c r="AK115">
        <v>0</v>
      </c>
      <c r="AL115" t="s">
        <v>7360</v>
      </c>
      <c r="AM115">
        <v>0</v>
      </c>
      <c r="AN115" s="20">
        <v>44952</v>
      </c>
      <c r="AO115" s="20">
        <v>44952</v>
      </c>
      <c r="AP115" s="20">
        <v>44952</v>
      </c>
      <c r="AQ115">
        <v>0</v>
      </c>
      <c r="AR115">
        <v>0</v>
      </c>
      <c r="AS115">
        <v>0</v>
      </c>
      <c r="AT115">
        <v>0</v>
      </c>
      <c r="AU115">
        <v>0</v>
      </c>
      <c r="AV115" t="s">
        <v>7360</v>
      </c>
      <c r="AW115">
        <v>0</v>
      </c>
      <c r="AX115" t="s">
        <v>7360</v>
      </c>
      <c r="AY115" t="s">
        <v>7363</v>
      </c>
      <c r="BA115">
        <v>0</v>
      </c>
      <c r="BB115" s="20">
        <v>44952</v>
      </c>
      <c r="BC115">
        <v>0</v>
      </c>
      <c r="BD115" t="s">
        <v>7360</v>
      </c>
      <c r="BF115" s="20">
        <v>44952</v>
      </c>
      <c r="BG115">
        <v>0</v>
      </c>
      <c r="BH115" t="s">
        <v>7363</v>
      </c>
      <c r="BJ115" t="s">
        <v>7362</v>
      </c>
      <c r="BK115">
        <v>169</v>
      </c>
      <c r="BL115">
        <v>11</v>
      </c>
      <c r="BM115">
        <v>1</v>
      </c>
      <c r="BN115" t="s">
        <v>7364</v>
      </c>
      <c r="BO115">
        <v>0</v>
      </c>
      <c r="BP115">
        <v>0</v>
      </c>
      <c r="BQ115">
        <v>0</v>
      </c>
      <c r="BR115">
        <v>0</v>
      </c>
      <c r="BS115" t="s">
        <v>7411</v>
      </c>
      <c r="BT115" t="s">
        <v>7360</v>
      </c>
      <c r="BU115" t="s">
        <v>7360</v>
      </c>
      <c r="BV115" t="s">
        <v>7360</v>
      </c>
      <c r="BX115" t="s">
        <v>7391</v>
      </c>
      <c r="BY115">
        <v>80</v>
      </c>
      <c r="BZ115">
        <v>0</v>
      </c>
      <c r="CA115">
        <v>0</v>
      </c>
      <c r="CB115" t="s">
        <v>7360</v>
      </c>
      <c r="CC115" s="21">
        <v>44952.638368055559</v>
      </c>
      <c r="CE115" t="s">
        <v>7412</v>
      </c>
      <c r="CF115">
        <v>1108001</v>
      </c>
      <c r="CG115">
        <v>53575</v>
      </c>
      <c r="CH115">
        <v>53575</v>
      </c>
      <c r="CI115" s="21">
        <v>44952.640543981484</v>
      </c>
      <c r="CJ115" t="s">
        <v>7393</v>
      </c>
      <c r="CK115" t="s">
        <v>7393</v>
      </c>
      <c r="CL115" t="s">
        <v>7394</v>
      </c>
      <c r="CM115" t="s">
        <v>7394</v>
      </c>
      <c r="CS115" t="s">
        <v>7361</v>
      </c>
      <c r="CT115" t="s">
        <v>7362</v>
      </c>
      <c r="CU115" t="s">
        <v>7362</v>
      </c>
      <c r="CV115" t="s">
        <v>7362</v>
      </c>
      <c r="CW115" t="s">
        <v>7362</v>
      </c>
      <c r="CX115">
        <v>1750000</v>
      </c>
      <c r="DA115">
        <v>0</v>
      </c>
    </row>
    <row r="116" spans="1:106" x14ac:dyDescent="0.3">
      <c r="A116">
        <v>1372</v>
      </c>
      <c r="B116" t="s">
        <v>7369</v>
      </c>
      <c r="C116">
        <v>138</v>
      </c>
      <c r="D116" s="20">
        <v>44952</v>
      </c>
      <c r="E116" t="s">
        <v>7356</v>
      </c>
      <c r="F116" t="s">
        <v>5633</v>
      </c>
      <c r="G116" t="s">
        <v>7357</v>
      </c>
      <c r="H116">
        <v>1</v>
      </c>
      <c r="I116" t="s">
        <v>7358</v>
      </c>
      <c r="J116">
        <v>1</v>
      </c>
      <c r="K116" s="20">
        <v>44952</v>
      </c>
      <c r="L116" s="23">
        <v>15470000</v>
      </c>
      <c r="M116" t="s">
        <v>7359</v>
      </c>
      <c r="N116" t="s">
        <v>7360</v>
      </c>
      <c r="O116">
        <v>0</v>
      </c>
      <c r="P116">
        <v>11961</v>
      </c>
      <c r="Q116">
        <v>416093</v>
      </c>
      <c r="R116">
        <v>0</v>
      </c>
      <c r="S116">
        <v>20230126</v>
      </c>
      <c r="T116">
        <v>0</v>
      </c>
      <c r="U116" t="s">
        <v>7361</v>
      </c>
      <c r="V116" t="s">
        <v>7360</v>
      </c>
      <c r="W116" t="s">
        <v>7360</v>
      </c>
      <c r="X116" t="s">
        <v>7360</v>
      </c>
      <c r="Y116" t="s">
        <v>7360</v>
      </c>
      <c r="Z116" t="s">
        <v>7360</v>
      </c>
      <c r="AA116" t="s">
        <v>7362</v>
      </c>
      <c r="AB116" t="s">
        <v>7360</v>
      </c>
      <c r="AC116" t="s">
        <v>7360</v>
      </c>
      <c r="AD116" t="s">
        <v>7360</v>
      </c>
      <c r="AE116" t="s">
        <v>7360</v>
      </c>
      <c r="AF116" t="s">
        <v>1684</v>
      </c>
      <c r="AG116">
        <v>0</v>
      </c>
      <c r="AH116">
        <v>0</v>
      </c>
      <c r="AI116">
        <v>0</v>
      </c>
      <c r="AJ116">
        <v>0</v>
      </c>
      <c r="AK116">
        <v>0</v>
      </c>
      <c r="AL116" t="s">
        <v>7360</v>
      </c>
      <c r="AM116">
        <v>0</v>
      </c>
      <c r="AN116" s="20">
        <v>44952</v>
      </c>
      <c r="AO116" s="20">
        <v>44952</v>
      </c>
      <c r="AP116" s="20">
        <v>44952</v>
      </c>
      <c r="AQ116">
        <v>0</v>
      </c>
      <c r="AR116">
        <v>0</v>
      </c>
      <c r="AS116">
        <v>0</v>
      </c>
      <c r="AT116">
        <v>0</v>
      </c>
      <c r="AU116">
        <v>0</v>
      </c>
      <c r="AV116" t="s">
        <v>7360</v>
      </c>
      <c r="AW116">
        <v>0</v>
      </c>
      <c r="AX116" t="s">
        <v>7360</v>
      </c>
      <c r="AY116" t="s">
        <v>7363</v>
      </c>
      <c r="BA116">
        <v>0</v>
      </c>
      <c r="BB116" s="20">
        <v>44952</v>
      </c>
      <c r="BC116">
        <v>0</v>
      </c>
      <c r="BD116" t="s">
        <v>7360</v>
      </c>
      <c r="BF116" s="20">
        <v>44952</v>
      </c>
      <c r="BG116">
        <v>0</v>
      </c>
      <c r="BH116" t="s">
        <v>7363</v>
      </c>
      <c r="BJ116" t="s">
        <v>7362</v>
      </c>
      <c r="BK116">
        <v>169</v>
      </c>
      <c r="BL116">
        <v>11</v>
      </c>
      <c r="BM116">
        <v>1</v>
      </c>
      <c r="BN116" t="s">
        <v>7364</v>
      </c>
      <c r="BO116">
        <v>169</v>
      </c>
      <c r="BP116">
        <v>11</v>
      </c>
      <c r="BQ116">
        <v>1</v>
      </c>
      <c r="BR116" t="s">
        <v>7364</v>
      </c>
      <c r="BS116" t="s">
        <v>7386</v>
      </c>
      <c r="BT116" t="s">
        <v>7360</v>
      </c>
      <c r="BU116" t="s">
        <v>7360</v>
      </c>
      <c r="BV116" t="s">
        <v>7360</v>
      </c>
      <c r="BX116" t="s">
        <v>7391</v>
      </c>
      <c r="BY116">
        <v>74</v>
      </c>
      <c r="BZ116" t="s">
        <v>7360</v>
      </c>
      <c r="CA116" t="s">
        <v>7360</v>
      </c>
      <c r="CB116">
        <v>3380666</v>
      </c>
      <c r="CC116" s="21">
        <v>44952.728321759256</v>
      </c>
      <c r="CE116" t="s">
        <v>7392</v>
      </c>
      <c r="CF116">
        <v>1100101</v>
      </c>
      <c r="CG116">
        <v>51669</v>
      </c>
      <c r="CH116">
        <v>51669</v>
      </c>
      <c r="CI116" s="21">
        <v>44953.590289351851</v>
      </c>
      <c r="CJ116" t="s">
        <v>7406</v>
      </c>
      <c r="CK116" t="s">
        <v>7406</v>
      </c>
      <c r="CL116" t="s">
        <v>7407</v>
      </c>
      <c r="CM116" t="s">
        <v>7407</v>
      </c>
      <c r="CS116" t="s">
        <v>7361</v>
      </c>
      <c r="CT116" t="s">
        <v>7362</v>
      </c>
      <c r="CU116" t="s">
        <v>7362</v>
      </c>
      <c r="CV116" t="s">
        <v>7362</v>
      </c>
      <c r="CW116" t="s">
        <v>7362</v>
      </c>
      <c r="CX116">
        <v>20505067</v>
      </c>
      <c r="DA116">
        <v>0</v>
      </c>
    </row>
    <row r="117" spans="1:106" x14ac:dyDescent="0.3">
      <c r="A117">
        <v>1354</v>
      </c>
      <c r="B117" t="s">
        <v>7396</v>
      </c>
      <c r="C117">
        <v>139</v>
      </c>
      <c r="D117" s="20">
        <v>44952</v>
      </c>
      <c r="E117" t="s">
        <v>7372</v>
      </c>
      <c r="F117" t="s">
        <v>5639</v>
      </c>
      <c r="G117" t="s">
        <v>7370</v>
      </c>
      <c r="H117">
        <v>1</v>
      </c>
      <c r="I117" t="s">
        <v>7358</v>
      </c>
      <c r="J117">
        <v>1</v>
      </c>
      <c r="K117" s="20">
        <v>44952</v>
      </c>
      <c r="L117" s="23">
        <v>2712000</v>
      </c>
      <c r="M117" t="s">
        <v>7359</v>
      </c>
      <c r="N117" t="s">
        <v>7360</v>
      </c>
      <c r="O117">
        <v>0</v>
      </c>
      <c r="P117">
        <v>11791</v>
      </c>
      <c r="Q117">
        <v>415010</v>
      </c>
      <c r="R117">
        <v>0</v>
      </c>
      <c r="S117">
        <v>20230126</v>
      </c>
      <c r="T117">
        <v>0</v>
      </c>
      <c r="U117" t="s">
        <v>7362</v>
      </c>
      <c r="V117" t="s">
        <v>7360</v>
      </c>
      <c r="W117" t="s">
        <v>7360</v>
      </c>
      <c r="X117" t="s">
        <v>7360</v>
      </c>
      <c r="Y117" t="s">
        <v>7360</v>
      </c>
      <c r="Z117" t="s">
        <v>7360</v>
      </c>
      <c r="AA117" t="s">
        <v>7362</v>
      </c>
      <c r="AB117" t="s">
        <v>7360</v>
      </c>
      <c r="AC117" t="s">
        <v>7360</v>
      </c>
      <c r="AD117" t="s">
        <v>7360</v>
      </c>
      <c r="AE117" t="s">
        <v>7360</v>
      </c>
      <c r="AF117" t="s">
        <v>1684</v>
      </c>
      <c r="AG117">
        <v>0</v>
      </c>
      <c r="AH117">
        <v>0</v>
      </c>
      <c r="AI117">
        <v>0</v>
      </c>
      <c r="AJ117">
        <v>0</v>
      </c>
      <c r="AK117">
        <v>0</v>
      </c>
      <c r="AL117" t="s">
        <v>7360</v>
      </c>
      <c r="AM117">
        <v>0</v>
      </c>
      <c r="AN117" s="20">
        <v>44952</v>
      </c>
      <c r="AO117" s="20">
        <v>44952</v>
      </c>
      <c r="AP117" s="20">
        <v>44952</v>
      </c>
      <c r="AQ117">
        <v>0</v>
      </c>
      <c r="AR117">
        <v>0</v>
      </c>
      <c r="AS117">
        <v>0</v>
      </c>
      <c r="AT117">
        <v>0</v>
      </c>
      <c r="AU117">
        <v>0</v>
      </c>
      <c r="AV117" t="s">
        <v>7360</v>
      </c>
      <c r="AW117">
        <v>0</v>
      </c>
      <c r="AX117" t="s">
        <v>7360</v>
      </c>
      <c r="AY117" t="s">
        <v>7362</v>
      </c>
      <c r="BA117">
        <v>0</v>
      </c>
      <c r="BB117" s="20">
        <v>44952</v>
      </c>
      <c r="BC117">
        <v>0</v>
      </c>
      <c r="BD117" t="s">
        <v>7360</v>
      </c>
      <c r="BF117" s="20">
        <v>44952</v>
      </c>
      <c r="BG117">
        <v>0</v>
      </c>
      <c r="BH117" t="s">
        <v>7363</v>
      </c>
      <c r="BJ117" t="s">
        <v>7362</v>
      </c>
      <c r="BK117">
        <v>0</v>
      </c>
      <c r="BL117">
        <v>0</v>
      </c>
      <c r="BM117">
        <v>0</v>
      </c>
      <c r="BN117">
        <v>0</v>
      </c>
      <c r="BO117">
        <v>169</v>
      </c>
      <c r="BP117">
        <v>11</v>
      </c>
      <c r="BQ117">
        <v>1</v>
      </c>
      <c r="BR117" t="s">
        <v>7364</v>
      </c>
      <c r="BS117" t="s">
        <v>7365</v>
      </c>
      <c r="BT117" t="s">
        <v>7360</v>
      </c>
      <c r="BU117" t="s">
        <v>7360</v>
      </c>
      <c r="BV117" t="s">
        <v>7360</v>
      </c>
      <c r="BX117">
        <v>0</v>
      </c>
      <c r="BY117">
        <v>0</v>
      </c>
      <c r="BZ117" t="s">
        <v>7360</v>
      </c>
      <c r="CA117" t="s">
        <v>7360</v>
      </c>
      <c r="CB117">
        <v>3380666</v>
      </c>
      <c r="CC117" s="21">
        <v>44952.646099537036</v>
      </c>
      <c r="CE117" t="s">
        <v>7366</v>
      </c>
      <c r="CF117">
        <v>0</v>
      </c>
      <c r="CG117">
        <v>702002</v>
      </c>
      <c r="CH117">
        <v>702002</v>
      </c>
      <c r="CI117" s="21">
        <v>44952.647766203707</v>
      </c>
      <c r="CJ117" t="s">
        <v>7367</v>
      </c>
      <c r="CK117" t="s">
        <v>7367</v>
      </c>
      <c r="CL117" t="s">
        <v>7368</v>
      </c>
      <c r="CM117" t="s">
        <v>7368</v>
      </c>
      <c r="CS117" t="s">
        <v>7361</v>
      </c>
      <c r="CT117" t="s">
        <v>7362</v>
      </c>
      <c r="CU117" t="s">
        <v>7362</v>
      </c>
      <c r="CV117" t="s">
        <v>7362</v>
      </c>
      <c r="CW117" t="s">
        <v>7362</v>
      </c>
      <c r="CX117">
        <v>2712000</v>
      </c>
      <c r="DA117">
        <v>0</v>
      </c>
    </row>
    <row r="118" spans="1:106" x14ac:dyDescent="0.3">
      <c r="A118">
        <v>1355</v>
      </c>
      <c r="B118" t="s">
        <v>7409</v>
      </c>
      <c r="C118">
        <v>140</v>
      </c>
      <c r="D118" s="20">
        <v>44952</v>
      </c>
      <c r="E118" t="s">
        <v>7372</v>
      </c>
      <c r="F118" t="s">
        <v>5633</v>
      </c>
      <c r="G118" t="s">
        <v>7370</v>
      </c>
      <c r="H118">
        <v>1</v>
      </c>
      <c r="I118" t="s">
        <v>7358</v>
      </c>
      <c r="J118">
        <v>1</v>
      </c>
      <c r="K118" s="20">
        <v>44952</v>
      </c>
      <c r="L118" s="23">
        <v>3500000</v>
      </c>
      <c r="M118" t="s">
        <v>7359</v>
      </c>
      <c r="N118" t="s">
        <v>7360</v>
      </c>
      <c r="O118">
        <v>0</v>
      </c>
      <c r="P118">
        <v>11826</v>
      </c>
      <c r="Q118">
        <v>416004</v>
      </c>
      <c r="R118">
        <v>0</v>
      </c>
      <c r="S118">
        <v>20230126</v>
      </c>
      <c r="T118">
        <v>0</v>
      </c>
      <c r="U118" t="s">
        <v>7362</v>
      </c>
      <c r="V118" t="s">
        <v>7360</v>
      </c>
      <c r="W118" t="s">
        <v>7360</v>
      </c>
      <c r="X118" t="s">
        <v>7360</v>
      </c>
      <c r="Y118" t="s">
        <v>7360</v>
      </c>
      <c r="Z118" t="s">
        <v>7360</v>
      </c>
      <c r="AA118" t="s">
        <v>7362</v>
      </c>
      <c r="AB118" t="s">
        <v>7360</v>
      </c>
      <c r="AC118" t="s">
        <v>7360</v>
      </c>
      <c r="AD118" t="s">
        <v>7360</v>
      </c>
      <c r="AE118" t="s">
        <v>7360</v>
      </c>
      <c r="AF118" t="s">
        <v>1684</v>
      </c>
      <c r="AG118">
        <v>0</v>
      </c>
      <c r="AH118">
        <v>0</v>
      </c>
      <c r="AI118">
        <v>0</v>
      </c>
      <c r="AJ118">
        <v>0</v>
      </c>
      <c r="AK118">
        <v>0</v>
      </c>
      <c r="AL118" t="s">
        <v>7360</v>
      </c>
      <c r="AM118">
        <v>0</v>
      </c>
      <c r="AN118" s="20">
        <v>44952</v>
      </c>
      <c r="AO118" s="20">
        <v>44952</v>
      </c>
      <c r="AP118" s="20">
        <v>44952</v>
      </c>
      <c r="AQ118">
        <v>0</v>
      </c>
      <c r="AR118">
        <v>0</v>
      </c>
      <c r="AS118">
        <v>0</v>
      </c>
      <c r="AT118">
        <v>0</v>
      </c>
      <c r="AU118">
        <v>0</v>
      </c>
      <c r="AV118" t="s">
        <v>7360</v>
      </c>
      <c r="AW118">
        <v>0</v>
      </c>
      <c r="AX118" t="s">
        <v>7360</v>
      </c>
      <c r="AY118" t="s">
        <v>7362</v>
      </c>
      <c r="BA118">
        <v>0</v>
      </c>
      <c r="BB118" s="20">
        <v>44952</v>
      </c>
      <c r="BC118">
        <v>0</v>
      </c>
      <c r="BD118" t="s">
        <v>7360</v>
      </c>
      <c r="BF118" s="20">
        <v>44952</v>
      </c>
      <c r="BG118">
        <v>0</v>
      </c>
      <c r="BH118" t="s">
        <v>7363</v>
      </c>
      <c r="BJ118" t="s">
        <v>7362</v>
      </c>
      <c r="BK118">
        <v>169</v>
      </c>
      <c r="BL118">
        <v>11</v>
      </c>
      <c r="BM118">
        <v>1</v>
      </c>
      <c r="BN118" t="s">
        <v>7364</v>
      </c>
      <c r="BO118">
        <v>0</v>
      </c>
      <c r="BP118">
        <v>0</v>
      </c>
      <c r="BQ118">
        <v>0</v>
      </c>
      <c r="BR118">
        <v>0</v>
      </c>
      <c r="BS118" t="s">
        <v>7411</v>
      </c>
      <c r="BT118" t="s">
        <v>7360</v>
      </c>
      <c r="BU118" t="s">
        <v>7360</v>
      </c>
      <c r="BV118" t="s">
        <v>7360</v>
      </c>
      <c r="BX118" t="s">
        <v>7391</v>
      </c>
      <c r="BY118">
        <v>80</v>
      </c>
      <c r="BZ118">
        <v>0</v>
      </c>
      <c r="CA118">
        <v>0</v>
      </c>
      <c r="CB118" t="s">
        <v>7360</v>
      </c>
      <c r="CC118" s="21">
        <v>44952.650289351855</v>
      </c>
      <c r="CE118" t="s">
        <v>7412</v>
      </c>
      <c r="CF118">
        <v>1108001</v>
      </c>
      <c r="CG118">
        <v>53575</v>
      </c>
      <c r="CH118">
        <v>53575</v>
      </c>
      <c r="CI118" s="21">
        <v>44952.651365740741</v>
      </c>
      <c r="CJ118" t="s">
        <v>7393</v>
      </c>
      <c r="CK118" t="s">
        <v>7393</v>
      </c>
      <c r="CL118" t="s">
        <v>7394</v>
      </c>
      <c r="CM118" t="s">
        <v>7394</v>
      </c>
      <c r="CS118" t="s">
        <v>7361</v>
      </c>
      <c r="CT118" t="s">
        <v>7362</v>
      </c>
      <c r="CU118" t="s">
        <v>7362</v>
      </c>
      <c r="CV118" t="s">
        <v>7362</v>
      </c>
      <c r="CW118" t="s">
        <v>7362</v>
      </c>
      <c r="CX118">
        <v>3500000</v>
      </c>
      <c r="DA118">
        <v>0</v>
      </c>
    </row>
    <row r="119" spans="1:106" x14ac:dyDescent="0.3">
      <c r="A119">
        <v>1355</v>
      </c>
      <c r="B119" t="s">
        <v>7409</v>
      </c>
      <c r="C119">
        <v>141</v>
      </c>
      <c r="D119" s="20">
        <v>44952</v>
      </c>
      <c r="E119" t="s">
        <v>7372</v>
      </c>
      <c r="F119" t="s">
        <v>5639</v>
      </c>
      <c r="G119" t="s">
        <v>7370</v>
      </c>
      <c r="H119">
        <v>1</v>
      </c>
      <c r="I119" t="s">
        <v>7358</v>
      </c>
      <c r="J119">
        <v>1</v>
      </c>
      <c r="K119" s="20">
        <v>44952</v>
      </c>
      <c r="L119" s="23">
        <v>2500000</v>
      </c>
      <c r="M119" t="s">
        <v>7359</v>
      </c>
      <c r="N119" t="s">
        <v>7360</v>
      </c>
      <c r="O119">
        <v>0</v>
      </c>
      <c r="P119">
        <v>11830</v>
      </c>
      <c r="Q119">
        <v>416008</v>
      </c>
      <c r="R119">
        <v>0</v>
      </c>
      <c r="S119">
        <v>20230126</v>
      </c>
      <c r="T119">
        <v>0</v>
      </c>
      <c r="U119" t="s">
        <v>7362</v>
      </c>
      <c r="V119" t="s">
        <v>7360</v>
      </c>
      <c r="W119" t="s">
        <v>7360</v>
      </c>
      <c r="X119" t="s">
        <v>7360</v>
      </c>
      <c r="Y119" t="s">
        <v>7360</v>
      </c>
      <c r="Z119" t="s">
        <v>7360</v>
      </c>
      <c r="AA119" t="s">
        <v>7362</v>
      </c>
      <c r="AB119" t="s">
        <v>7360</v>
      </c>
      <c r="AC119" t="s">
        <v>7360</v>
      </c>
      <c r="AD119" t="s">
        <v>7360</v>
      </c>
      <c r="AE119" t="s">
        <v>7360</v>
      </c>
      <c r="AF119" t="s">
        <v>1684</v>
      </c>
      <c r="AG119">
        <v>0</v>
      </c>
      <c r="AH119">
        <v>0</v>
      </c>
      <c r="AI119">
        <v>0</v>
      </c>
      <c r="AJ119">
        <v>0</v>
      </c>
      <c r="AK119">
        <v>0</v>
      </c>
      <c r="AL119" t="s">
        <v>7360</v>
      </c>
      <c r="AM119">
        <v>0</v>
      </c>
      <c r="AN119" s="20">
        <v>44952</v>
      </c>
      <c r="AO119" s="20">
        <v>44952</v>
      </c>
      <c r="AP119" s="20">
        <v>44952</v>
      </c>
      <c r="AQ119">
        <v>0</v>
      </c>
      <c r="AR119">
        <v>0</v>
      </c>
      <c r="AS119">
        <v>0</v>
      </c>
      <c r="AT119">
        <v>0</v>
      </c>
      <c r="AU119">
        <v>0</v>
      </c>
      <c r="AV119" t="s">
        <v>7360</v>
      </c>
      <c r="AW119">
        <v>0</v>
      </c>
      <c r="AX119" t="s">
        <v>7360</v>
      </c>
      <c r="AY119" t="s">
        <v>7362</v>
      </c>
      <c r="BA119">
        <v>0</v>
      </c>
      <c r="BB119" s="20">
        <v>44952</v>
      </c>
      <c r="BC119">
        <v>0</v>
      </c>
      <c r="BD119" t="s">
        <v>7360</v>
      </c>
      <c r="BF119" s="20">
        <v>44952</v>
      </c>
      <c r="BG119">
        <v>0</v>
      </c>
      <c r="BH119" t="s">
        <v>7363</v>
      </c>
      <c r="BJ119" t="s">
        <v>7362</v>
      </c>
      <c r="BK119">
        <v>169</v>
      </c>
      <c r="BL119">
        <v>11</v>
      </c>
      <c r="BM119">
        <v>1</v>
      </c>
      <c r="BN119" t="s">
        <v>7364</v>
      </c>
      <c r="BO119">
        <v>0</v>
      </c>
      <c r="BP119">
        <v>0</v>
      </c>
      <c r="BQ119">
        <v>0</v>
      </c>
      <c r="BR119">
        <v>0</v>
      </c>
      <c r="BS119" t="s">
        <v>7411</v>
      </c>
      <c r="BT119" t="s">
        <v>7360</v>
      </c>
      <c r="BU119" t="s">
        <v>7360</v>
      </c>
      <c r="BV119" t="s">
        <v>7360</v>
      </c>
      <c r="BX119" t="s">
        <v>7391</v>
      </c>
      <c r="BY119">
        <v>80</v>
      </c>
      <c r="BZ119">
        <v>0</v>
      </c>
      <c r="CA119">
        <v>0</v>
      </c>
      <c r="CB119" t="s">
        <v>7360</v>
      </c>
      <c r="CC119" s="21">
        <v>44952.654398148145</v>
      </c>
      <c r="CE119" t="s">
        <v>7412</v>
      </c>
      <c r="CF119">
        <v>1108001</v>
      </c>
      <c r="CG119">
        <v>53575</v>
      </c>
      <c r="CH119">
        <v>53575</v>
      </c>
      <c r="CI119" s="21">
        <v>44952.655474537038</v>
      </c>
      <c r="CJ119" t="s">
        <v>7393</v>
      </c>
      <c r="CK119" t="s">
        <v>7393</v>
      </c>
      <c r="CL119" t="s">
        <v>7394</v>
      </c>
      <c r="CM119" t="s">
        <v>7394</v>
      </c>
      <c r="CS119" t="s">
        <v>7361</v>
      </c>
      <c r="CT119" t="s">
        <v>7362</v>
      </c>
      <c r="CU119" t="s">
        <v>7362</v>
      </c>
      <c r="CV119" t="s">
        <v>7362</v>
      </c>
      <c r="CW119" t="s">
        <v>7362</v>
      </c>
      <c r="CX119">
        <v>2500000</v>
      </c>
      <c r="DA119">
        <v>0</v>
      </c>
    </row>
    <row r="120" spans="1:106" x14ac:dyDescent="0.3">
      <c r="A120">
        <v>1374</v>
      </c>
      <c r="B120" t="s">
        <v>7413</v>
      </c>
      <c r="C120">
        <v>142</v>
      </c>
      <c r="D120" s="20">
        <v>44952</v>
      </c>
      <c r="E120" t="s">
        <v>7356</v>
      </c>
      <c r="F120" t="s">
        <v>5633</v>
      </c>
      <c r="G120" t="s">
        <v>7357</v>
      </c>
      <c r="H120">
        <v>1</v>
      </c>
      <c r="I120" t="s">
        <v>7358</v>
      </c>
      <c r="J120">
        <v>1</v>
      </c>
      <c r="K120" s="20">
        <v>44952</v>
      </c>
      <c r="L120" s="23">
        <v>1188954</v>
      </c>
      <c r="M120" t="s">
        <v>7359</v>
      </c>
      <c r="N120" t="s">
        <v>7360</v>
      </c>
      <c r="O120">
        <v>0</v>
      </c>
      <c r="P120">
        <v>11918</v>
      </c>
      <c r="Q120">
        <v>416076</v>
      </c>
      <c r="R120">
        <v>0</v>
      </c>
      <c r="S120">
        <v>20230126</v>
      </c>
      <c r="T120">
        <v>0</v>
      </c>
      <c r="U120" t="s">
        <v>7361</v>
      </c>
      <c r="V120" t="s">
        <v>7360</v>
      </c>
      <c r="W120" t="s">
        <v>7360</v>
      </c>
      <c r="X120" t="s">
        <v>7360</v>
      </c>
      <c r="Y120" t="s">
        <v>7360</v>
      </c>
      <c r="Z120" t="s">
        <v>7360</v>
      </c>
      <c r="AA120" t="s">
        <v>7362</v>
      </c>
      <c r="AB120" t="s">
        <v>7360</v>
      </c>
      <c r="AC120" t="s">
        <v>7360</v>
      </c>
      <c r="AD120" t="s">
        <v>7360</v>
      </c>
      <c r="AE120" t="s">
        <v>7360</v>
      </c>
      <c r="AF120" t="s">
        <v>1684</v>
      </c>
      <c r="AG120">
        <v>0</v>
      </c>
      <c r="AH120">
        <v>0</v>
      </c>
      <c r="AI120">
        <v>0</v>
      </c>
      <c r="AJ120">
        <v>0</v>
      </c>
      <c r="AK120">
        <v>0</v>
      </c>
      <c r="AL120" t="s">
        <v>7360</v>
      </c>
      <c r="AM120">
        <v>0</v>
      </c>
      <c r="AN120" s="20">
        <v>44952</v>
      </c>
      <c r="AO120" s="20">
        <v>44952</v>
      </c>
      <c r="AP120" s="20">
        <v>44952</v>
      </c>
      <c r="AQ120">
        <v>0</v>
      </c>
      <c r="AR120">
        <v>0</v>
      </c>
      <c r="AS120">
        <v>0</v>
      </c>
      <c r="AT120">
        <v>0</v>
      </c>
      <c r="AU120">
        <v>0</v>
      </c>
      <c r="AV120" t="s">
        <v>7360</v>
      </c>
      <c r="AW120">
        <v>0</v>
      </c>
      <c r="AX120" t="s">
        <v>7360</v>
      </c>
      <c r="AY120" t="s">
        <v>7363</v>
      </c>
      <c r="BA120">
        <v>0</v>
      </c>
      <c r="BB120" s="20">
        <v>44952</v>
      </c>
      <c r="BC120">
        <v>0</v>
      </c>
      <c r="BD120" t="s">
        <v>7360</v>
      </c>
      <c r="BF120" s="20">
        <v>44952</v>
      </c>
      <c r="BG120">
        <v>0</v>
      </c>
      <c r="BH120" t="s">
        <v>7363</v>
      </c>
      <c r="BJ120" t="s">
        <v>7362</v>
      </c>
      <c r="BK120">
        <v>169</v>
      </c>
      <c r="BL120">
        <v>11</v>
      </c>
      <c r="BM120">
        <v>1</v>
      </c>
      <c r="BN120" t="s">
        <v>7364</v>
      </c>
      <c r="BO120">
        <v>0</v>
      </c>
      <c r="BP120">
        <v>0</v>
      </c>
      <c r="BQ120">
        <v>0</v>
      </c>
      <c r="BR120">
        <v>0</v>
      </c>
      <c r="BS120" t="s">
        <v>7411</v>
      </c>
      <c r="BT120" t="s">
        <v>7360</v>
      </c>
      <c r="BU120" t="s">
        <v>7360</v>
      </c>
      <c r="BV120" t="s">
        <v>7360</v>
      </c>
      <c r="BX120" t="s">
        <v>7391</v>
      </c>
      <c r="BY120">
        <v>80</v>
      </c>
      <c r="BZ120">
        <v>0</v>
      </c>
      <c r="CA120">
        <v>0</v>
      </c>
      <c r="CB120" t="s">
        <v>7360</v>
      </c>
      <c r="CC120" s="21">
        <v>44952.660127314812</v>
      </c>
      <c r="CE120" t="s">
        <v>7412</v>
      </c>
      <c r="CF120">
        <v>1108001</v>
      </c>
      <c r="CG120">
        <v>53575</v>
      </c>
      <c r="CH120">
        <v>53575</v>
      </c>
      <c r="CI120" s="21">
        <v>44952.662002314813</v>
      </c>
      <c r="CJ120" t="s">
        <v>7393</v>
      </c>
      <c r="CK120" t="s">
        <v>7393</v>
      </c>
      <c r="CL120" t="s">
        <v>7394</v>
      </c>
      <c r="CM120" t="s">
        <v>7394</v>
      </c>
      <c r="CS120" t="s">
        <v>7361</v>
      </c>
      <c r="CT120" t="s">
        <v>7362</v>
      </c>
      <c r="CU120" t="s">
        <v>7362</v>
      </c>
      <c r="CV120" t="s">
        <v>7362</v>
      </c>
      <c r="CW120" t="s">
        <v>7362</v>
      </c>
      <c r="CX120">
        <v>1188954</v>
      </c>
      <c r="DA120">
        <v>0</v>
      </c>
    </row>
    <row r="121" spans="1:106" x14ac:dyDescent="0.3">
      <c r="A121">
        <v>1355</v>
      </c>
      <c r="B121" t="s">
        <v>7409</v>
      </c>
      <c r="C121">
        <v>143</v>
      </c>
      <c r="D121" s="20">
        <v>44952</v>
      </c>
      <c r="E121" t="s">
        <v>7356</v>
      </c>
      <c r="F121" t="s">
        <v>5639</v>
      </c>
      <c r="G121" t="s">
        <v>7370</v>
      </c>
      <c r="H121">
        <v>1</v>
      </c>
      <c r="I121" t="s">
        <v>7358</v>
      </c>
      <c r="J121">
        <v>1</v>
      </c>
      <c r="K121" s="20">
        <v>44952</v>
      </c>
      <c r="L121" s="23">
        <v>1680000</v>
      </c>
      <c r="M121" t="s">
        <v>7359</v>
      </c>
      <c r="N121" t="s">
        <v>7360</v>
      </c>
      <c r="O121">
        <v>0</v>
      </c>
      <c r="P121">
        <v>11923</v>
      </c>
      <c r="Q121">
        <v>416077</v>
      </c>
      <c r="R121">
        <v>0</v>
      </c>
      <c r="S121">
        <v>20230126</v>
      </c>
      <c r="T121">
        <v>0</v>
      </c>
      <c r="U121" t="s">
        <v>7362</v>
      </c>
      <c r="V121" t="s">
        <v>7360</v>
      </c>
      <c r="W121" t="s">
        <v>7360</v>
      </c>
      <c r="X121" t="s">
        <v>7360</v>
      </c>
      <c r="Y121" t="s">
        <v>7360</v>
      </c>
      <c r="Z121" t="s">
        <v>7360</v>
      </c>
      <c r="AA121" t="s">
        <v>7362</v>
      </c>
      <c r="AB121" t="s">
        <v>7360</v>
      </c>
      <c r="AC121" t="s">
        <v>7360</v>
      </c>
      <c r="AD121" t="s">
        <v>7360</v>
      </c>
      <c r="AE121" t="s">
        <v>7360</v>
      </c>
      <c r="AF121" t="s">
        <v>1684</v>
      </c>
      <c r="AG121">
        <v>0</v>
      </c>
      <c r="AH121">
        <v>0</v>
      </c>
      <c r="AI121">
        <v>0</v>
      </c>
      <c r="AJ121">
        <v>0</v>
      </c>
      <c r="AK121">
        <v>0</v>
      </c>
      <c r="AL121" t="s">
        <v>7360</v>
      </c>
      <c r="AM121">
        <v>0</v>
      </c>
      <c r="AN121" s="20">
        <v>44952</v>
      </c>
      <c r="AO121" s="20">
        <v>44952</v>
      </c>
      <c r="AP121" s="20">
        <v>44952</v>
      </c>
      <c r="AQ121">
        <v>0</v>
      </c>
      <c r="AR121">
        <v>0</v>
      </c>
      <c r="AS121">
        <v>0</v>
      </c>
      <c r="AT121">
        <v>0</v>
      </c>
      <c r="AU121">
        <v>0</v>
      </c>
      <c r="AV121" t="s">
        <v>7360</v>
      </c>
      <c r="AW121">
        <v>0</v>
      </c>
      <c r="AX121" t="s">
        <v>7360</v>
      </c>
      <c r="AY121" t="s">
        <v>7362</v>
      </c>
      <c r="AZ121">
        <v>1355</v>
      </c>
      <c r="BA121">
        <v>529</v>
      </c>
      <c r="BB121" s="20">
        <v>44988</v>
      </c>
      <c r="BC121">
        <v>20230303</v>
      </c>
      <c r="BD121" t="s">
        <v>7414</v>
      </c>
      <c r="BF121" s="20">
        <v>44952</v>
      </c>
      <c r="BG121">
        <v>0</v>
      </c>
      <c r="BH121" t="s">
        <v>7363</v>
      </c>
      <c r="BJ121" t="s">
        <v>7362</v>
      </c>
      <c r="BK121">
        <v>169</v>
      </c>
      <c r="BL121">
        <v>11</v>
      </c>
      <c r="BM121">
        <v>1</v>
      </c>
      <c r="BN121" t="s">
        <v>7364</v>
      </c>
      <c r="BO121">
        <v>0</v>
      </c>
      <c r="BP121">
        <v>0</v>
      </c>
      <c r="BQ121">
        <v>0</v>
      </c>
      <c r="BR121">
        <v>0</v>
      </c>
      <c r="BS121" t="s">
        <v>7411</v>
      </c>
      <c r="BT121" t="s">
        <v>7360</v>
      </c>
      <c r="BU121" t="s">
        <v>7360</v>
      </c>
      <c r="BV121" t="s">
        <v>7360</v>
      </c>
      <c r="BX121" t="s">
        <v>7391</v>
      </c>
      <c r="BY121">
        <v>80</v>
      </c>
      <c r="BZ121">
        <v>0</v>
      </c>
      <c r="CA121">
        <v>0</v>
      </c>
      <c r="CB121" t="s">
        <v>7360</v>
      </c>
      <c r="CC121" s="21">
        <v>44952.665601851855</v>
      </c>
      <c r="CE121" t="s">
        <v>7412</v>
      </c>
      <c r="CF121">
        <v>1108001</v>
      </c>
      <c r="CG121">
        <v>53575</v>
      </c>
      <c r="CH121">
        <v>53575</v>
      </c>
      <c r="CI121" s="21">
        <v>44952.667314814818</v>
      </c>
      <c r="CJ121" t="s">
        <v>7393</v>
      </c>
      <c r="CK121" t="s">
        <v>7393</v>
      </c>
      <c r="CL121" t="s">
        <v>7394</v>
      </c>
      <c r="CM121" t="s">
        <v>7394</v>
      </c>
      <c r="CS121" t="s">
        <v>7361</v>
      </c>
      <c r="CT121" t="s">
        <v>7362</v>
      </c>
      <c r="CU121" t="s">
        <v>7362</v>
      </c>
      <c r="CV121" t="s">
        <v>7362</v>
      </c>
      <c r="CW121" t="s">
        <v>7362</v>
      </c>
      <c r="CX121">
        <v>1680000</v>
      </c>
      <c r="CY121" t="s">
        <v>1684</v>
      </c>
      <c r="DA121">
        <v>0</v>
      </c>
    </row>
    <row r="122" spans="1:106" x14ac:dyDescent="0.3">
      <c r="A122">
        <v>1373</v>
      </c>
      <c r="B122" t="s">
        <v>7383</v>
      </c>
      <c r="C122">
        <v>144</v>
      </c>
      <c r="D122" s="20">
        <v>44952</v>
      </c>
      <c r="E122" t="s">
        <v>7372</v>
      </c>
      <c r="F122" t="s">
        <v>5633</v>
      </c>
      <c r="G122" t="s">
        <v>7357</v>
      </c>
      <c r="H122">
        <v>1</v>
      </c>
      <c r="I122" t="s">
        <v>7358</v>
      </c>
      <c r="J122">
        <v>1</v>
      </c>
      <c r="K122" s="20">
        <v>44952</v>
      </c>
      <c r="L122" s="23">
        <v>138780</v>
      </c>
      <c r="M122" t="s">
        <v>7359</v>
      </c>
      <c r="N122" t="s">
        <v>7360</v>
      </c>
      <c r="O122">
        <v>0</v>
      </c>
      <c r="P122">
        <v>11784</v>
      </c>
      <c r="Q122">
        <v>415004</v>
      </c>
      <c r="R122">
        <v>0</v>
      </c>
      <c r="S122">
        <v>20230126</v>
      </c>
      <c r="T122">
        <v>0</v>
      </c>
      <c r="U122" t="s">
        <v>7362</v>
      </c>
      <c r="V122" t="s">
        <v>7360</v>
      </c>
      <c r="W122" t="s">
        <v>7360</v>
      </c>
      <c r="X122" t="s">
        <v>7360</v>
      </c>
      <c r="Y122" t="s">
        <v>7360</v>
      </c>
      <c r="Z122" t="s">
        <v>7360</v>
      </c>
      <c r="AA122" t="s">
        <v>7362</v>
      </c>
      <c r="AB122" t="s">
        <v>7360</v>
      </c>
      <c r="AC122" t="s">
        <v>7360</v>
      </c>
      <c r="AD122" t="s">
        <v>7360</v>
      </c>
      <c r="AE122" t="s">
        <v>7360</v>
      </c>
      <c r="AF122" t="s">
        <v>1684</v>
      </c>
      <c r="AG122">
        <v>0</v>
      </c>
      <c r="AH122">
        <v>0</v>
      </c>
      <c r="AI122">
        <v>0</v>
      </c>
      <c r="AJ122">
        <v>0</v>
      </c>
      <c r="AK122">
        <v>0</v>
      </c>
      <c r="AL122" t="s">
        <v>7360</v>
      </c>
      <c r="AM122">
        <v>0</v>
      </c>
      <c r="AN122" s="20">
        <v>44952</v>
      </c>
      <c r="AO122" s="20">
        <v>44952</v>
      </c>
      <c r="AP122" s="20">
        <v>44952</v>
      </c>
      <c r="AQ122">
        <v>0</v>
      </c>
      <c r="AR122">
        <v>0</v>
      </c>
      <c r="AS122">
        <v>0</v>
      </c>
      <c r="AT122">
        <v>0</v>
      </c>
      <c r="AU122">
        <v>0</v>
      </c>
      <c r="AV122" t="s">
        <v>7360</v>
      </c>
      <c r="AW122">
        <v>0</v>
      </c>
      <c r="AX122" t="s">
        <v>7360</v>
      </c>
      <c r="AY122" t="s">
        <v>7373</v>
      </c>
      <c r="BA122">
        <v>0</v>
      </c>
      <c r="BB122" s="20">
        <v>44952</v>
      </c>
      <c r="BC122">
        <v>0</v>
      </c>
      <c r="BD122" t="s">
        <v>7360</v>
      </c>
      <c r="BF122" s="20">
        <v>44952</v>
      </c>
      <c r="BG122">
        <v>0</v>
      </c>
      <c r="BH122" t="s">
        <v>7363</v>
      </c>
      <c r="BJ122" t="s">
        <v>7362</v>
      </c>
      <c r="BK122">
        <v>169</v>
      </c>
      <c r="BL122">
        <v>11</v>
      </c>
      <c r="BM122">
        <v>1</v>
      </c>
      <c r="BN122" t="s">
        <v>7364</v>
      </c>
      <c r="BO122">
        <v>0</v>
      </c>
      <c r="BP122">
        <v>0</v>
      </c>
      <c r="BQ122">
        <v>0</v>
      </c>
      <c r="BR122">
        <v>0</v>
      </c>
      <c r="BS122" t="s">
        <v>7411</v>
      </c>
      <c r="BT122" t="s">
        <v>7360</v>
      </c>
      <c r="BU122" t="s">
        <v>7360</v>
      </c>
      <c r="BV122" t="s">
        <v>7360</v>
      </c>
      <c r="BX122" t="s">
        <v>7391</v>
      </c>
      <c r="BY122">
        <v>80</v>
      </c>
      <c r="BZ122">
        <v>0</v>
      </c>
      <c r="CA122">
        <v>0</v>
      </c>
      <c r="CB122">
        <v>5558210</v>
      </c>
      <c r="CC122" s="21">
        <v>44952.671585648146</v>
      </c>
      <c r="CE122" t="s">
        <v>7412</v>
      </c>
      <c r="CF122">
        <v>1108001</v>
      </c>
      <c r="CG122">
        <v>53575</v>
      </c>
      <c r="CH122">
        <v>53575</v>
      </c>
      <c r="CI122" s="21">
        <v>44952.675509259258</v>
      </c>
      <c r="CJ122" t="s">
        <v>7393</v>
      </c>
      <c r="CK122" t="s">
        <v>7393</v>
      </c>
      <c r="CL122" t="s">
        <v>7394</v>
      </c>
      <c r="CM122" t="s">
        <v>7394</v>
      </c>
      <c r="CS122" t="s">
        <v>7361</v>
      </c>
      <c r="CT122" t="s">
        <v>7362</v>
      </c>
      <c r="CU122" t="s">
        <v>7362</v>
      </c>
      <c r="CV122" t="s">
        <v>7362</v>
      </c>
      <c r="CW122" t="s">
        <v>7362</v>
      </c>
      <c r="CX122">
        <v>138780</v>
      </c>
      <c r="DA122">
        <v>0</v>
      </c>
    </row>
    <row r="123" spans="1:106" x14ac:dyDescent="0.3">
      <c r="A123">
        <v>1354</v>
      </c>
      <c r="B123" t="s">
        <v>7396</v>
      </c>
      <c r="C123">
        <v>145</v>
      </c>
      <c r="D123" s="20">
        <v>44952</v>
      </c>
      <c r="E123" t="s">
        <v>7372</v>
      </c>
      <c r="F123" t="s">
        <v>5639</v>
      </c>
      <c r="G123" t="s">
        <v>7370</v>
      </c>
      <c r="H123">
        <v>1</v>
      </c>
      <c r="I123" t="s">
        <v>7358</v>
      </c>
      <c r="J123">
        <v>1</v>
      </c>
      <c r="K123" s="20">
        <v>44952</v>
      </c>
      <c r="L123" s="23">
        <v>4068000</v>
      </c>
      <c r="M123" t="s">
        <v>7359</v>
      </c>
      <c r="N123" t="s">
        <v>7360</v>
      </c>
      <c r="O123">
        <v>0</v>
      </c>
      <c r="P123">
        <v>11793</v>
      </c>
      <c r="Q123">
        <v>415012</v>
      </c>
      <c r="R123">
        <v>0</v>
      </c>
      <c r="S123">
        <v>20230126</v>
      </c>
      <c r="T123">
        <v>0</v>
      </c>
      <c r="U123" t="s">
        <v>7362</v>
      </c>
      <c r="V123" t="s">
        <v>7360</v>
      </c>
      <c r="W123" t="s">
        <v>7360</v>
      </c>
      <c r="X123" t="s">
        <v>7360</v>
      </c>
      <c r="Y123" t="s">
        <v>7360</v>
      </c>
      <c r="Z123" t="s">
        <v>7360</v>
      </c>
      <c r="AA123" t="s">
        <v>7362</v>
      </c>
      <c r="AB123" t="s">
        <v>7360</v>
      </c>
      <c r="AC123" t="s">
        <v>7360</v>
      </c>
      <c r="AD123" t="s">
        <v>7360</v>
      </c>
      <c r="AE123" t="s">
        <v>7360</v>
      </c>
      <c r="AF123" t="s">
        <v>1684</v>
      </c>
      <c r="AG123">
        <v>0</v>
      </c>
      <c r="AH123">
        <v>0</v>
      </c>
      <c r="AI123">
        <v>0</v>
      </c>
      <c r="AJ123">
        <v>0</v>
      </c>
      <c r="AK123">
        <v>0</v>
      </c>
      <c r="AL123" t="s">
        <v>7360</v>
      </c>
      <c r="AM123">
        <v>0</v>
      </c>
      <c r="AN123" s="20">
        <v>44952</v>
      </c>
      <c r="AO123" s="20">
        <v>44952</v>
      </c>
      <c r="AP123" s="20">
        <v>44952</v>
      </c>
      <c r="AQ123">
        <v>0</v>
      </c>
      <c r="AR123">
        <v>0</v>
      </c>
      <c r="AS123">
        <v>0</v>
      </c>
      <c r="AT123">
        <v>0</v>
      </c>
      <c r="AU123">
        <v>0</v>
      </c>
      <c r="AV123" t="s">
        <v>7360</v>
      </c>
      <c r="AW123">
        <v>0</v>
      </c>
      <c r="AX123" t="s">
        <v>7360</v>
      </c>
      <c r="AY123" t="s">
        <v>7362</v>
      </c>
      <c r="BA123">
        <v>0</v>
      </c>
      <c r="BB123" s="20">
        <v>44952</v>
      </c>
      <c r="BC123">
        <v>0</v>
      </c>
      <c r="BD123" t="s">
        <v>7360</v>
      </c>
      <c r="BF123" s="20">
        <v>44952</v>
      </c>
      <c r="BG123">
        <v>0</v>
      </c>
      <c r="BH123" t="s">
        <v>7363</v>
      </c>
      <c r="BJ123" t="s">
        <v>7362</v>
      </c>
      <c r="BK123">
        <v>0</v>
      </c>
      <c r="BL123">
        <v>0</v>
      </c>
      <c r="BM123">
        <v>0</v>
      </c>
      <c r="BN123">
        <v>0</v>
      </c>
      <c r="BO123">
        <v>169</v>
      </c>
      <c r="BP123">
        <v>11</v>
      </c>
      <c r="BQ123">
        <v>1</v>
      </c>
      <c r="BR123" t="s">
        <v>7364</v>
      </c>
      <c r="BS123" t="s">
        <v>7365</v>
      </c>
      <c r="BT123" t="s">
        <v>7360</v>
      </c>
      <c r="BU123" t="s">
        <v>7360</v>
      </c>
      <c r="BV123" t="s">
        <v>7360</v>
      </c>
      <c r="BX123">
        <v>0</v>
      </c>
      <c r="BY123">
        <v>0</v>
      </c>
      <c r="BZ123" t="s">
        <v>7360</v>
      </c>
      <c r="CA123" t="s">
        <v>7360</v>
      </c>
      <c r="CB123">
        <v>3380666</v>
      </c>
      <c r="CC123" s="21">
        <v>44952.669664351852</v>
      </c>
      <c r="CE123" t="s">
        <v>7366</v>
      </c>
      <c r="CF123">
        <v>0</v>
      </c>
      <c r="CG123">
        <v>702002</v>
      </c>
      <c r="CH123">
        <v>702002</v>
      </c>
      <c r="CI123" s="21">
        <v>44952.679027777776</v>
      </c>
      <c r="CJ123" t="s">
        <v>7367</v>
      </c>
      <c r="CK123" t="s">
        <v>7367</v>
      </c>
      <c r="CL123" t="s">
        <v>7368</v>
      </c>
      <c r="CM123" t="s">
        <v>7368</v>
      </c>
      <c r="CS123" t="s">
        <v>7361</v>
      </c>
      <c r="CT123" t="s">
        <v>7362</v>
      </c>
      <c r="CU123" t="s">
        <v>7362</v>
      </c>
      <c r="CV123" t="s">
        <v>7362</v>
      </c>
      <c r="CW123" t="s">
        <v>7362</v>
      </c>
      <c r="CX123">
        <v>4068000</v>
      </c>
      <c r="DA123">
        <v>0</v>
      </c>
    </row>
    <row r="124" spans="1:106" x14ac:dyDescent="0.3">
      <c r="A124">
        <v>1366</v>
      </c>
      <c r="B124" t="s">
        <v>7380</v>
      </c>
      <c r="C124">
        <v>825</v>
      </c>
      <c r="D124" s="20">
        <v>45014</v>
      </c>
      <c r="E124" t="s">
        <v>7372</v>
      </c>
      <c r="F124" t="s">
        <v>5633</v>
      </c>
      <c r="G124" t="s">
        <v>7357</v>
      </c>
      <c r="H124">
        <v>1</v>
      </c>
      <c r="I124" t="s">
        <v>7358</v>
      </c>
      <c r="J124">
        <v>1</v>
      </c>
      <c r="K124" s="20">
        <v>45014</v>
      </c>
      <c r="L124" s="23">
        <v>15803200</v>
      </c>
      <c r="M124" t="s">
        <v>7359</v>
      </c>
      <c r="N124" t="s">
        <v>7360</v>
      </c>
      <c r="O124">
        <v>0</v>
      </c>
      <c r="P124">
        <v>13037</v>
      </c>
      <c r="Q124">
        <v>453059</v>
      </c>
      <c r="R124">
        <v>0</v>
      </c>
      <c r="S124">
        <v>20230329</v>
      </c>
      <c r="T124">
        <v>0</v>
      </c>
      <c r="U124" t="s">
        <v>7362</v>
      </c>
      <c r="V124" t="s">
        <v>7360</v>
      </c>
      <c r="W124" t="s">
        <v>7360</v>
      </c>
      <c r="X124" t="s">
        <v>7360</v>
      </c>
      <c r="Y124" t="s">
        <v>7360</v>
      </c>
      <c r="Z124" t="s">
        <v>7360</v>
      </c>
      <c r="AA124" t="s">
        <v>7362</v>
      </c>
      <c r="AB124" t="s">
        <v>7360</v>
      </c>
      <c r="AC124" t="s">
        <v>7360</v>
      </c>
      <c r="AD124" t="s">
        <v>7360</v>
      </c>
      <c r="AE124" t="s">
        <v>7360</v>
      </c>
      <c r="AF124" t="s">
        <v>1684</v>
      </c>
      <c r="AG124">
        <v>0</v>
      </c>
      <c r="AH124">
        <v>0</v>
      </c>
      <c r="AI124">
        <v>0</v>
      </c>
      <c r="AJ124">
        <v>0</v>
      </c>
      <c r="AK124">
        <v>0</v>
      </c>
      <c r="AL124" t="s">
        <v>7360</v>
      </c>
      <c r="AM124">
        <v>0</v>
      </c>
      <c r="AN124" s="20">
        <v>45014</v>
      </c>
      <c r="AO124" s="20">
        <v>45014</v>
      </c>
      <c r="AP124" s="20">
        <v>45014</v>
      </c>
      <c r="AQ124">
        <v>0</v>
      </c>
      <c r="AR124">
        <v>0</v>
      </c>
      <c r="AS124">
        <v>0</v>
      </c>
      <c r="AT124">
        <v>0</v>
      </c>
      <c r="AU124">
        <v>0</v>
      </c>
      <c r="AV124" t="s">
        <v>7360</v>
      </c>
      <c r="AW124">
        <v>0</v>
      </c>
      <c r="AX124" t="s">
        <v>7360</v>
      </c>
      <c r="AY124" t="s">
        <v>7362</v>
      </c>
      <c r="BA124">
        <v>0</v>
      </c>
      <c r="BB124" s="20">
        <v>45014</v>
      </c>
      <c r="BC124">
        <v>0</v>
      </c>
      <c r="BD124" t="s">
        <v>7360</v>
      </c>
      <c r="BF124" s="20">
        <v>45014</v>
      </c>
      <c r="BG124">
        <v>0</v>
      </c>
      <c r="BH124" t="s">
        <v>7363</v>
      </c>
      <c r="BJ124" t="s">
        <v>7362</v>
      </c>
      <c r="BK124">
        <v>0</v>
      </c>
      <c r="BL124">
        <v>0</v>
      </c>
      <c r="BM124">
        <v>0</v>
      </c>
      <c r="BN124">
        <v>0</v>
      </c>
      <c r="BO124">
        <v>169</v>
      </c>
      <c r="BP124">
        <v>11</v>
      </c>
      <c r="BQ124">
        <v>1</v>
      </c>
      <c r="BR124" t="s">
        <v>7364</v>
      </c>
      <c r="BS124" t="s">
        <v>7386</v>
      </c>
      <c r="BT124" t="s">
        <v>7360</v>
      </c>
      <c r="BU124" t="s">
        <v>7360</v>
      </c>
      <c r="BV124" t="s">
        <v>7360</v>
      </c>
      <c r="BX124">
        <v>0</v>
      </c>
      <c r="BY124">
        <v>0</v>
      </c>
      <c r="BZ124" t="s">
        <v>7360</v>
      </c>
      <c r="CA124" t="s">
        <v>7360</v>
      </c>
      <c r="CB124">
        <v>3380666</v>
      </c>
      <c r="CC124" s="21">
        <v>44952.849733796298</v>
      </c>
      <c r="CE124" t="s">
        <v>7366</v>
      </c>
      <c r="CF124">
        <v>0</v>
      </c>
      <c r="CG124">
        <v>51669</v>
      </c>
      <c r="CH124">
        <v>51669</v>
      </c>
      <c r="CI124" s="21">
        <v>44953.52715277778</v>
      </c>
      <c r="CJ124" t="s">
        <v>7406</v>
      </c>
      <c r="CK124" t="s">
        <v>7406</v>
      </c>
      <c r="CL124" t="s">
        <v>7407</v>
      </c>
      <c r="CM124" t="s">
        <v>7407</v>
      </c>
      <c r="CS124" t="s">
        <v>7361</v>
      </c>
      <c r="CT124" t="s">
        <v>7362</v>
      </c>
      <c r="CU124" t="s">
        <v>7362</v>
      </c>
      <c r="CV124" t="s">
        <v>7362</v>
      </c>
      <c r="CW124" t="s">
        <v>7362</v>
      </c>
      <c r="CX124">
        <v>29155000</v>
      </c>
      <c r="DA124">
        <v>0</v>
      </c>
      <c r="DB124">
        <v>129009</v>
      </c>
    </row>
    <row r="125" spans="1:106" x14ac:dyDescent="0.3">
      <c r="A125">
        <v>1354</v>
      </c>
      <c r="B125" t="s">
        <v>7396</v>
      </c>
      <c r="C125">
        <v>147</v>
      </c>
      <c r="D125" s="20">
        <v>44952</v>
      </c>
      <c r="E125" t="s">
        <v>7356</v>
      </c>
      <c r="F125" t="s">
        <v>5639</v>
      </c>
      <c r="G125" t="s">
        <v>7370</v>
      </c>
      <c r="H125">
        <v>1</v>
      </c>
      <c r="I125" t="s">
        <v>7358</v>
      </c>
      <c r="J125">
        <v>1</v>
      </c>
      <c r="K125" s="20">
        <v>44952</v>
      </c>
      <c r="L125" s="23">
        <v>3000000</v>
      </c>
      <c r="M125" t="s">
        <v>7359</v>
      </c>
      <c r="N125" t="s">
        <v>7360</v>
      </c>
      <c r="O125">
        <v>0</v>
      </c>
      <c r="P125">
        <v>11839</v>
      </c>
      <c r="Q125">
        <v>416016</v>
      </c>
      <c r="R125">
        <v>0</v>
      </c>
      <c r="S125">
        <v>20230126</v>
      </c>
      <c r="T125">
        <v>0</v>
      </c>
      <c r="U125" t="s">
        <v>7361</v>
      </c>
      <c r="V125" t="s">
        <v>7360</v>
      </c>
      <c r="W125" t="s">
        <v>7360</v>
      </c>
      <c r="X125" t="s">
        <v>7360</v>
      </c>
      <c r="Y125" t="s">
        <v>7360</v>
      </c>
      <c r="Z125" t="s">
        <v>7360</v>
      </c>
      <c r="AA125" t="s">
        <v>7362</v>
      </c>
      <c r="AB125" t="s">
        <v>7360</v>
      </c>
      <c r="AC125" t="s">
        <v>7360</v>
      </c>
      <c r="AD125" t="s">
        <v>7360</v>
      </c>
      <c r="AE125" t="s">
        <v>7360</v>
      </c>
      <c r="AF125" t="s">
        <v>1684</v>
      </c>
      <c r="AG125">
        <v>0</v>
      </c>
      <c r="AH125">
        <v>0</v>
      </c>
      <c r="AI125">
        <v>0</v>
      </c>
      <c r="AJ125">
        <v>0</v>
      </c>
      <c r="AK125">
        <v>0</v>
      </c>
      <c r="AL125" t="s">
        <v>7360</v>
      </c>
      <c r="AM125">
        <v>0</v>
      </c>
      <c r="AN125" s="20">
        <v>44952</v>
      </c>
      <c r="AO125" s="20">
        <v>44952</v>
      </c>
      <c r="AP125" s="20">
        <v>44952</v>
      </c>
      <c r="AQ125">
        <v>0</v>
      </c>
      <c r="AR125">
        <v>0</v>
      </c>
      <c r="AS125">
        <v>0</v>
      </c>
      <c r="AT125">
        <v>0</v>
      </c>
      <c r="AU125">
        <v>0</v>
      </c>
      <c r="AV125" t="s">
        <v>7360</v>
      </c>
      <c r="AW125">
        <v>0</v>
      </c>
      <c r="AX125" t="s">
        <v>7360</v>
      </c>
      <c r="AY125" t="s">
        <v>7363</v>
      </c>
      <c r="BA125">
        <v>0</v>
      </c>
      <c r="BB125" s="20">
        <v>44952</v>
      </c>
      <c r="BC125">
        <v>0</v>
      </c>
      <c r="BD125" t="s">
        <v>7360</v>
      </c>
      <c r="BF125" s="20">
        <v>44952</v>
      </c>
      <c r="BG125">
        <v>0</v>
      </c>
      <c r="BH125" t="s">
        <v>7363</v>
      </c>
      <c r="BJ125" t="s">
        <v>7362</v>
      </c>
      <c r="BK125">
        <v>169</v>
      </c>
      <c r="BL125">
        <v>11</v>
      </c>
      <c r="BM125">
        <v>1</v>
      </c>
      <c r="BN125" t="s">
        <v>7364</v>
      </c>
      <c r="BO125">
        <v>0</v>
      </c>
      <c r="BP125">
        <v>0</v>
      </c>
      <c r="BQ125">
        <v>0</v>
      </c>
      <c r="BR125">
        <v>0</v>
      </c>
      <c r="BS125" t="s">
        <v>132</v>
      </c>
      <c r="BT125" t="s">
        <v>7360</v>
      </c>
      <c r="BU125" t="s">
        <v>7360</v>
      </c>
      <c r="BV125" t="s">
        <v>7360</v>
      </c>
      <c r="BX125" t="s">
        <v>7391</v>
      </c>
      <c r="BY125">
        <v>74</v>
      </c>
      <c r="BZ125" t="s">
        <v>7360</v>
      </c>
      <c r="CA125" t="s">
        <v>7360</v>
      </c>
      <c r="CB125" t="s">
        <v>7360</v>
      </c>
      <c r="CC125" s="21">
        <v>44952.690046296295</v>
      </c>
      <c r="CE125" t="s">
        <v>7392</v>
      </c>
      <c r="CF125">
        <v>1100101</v>
      </c>
      <c r="CG125">
        <v>53575</v>
      </c>
      <c r="CH125">
        <v>53575</v>
      </c>
      <c r="CI125" s="21">
        <v>44952.691134259258</v>
      </c>
      <c r="CJ125" t="s">
        <v>7393</v>
      </c>
      <c r="CK125" t="s">
        <v>7393</v>
      </c>
      <c r="CL125" t="s">
        <v>7394</v>
      </c>
      <c r="CM125" t="s">
        <v>7394</v>
      </c>
      <c r="CS125" t="s">
        <v>7361</v>
      </c>
      <c r="CT125" t="s">
        <v>7362</v>
      </c>
      <c r="CU125" t="s">
        <v>7362</v>
      </c>
      <c r="CV125" t="s">
        <v>7362</v>
      </c>
      <c r="CW125" t="s">
        <v>7362</v>
      </c>
      <c r="CX125">
        <v>3000000</v>
      </c>
      <c r="DA125">
        <v>0</v>
      </c>
    </row>
    <row r="126" spans="1:106" x14ac:dyDescent="0.3">
      <c r="A126">
        <v>1357</v>
      </c>
      <c r="B126" t="s">
        <v>7405</v>
      </c>
      <c r="C126">
        <v>148</v>
      </c>
      <c r="D126" s="20">
        <v>44952</v>
      </c>
      <c r="E126" t="s">
        <v>7356</v>
      </c>
      <c r="F126" t="s">
        <v>5633</v>
      </c>
      <c r="G126" t="s">
        <v>7357</v>
      </c>
      <c r="H126">
        <v>1</v>
      </c>
      <c r="I126" t="s">
        <v>7358</v>
      </c>
      <c r="J126">
        <v>1</v>
      </c>
      <c r="K126" s="20">
        <v>44952</v>
      </c>
      <c r="L126" s="23">
        <v>5823420</v>
      </c>
      <c r="M126" t="s">
        <v>7359</v>
      </c>
      <c r="N126" t="s">
        <v>7360</v>
      </c>
      <c r="O126">
        <v>0</v>
      </c>
      <c r="P126">
        <v>11807</v>
      </c>
      <c r="Q126">
        <v>415022</v>
      </c>
      <c r="R126">
        <v>0</v>
      </c>
      <c r="S126">
        <v>20230126</v>
      </c>
      <c r="T126">
        <v>0</v>
      </c>
      <c r="U126" t="s">
        <v>7361</v>
      </c>
      <c r="V126" t="s">
        <v>7360</v>
      </c>
      <c r="W126" t="s">
        <v>7360</v>
      </c>
      <c r="X126" t="s">
        <v>7360</v>
      </c>
      <c r="Y126" t="s">
        <v>7360</v>
      </c>
      <c r="Z126" t="s">
        <v>7360</v>
      </c>
      <c r="AA126" t="s">
        <v>7362</v>
      </c>
      <c r="AB126" t="s">
        <v>7360</v>
      </c>
      <c r="AC126" t="s">
        <v>7360</v>
      </c>
      <c r="AD126" t="s">
        <v>7360</v>
      </c>
      <c r="AE126" t="s">
        <v>7360</v>
      </c>
      <c r="AF126" t="s">
        <v>1684</v>
      </c>
      <c r="AG126">
        <v>0</v>
      </c>
      <c r="AH126">
        <v>0</v>
      </c>
      <c r="AI126">
        <v>0</v>
      </c>
      <c r="AJ126">
        <v>0</v>
      </c>
      <c r="AK126">
        <v>0</v>
      </c>
      <c r="AL126" t="s">
        <v>7360</v>
      </c>
      <c r="AM126">
        <v>0</v>
      </c>
      <c r="AN126" s="20">
        <v>44952</v>
      </c>
      <c r="AO126" s="20">
        <v>44952</v>
      </c>
      <c r="AP126" s="20">
        <v>44952</v>
      </c>
      <c r="AQ126">
        <v>0</v>
      </c>
      <c r="AR126">
        <v>0</v>
      </c>
      <c r="AS126">
        <v>0</v>
      </c>
      <c r="AT126">
        <v>0</v>
      </c>
      <c r="AU126">
        <v>0</v>
      </c>
      <c r="AV126" t="s">
        <v>7360</v>
      </c>
      <c r="AW126">
        <v>0</v>
      </c>
      <c r="AX126" t="s">
        <v>7360</v>
      </c>
      <c r="AY126" t="s">
        <v>7363</v>
      </c>
      <c r="BA126">
        <v>0</v>
      </c>
      <c r="BB126" s="20">
        <v>44952</v>
      </c>
      <c r="BC126">
        <v>0</v>
      </c>
      <c r="BD126" t="s">
        <v>7360</v>
      </c>
      <c r="BF126" s="20">
        <v>44952</v>
      </c>
      <c r="BG126">
        <v>0</v>
      </c>
      <c r="BH126" t="s">
        <v>1684</v>
      </c>
      <c r="BJ126" t="s">
        <v>7362</v>
      </c>
      <c r="BK126">
        <v>169</v>
      </c>
      <c r="BL126">
        <v>11</v>
      </c>
      <c r="BM126">
        <v>1</v>
      </c>
      <c r="BN126" t="s">
        <v>7364</v>
      </c>
      <c r="BO126">
        <v>169</v>
      </c>
      <c r="BP126">
        <v>11</v>
      </c>
      <c r="BQ126">
        <v>1</v>
      </c>
      <c r="BR126" t="s">
        <v>7364</v>
      </c>
      <c r="BS126" t="s">
        <v>7382</v>
      </c>
      <c r="BT126" t="s">
        <v>7360</v>
      </c>
      <c r="BU126" t="s">
        <v>7360</v>
      </c>
      <c r="BV126" t="s">
        <v>7360</v>
      </c>
      <c r="BX126" t="s">
        <v>7391</v>
      </c>
      <c r="BY126">
        <v>74</v>
      </c>
      <c r="BZ126" t="s">
        <v>7360</v>
      </c>
      <c r="CA126" t="s">
        <v>7360</v>
      </c>
      <c r="CB126">
        <v>3380666</v>
      </c>
      <c r="CC126" s="21">
        <v>44952.688738425924</v>
      </c>
      <c r="CE126" t="s">
        <v>7392</v>
      </c>
      <c r="CF126">
        <v>1100101</v>
      </c>
      <c r="CG126">
        <v>51669</v>
      </c>
      <c r="CH126">
        <v>51669</v>
      </c>
      <c r="CI126" s="21">
        <v>44952.700798611113</v>
      </c>
      <c r="CJ126" t="s">
        <v>7406</v>
      </c>
      <c r="CK126" t="s">
        <v>7406</v>
      </c>
      <c r="CL126" t="s">
        <v>7407</v>
      </c>
      <c r="CM126" t="s">
        <v>7407</v>
      </c>
      <c r="CS126" t="s">
        <v>7361</v>
      </c>
      <c r="CT126" t="s">
        <v>7362</v>
      </c>
      <c r="CU126" t="s">
        <v>7362</v>
      </c>
      <c r="CV126" t="s">
        <v>7362</v>
      </c>
      <c r="CW126" t="s">
        <v>7362</v>
      </c>
      <c r="CX126">
        <v>5823420</v>
      </c>
      <c r="DA126">
        <v>0</v>
      </c>
    </row>
    <row r="127" spans="1:106" x14ac:dyDescent="0.3">
      <c r="A127">
        <v>1354</v>
      </c>
      <c r="B127" t="s">
        <v>7396</v>
      </c>
      <c r="C127">
        <v>149</v>
      </c>
      <c r="D127" s="20">
        <v>44952</v>
      </c>
      <c r="E127" t="s">
        <v>7356</v>
      </c>
      <c r="F127" t="s">
        <v>5639</v>
      </c>
      <c r="G127" t="s">
        <v>7357</v>
      </c>
      <c r="H127">
        <v>1</v>
      </c>
      <c r="I127" t="s">
        <v>7358</v>
      </c>
      <c r="J127">
        <v>1</v>
      </c>
      <c r="K127" s="20">
        <v>44952</v>
      </c>
      <c r="L127" s="23">
        <v>3570000</v>
      </c>
      <c r="M127" t="s">
        <v>7359</v>
      </c>
      <c r="N127" t="s">
        <v>7360</v>
      </c>
      <c r="O127">
        <v>0</v>
      </c>
      <c r="P127">
        <v>11891</v>
      </c>
      <c r="Q127">
        <v>416058</v>
      </c>
      <c r="R127">
        <v>0</v>
      </c>
      <c r="S127">
        <v>20230126</v>
      </c>
      <c r="T127">
        <v>0</v>
      </c>
      <c r="U127" t="s">
        <v>7361</v>
      </c>
      <c r="V127" t="s">
        <v>7360</v>
      </c>
      <c r="W127" t="s">
        <v>7360</v>
      </c>
      <c r="X127" t="s">
        <v>7360</v>
      </c>
      <c r="Y127" t="s">
        <v>7360</v>
      </c>
      <c r="Z127" t="s">
        <v>7360</v>
      </c>
      <c r="AA127" t="s">
        <v>7362</v>
      </c>
      <c r="AB127" t="s">
        <v>7360</v>
      </c>
      <c r="AC127" t="s">
        <v>7360</v>
      </c>
      <c r="AD127" t="s">
        <v>7360</v>
      </c>
      <c r="AE127" t="s">
        <v>7360</v>
      </c>
      <c r="AF127" t="s">
        <v>1684</v>
      </c>
      <c r="AG127">
        <v>0</v>
      </c>
      <c r="AH127">
        <v>0</v>
      </c>
      <c r="AI127">
        <v>0</v>
      </c>
      <c r="AJ127">
        <v>0</v>
      </c>
      <c r="AK127">
        <v>0</v>
      </c>
      <c r="AL127" t="s">
        <v>7360</v>
      </c>
      <c r="AM127">
        <v>0</v>
      </c>
      <c r="AN127" s="20">
        <v>44952</v>
      </c>
      <c r="AO127" s="20">
        <v>44952</v>
      </c>
      <c r="AP127" s="20">
        <v>44952</v>
      </c>
      <c r="AQ127">
        <v>0</v>
      </c>
      <c r="AR127">
        <v>0</v>
      </c>
      <c r="AS127">
        <v>0</v>
      </c>
      <c r="AT127">
        <v>0</v>
      </c>
      <c r="AU127">
        <v>0</v>
      </c>
      <c r="AV127" t="s">
        <v>7360</v>
      </c>
      <c r="AW127">
        <v>0</v>
      </c>
      <c r="AX127" t="s">
        <v>7360</v>
      </c>
      <c r="AY127" t="s">
        <v>7363</v>
      </c>
      <c r="BA127">
        <v>0</v>
      </c>
      <c r="BB127" s="20">
        <v>44952</v>
      </c>
      <c r="BC127">
        <v>0</v>
      </c>
      <c r="BD127" t="s">
        <v>7360</v>
      </c>
      <c r="BF127" s="20">
        <v>44952</v>
      </c>
      <c r="BG127">
        <v>0</v>
      </c>
      <c r="BH127" t="s">
        <v>7363</v>
      </c>
      <c r="BJ127" t="s">
        <v>7362</v>
      </c>
      <c r="BK127">
        <v>0</v>
      </c>
      <c r="BL127">
        <v>0</v>
      </c>
      <c r="BM127">
        <v>0</v>
      </c>
      <c r="BN127">
        <v>0</v>
      </c>
      <c r="BO127">
        <v>169</v>
      </c>
      <c r="BP127">
        <v>11</v>
      </c>
      <c r="BQ127">
        <v>1</v>
      </c>
      <c r="BR127" t="s">
        <v>7364</v>
      </c>
      <c r="BS127" t="s">
        <v>7365</v>
      </c>
      <c r="BT127" t="s">
        <v>7360</v>
      </c>
      <c r="BU127" t="s">
        <v>7360</v>
      </c>
      <c r="BV127" t="s">
        <v>7360</v>
      </c>
      <c r="BX127">
        <v>0</v>
      </c>
      <c r="BY127">
        <v>0</v>
      </c>
      <c r="BZ127" t="s">
        <v>7360</v>
      </c>
      <c r="CA127" t="s">
        <v>7360</v>
      </c>
      <c r="CB127">
        <v>3380666</v>
      </c>
      <c r="CC127" s="21">
        <v>44952.693148148152</v>
      </c>
      <c r="CE127" t="s">
        <v>7366</v>
      </c>
      <c r="CF127">
        <v>0</v>
      </c>
      <c r="CG127">
        <v>702002</v>
      </c>
      <c r="CH127">
        <v>702002</v>
      </c>
      <c r="CI127" s="21">
        <v>44953.390231481484</v>
      </c>
      <c r="CJ127" t="s">
        <v>7367</v>
      </c>
      <c r="CK127" t="s">
        <v>7367</v>
      </c>
      <c r="CL127" t="s">
        <v>7368</v>
      </c>
      <c r="CM127" t="s">
        <v>7368</v>
      </c>
      <c r="CS127" t="s">
        <v>7361</v>
      </c>
      <c r="CT127" t="s">
        <v>7362</v>
      </c>
      <c r="CU127" t="s">
        <v>7362</v>
      </c>
      <c r="CV127" t="s">
        <v>7362</v>
      </c>
      <c r="CW127" t="s">
        <v>7362</v>
      </c>
      <c r="CX127">
        <v>3570000</v>
      </c>
      <c r="DA127">
        <v>0</v>
      </c>
    </row>
    <row r="128" spans="1:106" x14ac:dyDescent="0.3">
      <c r="A128">
        <v>1354</v>
      </c>
      <c r="B128" t="s">
        <v>7396</v>
      </c>
      <c r="C128">
        <v>150</v>
      </c>
      <c r="D128" s="20">
        <v>44952</v>
      </c>
      <c r="E128" t="s">
        <v>7356</v>
      </c>
      <c r="F128" t="s">
        <v>5633</v>
      </c>
      <c r="G128" t="s">
        <v>7370</v>
      </c>
      <c r="H128">
        <v>1</v>
      </c>
      <c r="I128" t="s">
        <v>7358</v>
      </c>
      <c r="J128">
        <v>1</v>
      </c>
      <c r="K128" s="20">
        <v>44952</v>
      </c>
      <c r="L128" s="23">
        <v>2500000</v>
      </c>
      <c r="M128" t="s">
        <v>7359</v>
      </c>
      <c r="N128" t="s">
        <v>7360</v>
      </c>
      <c r="O128">
        <v>0</v>
      </c>
      <c r="P128">
        <v>11948</v>
      </c>
      <c r="Q128">
        <v>416087</v>
      </c>
      <c r="R128">
        <v>0</v>
      </c>
      <c r="S128">
        <v>20230126</v>
      </c>
      <c r="T128">
        <v>0</v>
      </c>
      <c r="U128" t="s">
        <v>7361</v>
      </c>
      <c r="V128" t="s">
        <v>7360</v>
      </c>
      <c r="W128" t="s">
        <v>7360</v>
      </c>
      <c r="X128" t="s">
        <v>7360</v>
      </c>
      <c r="Y128" t="s">
        <v>7360</v>
      </c>
      <c r="Z128" t="s">
        <v>7360</v>
      </c>
      <c r="AA128" t="s">
        <v>7362</v>
      </c>
      <c r="AB128" t="s">
        <v>7360</v>
      </c>
      <c r="AC128" t="s">
        <v>7360</v>
      </c>
      <c r="AD128" t="s">
        <v>7360</v>
      </c>
      <c r="AE128" t="s">
        <v>7360</v>
      </c>
      <c r="AF128" t="s">
        <v>1684</v>
      </c>
      <c r="AG128">
        <v>0</v>
      </c>
      <c r="AH128">
        <v>0</v>
      </c>
      <c r="AI128">
        <v>0</v>
      </c>
      <c r="AJ128">
        <v>0</v>
      </c>
      <c r="AK128">
        <v>0</v>
      </c>
      <c r="AL128" t="s">
        <v>7360</v>
      </c>
      <c r="AM128">
        <v>0</v>
      </c>
      <c r="AN128" s="20">
        <v>44952</v>
      </c>
      <c r="AO128" s="20">
        <v>44952</v>
      </c>
      <c r="AP128" s="20">
        <v>44952</v>
      </c>
      <c r="AQ128">
        <v>0</v>
      </c>
      <c r="AR128">
        <v>0</v>
      </c>
      <c r="AS128">
        <v>0</v>
      </c>
      <c r="AT128">
        <v>0</v>
      </c>
      <c r="AU128">
        <v>0</v>
      </c>
      <c r="AV128" t="s">
        <v>7360</v>
      </c>
      <c r="AW128">
        <v>0</v>
      </c>
      <c r="AX128" t="s">
        <v>7360</v>
      </c>
      <c r="AY128" t="s">
        <v>7363</v>
      </c>
      <c r="BA128">
        <v>0</v>
      </c>
      <c r="BB128" s="20">
        <v>44952</v>
      </c>
      <c r="BC128">
        <v>0</v>
      </c>
      <c r="BD128" t="s">
        <v>7360</v>
      </c>
      <c r="BF128" s="20">
        <v>44952</v>
      </c>
      <c r="BG128">
        <v>0</v>
      </c>
      <c r="BH128" t="s">
        <v>7363</v>
      </c>
      <c r="BJ128" t="s">
        <v>7362</v>
      </c>
      <c r="BK128">
        <v>169</v>
      </c>
      <c r="BL128">
        <v>11</v>
      </c>
      <c r="BM128">
        <v>1</v>
      </c>
      <c r="BN128" t="s">
        <v>7364</v>
      </c>
      <c r="BO128">
        <v>0</v>
      </c>
      <c r="BP128">
        <v>0</v>
      </c>
      <c r="BQ128">
        <v>0</v>
      </c>
      <c r="BR128">
        <v>0</v>
      </c>
      <c r="BS128" t="s">
        <v>7411</v>
      </c>
      <c r="BT128" t="s">
        <v>7360</v>
      </c>
      <c r="BU128" t="s">
        <v>7360</v>
      </c>
      <c r="BV128" t="s">
        <v>7360</v>
      </c>
      <c r="BX128" t="s">
        <v>7391</v>
      </c>
      <c r="BY128">
        <v>80</v>
      </c>
      <c r="BZ128">
        <v>0</v>
      </c>
      <c r="CA128">
        <v>0</v>
      </c>
      <c r="CC128" s="21">
        <v>44952.699074074073</v>
      </c>
      <c r="CE128" t="s">
        <v>7412</v>
      </c>
      <c r="CF128">
        <v>1108001</v>
      </c>
      <c r="CG128">
        <v>53575</v>
      </c>
      <c r="CH128">
        <v>53575</v>
      </c>
      <c r="CI128" s="21">
        <v>44952.70034722222</v>
      </c>
      <c r="CJ128" t="s">
        <v>7393</v>
      </c>
      <c r="CK128" t="s">
        <v>7393</v>
      </c>
      <c r="CL128" t="s">
        <v>7394</v>
      </c>
      <c r="CM128" t="s">
        <v>7394</v>
      </c>
      <c r="CS128" t="s">
        <v>7361</v>
      </c>
      <c r="CT128" t="s">
        <v>7362</v>
      </c>
      <c r="CU128" t="s">
        <v>7362</v>
      </c>
      <c r="CV128" t="s">
        <v>7362</v>
      </c>
      <c r="CW128" t="s">
        <v>7362</v>
      </c>
      <c r="CX128">
        <v>2500000</v>
      </c>
      <c r="DA128">
        <v>0</v>
      </c>
    </row>
    <row r="129" spans="1:110" x14ac:dyDescent="0.3">
      <c r="A129">
        <v>1356</v>
      </c>
      <c r="B129" t="s">
        <v>7402</v>
      </c>
      <c r="C129">
        <v>151</v>
      </c>
      <c r="D129" s="20">
        <v>44952</v>
      </c>
      <c r="E129" t="s">
        <v>7372</v>
      </c>
      <c r="F129" t="s">
        <v>5639</v>
      </c>
      <c r="G129" t="s">
        <v>7370</v>
      </c>
      <c r="H129">
        <v>1</v>
      </c>
      <c r="I129" t="s">
        <v>7358</v>
      </c>
      <c r="J129">
        <v>1</v>
      </c>
      <c r="K129" s="20">
        <v>44952</v>
      </c>
      <c r="L129" s="23">
        <v>2641000</v>
      </c>
      <c r="M129" t="s">
        <v>7359</v>
      </c>
      <c r="N129" t="s">
        <v>7360</v>
      </c>
      <c r="O129">
        <v>0</v>
      </c>
      <c r="P129">
        <v>11819</v>
      </c>
      <c r="Q129">
        <v>415029</v>
      </c>
      <c r="R129">
        <v>0</v>
      </c>
      <c r="S129">
        <v>20230126</v>
      </c>
      <c r="T129">
        <v>0</v>
      </c>
      <c r="U129" t="s">
        <v>7362</v>
      </c>
      <c r="V129" t="s">
        <v>7360</v>
      </c>
      <c r="W129" t="s">
        <v>7360</v>
      </c>
      <c r="X129" t="s">
        <v>7360</v>
      </c>
      <c r="Y129" t="s">
        <v>7360</v>
      </c>
      <c r="Z129" t="s">
        <v>7360</v>
      </c>
      <c r="AA129" t="s">
        <v>7362</v>
      </c>
      <c r="AB129" t="s">
        <v>7360</v>
      </c>
      <c r="AC129" t="s">
        <v>7360</v>
      </c>
      <c r="AD129" t="s">
        <v>7360</v>
      </c>
      <c r="AE129" t="s">
        <v>7360</v>
      </c>
      <c r="AF129" t="s">
        <v>1684</v>
      </c>
      <c r="AG129">
        <v>0</v>
      </c>
      <c r="AH129">
        <v>0</v>
      </c>
      <c r="AI129">
        <v>0</v>
      </c>
      <c r="AJ129">
        <v>0</v>
      </c>
      <c r="AK129">
        <v>0</v>
      </c>
      <c r="AL129" t="s">
        <v>7360</v>
      </c>
      <c r="AM129">
        <v>0</v>
      </c>
      <c r="AN129" s="20">
        <v>44952</v>
      </c>
      <c r="AO129" s="20">
        <v>44952</v>
      </c>
      <c r="AP129" s="20">
        <v>44952</v>
      </c>
      <c r="AQ129">
        <v>0</v>
      </c>
      <c r="AR129">
        <v>0</v>
      </c>
      <c r="AS129">
        <v>0</v>
      </c>
      <c r="AT129">
        <v>0</v>
      </c>
      <c r="AU129">
        <v>0</v>
      </c>
      <c r="AV129" t="s">
        <v>7360</v>
      </c>
      <c r="AW129">
        <v>0</v>
      </c>
      <c r="AX129" t="s">
        <v>7360</v>
      </c>
      <c r="AY129" t="s">
        <v>7373</v>
      </c>
      <c r="BA129">
        <v>0</v>
      </c>
      <c r="BB129" s="20">
        <v>44952</v>
      </c>
      <c r="BC129">
        <v>0</v>
      </c>
      <c r="BD129" t="s">
        <v>7360</v>
      </c>
      <c r="BF129" s="20">
        <v>44952</v>
      </c>
      <c r="BG129">
        <v>0</v>
      </c>
      <c r="BH129" t="s">
        <v>1729</v>
      </c>
      <c r="BJ129" t="s">
        <v>7362</v>
      </c>
      <c r="BK129">
        <v>0</v>
      </c>
      <c r="BL129">
        <v>0</v>
      </c>
      <c r="BM129">
        <v>0</v>
      </c>
      <c r="BN129">
        <v>0</v>
      </c>
      <c r="BO129">
        <v>169</v>
      </c>
      <c r="BP129">
        <v>11</v>
      </c>
      <c r="BQ129">
        <v>1</v>
      </c>
      <c r="BR129" t="s">
        <v>7364</v>
      </c>
      <c r="BS129" t="s">
        <v>7386</v>
      </c>
      <c r="BT129" t="s">
        <v>7360</v>
      </c>
      <c r="BU129" t="s">
        <v>7360</v>
      </c>
      <c r="BV129" t="s">
        <v>7360</v>
      </c>
      <c r="BX129">
        <v>0</v>
      </c>
      <c r="BY129">
        <v>0</v>
      </c>
      <c r="BZ129" t="s">
        <v>7360</v>
      </c>
      <c r="CA129" t="s">
        <v>7360</v>
      </c>
      <c r="CB129">
        <v>3380666</v>
      </c>
      <c r="CC129" s="21">
        <v>44952.707361111112</v>
      </c>
      <c r="CE129" t="s">
        <v>7366</v>
      </c>
      <c r="CF129">
        <v>0</v>
      </c>
      <c r="CG129">
        <v>51669</v>
      </c>
      <c r="CH129">
        <v>51669</v>
      </c>
      <c r="CI129" s="21">
        <v>44952.708518518521</v>
      </c>
      <c r="CJ129" t="s">
        <v>7406</v>
      </c>
      <c r="CK129" t="s">
        <v>7406</v>
      </c>
      <c r="CL129" t="s">
        <v>7407</v>
      </c>
      <c r="CM129" t="s">
        <v>7407</v>
      </c>
      <c r="CS129" t="s">
        <v>7361</v>
      </c>
      <c r="CT129" t="s">
        <v>7362</v>
      </c>
      <c r="CU129" t="s">
        <v>7362</v>
      </c>
      <c r="CV129" t="s">
        <v>7362</v>
      </c>
      <c r="CW129" t="s">
        <v>7362</v>
      </c>
      <c r="CX129">
        <v>2641000</v>
      </c>
      <c r="DA129">
        <v>0</v>
      </c>
    </row>
    <row r="130" spans="1:110" x14ac:dyDescent="0.3">
      <c r="A130">
        <v>1356</v>
      </c>
      <c r="B130" t="s">
        <v>7402</v>
      </c>
      <c r="C130">
        <v>152</v>
      </c>
      <c r="D130" s="20">
        <v>44952</v>
      </c>
      <c r="E130" t="s">
        <v>7356</v>
      </c>
      <c r="F130" t="s">
        <v>5633</v>
      </c>
      <c r="G130" t="s">
        <v>7377</v>
      </c>
      <c r="H130">
        <v>1</v>
      </c>
      <c r="I130" t="s">
        <v>7358</v>
      </c>
      <c r="J130">
        <v>1</v>
      </c>
      <c r="K130" s="20">
        <v>44952</v>
      </c>
      <c r="L130" s="23">
        <v>7092076</v>
      </c>
      <c r="M130" t="s">
        <v>7359</v>
      </c>
      <c r="N130" t="s">
        <v>7360</v>
      </c>
      <c r="O130">
        <v>0</v>
      </c>
      <c r="P130">
        <v>11836</v>
      </c>
      <c r="Q130">
        <v>416014</v>
      </c>
      <c r="R130">
        <v>0</v>
      </c>
      <c r="S130">
        <v>20230126</v>
      </c>
      <c r="T130">
        <v>0</v>
      </c>
      <c r="U130" t="s">
        <v>7361</v>
      </c>
      <c r="V130" t="s">
        <v>7360</v>
      </c>
      <c r="W130" t="s">
        <v>7360</v>
      </c>
      <c r="X130" t="s">
        <v>7360</v>
      </c>
      <c r="Y130" t="s">
        <v>7360</v>
      </c>
      <c r="Z130" t="s">
        <v>7360</v>
      </c>
      <c r="AA130" t="s">
        <v>7362</v>
      </c>
      <c r="AB130" t="s">
        <v>7360</v>
      </c>
      <c r="AC130" t="s">
        <v>7360</v>
      </c>
      <c r="AD130" t="s">
        <v>7360</v>
      </c>
      <c r="AE130" t="s">
        <v>7360</v>
      </c>
      <c r="AF130" t="s">
        <v>1684</v>
      </c>
      <c r="AG130">
        <v>0</v>
      </c>
      <c r="AH130">
        <v>0</v>
      </c>
      <c r="AI130">
        <v>0</v>
      </c>
      <c r="AJ130">
        <v>0</v>
      </c>
      <c r="AK130">
        <v>0</v>
      </c>
      <c r="AL130" t="s">
        <v>7360</v>
      </c>
      <c r="AM130">
        <v>0</v>
      </c>
      <c r="AN130" s="20">
        <v>44952</v>
      </c>
      <c r="AO130" s="20">
        <v>44952</v>
      </c>
      <c r="AP130" s="20">
        <v>44952</v>
      </c>
      <c r="AQ130">
        <v>0</v>
      </c>
      <c r="AR130">
        <v>0</v>
      </c>
      <c r="AS130">
        <v>0</v>
      </c>
      <c r="AT130">
        <v>0</v>
      </c>
      <c r="AU130">
        <v>0</v>
      </c>
      <c r="AV130" t="s">
        <v>7360</v>
      </c>
      <c r="AW130">
        <v>0</v>
      </c>
      <c r="AX130" t="s">
        <v>7360</v>
      </c>
      <c r="AY130" t="s">
        <v>7363</v>
      </c>
      <c r="BA130">
        <v>0</v>
      </c>
      <c r="BB130" s="20">
        <v>44952</v>
      </c>
      <c r="BC130">
        <v>0</v>
      </c>
      <c r="BD130" t="s">
        <v>7360</v>
      </c>
      <c r="BF130" s="20">
        <v>44952</v>
      </c>
      <c r="BG130">
        <v>0</v>
      </c>
      <c r="BH130" t="s">
        <v>1729</v>
      </c>
      <c r="BJ130" t="s">
        <v>7362</v>
      </c>
      <c r="BK130">
        <v>169</v>
      </c>
      <c r="BL130">
        <v>11</v>
      </c>
      <c r="BM130">
        <v>1</v>
      </c>
      <c r="BN130" t="s">
        <v>7364</v>
      </c>
      <c r="BO130">
        <v>169</v>
      </c>
      <c r="BP130">
        <v>11</v>
      </c>
      <c r="BQ130">
        <v>1</v>
      </c>
      <c r="BR130" t="s">
        <v>7364</v>
      </c>
      <c r="BS130" t="s">
        <v>7386</v>
      </c>
      <c r="BT130" t="s">
        <v>7360</v>
      </c>
      <c r="BU130" t="s">
        <v>7360</v>
      </c>
      <c r="BV130" t="s">
        <v>7360</v>
      </c>
      <c r="BX130" t="s">
        <v>7391</v>
      </c>
      <c r="BY130">
        <v>74</v>
      </c>
      <c r="BZ130" t="s">
        <v>7360</v>
      </c>
      <c r="CA130" t="s">
        <v>7360</v>
      </c>
      <c r="CB130">
        <v>3380666</v>
      </c>
      <c r="CC130" s="21">
        <v>44952.719513888886</v>
      </c>
      <c r="CE130" t="s">
        <v>7392</v>
      </c>
      <c r="CF130">
        <v>1100101</v>
      </c>
      <c r="CG130">
        <v>51669</v>
      </c>
      <c r="CH130">
        <v>51669</v>
      </c>
      <c r="CI130" s="21">
        <v>44952.720810185187</v>
      </c>
      <c r="CJ130" t="s">
        <v>7406</v>
      </c>
      <c r="CK130" t="s">
        <v>7406</v>
      </c>
      <c r="CL130" t="s">
        <v>7407</v>
      </c>
      <c r="CM130" t="s">
        <v>7407</v>
      </c>
      <c r="CS130" t="s">
        <v>7361</v>
      </c>
      <c r="CT130" t="s">
        <v>7362</v>
      </c>
      <c r="CU130" t="s">
        <v>7362</v>
      </c>
      <c r="CV130" t="s">
        <v>7362</v>
      </c>
      <c r="CW130" t="s">
        <v>7362</v>
      </c>
      <c r="CX130">
        <v>7092076</v>
      </c>
      <c r="DA130">
        <v>0</v>
      </c>
    </row>
    <row r="131" spans="1:110" x14ac:dyDescent="0.3">
      <c r="A131">
        <v>1354</v>
      </c>
      <c r="B131" t="s">
        <v>7396</v>
      </c>
      <c r="C131">
        <v>153</v>
      </c>
      <c r="D131" s="20">
        <v>44952</v>
      </c>
      <c r="E131" t="s">
        <v>7356</v>
      </c>
      <c r="F131" t="s">
        <v>5639</v>
      </c>
      <c r="G131" t="s">
        <v>7357</v>
      </c>
      <c r="H131">
        <v>1</v>
      </c>
      <c r="I131" t="s">
        <v>7358</v>
      </c>
      <c r="J131">
        <v>1</v>
      </c>
      <c r="K131" s="20">
        <v>44952</v>
      </c>
      <c r="L131" s="23">
        <v>3600000</v>
      </c>
      <c r="M131" t="s">
        <v>7359</v>
      </c>
      <c r="N131" t="s">
        <v>7360</v>
      </c>
      <c r="O131">
        <v>0</v>
      </c>
      <c r="P131">
        <v>11809</v>
      </c>
      <c r="Q131">
        <v>415023</v>
      </c>
      <c r="R131">
        <v>0</v>
      </c>
      <c r="S131">
        <v>20230126</v>
      </c>
      <c r="T131">
        <v>0</v>
      </c>
      <c r="U131" t="s">
        <v>7361</v>
      </c>
      <c r="V131" t="s">
        <v>7360</v>
      </c>
      <c r="W131" t="s">
        <v>7360</v>
      </c>
      <c r="X131" t="s">
        <v>7360</v>
      </c>
      <c r="Y131" t="s">
        <v>7360</v>
      </c>
      <c r="Z131" t="s">
        <v>7360</v>
      </c>
      <c r="AA131" t="s">
        <v>7362</v>
      </c>
      <c r="AB131" t="s">
        <v>7360</v>
      </c>
      <c r="AC131" t="s">
        <v>7360</v>
      </c>
      <c r="AD131" t="s">
        <v>7360</v>
      </c>
      <c r="AE131" t="s">
        <v>7360</v>
      </c>
      <c r="AF131" t="s">
        <v>1684</v>
      </c>
      <c r="AG131">
        <v>0</v>
      </c>
      <c r="AH131">
        <v>0</v>
      </c>
      <c r="AI131">
        <v>0</v>
      </c>
      <c r="AJ131">
        <v>0</v>
      </c>
      <c r="AK131">
        <v>0</v>
      </c>
      <c r="AL131" t="s">
        <v>7360</v>
      </c>
      <c r="AM131">
        <v>0</v>
      </c>
      <c r="AN131" s="20">
        <v>44952</v>
      </c>
      <c r="AO131" s="20">
        <v>44952</v>
      </c>
      <c r="AP131" s="20">
        <v>44952</v>
      </c>
      <c r="AQ131">
        <v>0</v>
      </c>
      <c r="AR131">
        <v>0</v>
      </c>
      <c r="AS131">
        <v>0</v>
      </c>
      <c r="AT131">
        <v>0</v>
      </c>
      <c r="AU131">
        <v>0</v>
      </c>
      <c r="AV131" t="s">
        <v>7360</v>
      </c>
      <c r="AW131">
        <v>0</v>
      </c>
      <c r="AX131" t="s">
        <v>7360</v>
      </c>
      <c r="AY131" t="s">
        <v>7363</v>
      </c>
      <c r="BA131">
        <v>0</v>
      </c>
      <c r="BB131" s="20">
        <v>44952</v>
      </c>
      <c r="BC131">
        <v>0</v>
      </c>
      <c r="BD131" t="s">
        <v>7360</v>
      </c>
      <c r="BF131" s="20">
        <v>44952</v>
      </c>
      <c r="BG131">
        <v>0</v>
      </c>
      <c r="BH131" t="s">
        <v>7363</v>
      </c>
      <c r="BJ131" t="s">
        <v>7362</v>
      </c>
      <c r="BK131">
        <v>0</v>
      </c>
      <c r="BL131">
        <v>0</v>
      </c>
      <c r="BM131">
        <v>0</v>
      </c>
      <c r="BN131">
        <v>0</v>
      </c>
      <c r="BO131">
        <v>169</v>
      </c>
      <c r="BP131">
        <v>11</v>
      </c>
      <c r="BQ131">
        <v>1</v>
      </c>
      <c r="BR131" t="s">
        <v>7364</v>
      </c>
      <c r="BS131" t="s">
        <v>7365</v>
      </c>
      <c r="BT131" t="s">
        <v>7360</v>
      </c>
      <c r="BU131" t="s">
        <v>7360</v>
      </c>
      <c r="BV131" t="s">
        <v>7360</v>
      </c>
      <c r="BX131">
        <v>0</v>
      </c>
      <c r="BY131">
        <v>0</v>
      </c>
      <c r="BZ131" t="s">
        <v>7360</v>
      </c>
      <c r="CA131" t="s">
        <v>7360</v>
      </c>
      <c r="CB131">
        <v>3380666</v>
      </c>
      <c r="CC131" s="21">
        <v>44952.727372685185</v>
      </c>
      <c r="CE131" t="s">
        <v>7366</v>
      </c>
      <c r="CF131">
        <v>0</v>
      </c>
      <c r="CG131">
        <v>702002</v>
      </c>
      <c r="CH131">
        <v>702002</v>
      </c>
      <c r="CI131" s="21">
        <v>44952.729641203703</v>
      </c>
      <c r="CJ131" t="s">
        <v>7367</v>
      </c>
      <c r="CK131" t="s">
        <v>7367</v>
      </c>
      <c r="CL131" t="s">
        <v>7368</v>
      </c>
      <c r="CM131" t="s">
        <v>7368</v>
      </c>
      <c r="CS131" t="s">
        <v>7361</v>
      </c>
      <c r="CT131" t="s">
        <v>7362</v>
      </c>
      <c r="CU131" t="s">
        <v>7362</v>
      </c>
      <c r="CV131" t="s">
        <v>7362</v>
      </c>
      <c r="CW131" t="s">
        <v>7362</v>
      </c>
      <c r="CX131">
        <v>3600000</v>
      </c>
      <c r="DA131">
        <v>0</v>
      </c>
    </row>
    <row r="132" spans="1:110" x14ac:dyDescent="0.3">
      <c r="A132">
        <v>1354</v>
      </c>
      <c r="B132" t="s">
        <v>7396</v>
      </c>
      <c r="C132">
        <v>262</v>
      </c>
      <c r="D132" s="20">
        <v>44964</v>
      </c>
      <c r="E132" t="s">
        <v>7372</v>
      </c>
      <c r="F132" t="s">
        <v>5633</v>
      </c>
      <c r="G132" t="s">
        <v>7370</v>
      </c>
      <c r="H132">
        <v>1</v>
      </c>
      <c r="I132" t="s">
        <v>7358</v>
      </c>
      <c r="J132">
        <v>1</v>
      </c>
      <c r="K132" s="20">
        <v>44964</v>
      </c>
      <c r="L132" s="23">
        <v>15850000</v>
      </c>
      <c r="M132" t="s">
        <v>7359</v>
      </c>
      <c r="N132" t="s">
        <v>7360</v>
      </c>
      <c r="O132">
        <v>0</v>
      </c>
      <c r="P132">
        <v>12088</v>
      </c>
      <c r="Q132">
        <v>419028</v>
      </c>
      <c r="R132">
        <v>0</v>
      </c>
      <c r="S132">
        <v>20230207</v>
      </c>
      <c r="T132">
        <v>0</v>
      </c>
      <c r="U132" t="s">
        <v>7362</v>
      </c>
      <c r="V132" t="s">
        <v>7360</v>
      </c>
      <c r="W132" t="s">
        <v>7360</v>
      </c>
      <c r="X132" t="s">
        <v>7360</v>
      </c>
      <c r="Y132" t="s">
        <v>7360</v>
      </c>
      <c r="Z132" t="s">
        <v>7360</v>
      </c>
      <c r="AA132" t="s">
        <v>7362</v>
      </c>
      <c r="AB132" t="s">
        <v>7360</v>
      </c>
      <c r="AC132" t="s">
        <v>7360</v>
      </c>
      <c r="AD132" t="s">
        <v>7360</v>
      </c>
      <c r="AE132" t="s">
        <v>7360</v>
      </c>
      <c r="AF132" t="s">
        <v>1684</v>
      </c>
      <c r="AG132">
        <v>0</v>
      </c>
      <c r="AH132">
        <v>0</v>
      </c>
      <c r="AI132">
        <v>0</v>
      </c>
      <c r="AJ132">
        <v>0</v>
      </c>
      <c r="AK132">
        <v>0</v>
      </c>
      <c r="AL132" t="s">
        <v>7360</v>
      </c>
      <c r="AM132">
        <v>0</v>
      </c>
      <c r="AN132" s="20">
        <v>44964</v>
      </c>
      <c r="AO132" s="20">
        <v>44964</v>
      </c>
      <c r="AP132" s="20">
        <v>44964</v>
      </c>
      <c r="AQ132">
        <v>0</v>
      </c>
      <c r="AR132">
        <v>0</v>
      </c>
      <c r="AS132">
        <v>0</v>
      </c>
      <c r="AT132">
        <v>0</v>
      </c>
      <c r="AU132">
        <v>0</v>
      </c>
      <c r="AV132" t="s">
        <v>7360</v>
      </c>
      <c r="AW132">
        <v>0</v>
      </c>
      <c r="AX132" t="s">
        <v>7360</v>
      </c>
      <c r="AY132" t="s">
        <v>7373</v>
      </c>
      <c r="BA132">
        <v>0</v>
      </c>
      <c r="BB132" s="20">
        <v>44964</v>
      </c>
      <c r="BC132">
        <v>0</v>
      </c>
      <c r="BD132" t="s">
        <v>7360</v>
      </c>
      <c r="BF132" s="20">
        <v>44964</v>
      </c>
      <c r="BG132">
        <v>0</v>
      </c>
      <c r="BH132" t="s">
        <v>7363</v>
      </c>
      <c r="BJ132" t="s">
        <v>7362</v>
      </c>
      <c r="BK132">
        <v>169</v>
      </c>
      <c r="BL132">
        <v>11</v>
      </c>
      <c r="BM132">
        <v>1</v>
      </c>
      <c r="BN132" t="s">
        <v>7364</v>
      </c>
      <c r="BO132">
        <v>169</v>
      </c>
      <c r="BP132">
        <v>11</v>
      </c>
      <c r="BQ132">
        <v>1</v>
      </c>
      <c r="BR132" t="s">
        <v>7364</v>
      </c>
      <c r="BS132" t="s">
        <v>7411</v>
      </c>
      <c r="BT132" t="s">
        <v>7360</v>
      </c>
      <c r="BU132" t="s">
        <v>7360</v>
      </c>
      <c r="BV132" t="s">
        <v>7360</v>
      </c>
      <c r="BX132" t="s">
        <v>7391</v>
      </c>
      <c r="BY132">
        <v>80</v>
      </c>
      <c r="BZ132">
        <v>0</v>
      </c>
      <c r="CA132">
        <v>0</v>
      </c>
      <c r="CB132">
        <v>5558210</v>
      </c>
      <c r="CC132" s="21">
        <v>44953.616284722222</v>
      </c>
      <c r="CE132" t="s">
        <v>7412</v>
      </c>
      <c r="CF132">
        <v>1108001</v>
      </c>
      <c r="CG132">
        <v>53575</v>
      </c>
      <c r="CH132">
        <v>53575</v>
      </c>
      <c r="CI132" s="21">
        <v>44953.622013888889</v>
      </c>
      <c r="CJ132" t="s">
        <v>7393</v>
      </c>
      <c r="CK132" t="s">
        <v>7393</v>
      </c>
      <c r="CL132" t="s">
        <v>7394</v>
      </c>
      <c r="CM132" t="s">
        <v>7394</v>
      </c>
      <c r="CS132" t="s">
        <v>7361</v>
      </c>
      <c r="CT132" t="s">
        <v>7362</v>
      </c>
      <c r="CU132" t="s">
        <v>7362</v>
      </c>
      <c r="CV132" t="s">
        <v>7362</v>
      </c>
      <c r="CW132" t="s">
        <v>7362</v>
      </c>
      <c r="CX132">
        <v>17688391</v>
      </c>
      <c r="DA132">
        <v>0</v>
      </c>
      <c r="DF132" t="s">
        <v>7415</v>
      </c>
    </row>
    <row r="133" spans="1:110" x14ac:dyDescent="0.3">
      <c r="A133">
        <v>1354</v>
      </c>
      <c r="B133" t="s">
        <v>7396</v>
      </c>
      <c r="C133">
        <v>155</v>
      </c>
      <c r="D133" s="20">
        <v>44952</v>
      </c>
      <c r="E133" t="s">
        <v>7356</v>
      </c>
      <c r="F133" t="s">
        <v>5639</v>
      </c>
      <c r="G133" t="s">
        <v>7370</v>
      </c>
      <c r="H133">
        <v>1</v>
      </c>
      <c r="I133" t="s">
        <v>7358</v>
      </c>
      <c r="J133">
        <v>1</v>
      </c>
      <c r="K133" s="20">
        <v>44952</v>
      </c>
      <c r="L133" s="23">
        <v>2400000</v>
      </c>
      <c r="M133" t="s">
        <v>7359</v>
      </c>
      <c r="N133" t="s">
        <v>7360</v>
      </c>
      <c r="O133">
        <v>0</v>
      </c>
      <c r="P133">
        <v>11831</v>
      </c>
      <c r="Q133">
        <v>416009</v>
      </c>
      <c r="R133">
        <v>0</v>
      </c>
      <c r="S133">
        <v>20230126</v>
      </c>
      <c r="T133">
        <v>0</v>
      </c>
      <c r="U133" t="s">
        <v>7361</v>
      </c>
      <c r="V133" t="s">
        <v>7360</v>
      </c>
      <c r="W133" t="s">
        <v>7360</v>
      </c>
      <c r="X133" t="s">
        <v>7360</v>
      </c>
      <c r="Y133" t="s">
        <v>7360</v>
      </c>
      <c r="Z133" t="s">
        <v>7360</v>
      </c>
      <c r="AA133" t="s">
        <v>7362</v>
      </c>
      <c r="AB133" t="s">
        <v>7360</v>
      </c>
      <c r="AC133" t="s">
        <v>7360</v>
      </c>
      <c r="AD133" t="s">
        <v>7360</v>
      </c>
      <c r="AE133" t="s">
        <v>7360</v>
      </c>
      <c r="AF133" t="s">
        <v>1684</v>
      </c>
      <c r="AG133">
        <v>0</v>
      </c>
      <c r="AH133">
        <v>0</v>
      </c>
      <c r="AI133">
        <v>0</v>
      </c>
      <c r="AJ133">
        <v>0</v>
      </c>
      <c r="AK133">
        <v>0</v>
      </c>
      <c r="AL133" t="s">
        <v>7360</v>
      </c>
      <c r="AM133">
        <v>0</v>
      </c>
      <c r="AN133" s="20">
        <v>44952</v>
      </c>
      <c r="AO133" s="20">
        <v>44952</v>
      </c>
      <c r="AP133" s="20">
        <v>44952</v>
      </c>
      <c r="AQ133">
        <v>0</v>
      </c>
      <c r="AR133">
        <v>0</v>
      </c>
      <c r="AS133">
        <v>0</v>
      </c>
      <c r="AT133">
        <v>0</v>
      </c>
      <c r="AU133">
        <v>0</v>
      </c>
      <c r="AV133" t="s">
        <v>7360</v>
      </c>
      <c r="AW133">
        <v>0</v>
      </c>
      <c r="AX133" t="s">
        <v>7360</v>
      </c>
      <c r="AY133" t="s">
        <v>7363</v>
      </c>
      <c r="BA133">
        <v>0</v>
      </c>
      <c r="BB133" s="20">
        <v>44952</v>
      </c>
      <c r="BC133">
        <v>0</v>
      </c>
      <c r="BD133" t="s">
        <v>7360</v>
      </c>
      <c r="BF133" s="20">
        <v>44952</v>
      </c>
      <c r="BG133">
        <v>0</v>
      </c>
      <c r="BH133" t="s">
        <v>7363</v>
      </c>
      <c r="BJ133" t="s">
        <v>7362</v>
      </c>
      <c r="BK133">
        <v>0</v>
      </c>
      <c r="BL133">
        <v>0</v>
      </c>
      <c r="BM133">
        <v>0</v>
      </c>
      <c r="BN133">
        <v>0</v>
      </c>
      <c r="BO133">
        <v>169</v>
      </c>
      <c r="BP133">
        <v>11</v>
      </c>
      <c r="BQ133">
        <v>1</v>
      </c>
      <c r="BR133" t="s">
        <v>7364</v>
      </c>
      <c r="BS133" t="s">
        <v>7365</v>
      </c>
      <c r="BT133" t="s">
        <v>7360</v>
      </c>
      <c r="BU133" t="s">
        <v>7360</v>
      </c>
      <c r="BV133" t="s">
        <v>7360</v>
      </c>
      <c r="BX133">
        <v>0</v>
      </c>
      <c r="BY133">
        <v>0</v>
      </c>
      <c r="BZ133" t="s">
        <v>7360</v>
      </c>
      <c r="CA133" t="s">
        <v>7360</v>
      </c>
      <c r="CB133">
        <v>3380666</v>
      </c>
      <c r="CC133" s="21">
        <v>44952.737476851849</v>
      </c>
      <c r="CE133" t="s">
        <v>7366</v>
      </c>
      <c r="CF133">
        <v>0</v>
      </c>
      <c r="CG133">
        <v>702002</v>
      </c>
      <c r="CH133">
        <v>702002</v>
      </c>
      <c r="CI133" s="21">
        <v>44952.739872685182</v>
      </c>
      <c r="CJ133" t="s">
        <v>7367</v>
      </c>
      <c r="CK133" t="s">
        <v>7367</v>
      </c>
      <c r="CL133" t="s">
        <v>7368</v>
      </c>
      <c r="CM133" t="s">
        <v>7368</v>
      </c>
      <c r="CS133" t="s">
        <v>7361</v>
      </c>
      <c r="CT133" t="s">
        <v>7362</v>
      </c>
      <c r="CU133" t="s">
        <v>7362</v>
      </c>
      <c r="CV133" t="s">
        <v>7362</v>
      </c>
      <c r="CW133" t="s">
        <v>7362</v>
      </c>
      <c r="CX133">
        <v>2400000</v>
      </c>
      <c r="DA133">
        <v>0</v>
      </c>
    </row>
    <row r="134" spans="1:110" x14ac:dyDescent="0.3">
      <c r="A134">
        <v>1366</v>
      </c>
      <c r="B134" t="s">
        <v>7380</v>
      </c>
      <c r="C134">
        <v>156</v>
      </c>
      <c r="D134" s="20">
        <v>44952</v>
      </c>
      <c r="E134" t="s">
        <v>7356</v>
      </c>
      <c r="F134" t="s">
        <v>5633</v>
      </c>
      <c r="G134" t="s">
        <v>7357</v>
      </c>
      <c r="H134">
        <v>1</v>
      </c>
      <c r="I134" t="s">
        <v>7358</v>
      </c>
      <c r="J134">
        <v>1</v>
      </c>
      <c r="K134" s="20">
        <v>44952</v>
      </c>
      <c r="L134" s="23">
        <v>2001164</v>
      </c>
      <c r="M134" t="s">
        <v>7359</v>
      </c>
      <c r="N134" t="s">
        <v>7360</v>
      </c>
      <c r="O134">
        <v>0</v>
      </c>
      <c r="P134">
        <v>11908</v>
      </c>
      <c r="Q134">
        <v>416070</v>
      </c>
      <c r="R134">
        <v>0</v>
      </c>
      <c r="S134">
        <v>20230126</v>
      </c>
      <c r="T134">
        <v>0</v>
      </c>
      <c r="U134" t="s">
        <v>7361</v>
      </c>
      <c r="V134" t="s">
        <v>7360</v>
      </c>
      <c r="W134" t="s">
        <v>7360</v>
      </c>
      <c r="X134" t="s">
        <v>7360</v>
      </c>
      <c r="Y134" t="s">
        <v>7360</v>
      </c>
      <c r="Z134" t="s">
        <v>7360</v>
      </c>
      <c r="AA134" t="s">
        <v>7362</v>
      </c>
      <c r="AB134" t="s">
        <v>7360</v>
      </c>
      <c r="AC134" t="s">
        <v>7360</v>
      </c>
      <c r="AD134" t="s">
        <v>7360</v>
      </c>
      <c r="AE134" t="s">
        <v>7360</v>
      </c>
      <c r="AF134" t="s">
        <v>1684</v>
      </c>
      <c r="AG134">
        <v>0</v>
      </c>
      <c r="AH134">
        <v>0</v>
      </c>
      <c r="AI134">
        <v>0</v>
      </c>
      <c r="AJ134">
        <v>0</v>
      </c>
      <c r="AK134">
        <v>0</v>
      </c>
      <c r="AL134" t="s">
        <v>7360</v>
      </c>
      <c r="AM134">
        <v>0</v>
      </c>
      <c r="AN134" s="20">
        <v>44952</v>
      </c>
      <c r="AO134" s="20">
        <v>44952</v>
      </c>
      <c r="AP134" s="20">
        <v>44952</v>
      </c>
      <c r="AQ134">
        <v>0</v>
      </c>
      <c r="AR134">
        <v>0</v>
      </c>
      <c r="AS134">
        <v>0</v>
      </c>
      <c r="AT134">
        <v>0</v>
      </c>
      <c r="AU134">
        <v>0</v>
      </c>
      <c r="AV134" t="s">
        <v>7360</v>
      </c>
      <c r="AW134">
        <v>0</v>
      </c>
      <c r="AX134" t="s">
        <v>7360</v>
      </c>
      <c r="AY134" t="s">
        <v>7363</v>
      </c>
      <c r="BA134">
        <v>0</v>
      </c>
      <c r="BB134" s="20">
        <v>44952</v>
      </c>
      <c r="BC134">
        <v>0</v>
      </c>
      <c r="BD134" t="s">
        <v>7360</v>
      </c>
      <c r="BF134" s="20">
        <v>44952</v>
      </c>
      <c r="BG134">
        <v>0</v>
      </c>
      <c r="BH134" t="s">
        <v>7363</v>
      </c>
      <c r="BJ134" t="s">
        <v>7362</v>
      </c>
      <c r="BK134">
        <v>169</v>
      </c>
      <c r="BL134">
        <v>11</v>
      </c>
      <c r="BM134">
        <v>1</v>
      </c>
      <c r="BN134" t="s">
        <v>7364</v>
      </c>
      <c r="BO134">
        <v>169</v>
      </c>
      <c r="BP134">
        <v>11</v>
      </c>
      <c r="BQ134">
        <v>1</v>
      </c>
      <c r="BR134" t="s">
        <v>7364</v>
      </c>
      <c r="BS134" t="s">
        <v>7386</v>
      </c>
      <c r="BT134" t="s">
        <v>7360</v>
      </c>
      <c r="BU134" t="s">
        <v>7360</v>
      </c>
      <c r="BV134" t="s">
        <v>7360</v>
      </c>
      <c r="BX134" t="s">
        <v>7391</v>
      </c>
      <c r="BY134">
        <v>74</v>
      </c>
      <c r="BZ134" t="s">
        <v>7360</v>
      </c>
      <c r="CA134" t="s">
        <v>7360</v>
      </c>
      <c r="CB134">
        <v>3380666</v>
      </c>
      <c r="CC134" s="21">
        <v>44952.739386574074</v>
      </c>
      <c r="CE134" t="s">
        <v>7392</v>
      </c>
      <c r="CF134">
        <v>1100101</v>
      </c>
      <c r="CG134">
        <v>51669</v>
      </c>
      <c r="CH134">
        <v>51669</v>
      </c>
      <c r="CI134" s="21">
        <v>44952.742893518516</v>
      </c>
      <c r="CJ134" t="s">
        <v>7406</v>
      </c>
      <c r="CK134" t="s">
        <v>7406</v>
      </c>
      <c r="CL134" t="s">
        <v>7407</v>
      </c>
      <c r="CM134" t="s">
        <v>7407</v>
      </c>
      <c r="CS134" t="s">
        <v>7361</v>
      </c>
      <c r="CT134" t="s">
        <v>7362</v>
      </c>
      <c r="CU134" t="s">
        <v>7362</v>
      </c>
      <c r="CV134" t="s">
        <v>7362</v>
      </c>
      <c r="CW134" t="s">
        <v>7362</v>
      </c>
      <c r="CX134">
        <v>2001164</v>
      </c>
      <c r="DA134">
        <v>0</v>
      </c>
    </row>
    <row r="135" spans="1:110" x14ac:dyDescent="0.3">
      <c r="A135">
        <v>1354</v>
      </c>
      <c r="B135" t="s">
        <v>7396</v>
      </c>
      <c r="C135">
        <v>157</v>
      </c>
      <c r="D135" s="20">
        <v>44952</v>
      </c>
      <c r="E135" t="s">
        <v>7372</v>
      </c>
      <c r="F135" t="s">
        <v>5639</v>
      </c>
      <c r="G135" t="s">
        <v>7357</v>
      </c>
      <c r="H135">
        <v>1</v>
      </c>
      <c r="I135" t="s">
        <v>7358</v>
      </c>
      <c r="J135">
        <v>1</v>
      </c>
      <c r="K135" s="20">
        <v>44952</v>
      </c>
      <c r="L135" s="23">
        <v>11538413</v>
      </c>
      <c r="M135" t="s">
        <v>7359</v>
      </c>
      <c r="N135" t="s">
        <v>7360</v>
      </c>
      <c r="O135">
        <v>0</v>
      </c>
      <c r="P135">
        <v>11877</v>
      </c>
      <c r="Q135">
        <v>416049</v>
      </c>
      <c r="R135">
        <v>0</v>
      </c>
      <c r="S135">
        <v>20230126</v>
      </c>
      <c r="T135">
        <v>0</v>
      </c>
      <c r="U135" t="s">
        <v>7362</v>
      </c>
      <c r="V135" t="s">
        <v>7360</v>
      </c>
      <c r="W135" t="s">
        <v>7360</v>
      </c>
      <c r="X135" t="s">
        <v>7360</v>
      </c>
      <c r="Y135" t="s">
        <v>7360</v>
      </c>
      <c r="Z135" t="s">
        <v>7360</v>
      </c>
      <c r="AA135" t="s">
        <v>7362</v>
      </c>
      <c r="AB135" t="s">
        <v>7360</v>
      </c>
      <c r="AC135" t="s">
        <v>7360</v>
      </c>
      <c r="AD135" t="s">
        <v>7360</v>
      </c>
      <c r="AE135" t="s">
        <v>7360</v>
      </c>
      <c r="AF135" t="s">
        <v>1684</v>
      </c>
      <c r="AG135">
        <v>0</v>
      </c>
      <c r="AH135">
        <v>0</v>
      </c>
      <c r="AI135">
        <v>0</v>
      </c>
      <c r="AJ135">
        <v>0</v>
      </c>
      <c r="AK135">
        <v>0</v>
      </c>
      <c r="AL135" t="s">
        <v>7360</v>
      </c>
      <c r="AM135">
        <v>0</v>
      </c>
      <c r="AN135" s="20">
        <v>44952</v>
      </c>
      <c r="AO135" s="20">
        <v>44952</v>
      </c>
      <c r="AP135" s="20">
        <v>44952</v>
      </c>
      <c r="AQ135">
        <v>0</v>
      </c>
      <c r="AR135">
        <v>0</v>
      </c>
      <c r="AS135">
        <v>0</v>
      </c>
      <c r="AT135">
        <v>0</v>
      </c>
      <c r="AU135">
        <v>0</v>
      </c>
      <c r="AV135" t="s">
        <v>7360</v>
      </c>
      <c r="AW135">
        <v>0</v>
      </c>
      <c r="AX135" t="s">
        <v>7360</v>
      </c>
      <c r="AY135" t="s">
        <v>7373</v>
      </c>
      <c r="BA135">
        <v>0</v>
      </c>
      <c r="BB135" s="20">
        <v>44952</v>
      </c>
      <c r="BC135">
        <v>0</v>
      </c>
      <c r="BD135" t="s">
        <v>7360</v>
      </c>
      <c r="BF135" s="20">
        <v>44952</v>
      </c>
      <c r="BG135">
        <v>0</v>
      </c>
      <c r="BH135" t="s">
        <v>7363</v>
      </c>
      <c r="BJ135" t="s">
        <v>7362</v>
      </c>
      <c r="BK135">
        <v>0</v>
      </c>
      <c r="BL135">
        <v>0</v>
      </c>
      <c r="BM135">
        <v>0</v>
      </c>
      <c r="BN135">
        <v>0</v>
      </c>
      <c r="BO135">
        <v>169</v>
      </c>
      <c r="BP135">
        <v>11</v>
      </c>
      <c r="BQ135">
        <v>1</v>
      </c>
      <c r="BR135" t="s">
        <v>7364</v>
      </c>
      <c r="BS135" t="s">
        <v>7365</v>
      </c>
      <c r="BT135" t="s">
        <v>7360</v>
      </c>
      <c r="BU135" t="s">
        <v>7360</v>
      </c>
      <c r="BV135" t="s">
        <v>7360</v>
      </c>
      <c r="BX135">
        <v>0</v>
      </c>
      <c r="BY135">
        <v>0</v>
      </c>
      <c r="BZ135" t="s">
        <v>7360</v>
      </c>
      <c r="CA135" t="s">
        <v>7360</v>
      </c>
      <c r="CB135">
        <v>3380666</v>
      </c>
      <c r="CC135" s="21">
        <v>44952.74863425926</v>
      </c>
      <c r="CE135" t="s">
        <v>7366</v>
      </c>
      <c r="CF135">
        <v>0</v>
      </c>
      <c r="CG135">
        <v>702002</v>
      </c>
      <c r="CH135">
        <v>702002</v>
      </c>
      <c r="CI135" s="21">
        <v>44952.754479166666</v>
      </c>
      <c r="CJ135" t="s">
        <v>7367</v>
      </c>
      <c r="CK135" t="s">
        <v>7367</v>
      </c>
      <c r="CL135" t="s">
        <v>7368</v>
      </c>
      <c r="CM135" t="s">
        <v>7368</v>
      </c>
      <c r="CS135" t="s">
        <v>7361</v>
      </c>
      <c r="CT135" t="s">
        <v>7362</v>
      </c>
      <c r="CU135" t="s">
        <v>7362</v>
      </c>
      <c r="CV135" t="s">
        <v>7362</v>
      </c>
      <c r="CW135" t="s">
        <v>7362</v>
      </c>
      <c r="CX135">
        <v>11538413</v>
      </c>
      <c r="DA135">
        <v>0</v>
      </c>
    </row>
    <row r="136" spans="1:110" x14ac:dyDescent="0.3">
      <c r="A136">
        <v>1356</v>
      </c>
      <c r="B136" t="s">
        <v>7402</v>
      </c>
      <c r="C136">
        <v>158</v>
      </c>
      <c r="D136" s="20">
        <v>44952</v>
      </c>
      <c r="E136" t="s">
        <v>7356</v>
      </c>
      <c r="F136" t="s">
        <v>5633</v>
      </c>
      <c r="G136" t="s">
        <v>7357</v>
      </c>
      <c r="H136">
        <v>1</v>
      </c>
      <c r="I136" t="s">
        <v>7358</v>
      </c>
      <c r="J136">
        <v>1</v>
      </c>
      <c r="K136" s="20">
        <v>44952</v>
      </c>
      <c r="L136" s="23">
        <v>1859218</v>
      </c>
      <c r="M136" t="s">
        <v>7359</v>
      </c>
      <c r="N136" t="s">
        <v>7360</v>
      </c>
      <c r="O136">
        <v>0</v>
      </c>
      <c r="P136">
        <v>11913</v>
      </c>
      <c r="Q136">
        <v>416074</v>
      </c>
      <c r="R136">
        <v>0</v>
      </c>
      <c r="S136">
        <v>20230126</v>
      </c>
      <c r="T136">
        <v>0</v>
      </c>
      <c r="U136" t="s">
        <v>7361</v>
      </c>
      <c r="V136" t="s">
        <v>7360</v>
      </c>
      <c r="W136" t="s">
        <v>7360</v>
      </c>
      <c r="X136" t="s">
        <v>7360</v>
      </c>
      <c r="Y136" t="s">
        <v>7360</v>
      </c>
      <c r="Z136" t="s">
        <v>7360</v>
      </c>
      <c r="AA136" t="s">
        <v>7362</v>
      </c>
      <c r="AB136" t="s">
        <v>7360</v>
      </c>
      <c r="AC136" t="s">
        <v>7360</v>
      </c>
      <c r="AD136" t="s">
        <v>7360</v>
      </c>
      <c r="AE136" t="s">
        <v>7360</v>
      </c>
      <c r="AF136" t="s">
        <v>1684</v>
      </c>
      <c r="AG136">
        <v>0</v>
      </c>
      <c r="AH136">
        <v>0</v>
      </c>
      <c r="AI136">
        <v>0</v>
      </c>
      <c r="AJ136">
        <v>0</v>
      </c>
      <c r="AK136">
        <v>0</v>
      </c>
      <c r="AL136" t="s">
        <v>7360</v>
      </c>
      <c r="AM136">
        <v>0</v>
      </c>
      <c r="AN136" s="20">
        <v>44952</v>
      </c>
      <c r="AO136" s="20">
        <v>44952</v>
      </c>
      <c r="AP136" s="20">
        <v>44952</v>
      </c>
      <c r="AQ136">
        <v>0</v>
      </c>
      <c r="AR136">
        <v>0</v>
      </c>
      <c r="AS136">
        <v>0</v>
      </c>
      <c r="AT136">
        <v>0</v>
      </c>
      <c r="AU136">
        <v>0</v>
      </c>
      <c r="AV136" t="s">
        <v>7360</v>
      </c>
      <c r="AW136">
        <v>0</v>
      </c>
      <c r="AX136" t="s">
        <v>7360</v>
      </c>
      <c r="AY136" t="s">
        <v>7363</v>
      </c>
      <c r="BA136">
        <v>0</v>
      </c>
      <c r="BB136" s="20">
        <v>44952</v>
      </c>
      <c r="BC136">
        <v>0</v>
      </c>
      <c r="BD136" t="s">
        <v>7360</v>
      </c>
      <c r="BF136" s="20">
        <v>44952</v>
      </c>
      <c r="BG136">
        <v>0</v>
      </c>
      <c r="BH136" t="s">
        <v>1729</v>
      </c>
      <c r="BJ136" t="s">
        <v>7362</v>
      </c>
      <c r="BK136">
        <v>169</v>
      </c>
      <c r="BL136">
        <v>11</v>
      </c>
      <c r="BM136">
        <v>1</v>
      </c>
      <c r="BN136" t="s">
        <v>7364</v>
      </c>
      <c r="BO136">
        <v>169</v>
      </c>
      <c r="BP136">
        <v>11</v>
      </c>
      <c r="BQ136">
        <v>1</v>
      </c>
      <c r="BR136" t="s">
        <v>7364</v>
      </c>
      <c r="BS136" t="s">
        <v>7386</v>
      </c>
      <c r="BT136" t="s">
        <v>7360</v>
      </c>
      <c r="BU136" t="s">
        <v>7360</v>
      </c>
      <c r="BV136" t="s">
        <v>7360</v>
      </c>
      <c r="BX136" t="s">
        <v>7391</v>
      </c>
      <c r="BY136">
        <v>74</v>
      </c>
      <c r="BZ136" t="s">
        <v>7360</v>
      </c>
      <c r="CA136" t="s">
        <v>7360</v>
      </c>
      <c r="CB136">
        <v>3380666</v>
      </c>
      <c r="CC136" s="21">
        <v>44952.752511574072</v>
      </c>
      <c r="CE136" t="s">
        <v>7392</v>
      </c>
      <c r="CF136">
        <v>1100101</v>
      </c>
      <c r="CG136">
        <v>51669</v>
      </c>
      <c r="CH136">
        <v>51669</v>
      </c>
      <c r="CI136" s="21">
        <v>44952.755046296297</v>
      </c>
      <c r="CJ136" t="s">
        <v>7406</v>
      </c>
      <c r="CK136" t="s">
        <v>7406</v>
      </c>
      <c r="CL136" t="s">
        <v>7407</v>
      </c>
      <c r="CM136" t="s">
        <v>7407</v>
      </c>
      <c r="CS136" t="s">
        <v>7361</v>
      </c>
      <c r="CT136" t="s">
        <v>7362</v>
      </c>
      <c r="CU136" t="s">
        <v>7362</v>
      </c>
      <c r="CV136" t="s">
        <v>7362</v>
      </c>
      <c r="CW136" t="s">
        <v>7362</v>
      </c>
      <c r="CX136">
        <v>1859218</v>
      </c>
      <c r="DA136">
        <v>0</v>
      </c>
    </row>
    <row r="137" spans="1:110" x14ac:dyDescent="0.3">
      <c r="A137">
        <v>1373</v>
      </c>
      <c r="B137" t="s">
        <v>7383</v>
      </c>
      <c r="C137">
        <v>159</v>
      </c>
      <c r="D137" s="20">
        <v>44952</v>
      </c>
      <c r="E137" t="s">
        <v>7356</v>
      </c>
      <c r="F137" t="s">
        <v>5639</v>
      </c>
      <c r="G137" t="s">
        <v>7357</v>
      </c>
      <c r="H137">
        <v>1</v>
      </c>
      <c r="I137" t="s">
        <v>7358</v>
      </c>
      <c r="J137">
        <v>1</v>
      </c>
      <c r="K137" s="20">
        <v>44952</v>
      </c>
      <c r="L137" s="23">
        <v>1445688</v>
      </c>
      <c r="M137" t="s">
        <v>7359</v>
      </c>
      <c r="N137" t="s">
        <v>7360</v>
      </c>
      <c r="O137">
        <v>0</v>
      </c>
      <c r="P137">
        <v>11896</v>
      </c>
      <c r="Q137">
        <v>416061</v>
      </c>
      <c r="R137">
        <v>0</v>
      </c>
      <c r="S137">
        <v>20230126</v>
      </c>
      <c r="T137">
        <v>0</v>
      </c>
      <c r="U137" t="s">
        <v>7361</v>
      </c>
      <c r="V137" t="s">
        <v>7360</v>
      </c>
      <c r="W137" t="s">
        <v>7360</v>
      </c>
      <c r="X137" t="s">
        <v>7360</v>
      </c>
      <c r="Y137" t="s">
        <v>7360</v>
      </c>
      <c r="Z137" t="s">
        <v>7360</v>
      </c>
      <c r="AA137" t="s">
        <v>7362</v>
      </c>
      <c r="AB137" t="s">
        <v>7360</v>
      </c>
      <c r="AC137" t="s">
        <v>7360</v>
      </c>
      <c r="AD137" t="s">
        <v>7360</v>
      </c>
      <c r="AE137" t="s">
        <v>7360</v>
      </c>
      <c r="AF137" t="s">
        <v>1684</v>
      </c>
      <c r="AG137">
        <v>0</v>
      </c>
      <c r="AH137">
        <v>0</v>
      </c>
      <c r="AI137">
        <v>0</v>
      </c>
      <c r="AJ137">
        <v>0</v>
      </c>
      <c r="AK137">
        <v>0</v>
      </c>
      <c r="AL137" t="s">
        <v>7360</v>
      </c>
      <c r="AM137">
        <v>0</v>
      </c>
      <c r="AN137" s="20">
        <v>44952</v>
      </c>
      <c r="AO137" s="20">
        <v>44952</v>
      </c>
      <c r="AP137" s="20">
        <v>44952</v>
      </c>
      <c r="AQ137">
        <v>0</v>
      </c>
      <c r="AR137">
        <v>0</v>
      </c>
      <c r="AS137">
        <v>0</v>
      </c>
      <c r="AT137">
        <v>0</v>
      </c>
      <c r="AU137">
        <v>0</v>
      </c>
      <c r="AV137" t="s">
        <v>7360</v>
      </c>
      <c r="AW137">
        <v>0</v>
      </c>
      <c r="AX137" t="s">
        <v>7360</v>
      </c>
      <c r="AY137" t="s">
        <v>7363</v>
      </c>
      <c r="BA137">
        <v>0</v>
      </c>
      <c r="BB137" s="20">
        <v>44952</v>
      </c>
      <c r="BC137">
        <v>0</v>
      </c>
      <c r="BD137" t="s">
        <v>7360</v>
      </c>
      <c r="BF137" s="20">
        <v>44952</v>
      </c>
      <c r="BG137">
        <v>0</v>
      </c>
      <c r="BH137" t="s">
        <v>7363</v>
      </c>
      <c r="BJ137" t="s">
        <v>7362</v>
      </c>
      <c r="BK137">
        <v>0</v>
      </c>
      <c r="BL137">
        <v>0</v>
      </c>
      <c r="BM137">
        <v>0</v>
      </c>
      <c r="BN137">
        <v>0</v>
      </c>
      <c r="BO137">
        <v>169</v>
      </c>
      <c r="BP137">
        <v>11</v>
      </c>
      <c r="BQ137">
        <v>1</v>
      </c>
      <c r="BR137" t="s">
        <v>7364</v>
      </c>
      <c r="BS137" t="s">
        <v>7365</v>
      </c>
      <c r="BT137" t="s">
        <v>7360</v>
      </c>
      <c r="BU137" t="s">
        <v>7360</v>
      </c>
      <c r="BV137" t="s">
        <v>7360</v>
      </c>
      <c r="BX137">
        <v>0</v>
      </c>
      <c r="BY137">
        <v>0</v>
      </c>
      <c r="BZ137" t="s">
        <v>7360</v>
      </c>
      <c r="CA137" t="s">
        <v>7360</v>
      </c>
      <c r="CB137">
        <v>3380666</v>
      </c>
      <c r="CC137" s="21">
        <v>44952.759432870371</v>
      </c>
      <c r="CE137" t="s">
        <v>7366</v>
      </c>
      <c r="CF137">
        <v>0</v>
      </c>
      <c r="CG137">
        <v>702002</v>
      </c>
      <c r="CH137">
        <v>702002</v>
      </c>
      <c r="CI137" s="21">
        <v>44952.766018518516</v>
      </c>
      <c r="CJ137" t="s">
        <v>7367</v>
      </c>
      <c r="CK137" t="s">
        <v>7367</v>
      </c>
      <c r="CL137" t="s">
        <v>7368</v>
      </c>
      <c r="CM137" t="s">
        <v>7368</v>
      </c>
      <c r="CS137" t="s">
        <v>7361</v>
      </c>
      <c r="CT137" t="s">
        <v>7362</v>
      </c>
      <c r="CU137" t="s">
        <v>7362</v>
      </c>
      <c r="CV137" t="s">
        <v>7362</v>
      </c>
      <c r="CW137" t="s">
        <v>7362</v>
      </c>
      <c r="CX137">
        <v>1445688</v>
      </c>
      <c r="DA137">
        <v>0</v>
      </c>
    </row>
    <row r="138" spans="1:110" x14ac:dyDescent="0.3">
      <c r="A138">
        <v>1372</v>
      </c>
      <c r="B138" t="s">
        <v>7369</v>
      </c>
      <c r="C138">
        <v>160</v>
      </c>
      <c r="D138" s="20">
        <v>44952</v>
      </c>
      <c r="E138" t="s">
        <v>7356</v>
      </c>
      <c r="F138" t="s">
        <v>5633</v>
      </c>
      <c r="G138" t="s">
        <v>7357</v>
      </c>
      <c r="H138">
        <v>1</v>
      </c>
      <c r="I138" t="s">
        <v>7358</v>
      </c>
      <c r="J138">
        <v>1</v>
      </c>
      <c r="K138" s="20">
        <v>44952</v>
      </c>
      <c r="L138" s="23">
        <v>2625000</v>
      </c>
      <c r="M138" t="s">
        <v>7359</v>
      </c>
      <c r="N138" t="s">
        <v>7360</v>
      </c>
      <c r="O138">
        <v>0</v>
      </c>
      <c r="P138">
        <v>11903</v>
      </c>
      <c r="Q138">
        <v>416066</v>
      </c>
      <c r="R138">
        <v>0</v>
      </c>
      <c r="S138">
        <v>20230126</v>
      </c>
      <c r="T138">
        <v>0</v>
      </c>
      <c r="U138" t="s">
        <v>7361</v>
      </c>
      <c r="V138" t="s">
        <v>7360</v>
      </c>
      <c r="W138" t="s">
        <v>7360</v>
      </c>
      <c r="X138" t="s">
        <v>7360</v>
      </c>
      <c r="Y138" t="s">
        <v>7360</v>
      </c>
      <c r="Z138" t="s">
        <v>7360</v>
      </c>
      <c r="AA138" t="s">
        <v>7362</v>
      </c>
      <c r="AB138" t="s">
        <v>7360</v>
      </c>
      <c r="AC138" t="s">
        <v>7360</v>
      </c>
      <c r="AD138" t="s">
        <v>7360</v>
      </c>
      <c r="AE138" t="s">
        <v>7360</v>
      </c>
      <c r="AF138" t="s">
        <v>1684</v>
      </c>
      <c r="AG138">
        <v>0</v>
      </c>
      <c r="AH138">
        <v>0</v>
      </c>
      <c r="AI138">
        <v>0</v>
      </c>
      <c r="AJ138">
        <v>0</v>
      </c>
      <c r="AK138">
        <v>0</v>
      </c>
      <c r="AL138" t="s">
        <v>7360</v>
      </c>
      <c r="AM138">
        <v>0</v>
      </c>
      <c r="AN138" s="20">
        <v>44952</v>
      </c>
      <c r="AO138" s="20">
        <v>44952</v>
      </c>
      <c r="AP138" s="20">
        <v>44952</v>
      </c>
      <c r="AQ138">
        <v>0</v>
      </c>
      <c r="AR138">
        <v>0</v>
      </c>
      <c r="AS138">
        <v>0</v>
      </c>
      <c r="AT138">
        <v>0</v>
      </c>
      <c r="AU138">
        <v>0</v>
      </c>
      <c r="AV138" t="s">
        <v>7360</v>
      </c>
      <c r="AW138">
        <v>0</v>
      </c>
      <c r="AX138" t="s">
        <v>7360</v>
      </c>
      <c r="AY138" t="s">
        <v>7363</v>
      </c>
      <c r="BA138">
        <v>0</v>
      </c>
      <c r="BB138" s="20">
        <v>44952</v>
      </c>
      <c r="BC138">
        <v>0</v>
      </c>
      <c r="BD138" t="s">
        <v>7360</v>
      </c>
      <c r="BF138" s="20">
        <v>44952</v>
      </c>
      <c r="BG138">
        <v>0</v>
      </c>
      <c r="BH138" t="s">
        <v>7363</v>
      </c>
      <c r="BJ138" t="s">
        <v>7362</v>
      </c>
      <c r="BK138">
        <v>0</v>
      </c>
      <c r="BL138">
        <v>0</v>
      </c>
      <c r="BM138">
        <v>0</v>
      </c>
      <c r="BN138">
        <v>0</v>
      </c>
      <c r="BO138">
        <v>169</v>
      </c>
      <c r="BP138">
        <v>11</v>
      </c>
      <c r="BQ138">
        <v>1</v>
      </c>
      <c r="BR138" t="s">
        <v>7364</v>
      </c>
      <c r="BS138" t="s">
        <v>7365</v>
      </c>
      <c r="BT138" t="s">
        <v>7360</v>
      </c>
      <c r="BU138" t="s">
        <v>7360</v>
      </c>
      <c r="BV138" t="s">
        <v>7360</v>
      </c>
      <c r="BX138">
        <v>0</v>
      </c>
      <c r="BY138">
        <v>0</v>
      </c>
      <c r="BZ138" t="s">
        <v>7360</v>
      </c>
      <c r="CA138" t="s">
        <v>7360</v>
      </c>
      <c r="CB138">
        <v>3380666</v>
      </c>
      <c r="CC138" s="21">
        <v>44952.773912037039</v>
      </c>
      <c r="CE138" t="s">
        <v>7366</v>
      </c>
      <c r="CF138">
        <v>0</v>
      </c>
      <c r="CG138">
        <v>702002</v>
      </c>
      <c r="CH138">
        <v>702002</v>
      </c>
      <c r="CI138" s="21">
        <v>44952.779606481483</v>
      </c>
      <c r="CJ138" t="s">
        <v>7367</v>
      </c>
      <c r="CK138" t="s">
        <v>7367</v>
      </c>
      <c r="CL138" t="s">
        <v>7368</v>
      </c>
      <c r="CM138" t="s">
        <v>7368</v>
      </c>
      <c r="CS138" t="s">
        <v>7361</v>
      </c>
      <c r="CT138" t="s">
        <v>7362</v>
      </c>
      <c r="CU138" t="s">
        <v>7362</v>
      </c>
      <c r="CV138" t="s">
        <v>7362</v>
      </c>
      <c r="CW138" t="s">
        <v>7362</v>
      </c>
      <c r="CX138">
        <v>2625000</v>
      </c>
      <c r="DA138">
        <v>0</v>
      </c>
    </row>
    <row r="139" spans="1:110" x14ac:dyDescent="0.3">
      <c r="A139">
        <v>1354</v>
      </c>
      <c r="B139" t="s">
        <v>7396</v>
      </c>
      <c r="C139">
        <v>263</v>
      </c>
      <c r="D139" s="20">
        <v>44964</v>
      </c>
      <c r="E139" t="s">
        <v>7372</v>
      </c>
      <c r="F139" t="s">
        <v>5639</v>
      </c>
      <c r="G139" t="s">
        <v>7370</v>
      </c>
      <c r="H139">
        <v>1</v>
      </c>
      <c r="I139" t="s">
        <v>7358</v>
      </c>
      <c r="J139">
        <v>1</v>
      </c>
      <c r="K139" s="20">
        <v>44964</v>
      </c>
      <c r="L139" s="23">
        <v>15850000</v>
      </c>
      <c r="M139" t="s">
        <v>7359</v>
      </c>
      <c r="N139" t="s">
        <v>7360</v>
      </c>
      <c r="O139">
        <v>0</v>
      </c>
      <c r="P139">
        <v>12091</v>
      </c>
      <c r="Q139">
        <v>419030</v>
      </c>
      <c r="R139">
        <v>0</v>
      </c>
      <c r="S139">
        <v>20230207</v>
      </c>
      <c r="T139">
        <v>0</v>
      </c>
      <c r="U139" t="s">
        <v>7362</v>
      </c>
      <c r="V139" t="s">
        <v>7360</v>
      </c>
      <c r="W139" t="s">
        <v>7360</v>
      </c>
      <c r="X139" t="s">
        <v>7360</v>
      </c>
      <c r="Y139" t="s">
        <v>7360</v>
      </c>
      <c r="Z139" t="s">
        <v>7360</v>
      </c>
      <c r="AA139" t="s">
        <v>7362</v>
      </c>
      <c r="AB139" t="s">
        <v>7360</v>
      </c>
      <c r="AC139" t="s">
        <v>7360</v>
      </c>
      <c r="AD139" t="s">
        <v>7360</v>
      </c>
      <c r="AE139" t="s">
        <v>7360</v>
      </c>
      <c r="AF139" t="s">
        <v>1684</v>
      </c>
      <c r="AG139">
        <v>0</v>
      </c>
      <c r="AH139">
        <v>0</v>
      </c>
      <c r="AI139">
        <v>0</v>
      </c>
      <c r="AJ139">
        <v>0</v>
      </c>
      <c r="AK139">
        <v>0</v>
      </c>
      <c r="AL139" t="s">
        <v>7360</v>
      </c>
      <c r="AM139">
        <v>0</v>
      </c>
      <c r="AN139" s="20">
        <v>44964</v>
      </c>
      <c r="AO139" s="20">
        <v>44964</v>
      </c>
      <c r="AP139" s="20">
        <v>44964</v>
      </c>
      <c r="AQ139">
        <v>0</v>
      </c>
      <c r="AR139">
        <v>0</v>
      </c>
      <c r="AS139">
        <v>0</v>
      </c>
      <c r="AT139">
        <v>0</v>
      </c>
      <c r="AU139">
        <v>0</v>
      </c>
      <c r="AV139" t="s">
        <v>7360</v>
      </c>
      <c r="AW139">
        <v>0</v>
      </c>
      <c r="AX139" t="s">
        <v>7360</v>
      </c>
      <c r="AY139" t="s">
        <v>7373</v>
      </c>
      <c r="BA139">
        <v>0</v>
      </c>
      <c r="BB139" s="20">
        <v>44964</v>
      </c>
      <c r="BC139">
        <v>0</v>
      </c>
      <c r="BD139" t="s">
        <v>7360</v>
      </c>
      <c r="BF139" s="20">
        <v>44964</v>
      </c>
      <c r="BG139">
        <v>0</v>
      </c>
      <c r="BH139" t="s">
        <v>7363</v>
      </c>
      <c r="BJ139" t="s">
        <v>7362</v>
      </c>
      <c r="BK139">
        <v>0</v>
      </c>
      <c r="BL139">
        <v>0</v>
      </c>
      <c r="BM139">
        <v>0</v>
      </c>
      <c r="BN139">
        <v>0</v>
      </c>
      <c r="BO139">
        <v>169</v>
      </c>
      <c r="BP139">
        <v>11</v>
      </c>
      <c r="BQ139">
        <v>1</v>
      </c>
      <c r="BR139" t="s">
        <v>7364</v>
      </c>
      <c r="BS139" t="s">
        <v>7374</v>
      </c>
      <c r="BT139" t="s">
        <v>7360</v>
      </c>
      <c r="BU139" t="s">
        <v>7360</v>
      </c>
      <c r="BV139" t="s">
        <v>7360</v>
      </c>
      <c r="BX139">
        <v>0</v>
      </c>
      <c r="BY139">
        <v>0</v>
      </c>
      <c r="BZ139" t="s">
        <v>7360</v>
      </c>
      <c r="CA139" t="s">
        <v>7360</v>
      </c>
      <c r="CB139">
        <v>3380666</v>
      </c>
      <c r="CC139" s="21">
        <v>44959.708333333336</v>
      </c>
      <c r="CE139" t="s">
        <v>7366</v>
      </c>
      <c r="CF139">
        <v>0</v>
      </c>
      <c r="CG139">
        <v>702002</v>
      </c>
      <c r="CH139">
        <v>702002</v>
      </c>
      <c r="CI139" s="21">
        <v>44959.712569444448</v>
      </c>
      <c r="CJ139" t="s">
        <v>7367</v>
      </c>
      <c r="CK139" t="s">
        <v>7367</v>
      </c>
      <c r="CL139" t="s">
        <v>7368</v>
      </c>
      <c r="CM139" t="s">
        <v>7368</v>
      </c>
      <c r="CS139" t="s">
        <v>7361</v>
      </c>
      <c r="CT139" t="s">
        <v>7362</v>
      </c>
      <c r="CU139" t="s">
        <v>7362</v>
      </c>
      <c r="CV139" t="s">
        <v>7362</v>
      </c>
      <c r="CW139" t="s">
        <v>7362</v>
      </c>
      <c r="CX139">
        <v>25460050</v>
      </c>
      <c r="DA139">
        <v>0</v>
      </c>
    </row>
    <row r="140" spans="1:110" x14ac:dyDescent="0.3">
      <c r="A140">
        <v>1365</v>
      </c>
      <c r="B140" t="s">
        <v>7384</v>
      </c>
      <c r="C140">
        <v>341</v>
      </c>
      <c r="D140" s="20">
        <v>44967</v>
      </c>
      <c r="E140" t="s">
        <v>7372</v>
      </c>
      <c r="F140" t="s">
        <v>5633</v>
      </c>
      <c r="G140" t="s">
        <v>7357</v>
      </c>
      <c r="H140">
        <v>1</v>
      </c>
      <c r="I140" t="s">
        <v>7358</v>
      </c>
      <c r="J140">
        <v>1</v>
      </c>
      <c r="K140" s="20">
        <v>44973</v>
      </c>
      <c r="L140" s="23">
        <v>16000000</v>
      </c>
      <c r="M140" t="s">
        <v>7359</v>
      </c>
      <c r="N140" t="s">
        <v>7360</v>
      </c>
      <c r="O140">
        <v>0</v>
      </c>
      <c r="P140">
        <v>12237</v>
      </c>
      <c r="Q140">
        <v>422023</v>
      </c>
      <c r="R140">
        <v>0</v>
      </c>
      <c r="S140">
        <v>20230210</v>
      </c>
      <c r="T140">
        <v>0</v>
      </c>
      <c r="U140" t="s">
        <v>7362</v>
      </c>
      <c r="V140" t="s">
        <v>7360</v>
      </c>
      <c r="W140" t="s">
        <v>7360</v>
      </c>
      <c r="X140" t="s">
        <v>7360</v>
      </c>
      <c r="Y140" t="s">
        <v>7360</v>
      </c>
      <c r="Z140" t="s">
        <v>7360</v>
      </c>
      <c r="AA140" t="s">
        <v>7362</v>
      </c>
      <c r="AB140" t="s">
        <v>7360</v>
      </c>
      <c r="AC140" t="s">
        <v>7360</v>
      </c>
      <c r="AD140" t="s">
        <v>7360</v>
      </c>
      <c r="AE140" t="s">
        <v>7360</v>
      </c>
      <c r="AF140" t="s">
        <v>1684</v>
      </c>
      <c r="AG140">
        <v>0</v>
      </c>
      <c r="AH140">
        <v>0</v>
      </c>
      <c r="AI140">
        <v>0</v>
      </c>
      <c r="AJ140">
        <v>0</v>
      </c>
      <c r="AK140">
        <v>0</v>
      </c>
      <c r="AL140" t="s">
        <v>7360</v>
      </c>
      <c r="AM140">
        <v>0</v>
      </c>
      <c r="AN140" s="20">
        <v>44973</v>
      </c>
      <c r="AO140" s="20">
        <v>44973</v>
      </c>
      <c r="AP140" s="20">
        <v>44973</v>
      </c>
      <c r="AQ140">
        <v>0</v>
      </c>
      <c r="AR140">
        <v>0</v>
      </c>
      <c r="AS140">
        <v>0</v>
      </c>
      <c r="AT140">
        <v>0</v>
      </c>
      <c r="AU140">
        <v>0</v>
      </c>
      <c r="AV140" t="s">
        <v>7360</v>
      </c>
      <c r="AW140">
        <v>0</v>
      </c>
      <c r="AX140" t="s">
        <v>7360</v>
      </c>
      <c r="AY140" t="s">
        <v>7373</v>
      </c>
      <c r="BA140">
        <v>0</v>
      </c>
      <c r="BB140" s="20">
        <v>44973</v>
      </c>
      <c r="BC140">
        <v>0</v>
      </c>
      <c r="BD140" t="s">
        <v>7360</v>
      </c>
      <c r="BF140" s="20">
        <v>44973</v>
      </c>
      <c r="BG140">
        <v>0</v>
      </c>
      <c r="BH140" t="s">
        <v>7363</v>
      </c>
      <c r="BJ140" t="s">
        <v>7362</v>
      </c>
      <c r="BK140">
        <v>0</v>
      </c>
      <c r="BL140">
        <v>0</v>
      </c>
      <c r="BM140">
        <v>0</v>
      </c>
      <c r="BN140">
        <v>0</v>
      </c>
      <c r="BO140">
        <v>169</v>
      </c>
      <c r="BP140">
        <v>11</v>
      </c>
      <c r="BQ140">
        <v>1</v>
      </c>
      <c r="BR140" t="s">
        <v>7364</v>
      </c>
      <c r="BS140" t="s">
        <v>7365</v>
      </c>
      <c r="BT140" t="s">
        <v>7360</v>
      </c>
      <c r="BU140" t="s">
        <v>7360</v>
      </c>
      <c r="BV140" t="s">
        <v>7360</v>
      </c>
      <c r="BX140">
        <v>0</v>
      </c>
      <c r="BY140">
        <v>0</v>
      </c>
      <c r="BZ140" t="s">
        <v>7360</v>
      </c>
      <c r="CA140" t="s">
        <v>7360</v>
      </c>
      <c r="CB140">
        <v>3380666</v>
      </c>
      <c r="CC140" s="21">
        <v>44960.52648148148</v>
      </c>
      <c r="CE140" t="s">
        <v>7366</v>
      </c>
      <c r="CF140">
        <v>0</v>
      </c>
      <c r="CG140">
        <v>702002</v>
      </c>
      <c r="CH140">
        <v>702002</v>
      </c>
      <c r="CI140" s="21">
        <v>44960.529479166667</v>
      </c>
      <c r="CJ140" t="s">
        <v>7367</v>
      </c>
      <c r="CK140" t="s">
        <v>7367</v>
      </c>
      <c r="CL140" t="s">
        <v>7368</v>
      </c>
      <c r="CM140" t="s">
        <v>7368</v>
      </c>
      <c r="CS140" t="s">
        <v>7361</v>
      </c>
      <c r="CT140" t="s">
        <v>7362</v>
      </c>
      <c r="CU140" t="s">
        <v>7362</v>
      </c>
      <c r="CV140" t="s">
        <v>7362</v>
      </c>
      <c r="CW140" t="s">
        <v>7362</v>
      </c>
      <c r="CX140">
        <v>30000000</v>
      </c>
      <c r="DA140">
        <v>0</v>
      </c>
    </row>
    <row r="141" spans="1:110" x14ac:dyDescent="0.3">
      <c r="A141">
        <v>1356</v>
      </c>
      <c r="B141" t="s">
        <v>7402</v>
      </c>
      <c r="C141">
        <v>163</v>
      </c>
      <c r="D141" s="20">
        <v>44952</v>
      </c>
      <c r="E141" t="s">
        <v>7356</v>
      </c>
      <c r="F141" t="s">
        <v>5639</v>
      </c>
      <c r="G141" t="s">
        <v>7377</v>
      </c>
      <c r="H141">
        <v>1</v>
      </c>
      <c r="I141" t="s">
        <v>7358</v>
      </c>
      <c r="J141">
        <v>1</v>
      </c>
      <c r="K141" s="20">
        <v>44952</v>
      </c>
      <c r="L141" s="23">
        <v>5172350</v>
      </c>
      <c r="M141" t="s">
        <v>7403</v>
      </c>
      <c r="N141" t="s">
        <v>7360</v>
      </c>
      <c r="O141">
        <v>0</v>
      </c>
      <c r="P141">
        <v>11774</v>
      </c>
      <c r="Q141">
        <v>129006</v>
      </c>
      <c r="R141">
        <v>0</v>
      </c>
      <c r="S141">
        <v>20230126</v>
      </c>
      <c r="T141">
        <v>0</v>
      </c>
      <c r="U141" t="s">
        <v>7361</v>
      </c>
      <c r="V141" t="s">
        <v>7360</v>
      </c>
      <c r="W141" t="s">
        <v>7360</v>
      </c>
      <c r="X141" t="s">
        <v>7360</v>
      </c>
      <c r="Y141" t="s">
        <v>7360</v>
      </c>
      <c r="Z141" t="s">
        <v>7360</v>
      </c>
      <c r="AA141" t="s">
        <v>7362</v>
      </c>
      <c r="AB141" t="s">
        <v>7360</v>
      </c>
      <c r="AC141" t="s">
        <v>7360</v>
      </c>
      <c r="AD141" t="s">
        <v>7360</v>
      </c>
      <c r="AE141" t="s">
        <v>7360</v>
      </c>
      <c r="AF141" t="s">
        <v>1684</v>
      </c>
      <c r="AG141">
        <v>0</v>
      </c>
      <c r="AH141">
        <v>0</v>
      </c>
      <c r="AI141">
        <v>0</v>
      </c>
      <c r="AJ141">
        <v>0</v>
      </c>
      <c r="AK141">
        <v>0</v>
      </c>
      <c r="AL141" t="s">
        <v>7360</v>
      </c>
      <c r="AM141">
        <v>0</v>
      </c>
      <c r="AN141" s="20">
        <v>44952</v>
      </c>
      <c r="AO141" s="20">
        <v>44952</v>
      </c>
      <c r="AP141" s="20">
        <v>44952</v>
      </c>
      <c r="AQ141">
        <v>0</v>
      </c>
      <c r="AR141">
        <v>0</v>
      </c>
      <c r="AS141">
        <v>0</v>
      </c>
      <c r="AT141">
        <v>0</v>
      </c>
      <c r="AU141">
        <v>0</v>
      </c>
      <c r="AV141" t="s">
        <v>7360</v>
      </c>
      <c r="AW141">
        <v>0</v>
      </c>
      <c r="AX141" t="s">
        <v>7360</v>
      </c>
      <c r="AY141" t="s">
        <v>7363</v>
      </c>
      <c r="BA141">
        <v>0</v>
      </c>
      <c r="BB141" s="20">
        <v>44952</v>
      </c>
      <c r="BC141">
        <v>0</v>
      </c>
      <c r="BD141" t="s">
        <v>7360</v>
      </c>
      <c r="BE141">
        <v>14</v>
      </c>
      <c r="BF141" s="20">
        <v>44952</v>
      </c>
      <c r="BG141">
        <v>0</v>
      </c>
      <c r="BH141" t="s">
        <v>1729</v>
      </c>
      <c r="BJ141" t="s">
        <v>7362</v>
      </c>
      <c r="BK141">
        <v>169</v>
      </c>
      <c r="BL141">
        <v>11</v>
      </c>
      <c r="BM141">
        <v>1</v>
      </c>
      <c r="BN141" t="s">
        <v>7364</v>
      </c>
      <c r="BO141">
        <v>169</v>
      </c>
      <c r="BP141">
        <v>11</v>
      </c>
      <c r="BQ141">
        <v>1</v>
      </c>
      <c r="BR141" t="s">
        <v>7364</v>
      </c>
      <c r="BS141" t="s">
        <v>7386</v>
      </c>
      <c r="BT141" t="s">
        <v>7360</v>
      </c>
      <c r="BU141" t="s">
        <v>7360</v>
      </c>
      <c r="BV141" t="s">
        <v>7360</v>
      </c>
      <c r="BX141" t="s">
        <v>7391</v>
      </c>
      <c r="BY141">
        <v>74</v>
      </c>
      <c r="BZ141" t="s">
        <v>7360</v>
      </c>
      <c r="CA141" t="s">
        <v>7360</v>
      </c>
      <c r="CB141">
        <v>3380666</v>
      </c>
      <c r="CC141" s="21">
        <v>44952.807268518518</v>
      </c>
      <c r="CE141" t="s">
        <v>7392</v>
      </c>
      <c r="CF141">
        <v>1100101</v>
      </c>
      <c r="CG141">
        <v>51669</v>
      </c>
      <c r="CH141">
        <v>51669</v>
      </c>
      <c r="CI141" s="21">
        <v>44952.810578703706</v>
      </c>
      <c r="CJ141" t="s">
        <v>7406</v>
      </c>
      <c r="CK141" t="s">
        <v>7406</v>
      </c>
      <c r="CL141" t="s">
        <v>7407</v>
      </c>
      <c r="CM141" t="s">
        <v>7407</v>
      </c>
      <c r="CS141" t="s">
        <v>7361</v>
      </c>
      <c r="CT141" t="s">
        <v>7362</v>
      </c>
      <c r="CU141" t="s">
        <v>7362</v>
      </c>
      <c r="CV141" t="s">
        <v>7362</v>
      </c>
      <c r="CW141" t="s">
        <v>7362</v>
      </c>
      <c r="CX141">
        <v>5172350</v>
      </c>
      <c r="DA141">
        <v>0</v>
      </c>
      <c r="DB141">
        <v>129006</v>
      </c>
    </row>
    <row r="142" spans="1:110" x14ac:dyDescent="0.3">
      <c r="A142">
        <v>1356</v>
      </c>
      <c r="B142" t="s">
        <v>7402</v>
      </c>
      <c r="C142">
        <v>164</v>
      </c>
      <c r="D142" s="20">
        <v>44952</v>
      </c>
      <c r="E142" t="s">
        <v>7356</v>
      </c>
      <c r="F142" t="s">
        <v>5633</v>
      </c>
      <c r="G142" t="s">
        <v>7377</v>
      </c>
      <c r="H142">
        <v>1</v>
      </c>
      <c r="I142" t="s">
        <v>7358</v>
      </c>
      <c r="J142">
        <v>1</v>
      </c>
      <c r="K142" s="20">
        <v>44952</v>
      </c>
      <c r="L142" s="23">
        <v>5172350</v>
      </c>
      <c r="M142" t="s">
        <v>7403</v>
      </c>
      <c r="N142" t="s">
        <v>7360</v>
      </c>
      <c r="O142">
        <v>0</v>
      </c>
      <c r="P142">
        <v>11776</v>
      </c>
      <c r="Q142">
        <v>129001</v>
      </c>
      <c r="R142">
        <v>0</v>
      </c>
      <c r="S142">
        <v>20230126</v>
      </c>
      <c r="T142">
        <v>0</v>
      </c>
      <c r="U142" t="s">
        <v>7361</v>
      </c>
      <c r="V142" t="s">
        <v>7360</v>
      </c>
      <c r="W142" t="s">
        <v>7360</v>
      </c>
      <c r="X142" t="s">
        <v>7360</v>
      </c>
      <c r="Y142" t="s">
        <v>7360</v>
      </c>
      <c r="Z142" t="s">
        <v>7360</v>
      </c>
      <c r="AA142" t="s">
        <v>7362</v>
      </c>
      <c r="AB142" t="s">
        <v>7360</v>
      </c>
      <c r="AC142" t="s">
        <v>7360</v>
      </c>
      <c r="AD142" t="s">
        <v>7360</v>
      </c>
      <c r="AE142" t="s">
        <v>7360</v>
      </c>
      <c r="AF142" t="s">
        <v>1684</v>
      </c>
      <c r="AG142">
        <v>0</v>
      </c>
      <c r="AH142">
        <v>0</v>
      </c>
      <c r="AI142">
        <v>0</v>
      </c>
      <c r="AJ142">
        <v>0</v>
      </c>
      <c r="AK142">
        <v>0</v>
      </c>
      <c r="AL142" t="s">
        <v>7360</v>
      </c>
      <c r="AM142">
        <v>0</v>
      </c>
      <c r="AN142" s="20">
        <v>44952</v>
      </c>
      <c r="AO142" s="20">
        <v>44952</v>
      </c>
      <c r="AP142" s="20">
        <v>44952</v>
      </c>
      <c r="AQ142">
        <v>0</v>
      </c>
      <c r="AR142">
        <v>0</v>
      </c>
      <c r="AS142">
        <v>0</v>
      </c>
      <c r="AT142">
        <v>0</v>
      </c>
      <c r="AU142">
        <v>0</v>
      </c>
      <c r="AV142" t="s">
        <v>7360</v>
      </c>
      <c r="AW142">
        <v>0</v>
      </c>
      <c r="AX142" t="s">
        <v>7360</v>
      </c>
      <c r="AY142" t="s">
        <v>7363</v>
      </c>
      <c r="BA142">
        <v>0</v>
      </c>
      <c r="BB142" s="20">
        <v>44952</v>
      </c>
      <c r="BC142">
        <v>0</v>
      </c>
      <c r="BD142" t="s">
        <v>7360</v>
      </c>
      <c r="BE142">
        <v>13</v>
      </c>
      <c r="BF142" s="20">
        <v>44952</v>
      </c>
      <c r="BG142">
        <v>0</v>
      </c>
      <c r="BH142" t="s">
        <v>1729</v>
      </c>
      <c r="BJ142" t="s">
        <v>7362</v>
      </c>
      <c r="BK142">
        <v>169</v>
      </c>
      <c r="BL142">
        <v>11</v>
      </c>
      <c r="BM142">
        <v>1</v>
      </c>
      <c r="BN142" t="s">
        <v>7364</v>
      </c>
      <c r="BO142">
        <v>169</v>
      </c>
      <c r="BP142">
        <v>11</v>
      </c>
      <c r="BQ142">
        <v>1</v>
      </c>
      <c r="BR142" t="s">
        <v>7364</v>
      </c>
      <c r="BS142" t="s">
        <v>7386</v>
      </c>
      <c r="BT142" t="s">
        <v>7360</v>
      </c>
      <c r="BU142" t="s">
        <v>7360</v>
      </c>
      <c r="BV142" t="s">
        <v>7360</v>
      </c>
      <c r="BX142" t="s">
        <v>7391</v>
      </c>
      <c r="BY142">
        <v>74</v>
      </c>
      <c r="BZ142" t="s">
        <v>7360</v>
      </c>
      <c r="CA142" t="s">
        <v>7360</v>
      </c>
      <c r="CB142">
        <v>3380666</v>
      </c>
      <c r="CC142" s="21">
        <v>44952.815347222226</v>
      </c>
      <c r="CE142" t="s">
        <v>7392</v>
      </c>
      <c r="CF142">
        <v>1100101</v>
      </c>
      <c r="CG142">
        <v>51669</v>
      </c>
      <c r="CH142">
        <v>51669</v>
      </c>
      <c r="CI142" s="21">
        <v>44952.817187499997</v>
      </c>
      <c r="CJ142" t="s">
        <v>7406</v>
      </c>
      <c r="CK142" t="s">
        <v>7406</v>
      </c>
      <c r="CL142" t="s">
        <v>7407</v>
      </c>
      <c r="CM142" t="s">
        <v>7407</v>
      </c>
      <c r="CS142" t="s">
        <v>7361</v>
      </c>
      <c r="CT142" t="s">
        <v>7362</v>
      </c>
      <c r="CU142" t="s">
        <v>7362</v>
      </c>
      <c r="CV142" t="s">
        <v>7362</v>
      </c>
      <c r="CW142" t="s">
        <v>7362</v>
      </c>
      <c r="CX142">
        <v>5172350</v>
      </c>
      <c r="DA142">
        <v>0</v>
      </c>
      <c r="DB142">
        <v>129001</v>
      </c>
    </row>
    <row r="143" spans="1:110" x14ac:dyDescent="0.3">
      <c r="A143">
        <v>1362</v>
      </c>
      <c r="B143" t="s">
        <v>7371</v>
      </c>
      <c r="C143">
        <v>165</v>
      </c>
      <c r="D143" s="20">
        <v>44952</v>
      </c>
      <c r="E143" t="s">
        <v>7356</v>
      </c>
      <c r="F143" t="s">
        <v>5639</v>
      </c>
      <c r="G143" t="s">
        <v>7357</v>
      </c>
      <c r="H143">
        <v>1</v>
      </c>
      <c r="I143" t="s">
        <v>7358</v>
      </c>
      <c r="J143">
        <v>1</v>
      </c>
      <c r="K143" s="20">
        <v>44952</v>
      </c>
      <c r="L143" s="23">
        <v>2277065</v>
      </c>
      <c r="M143" t="s">
        <v>7359</v>
      </c>
      <c r="N143" t="s">
        <v>7360</v>
      </c>
      <c r="O143">
        <v>0</v>
      </c>
      <c r="P143">
        <v>11958</v>
      </c>
      <c r="Q143">
        <v>416092</v>
      </c>
      <c r="R143">
        <v>0</v>
      </c>
      <c r="S143">
        <v>20230126</v>
      </c>
      <c r="T143">
        <v>0</v>
      </c>
      <c r="U143" t="s">
        <v>7361</v>
      </c>
      <c r="V143" t="s">
        <v>7360</v>
      </c>
      <c r="W143" t="s">
        <v>7360</v>
      </c>
      <c r="X143" t="s">
        <v>7360</v>
      </c>
      <c r="Y143" t="s">
        <v>7360</v>
      </c>
      <c r="Z143" t="s">
        <v>7360</v>
      </c>
      <c r="AA143" t="s">
        <v>7362</v>
      </c>
      <c r="AB143" t="s">
        <v>7360</v>
      </c>
      <c r="AC143" t="s">
        <v>7360</v>
      </c>
      <c r="AD143" t="s">
        <v>7360</v>
      </c>
      <c r="AE143" t="s">
        <v>7360</v>
      </c>
      <c r="AF143" t="s">
        <v>1684</v>
      </c>
      <c r="AG143">
        <v>0</v>
      </c>
      <c r="AH143">
        <v>0</v>
      </c>
      <c r="AI143">
        <v>0</v>
      </c>
      <c r="AJ143">
        <v>0</v>
      </c>
      <c r="AK143">
        <v>0</v>
      </c>
      <c r="AL143" t="s">
        <v>7360</v>
      </c>
      <c r="AM143">
        <v>0</v>
      </c>
      <c r="AN143" s="20">
        <v>44952</v>
      </c>
      <c r="AO143" s="20">
        <v>44952</v>
      </c>
      <c r="AP143" s="20">
        <v>44952</v>
      </c>
      <c r="AQ143">
        <v>0</v>
      </c>
      <c r="AR143">
        <v>0</v>
      </c>
      <c r="AS143">
        <v>0</v>
      </c>
      <c r="AT143">
        <v>0</v>
      </c>
      <c r="AU143">
        <v>0</v>
      </c>
      <c r="AV143" t="s">
        <v>7360</v>
      </c>
      <c r="AW143">
        <v>0</v>
      </c>
      <c r="AX143" t="s">
        <v>7360</v>
      </c>
      <c r="AY143" t="s">
        <v>7363</v>
      </c>
      <c r="BA143">
        <v>0</v>
      </c>
      <c r="BB143" s="20">
        <v>44952</v>
      </c>
      <c r="BC143">
        <v>0</v>
      </c>
      <c r="BD143" t="s">
        <v>7360</v>
      </c>
      <c r="BF143" s="20">
        <v>44952</v>
      </c>
      <c r="BG143">
        <v>0</v>
      </c>
      <c r="BH143" t="s">
        <v>7363</v>
      </c>
      <c r="BJ143" t="s">
        <v>7362</v>
      </c>
      <c r="BK143">
        <v>0</v>
      </c>
      <c r="BL143">
        <v>0</v>
      </c>
      <c r="BM143">
        <v>0</v>
      </c>
      <c r="BN143">
        <v>0</v>
      </c>
      <c r="BO143">
        <v>169</v>
      </c>
      <c r="BP143">
        <v>11</v>
      </c>
      <c r="BQ143">
        <v>1</v>
      </c>
      <c r="BR143" t="s">
        <v>7364</v>
      </c>
      <c r="BS143" t="s">
        <v>7374</v>
      </c>
      <c r="BT143" t="s">
        <v>7360</v>
      </c>
      <c r="BU143" t="s">
        <v>7360</v>
      </c>
      <c r="BV143" t="s">
        <v>7360</v>
      </c>
      <c r="BX143">
        <v>0</v>
      </c>
      <c r="BY143">
        <v>0</v>
      </c>
      <c r="BZ143" t="s">
        <v>7360</v>
      </c>
      <c r="CA143" t="s">
        <v>7360</v>
      </c>
      <c r="CB143">
        <v>3380666</v>
      </c>
      <c r="CC143" s="21">
        <v>44952.818530092591</v>
      </c>
      <c r="CE143" t="s">
        <v>7366</v>
      </c>
      <c r="CF143">
        <v>0</v>
      </c>
      <c r="CG143">
        <v>702002</v>
      </c>
      <c r="CH143">
        <v>702002</v>
      </c>
      <c r="CI143" s="21">
        <v>44952.820810185185</v>
      </c>
      <c r="CJ143" t="s">
        <v>7367</v>
      </c>
      <c r="CK143" t="s">
        <v>7367</v>
      </c>
      <c r="CL143" t="s">
        <v>7368</v>
      </c>
      <c r="CM143" t="s">
        <v>7368</v>
      </c>
      <c r="CS143" t="s">
        <v>7361</v>
      </c>
      <c r="CT143" t="s">
        <v>7362</v>
      </c>
      <c r="CU143" t="s">
        <v>7362</v>
      </c>
      <c r="CV143" t="s">
        <v>7362</v>
      </c>
      <c r="CW143" t="s">
        <v>7362</v>
      </c>
      <c r="CX143">
        <v>2277065</v>
      </c>
      <c r="DA143">
        <v>0</v>
      </c>
    </row>
    <row r="144" spans="1:110" x14ac:dyDescent="0.3">
      <c r="A144">
        <v>1357</v>
      </c>
      <c r="B144" t="s">
        <v>7405</v>
      </c>
      <c r="C144">
        <v>166</v>
      </c>
      <c r="D144" s="20">
        <v>44952</v>
      </c>
      <c r="E144" t="s">
        <v>7356</v>
      </c>
      <c r="F144" t="s">
        <v>5633</v>
      </c>
      <c r="G144" t="s">
        <v>7357</v>
      </c>
      <c r="H144">
        <v>1</v>
      </c>
      <c r="I144" t="s">
        <v>7358</v>
      </c>
      <c r="J144">
        <v>1</v>
      </c>
      <c r="K144" s="20">
        <v>44952</v>
      </c>
      <c r="L144" s="23">
        <v>1332800</v>
      </c>
      <c r="M144" t="s">
        <v>7359</v>
      </c>
      <c r="N144" t="s">
        <v>7360</v>
      </c>
      <c r="O144">
        <v>0</v>
      </c>
      <c r="P144">
        <v>11904</v>
      </c>
      <c r="Q144">
        <v>416067</v>
      </c>
      <c r="R144">
        <v>0</v>
      </c>
      <c r="S144">
        <v>20230126</v>
      </c>
      <c r="T144">
        <v>0</v>
      </c>
      <c r="U144" t="s">
        <v>7361</v>
      </c>
      <c r="V144" t="s">
        <v>7360</v>
      </c>
      <c r="W144" t="s">
        <v>7360</v>
      </c>
      <c r="X144" t="s">
        <v>7360</v>
      </c>
      <c r="Y144" t="s">
        <v>7360</v>
      </c>
      <c r="Z144" t="s">
        <v>7360</v>
      </c>
      <c r="AA144" t="s">
        <v>7362</v>
      </c>
      <c r="AB144" t="s">
        <v>7360</v>
      </c>
      <c r="AC144" t="s">
        <v>7360</v>
      </c>
      <c r="AD144" t="s">
        <v>7360</v>
      </c>
      <c r="AE144" t="s">
        <v>7360</v>
      </c>
      <c r="AF144" t="s">
        <v>1684</v>
      </c>
      <c r="AG144">
        <v>0</v>
      </c>
      <c r="AH144">
        <v>0</v>
      </c>
      <c r="AI144">
        <v>0</v>
      </c>
      <c r="AJ144">
        <v>0</v>
      </c>
      <c r="AK144">
        <v>0</v>
      </c>
      <c r="AL144" t="s">
        <v>7360</v>
      </c>
      <c r="AM144">
        <v>0</v>
      </c>
      <c r="AN144" s="20">
        <v>44952</v>
      </c>
      <c r="AO144" s="20">
        <v>44952</v>
      </c>
      <c r="AP144" s="20">
        <v>44952</v>
      </c>
      <c r="AQ144">
        <v>0</v>
      </c>
      <c r="AR144">
        <v>0</v>
      </c>
      <c r="AS144">
        <v>0</v>
      </c>
      <c r="AT144">
        <v>0</v>
      </c>
      <c r="AU144">
        <v>0</v>
      </c>
      <c r="AV144" t="s">
        <v>7360</v>
      </c>
      <c r="AW144">
        <v>0</v>
      </c>
      <c r="AX144" t="s">
        <v>7360</v>
      </c>
      <c r="AY144" t="s">
        <v>7363</v>
      </c>
      <c r="BA144">
        <v>0</v>
      </c>
      <c r="BB144" s="20">
        <v>44952</v>
      </c>
      <c r="BC144">
        <v>0</v>
      </c>
      <c r="BD144" t="s">
        <v>7360</v>
      </c>
      <c r="BF144" s="20">
        <v>44952</v>
      </c>
      <c r="BG144">
        <v>0</v>
      </c>
      <c r="BH144" t="s">
        <v>1684</v>
      </c>
      <c r="BJ144" t="s">
        <v>7362</v>
      </c>
      <c r="BK144">
        <v>0</v>
      </c>
      <c r="BL144">
        <v>0</v>
      </c>
      <c r="BM144">
        <v>0</v>
      </c>
      <c r="BN144">
        <v>0</v>
      </c>
      <c r="BO144">
        <v>169</v>
      </c>
      <c r="BP144">
        <v>11</v>
      </c>
      <c r="BQ144">
        <v>1</v>
      </c>
      <c r="BR144" t="s">
        <v>7364</v>
      </c>
      <c r="BS144" t="s">
        <v>7382</v>
      </c>
      <c r="BT144" t="s">
        <v>7360</v>
      </c>
      <c r="BU144" t="s">
        <v>7360</v>
      </c>
      <c r="BV144" t="s">
        <v>7360</v>
      </c>
      <c r="BX144">
        <v>0</v>
      </c>
      <c r="BY144">
        <v>0</v>
      </c>
      <c r="BZ144" t="s">
        <v>7360</v>
      </c>
      <c r="CA144" t="s">
        <v>7360</v>
      </c>
      <c r="CB144">
        <v>3380666</v>
      </c>
      <c r="CC144" s="21">
        <v>44952.834027777775</v>
      </c>
      <c r="CE144" t="s">
        <v>7366</v>
      </c>
      <c r="CF144">
        <v>0</v>
      </c>
      <c r="CG144">
        <v>702002</v>
      </c>
      <c r="CH144">
        <v>702002</v>
      </c>
      <c r="CI144" s="21">
        <v>44952.837025462963</v>
      </c>
      <c r="CJ144" t="s">
        <v>7367</v>
      </c>
      <c r="CK144" t="s">
        <v>7367</v>
      </c>
      <c r="CL144" t="s">
        <v>7368</v>
      </c>
      <c r="CM144" t="s">
        <v>7368</v>
      </c>
      <c r="CS144" t="s">
        <v>7361</v>
      </c>
      <c r="CT144" t="s">
        <v>7362</v>
      </c>
      <c r="CU144" t="s">
        <v>7362</v>
      </c>
      <c r="CV144" t="s">
        <v>7362</v>
      </c>
      <c r="CW144" t="s">
        <v>7362</v>
      </c>
      <c r="CX144">
        <v>1332800</v>
      </c>
      <c r="DA144">
        <v>0</v>
      </c>
    </row>
    <row r="145" spans="1:106" x14ac:dyDescent="0.3">
      <c r="A145">
        <v>1352</v>
      </c>
      <c r="B145" t="s">
        <v>7416</v>
      </c>
      <c r="C145">
        <v>542</v>
      </c>
      <c r="D145" s="20">
        <v>44993</v>
      </c>
      <c r="E145" t="s">
        <v>7356</v>
      </c>
      <c r="F145" t="s">
        <v>5639</v>
      </c>
      <c r="G145" t="s">
        <v>7357</v>
      </c>
      <c r="H145">
        <v>1</v>
      </c>
      <c r="I145" t="s">
        <v>7358</v>
      </c>
      <c r="J145">
        <v>1</v>
      </c>
      <c r="K145" s="20">
        <v>44993</v>
      </c>
      <c r="L145" s="23">
        <v>16033650</v>
      </c>
      <c r="M145" t="s">
        <v>7359</v>
      </c>
      <c r="N145" t="s">
        <v>7360</v>
      </c>
      <c r="O145">
        <v>0</v>
      </c>
      <c r="P145">
        <v>12871</v>
      </c>
      <c r="Q145">
        <v>450032</v>
      </c>
      <c r="R145">
        <v>0</v>
      </c>
      <c r="S145">
        <v>20230308</v>
      </c>
      <c r="T145">
        <v>0</v>
      </c>
      <c r="U145" t="s">
        <v>7361</v>
      </c>
      <c r="V145" t="s">
        <v>7360</v>
      </c>
      <c r="W145" t="s">
        <v>7360</v>
      </c>
      <c r="X145" t="s">
        <v>7360</v>
      </c>
      <c r="Y145" t="s">
        <v>7360</v>
      </c>
      <c r="Z145" t="s">
        <v>7360</v>
      </c>
      <c r="AA145" t="s">
        <v>7362</v>
      </c>
      <c r="AB145" t="s">
        <v>7360</v>
      </c>
      <c r="AC145" t="s">
        <v>7360</v>
      </c>
      <c r="AD145" t="s">
        <v>7360</v>
      </c>
      <c r="AE145" t="s">
        <v>7360</v>
      </c>
      <c r="AF145" t="s">
        <v>1684</v>
      </c>
      <c r="AG145">
        <v>0</v>
      </c>
      <c r="AH145">
        <v>0</v>
      </c>
      <c r="AI145">
        <v>0</v>
      </c>
      <c r="AJ145">
        <v>0</v>
      </c>
      <c r="AK145">
        <v>0</v>
      </c>
      <c r="AL145" t="s">
        <v>7360</v>
      </c>
      <c r="AM145">
        <v>0</v>
      </c>
      <c r="AN145" s="20">
        <v>44993</v>
      </c>
      <c r="AO145" s="20">
        <v>44993</v>
      </c>
      <c r="AP145" s="20">
        <v>44993</v>
      </c>
      <c r="AQ145">
        <v>0</v>
      </c>
      <c r="AR145">
        <v>0</v>
      </c>
      <c r="AS145">
        <v>0</v>
      </c>
      <c r="AT145">
        <v>0</v>
      </c>
      <c r="AU145">
        <v>0</v>
      </c>
      <c r="AV145" t="s">
        <v>7360</v>
      </c>
      <c r="AW145">
        <v>0</v>
      </c>
      <c r="AX145" t="s">
        <v>7360</v>
      </c>
      <c r="AY145" t="s">
        <v>7363</v>
      </c>
      <c r="BA145">
        <v>0</v>
      </c>
      <c r="BB145" s="20">
        <v>44993</v>
      </c>
      <c r="BC145">
        <v>0</v>
      </c>
      <c r="BD145" t="s">
        <v>7360</v>
      </c>
      <c r="BF145" s="20">
        <v>44993</v>
      </c>
      <c r="BG145">
        <v>0</v>
      </c>
      <c r="BH145" t="s">
        <v>7363</v>
      </c>
      <c r="BJ145" t="s">
        <v>7362</v>
      </c>
      <c r="BK145">
        <v>169</v>
      </c>
      <c r="BL145">
        <v>11</v>
      </c>
      <c r="BM145">
        <v>1</v>
      </c>
      <c r="BN145" t="s">
        <v>7364</v>
      </c>
      <c r="BO145">
        <v>169</v>
      </c>
      <c r="BP145">
        <v>11</v>
      </c>
      <c r="BQ145">
        <v>1</v>
      </c>
      <c r="BR145" t="s">
        <v>7364</v>
      </c>
      <c r="BS145" t="s">
        <v>132</v>
      </c>
      <c r="BT145" t="s">
        <v>7360</v>
      </c>
      <c r="BU145" t="s">
        <v>7360</v>
      </c>
      <c r="BV145" t="s">
        <v>7360</v>
      </c>
      <c r="BX145" t="s">
        <v>7391</v>
      </c>
      <c r="BY145">
        <v>74</v>
      </c>
      <c r="BZ145" t="s">
        <v>7360</v>
      </c>
      <c r="CA145" t="s">
        <v>7360</v>
      </c>
      <c r="CB145">
        <v>5558210</v>
      </c>
      <c r="CC145" s="21">
        <v>44964.532812500001</v>
      </c>
      <c r="CE145" t="s">
        <v>7392</v>
      </c>
      <c r="CF145">
        <v>1100101</v>
      </c>
      <c r="CG145">
        <v>53575</v>
      </c>
      <c r="CH145">
        <v>53575</v>
      </c>
      <c r="CI145" s="21">
        <v>44964.538252314815</v>
      </c>
      <c r="CJ145" t="s">
        <v>7393</v>
      </c>
      <c r="CK145" t="s">
        <v>7393</v>
      </c>
      <c r="CL145" t="s">
        <v>7394</v>
      </c>
      <c r="CM145" t="s">
        <v>7394</v>
      </c>
      <c r="CS145" t="s">
        <v>7361</v>
      </c>
      <c r="CT145" t="s">
        <v>7362</v>
      </c>
      <c r="CU145" t="s">
        <v>7362</v>
      </c>
      <c r="CV145" t="s">
        <v>7362</v>
      </c>
      <c r="CW145" t="s">
        <v>7362</v>
      </c>
      <c r="CX145">
        <v>15000000</v>
      </c>
      <c r="DA145">
        <v>0</v>
      </c>
    </row>
    <row r="146" spans="1:106" x14ac:dyDescent="0.3">
      <c r="A146">
        <v>1357</v>
      </c>
      <c r="B146" t="s">
        <v>7405</v>
      </c>
      <c r="C146">
        <v>168</v>
      </c>
      <c r="D146" s="20">
        <v>44952</v>
      </c>
      <c r="E146" t="s">
        <v>7356</v>
      </c>
      <c r="F146" t="s">
        <v>5633</v>
      </c>
      <c r="G146" t="s">
        <v>7357</v>
      </c>
      <c r="H146">
        <v>1</v>
      </c>
      <c r="I146" t="s">
        <v>7358</v>
      </c>
      <c r="J146">
        <v>1</v>
      </c>
      <c r="K146" s="20">
        <v>44952</v>
      </c>
      <c r="L146" s="23">
        <v>318920</v>
      </c>
      <c r="M146" t="s">
        <v>7359</v>
      </c>
      <c r="N146" t="s">
        <v>7360</v>
      </c>
      <c r="O146">
        <v>0</v>
      </c>
      <c r="P146">
        <v>11951</v>
      </c>
      <c r="Q146">
        <v>416088</v>
      </c>
      <c r="R146">
        <v>0</v>
      </c>
      <c r="S146">
        <v>20230126</v>
      </c>
      <c r="T146">
        <v>0</v>
      </c>
      <c r="U146" t="s">
        <v>7361</v>
      </c>
      <c r="V146" t="s">
        <v>7360</v>
      </c>
      <c r="W146" t="s">
        <v>7360</v>
      </c>
      <c r="X146" t="s">
        <v>7360</v>
      </c>
      <c r="Y146" t="s">
        <v>7360</v>
      </c>
      <c r="Z146" t="s">
        <v>7360</v>
      </c>
      <c r="AA146" t="s">
        <v>7362</v>
      </c>
      <c r="AB146" t="s">
        <v>7360</v>
      </c>
      <c r="AC146" t="s">
        <v>7360</v>
      </c>
      <c r="AD146" t="s">
        <v>7360</v>
      </c>
      <c r="AE146" t="s">
        <v>7360</v>
      </c>
      <c r="AF146" t="s">
        <v>1684</v>
      </c>
      <c r="AG146">
        <v>0</v>
      </c>
      <c r="AH146">
        <v>0</v>
      </c>
      <c r="AI146">
        <v>0</v>
      </c>
      <c r="AJ146">
        <v>0</v>
      </c>
      <c r="AK146">
        <v>0</v>
      </c>
      <c r="AL146" t="s">
        <v>7360</v>
      </c>
      <c r="AM146">
        <v>0</v>
      </c>
      <c r="AN146" s="20">
        <v>44952</v>
      </c>
      <c r="AO146" s="20">
        <v>44952</v>
      </c>
      <c r="AP146" s="20">
        <v>44952</v>
      </c>
      <c r="AQ146">
        <v>0</v>
      </c>
      <c r="AR146">
        <v>0</v>
      </c>
      <c r="AS146">
        <v>0</v>
      </c>
      <c r="AT146">
        <v>0</v>
      </c>
      <c r="AU146">
        <v>0</v>
      </c>
      <c r="AV146" t="s">
        <v>7360</v>
      </c>
      <c r="AW146">
        <v>0</v>
      </c>
      <c r="AX146" t="s">
        <v>7360</v>
      </c>
      <c r="AY146" t="s">
        <v>7363</v>
      </c>
      <c r="BA146">
        <v>0</v>
      </c>
      <c r="BB146" s="20">
        <v>44952</v>
      </c>
      <c r="BC146">
        <v>0</v>
      </c>
      <c r="BD146" t="s">
        <v>7360</v>
      </c>
      <c r="BF146" s="20">
        <v>44952</v>
      </c>
      <c r="BG146">
        <v>0</v>
      </c>
      <c r="BH146" t="s">
        <v>1684</v>
      </c>
      <c r="BJ146" t="s">
        <v>7362</v>
      </c>
      <c r="BK146">
        <v>0</v>
      </c>
      <c r="BL146">
        <v>0</v>
      </c>
      <c r="BM146">
        <v>0</v>
      </c>
      <c r="BN146">
        <v>0</v>
      </c>
      <c r="BO146">
        <v>169</v>
      </c>
      <c r="BP146">
        <v>11</v>
      </c>
      <c r="BQ146">
        <v>1</v>
      </c>
      <c r="BR146" t="s">
        <v>7364</v>
      </c>
      <c r="BS146" t="s">
        <v>7382</v>
      </c>
      <c r="BT146" t="s">
        <v>7360</v>
      </c>
      <c r="BU146" t="s">
        <v>7360</v>
      </c>
      <c r="BV146" t="s">
        <v>7360</v>
      </c>
      <c r="BX146">
        <v>0</v>
      </c>
      <c r="BY146">
        <v>0</v>
      </c>
      <c r="BZ146" t="s">
        <v>7360</v>
      </c>
      <c r="CA146" t="s">
        <v>7360</v>
      </c>
      <c r="CB146">
        <v>3380666</v>
      </c>
      <c r="CC146" s="21">
        <v>44952.844398148147</v>
      </c>
      <c r="CE146" t="s">
        <v>7366</v>
      </c>
      <c r="CF146">
        <v>0</v>
      </c>
      <c r="CG146">
        <v>702002</v>
      </c>
      <c r="CH146">
        <v>702002</v>
      </c>
      <c r="CI146" s="21">
        <v>44952.848761574074</v>
      </c>
      <c r="CJ146" t="s">
        <v>7367</v>
      </c>
      <c r="CK146" t="s">
        <v>7367</v>
      </c>
      <c r="CL146" t="s">
        <v>7368</v>
      </c>
      <c r="CM146" t="s">
        <v>7368</v>
      </c>
      <c r="CS146" t="s">
        <v>7361</v>
      </c>
      <c r="CT146" t="s">
        <v>7362</v>
      </c>
      <c r="CU146" t="s">
        <v>7362</v>
      </c>
      <c r="CV146" t="s">
        <v>7362</v>
      </c>
      <c r="CW146" t="s">
        <v>7362</v>
      </c>
      <c r="CX146">
        <v>318920</v>
      </c>
      <c r="DA146">
        <v>0</v>
      </c>
    </row>
    <row r="147" spans="1:106" x14ac:dyDescent="0.3">
      <c r="A147">
        <v>1354</v>
      </c>
      <c r="B147" t="s">
        <v>7396</v>
      </c>
      <c r="C147">
        <v>339</v>
      </c>
      <c r="D147" s="20">
        <v>44972</v>
      </c>
      <c r="E147" t="s">
        <v>7356</v>
      </c>
      <c r="F147" t="s">
        <v>5639</v>
      </c>
      <c r="G147" t="s">
        <v>7357</v>
      </c>
      <c r="H147">
        <v>1</v>
      </c>
      <c r="I147" t="s">
        <v>7358</v>
      </c>
      <c r="J147">
        <v>1</v>
      </c>
      <c r="K147" s="20">
        <v>44972</v>
      </c>
      <c r="L147" s="23">
        <v>16065000</v>
      </c>
      <c r="M147" t="s">
        <v>7359</v>
      </c>
      <c r="N147" t="s">
        <v>7360</v>
      </c>
      <c r="O147">
        <v>0</v>
      </c>
      <c r="P147">
        <v>12310</v>
      </c>
      <c r="Q147">
        <v>432024</v>
      </c>
      <c r="R147">
        <v>0</v>
      </c>
      <c r="S147">
        <v>20230215</v>
      </c>
      <c r="T147">
        <v>0</v>
      </c>
      <c r="U147" t="s">
        <v>7361</v>
      </c>
      <c r="V147" t="s">
        <v>7360</v>
      </c>
      <c r="W147" t="s">
        <v>7360</v>
      </c>
      <c r="X147" t="s">
        <v>7360</v>
      </c>
      <c r="Y147" t="s">
        <v>7360</v>
      </c>
      <c r="Z147" t="s">
        <v>7360</v>
      </c>
      <c r="AA147" t="s">
        <v>7362</v>
      </c>
      <c r="AB147" t="s">
        <v>7360</v>
      </c>
      <c r="AC147" t="s">
        <v>7360</v>
      </c>
      <c r="AD147" t="s">
        <v>7360</v>
      </c>
      <c r="AE147" t="s">
        <v>7360</v>
      </c>
      <c r="AF147" t="s">
        <v>1684</v>
      </c>
      <c r="AG147">
        <v>0</v>
      </c>
      <c r="AH147">
        <v>0</v>
      </c>
      <c r="AI147">
        <v>0</v>
      </c>
      <c r="AJ147">
        <v>0</v>
      </c>
      <c r="AK147">
        <v>0</v>
      </c>
      <c r="AL147" t="s">
        <v>7360</v>
      </c>
      <c r="AM147">
        <v>0</v>
      </c>
      <c r="AN147" s="20">
        <v>44972</v>
      </c>
      <c r="AO147" s="20">
        <v>44972</v>
      </c>
      <c r="AP147" s="20">
        <v>44972</v>
      </c>
      <c r="AQ147">
        <v>0</v>
      </c>
      <c r="AR147">
        <v>0</v>
      </c>
      <c r="AS147">
        <v>0</v>
      </c>
      <c r="AT147">
        <v>0</v>
      </c>
      <c r="AU147">
        <v>0</v>
      </c>
      <c r="AV147" t="s">
        <v>7360</v>
      </c>
      <c r="AW147">
        <v>0</v>
      </c>
      <c r="AX147" t="s">
        <v>7360</v>
      </c>
      <c r="AY147" t="s">
        <v>7363</v>
      </c>
      <c r="BA147">
        <v>0</v>
      </c>
      <c r="BB147" s="20">
        <v>44972</v>
      </c>
      <c r="BC147">
        <v>0</v>
      </c>
      <c r="BD147" t="s">
        <v>7360</v>
      </c>
      <c r="BF147" s="20">
        <v>44972</v>
      </c>
      <c r="BG147">
        <v>0</v>
      </c>
      <c r="BH147" t="s">
        <v>7363</v>
      </c>
      <c r="BJ147" t="s">
        <v>7362</v>
      </c>
      <c r="BK147">
        <v>169</v>
      </c>
      <c r="BL147">
        <v>11</v>
      </c>
      <c r="BM147">
        <v>1</v>
      </c>
      <c r="BN147" t="s">
        <v>7364</v>
      </c>
      <c r="BO147">
        <v>169</v>
      </c>
      <c r="BP147">
        <v>11</v>
      </c>
      <c r="BQ147">
        <v>1</v>
      </c>
      <c r="BR147" t="s">
        <v>7364</v>
      </c>
      <c r="BS147" t="s">
        <v>7387</v>
      </c>
      <c r="BT147" t="s">
        <v>7360</v>
      </c>
      <c r="BU147" t="s">
        <v>7360</v>
      </c>
      <c r="BV147" t="s">
        <v>7360</v>
      </c>
      <c r="BX147" t="s">
        <v>7391</v>
      </c>
      <c r="BY147">
        <v>74</v>
      </c>
      <c r="BZ147" t="s">
        <v>7360</v>
      </c>
      <c r="CA147" t="s">
        <v>7360</v>
      </c>
      <c r="CB147">
        <v>5558210</v>
      </c>
      <c r="CC147" s="21">
        <v>44964.596365740741</v>
      </c>
      <c r="CE147" t="s">
        <v>7392</v>
      </c>
      <c r="CF147">
        <v>1100101</v>
      </c>
      <c r="CG147">
        <v>53575</v>
      </c>
      <c r="CH147">
        <v>53575</v>
      </c>
      <c r="CI147" s="21">
        <v>44964.597418981481</v>
      </c>
      <c r="CJ147" t="s">
        <v>7393</v>
      </c>
      <c r="CK147" t="s">
        <v>7393</v>
      </c>
      <c r="CL147" t="s">
        <v>7394</v>
      </c>
      <c r="CM147" t="s">
        <v>7394</v>
      </c>
      <c r="CS147" t="s">
        <v>7361</v>
      </c>
      <c r="CT147" t="s">
        <v>7362</v>
      </c>
      <c r="CU147" t="s">
        <v>7362</v>
      </c>
      <c r="CV147" t="s">
        <v>7362</v>
      </c>
      <c r="CW147" t="s">
        <v>7362</v>
      </c>
      <c r="CX147">
        <v>15372440</v>
      </c>
      <c r="DA147">
        <v>0</v>
      </c>
    </row>
    <row r="148" spans="1:106" x14ac:dyDescent="0.3">
      <c r="A148">
        <v>1357</v>
      </c>
      <c r="B148" t="s">
        <v>7405</v>
      </c>
      <c r="C148">
        <v>170</v>
      </c>
      <c r="D148" s="20">
        <v>44952</v>
      </c>
      <c r="E148" t="s">
        <v>7372</v>
      </c>
      <c r="F148" t="s">
        <v>5633</v>
      </c>
      <c r="G148" t="s">
        <v>7357</v>
      </c>
      <c r="H148">
        <v>1</v>
      </c>
      <c r="I148" t="s">
        <v>7358</v>
      </c>
      <c r="J148">
        <v>1</v>
      </c>
      <c r="K148" s="20">
        <v>44952</v>
      </c>
      <c r="L148" s="23">
        <v>839150</v>
      </c>
      <c r="M148" t="s">
        <v>7359</v>
      </c>
      <c r="N148" t="s">
        <v>7360</v>
      </c>
      <c r="O148">
        <v>0</v>
      </c>
      <c r="P148">
        <v>11952</v>
      </c>
      <c r="Q148">
        <v>416089</v>
      </c>
      <c r="R148">
        <v>0</v>
      </c>
      <c r="S148">
        <v>20230126</v>
      </c>
      <c r="T148">
        <v>0</v>
      </c>
      <c r="U148" t="s">
        <v>7362</v>
      </c>
      <c r="V148" t="s">
        <v>7360</v>
      </c>
      <c r="W148" t="s">
        <v>7360</v>
      </c>
      <c r="X148" t="s">
        <v>7360</v>
      </c>
      <c r="Y148" t="s">
        <v>7360</v>
      </c>
      <c r="Z148" t="s">
        <v>7360</v>
      </c>
      <c r="AA148" t="s">
        <v>7362</v>
      </c>
      <c r="AB148" t="s">
        <v>7360</v>
      </c>
      <c r="AC148" t="s">
        <v>7360</v>
      </c>
      <c r="AD148" t="s">
        <v>7360</v>
      </c>
      <c r="AE148" t="s">
        <v>7360</v>
      </c>
      <c r="AF148" t="s">
        <v>1684</v>
      </c>
      <c r="AG148">
        <v>0</v>
      </c>
      <c r="AH148">
        <v>0</v>
      </c>
      <c r="AI148">
        <v>0</v>
      </c>
      <c r="AJ148">
        <v>0</v>
      </c>
      <c r="AK148">
        <v>0</v>
      </c>
      <c r="AL148" t="s">
        <v>7360</v>
      </c>
      <c r="AM148">
        <v>0</v>
      </c>
      <c r="AN148" s="20">
        <v>44952</v>
      </c>
      <c r="AO148" s="20">
        <v>44952</v>
      </c>
      <c r="AP148" s="20">
        <v>44952</v>
      </c>
      <c r="AQ148">
        <v>0</v>
      </c>
      <c r="AR148">
        <v>0</v>
      </c>
      <c r="AS148">
        <v>0</v>
      </c>
      <c r="AT148">
        <v>0</v>
      </c>
      <c r="AU148">
        <v>0</v>
      </c>
      <c r="AV148" t="s">
        <v>7360</v>
      </c>
      <c r="AW148">
        <v>0</v>
      </c>
      <c r="AX148" t="s">
        <v>7360</v>
      </c>
      <c r="AY148" t="s">
        <v>7373</v>
      </c>
      <c r="BA148">
        <v>0</v>
      </c>
      <c r="BB148" s="20">
        <v>44952</v>
      </c>
      <c r="BC148">
        <v>0</v>
      </c>
      <c r="BD148" t="s">
        <v>7360</v>
      </c>
      <c r="BF148" s="20">
        <v>44952</v>
      </c>
      <c r="BG148">
        <v>0</v>
      </c>
      <c r="BH148" t="s">
        <v>1684</v>
      </c>
      <c r="BJ148" t="s">
        <v>7362</v>
      </c>
      <c r="BK148">
        <v>0</v>
      </c>
      <c r="BL148">
        <v>0</v>
      </c>
      <c r="BM148">
        <v>0</v>
      </c>
      <c r="BN148">
        <v>0</v>
      </c>
      <c r="BO148">
        <v>169</v>
      </c>
      <c r="BP148">
        <v>11</v>
      </c>
      <c r="BQ148">
        <v>1</v>
      </c>
      <c r="BR148" t="s">
        <v>7364</v>
      </c>
      <c r="BS148" t="s">
        <v>7382</v>
      </c>
      <c r="BT148" t="s">
        <v>7360</v>
      </c>
      <c r="BU148" t="s">
        <v>7360</v>
      </c>
      <c r="BV148" t="s">
        <v>7360</v>
      </c>
      <c r="BX148">
        <v>0</v>
      </c>
      <c r="BY148">
        <v>0</v>
      </c>
      <c r="BZ148" t="s">
        <v>7360</v>
      </c>
      <c r="CA148" t="s">
        <v>7360</v>
      </c>
      <c r="CB148">
        <v>3380666</v>
      </c>
      <c r="CC148" s="21">
        <v>44952.854722222219</v>
      </c>
      <c r="CE148" t="s">
        <v>7366</v>
      </c>
      <c r="CF148">
        <v>0</v>
      </c>
      <c r="CG148">
        <v>702002</v>
      </c>
      <c r="CH148">
        <v>702002</v>
      </c>
      <c r="CI148" s="21">
        <v>44952.858553240738</v>
      </c>
      <c r="CJ148" t="s">
        <v>7367</v>
      </c>
      <c r="CK148" t="s">
        <v>7367</v>
      </c>
      <c r="CL148" t="s">
        <v>7368</v>
      </c>
      <c r="CM148" t="s">
        <v>7368</v>
      </c>
      <c r="CS148" t="s">
        <v>7361</v>
      </c>
      <c r="CT148" t="s">
        <v>7362</v>
      </c>
      <c r="CU148" t="s">
        <v>7362</v>
      </c>
      <c r="CV148" t="s">
        <v>7362</v>
      </c>
      <c r="CW148" t="s">
        <v>7362</v>
      </c>
      <c r="CX148">
        <v>839150</v>
      </c>
      <c r="DA148">
        <v>0</v>
      </c>
    </row>
    <row r="149" spans="1:106" x14ac:dyDescent="0.3">
      <c r="A149">
        <v>1356</v>
      </c>
      <c r="B149" t="s">
        <v>7402</v>
      </c>
      <c r="C149">
        <v>171</v>
      </c>
      <c r="D149" s="20">
        <v>44952</v>
      </c>
      <c r="E149" t="s">
        <v>7372</v>
      </c>
      <c r="F149" t="s">
        <v>5639</v>
      </c>
      <c r="G149" t="s">
        <v>7377</v>
      </c>
      <c r="H149">
        <v>1</v>
      </c>
      <c r="I149" t="s">
        <v>7358</v>
      </c>
      <c r="J149">
        <v>1</v>
      </c>
      <c r="K149" s="20">
        <v>44952</v>
      </c>
      <c r="L149" s="23">
        <v>4733683</v>
      </c>
      <c r="M149" t="s">
        <v>7403</v>
      </c>
      <c r="N149" t="s">
        <v>7360</v>
      </c>
      <c r="O149">
        <v>0</v>
      </c>
      <c r="P149">
        <v>11796</v>
      </c>
      <c r="Q149">
        <v>129002</v>
      </c>
      <c r="R149">
        <v>0</v>
      </c>
      <c r="S149">
        <v>20230126</v>
      </c>
      <c r="T149">
        <v>0</v>
      </c>
      <c r="U149" t="s">
        <v>7362</v>
      </c>
      <c r="V149" t="s">
        <v>7360</v>
      </c>
      <c r="W149" t="s">
        <v>7360</v>
      </c>
      <c r="X149" t="s">
        <v>7360</v>
      </c>
      <c r="Y149" t="s">
        <v>7360</v>
      </c>
      <c r="Z149" t="s">
        <v>7360</v>
      </c>
      <c r="AA149" t="s">
        <v>7362</v>
      </c>
      <c r="AB149" t="s">
        <v>7360</v>
      </c>
      <c r="AC149" t="s">
        <v>7360</v>
      </c>
      <c r="AD149" t="s">
        <v>7360</v>
      </c>
      <c r="AE149" t="s">
        <v>7360</v>
      </c>
      <c r="AF149" t="s">
        <v>1684</v>
      </c>
      <c r="AG149">
        <v>0</v>
      </c>
      <c r="AH149">
        <v>0</v>
      </c>
      <c r="AI149">
        <v>0</v>
      </c>
      <c r="AJ149">
        <v>0</v>
      </c>
      <c r="AK149">
        <v>0</v>
      </c>
      <c r="AL149" t="s">
        <v>7360</v>
      </c>
      <c r="AM149">
        <v>0</v>
      </c>
      <c r="AN149" s="20">
        <v>44952</v>
      </c>
      <c r="AO149" s="20">
        <v>44952</v>
      </c>
      <c r="AP149" s="20">
        <v>44952</v>
      </c>
      <c r="AQ149">
        <v>0</v>
      </c>
      <c r="AR149">
        <v>0</v>
      </c>
      <c r="AS149">
        <v>0</v>
      </c>
      <c r="AT149">
        <v>0</v>
      </c>
      <c r="AU149">
        <v>0</v>
      </c>
      <c r="AV149" t="s">
        <v>7360</v>
      </c>
      <c r="AW149">
        <v>0</v>
      </c>
      <c r="AX149" t="s">
        <v>7360</v>
      </c>
      <c r="AY149" t="s">
        <v>7373</v>
      </c>
      <c r="BA149">
        <v>0</v>
      </c>
      <c r="BB149" s="20">
        <v>44952</v>
      </c>
      <c r="BC149">
        <v>0</v>
      </c>
      <c r="BD149" t="s">
        <v>7360</v>
      </c>
      <c r="BE149">
        <v>225</v>
      </c>
      <c r="BF149" s="20">
        <v>44952</v>
      </c>
      <c r="BG149">
        <v>0</v>
      </c>
      <c r="BH149" t="s">
        <v>1729</v>
      </c>
      <c r="BJ149" t="s">
        <v>7362</v>
      </c>
      <c r="BK149">
        <v>169</v>
      </c>
      <c r="BL149">
        <v>11</v>
      </c>
      <c r="BM149">
        <v>1</v>
      </c>
      <c r="BN149" t="s">
        <v>7364</v>
      </c>
      <c r="BO149">
        <v>169</v>
      </c>
      <c r="BP149">
        <v>11</v>
      </c>
      <c r="BQ149">
        <v>1</v>
      </c>
      <c r="BR149" t="s">
        <v>7364</v>
      </c>
      <c r="BS149" t="s">
        <v>7386</v>
      </c>
      <c r="BT149" t="s">
        <v>7360</v>
      </c>
      <c r="BU149" t="s">
        <v>7360</v>
      </c>
      <c r="BV149" t="s">
        <v>7360</v>
      </c>
      <c r="BX149" t="s">
        <v>7391</v>
      </c>
      <c r="BY149">
        <v>74</v>
      </c>
      <c r="BZ149" t="s">
        <v>7360</v>
      </c>
      <c r="CA149" t="s">
        <v>7360</v>
      </c>
      <c r="CB149">
        <v>3380666</v>
      </c>
      <c r="CC149" s="21">
        <v>44952.861851851849</v>
      </c>
      <c r="CE149" t="s">
        <v>7392</v>
      </c>
      <c r="CF149">
        <v>1100101</v>
      </c>
      <c r="CG149">
        <v>51669</v>
      </c>
      <c r="CH149">
        <v>51669</v>
      </c>
      <c r="CI149" s="21">
        <v>44953.344282407408</v>
      </c>
      <c r="CJ149" t="s">
        <v>7406</v>
      </c>
      <c r="CK149" t="s">
        <v>7406</v>
      </c>
      <c r="CL149" t="s">
        <v>7407</v>
      </c>
      <c r="CM149" t="s">
        <v>7407</v>
      </c>
      <c r="CS149" t="s">
        <v>7361</v>
      </c>
      <c r="CT149" t="s">
        <v>7362</v>
      </c>
      <c r="CU149" t="s">
        <v>7362</v>
      </c>
      <c r="CV149" t="s">
        <v>7362</v>
      </c>
      <c r="CW149" t="s">
        <v>7362</v>
      </c>
      <c r="CX149">
        <v>4733683</v>
      </c>
      <c r="DA149">
        <v>0</v>
      </c>
      <c r="DB149">
        <v>129002</v>
      </c>
    </row>
    <row r="150" spans="1:106" x14ac:dyDescent="0.3">
      <c r="A150">
        <v>1356</v>
      </c>
      <c r="B150" t="s">
        <v>7402</v>
      </c>
      <c r="C150">
        <v>172</v>
      </c>
      <c r="D150" s="20">
        <v>44953</v>
      </c>
      <c r="E150" t="s">
        <v>7356</v>
      </c>
      <c r="F150" t="s">
        <v>5633</v>
      </c>
      <c r="G150" t="s">
        <v>7377</v>
      </c>
      <c r="H150">
        <v>1</v>
      </c>
      <c r="I150" t="s">
        <v>7358</v>
      </c>
      <c r="J150">
        <v>1</v>
      </c>
      <c r="K150" s="20">
        <v>44953</v>
      </c>
      <c r="L150" s="23">
        <v>5281000</v>
      </c>
      <c r="M150" t="s">
        <v>7403</v>
      </c>
      <c r="N150" t="s">
        <v>7360</v>
      </c>
      <c r="O150">
        <v>0</v>
      </c>
      <c r="P150">
        <v>11804</v>
      </c>
      <c r="Q150">
        <v>129003</v>
      </c>
      <c r="R150">
        <v>0</v>
      </c>
      <c r="S150">
        <v>20230127</v>
      </c>
      <c r="T150">
        <v>0</v>
      </c>
      <c r="U150" t="s">
        <v>7361</v>
      </c>
      <c r="V150" t="s">
        <v>7360</v>
      </c>
      <c r="W150" t="s">
        <v>7360</v>
      </c>
      <c r="X150" t="s">
        <v>7360</v>
      </c>
      <c r="Y150" t="s">
        <v>7360</v>
      </c>
      <c r="Z150" t="s">
        <v>7360</v>
      </c>
      <c r="AA150" t="s">
        <v>7362</v>
      </c>
      <c r="AB150" t="s">
        <v>7360</v>
      </c>
      <c r="AC150" t="s">
        <v>7360</v>
      </c>
      <c r="AD150" t="s">
        <v>7360</v>
      </c>
      <c r="AE150" t="s">
        <v>7360</v>
      </c>
      <c r="AF150" t="s">
        <v>1684</v>
      </c>
      <c r="AG150">
        <v>0</v>
      </c>
      <c r="AH150">
        <v>0</v>
      </c>
      <c r="AI150">
        <v>0</v>
      </c>
      <c r="AJ150">
        <v>0</v>
      </c>
      <c r="AK150">
        <v>0</v>
      </c>
      <c r="AL150" t="s">
        <v>7360</v>
      </c>
      <c r="AM150">
        <v>0</v>
      </c>
      <c r="AN150" s="20">
        <v>44953</v>
      </c>
      <c r="AO150" s="20">
        <v>44953</v>
      </c>
      <c r="AP150" s="20">
        <v>44953</v>
      </c>
      <c r="AQ150">
        <v>0</v>
      </c>
      <c r="AR150">
        <v>0</v>
      </c>
      <c r="AS150">
        <v>0</v>
      </c>
      <c r="AT150">
        <v>0</v>
      </c>
      <c r="AU150">
        <v>0</v>
      </c>
      <c r="AV150" t="s">
        <v>7360</v>
      </c>
      <c r="AW150">
        <v>0</v>
      </c>
      <c r="AX150" t="s">
        <v>7360</v>
      </c>
      <c r="AY150" t="s">
        <v>7363</v>
      </c>
      <c r="BA150">
        <v>0</v>
      </c>
      <c r="BB150" s="20">
        <v>44953</v>
      </c>
      <c r="BC150">
        <v>0</v>
      </c>
      <c r="BD150" t="s">
        <v>7360</v>
      </c>
      <c r="BE150">
        <v>83</v>
      </c>
      <c r="BF150" s="20">
        <v>44953</v>
      </c>
      <c r="BG150">
        <v>0</v>
      </c>
      <c r="BH150" t="s">
        <v>1729</v>
      </c>
      <c r="BJ150" t="s">
        <v>7362</v>
      </c>
      <c r="BK150">
        <v>169</v>
      </c>
      <c r="BL150">
        <v>11</v>
      </c>
      <c r="BM150">
        <v>1</v>
      </c>
      <c r="BN150" t="s">
        <v>7364</v>
      </c>
      <c r="BO150">
        <v>169</v>
      </c>
      <c r="BP150">
        <v>11</v>
      </c>
      <c r="BQ150">
        <v>1</v>
      </c>
      <c r="BR150" t="s">
        <v>7364</v>
      </c>
      <c r="BS150" t="s">
        <v>7386</v>
      </c>
      <c r="BT150" t="s">
        <v>7360</v>
      </c>
      <c r="BU150" t="s">
        <v>7360</v>
      </c>
      <c r="BV150" t="s">
        <v>7360</v>
      </c>
      <c r="BX150" t="s">
        <v>7391</v>
      </c>
      <c r="BY150">
        <v>74</v>
      </c>
      <c r="BZ150" t="s">
        <v>7360</v>
      </c>
      <c r="CA150" t="s">
        <v>7360</v>
      </c>
      <c r="CB150">
        <v>3380666</v>
      </c>
      <c r="CC150" s="21">
        <v>44953.36042824074</v>
      </c>
      <c r="CE150" t="s">
        <v>7392</v>
      </c>
      <c r="CF150">
        <v>1100101</v>
      </c>
      <c r="CG150">
        <v>51669</v>
      </c>
      <c r="CH150">
        <v>51669</v>
      </c>
      <c r="CI150" s="21">
        <v>44953.480173611111</v>
      </c>
      <c r="CJ150" t="s">
        <v>7406</v>
      </c>
      <c r="CK150" t="s">
        <v>7406</v>
      </c>
      <c r="CL150" t="s">
        <v>7407</v>
      </c>
      <c r="CM150" t="s">
        <v>7407</v>
      </c>
      <c r="CS150" t="s">
        <v>7361</v>
      </c>
      <c r="CT150" t="s">
        <v>7362</v>
      </c>
      <c r="CU150" t="s">
        <v>7362</v>
      </c>
      <c r="CV150" t="s">
        <v>7362</v>
      </c>
      <c r="CW150" t="s">
        <v>7362</v>
      </c>
      <c r="CX150">
        <v>5281000</v>
      </c>
      <c r="DA150">
        <v>0</v>
      </c>
      <c r="DB150">
        <v>129003</v>
      </c>
    </row>
    <row r="151" spans="1:106" x14ac:dyDescent="0.3">
      <c r="A151">
        <v>1356</v>
      </c>
      <c r="B151" t="s">
        <v>7402</v>
      </c>
      <c r="C151">
        <v>173</v>
      </c>
      <c r="D151" s="20">
        <v>44953</v>
      </c>
      <c r="E151" t="s">
        <v>7372</v>
      </c>
      <c r="F151" t="s">
        <v>5639</v>
      </c>
      <c r="G151" t="s">
        <v>7370</v>
      </c>
      <c r="H151">
        <v>1</v>
      </c>
      <c r="I151" t="s">
        <v>7358</v>
      </c>
      <c r="J151">
        <v>1</v>
      </c>
      <c r="K151" s="20">
        <v>44953</v>
      </c>
      <c r="L151" s="23">
        <v>2641000</v>
      </c>
      <c r="M151" t="s">
        <v>7403</v>
      </c>
      <c r="N151" t="s">
        <v>7360</v>
      </c>
      <c r="O151">
        <v>0</v>
      </c>
      <c r="P151">
        <v>11805</v>
      </c>
      <c r="Q151">
        <v>129004</v>
      </c>
      <c r="R151">
        <v>0</v>
      </c>
      <c r="S151">
        <v>20230127</v>
      </c>
      <c r="T151">
        <v>0</v>
      </c>
      <c r="U151" t="s">
        <v>7362</v>
      </c>
      <c r="V151" t="s">
        <v>7360</v>
      </c>
      <c r="W151" t="s">
        <v>7360</v>
      </c>
      <c r="X151" t="s">
        <v>7360</v>
      </c>
      <c r="Y151" t="s">
        <v>7360</v>
      </c>
      <c r="Z151" t="s">
        <v>7360</v>
      </c>
      <c r="AA151" t="s">
        <v>7362</v>
      </c>
      <c r="AB151" t="s">
        <v>7360</v>
      </c>
      <c r="AC151" t="s">
        <v>7360</v>
      </c>
      <c r="AD151" t="s">
        <v>7360</v>
      </c>
      <c r="AE151" t="s">
        <v>7360</v>
      </c>
      <c r="AF151" t="s">
        <v>1684</v>
      </c>
      <c r="AG151">
        <v>0</v>
      </c>
      <c r="AH151">
        <v>0</v>
      </c>
      <c r="AI151">
        <v>0</v>
      </c>
      <c r="AJ151">
        <v>0</v>
      </c>
      <c r="AK151">
        <v>0</v>
      </c>
      <c r="AL151" t="s">
        <v>7360</v>
      </c>
      <c r="AM151">
        <v>0</v>
      </c>
      <c r="AN151" s="20">
        <v>44953</v>
      </c>
      <c r="AO151" s="20">
        <v>44953</v>
      </c>
      <c r="AP151" s="20">
        <v>44953</v>
      </c>
      <c r="AQ151">
        <v>0</v>
      </c>
      <c r="AR151">
        <v>0</v>
      </c>
      <c r="AS151">
        <v>0</v>
      </c>
      <c r="AT151">
        <v>0</v>
      </c>
      <c r="AU151">
        <v>0</v>
      </c>
      <c r="AV151" t="s">
        <v>7360</v>
      </c>
      <c r="AW151">
        <v>0</v>
      </c>
      <c r="AX151" t="s">
        <v>7360</v>
      </c>
      <c r="AY151" t="s">
        <v>7373</v>
      </c>
      <c r="BA151">
        <v>0</v>
      </c>
      <c r="BB151" s="20">
        <v>44953</v>
      </c>
      <c r="BC151">
        <v>0</v>
      </c>
      <c r="BD151" t="s">
        <v>7360</v>
      </c>
      <c r="BE151">
        <v>84</v>
      </c>
      <c r="BF151" s="20">
        <v>44953</v>
      </c>
      <c r="BG151">
        <v>0</v>
      </c>
      <c r="BH151" t="s">
        <v>1729</v>
      </c>
      <c r="BJ151" t="s">
        <v>7362</v>
      </c>
      <c r="BK151">
        <v>169</v>
      </c>
      <c r="BL151">
        <v>11</v>
      </c>
      <c r="BM151">
        <v>1</v>
      </c>
      <c r="BN151" t="s">
        <v>7364</v>
      </c>
      <c r="BO151">
        <v>169</v>
      </c>
      <c r="BP151">
        <v>11</v>
      </c>
      <c r="BQ151">
        <v>1</v>
      </c>
      <c r="BR151" t="s">
        <v>7364</v>
      </c>
      <c r="BS151" t="s">
        <v>7386</v>
      </c>
      <c r="BT151" t="s">
        <v>7360</v>
      </c>
      <c r="BU151" t="s">
        <v>7360</v>
      </c>
      <c r="BV151" t="s">
        <v>7360</v>
      </c>
      <c r="BX151" t="s">
        <v>7391</v>
      </c>
      <c r="BY151">
        <v>74</v>
      </c>
      <c r="BZ151" t="s">
        <v>7360</v>
      </c>
      <c r="CA151" t="s">
        <v>7360</v>
      </c>
      <c r="CB151">
        <v>3380666</v>
      </c>
      <c r="CC151" s="21">
        <v>44953.372847222221</v>
      </c>
      <c r="CE151" t="s">
        <v>7392</v>
      </c>
      <c r="CF151">
        <v>1100101</v>
      </c>
      <c r="CG151">
        <v>51669</v>
      </c>
      <c r="CH151">
        <v>51669</v>
      </c>
      <c r="CI151" s="21">
        <v>44953.482499999998</v>
      </c>
      <c r="CJ151" t="s">
        <v>7406</v>
      </c>
      <c r="CK151" t="s">
        <v>7406</v>
      </c>
      <c r="CL151" t="s">
        <v>7407</v>
      </c>
      <c r="CM151" t="s">
        <v>7407</v>
      </c>
      <c r="CS151" t="s">
        <v>7361</v>
      </c>
      <c r="CT151" t="s">
        <v>7362</v>
      </c>
      <c r="CU151" t="s">
        <v>7362</v>
      </c>
      <c r="CV151" t="s">
        <v>7362</v>
      </c>
      <c r="CW151" t="s">
        <v>7362</v>
      </c>
      <c r="CX151">
        <v>2641000</v>
      </c>
      <c r="DA151">
        <v>0</v>
      </c>
      <c r="DB151">
        <v>129004</v>
      </c>
    </row>
    <row r="152" spans="1:106" x14ac:dyDescent="0.3">
      <c r="A152">
        <v>1354</v>
      </c>
      <c r="B152" t="s">
        <v>7396</v>
      </c>
      <c r="C152">
        <v>174</v>
      </c>
      <c r="D152" s="20">
        <v>44953</v>
      </c>
      <c r="E152" t="s">
        <v>7356</v>
      </c>
      <c r="F152" t="s">
        <v>5633</v>
      </c>
      <c r="G152" t="s">
        <v>7370</v>
      </c>
      <c r="H152">
        <v>1</v>
      </c>
      <c r="I152" t="s">
        <v>7358</v>
      </c>
      <c r="J152">
        <v>1</v>
      </c>
      <c r="K152" s="20">
        <v>44953</v>
      </c>
      <c r="L152" s="23">
        <v>3600000</v>
      </c>
      <c r="M152" t="s">
        <v>7359</v>
      </c>
      <c r="N152" t="s">
        <v>7360</v>
      </c>
      <c r="O152">
        <v>0</v>
      </c>
      <c r="P152">
        <v>11843</v>
      </c>
      <c r="Q152">
        <v>416020</v>
      </c>
      <c r="R152">
        <v>0</v>
      </c>
      <c r="S152">
        <v>20230127</v>
      </c>
      <c r="T152">
        <v>0</v>
      </c>
      <c r="U152" t="s">
        <v>7361</v>
      </c>
      <c r="V152" t="s">
        <v>7360</v>
      </c>
      <c r="W152" t="s">
        <v>7360</v>
      </c>
      <c r="X152" t="s">
        <v>7360</v>
      </c>
      <c r="Y152" t="s">
        <v>7360</v>
      </c>
      <c r="Z152" t="s">
        <v>7360</v>
      </c>
      <c r="AA152" t="s">
        <v>7362</v>
      </c>
      <c r="AB152" t="s">
        <v>7360</v>
      </c>
      <c r="AC152" t="s">
        <v>7360</v>
      </c>
      <c r="AD152" t="s">
        <v>7360</v>
      </c>
      <c r="AE152" t="s">
        <v>7360</v>
      </c>
      <c r="AF152" t="s">
        <v>1684</v>
      </c>
      <c r="AG152">
        <v>0</v>
      </c>
      <c r="AH152">
        <v>0</v>
      </c>
      <c r="AI152">
        <v>0</v>
      </c>
      <c r="AJ152">
        <v>0</v>
      </c>
      <c r="AK152">
        <v>0</v>
      </c>
      <c r="AL152" t="s">
        <v>7360</v>
      </c>
      <c r="AM152">
        <v>0</v>
      </c>
      <c r="AN152" s="20">
        <v>44953</v>
      </c>
      <c r="AO152" s="20">
        <v>44953</v>
      </c>
      <c r="AP152" s="20">
        <v>44953</v>
      </c>
      <c r="AQ152">
        <v>0</v>
      </c>
      <c r="AR152">
        <v>0</v>
      </c>
      <c r="AS152">
        <v>0</v>
      </c>
      <c r="AT152">
        <v>0</v>
      </c>
      <c r="AU152">
        <v>0</v>
      </c>
      <c r="AV152" t="s">
        <v>7360</v>
      </c>
      <c r="AW152">
        <v>0</v>
      </c>
      <c r="AX152" t="s">
        <v>7360</v>
      </c>
      <c r="AY152" t="s">
        <v>7363</v>
      </c>
      <c r="BA152">
        <v>0</v>
      </c>
      <c r="BB152" s="20">
        <v>44953</v>
      </c>
      <c r="BC152">
        <v>0</v>
      </c>
      <c r="BD152" t="s">
        <v>7360</v>
      </c>
      <c r="BF152" s="20">
        <v>44953</v>
      </c>
      <c r="BG152">
        <v>0</v>
      </c>
      <c r="BH152" t="s">
        <v>7363</v>
      </c>
      <c r="BJ152" t="s">
        <v>7362</v>
      </c>
      <c r="BK152">
        <v>0</v>
      </c>
      <c r="BL152">
        <v>0</v>
      </c>
      <c r="BM152">
        <v>0</v>
      </c>
      <c r="BN152">
        <v>0</v>
      </c>
      <c r="BO152">
        <v>169</v>
      </c>
      <c r="BP152">
        <v>11</v>
      </c>
      <c r="BQ152">
        <v>1</v>
      </c>
      <c r="BR152" t="s">
        <v>7364</v>
      </c>
      <c r="BS152" t="s">
        <v>7365</v>
      </c>
      <c r="BT152" t="s">
        <v>7360</v>
      </c>
      <c r="BU152" t="s">
        <v>7360</v>
      </c>
      <c r="BV152" t="s">
        <v>7360</v>
      </c>
      <c r="BX152">
        <v>0</v>
      </c>
      <c r="BY152">
        <v>0</v>
      </c>
      <c r="BZ152" t="s">
        <v>7360</v>
      </c>
      <c r="CA152" t="s">
        <v>7360</v>
      </c>
      <c r="CB152">
        <v>3380666</v>
      </c>
      <c r="CC152" s="21">
        <v>44953.401203703703</v>
      </c>
      <c r="CE152" t="s">
        <v>7366</v>
      </c>
      <c r="CF152">
        <v>0</v>
      </c>
      <c r="CG152">
        <v>702002</v>
      </c>
      <c r="CH152">
        <v>702002</v>
      </c>
      <c r="CI152" s="21">
        <v>44953.402754629627</v>
      </c>
      <c r="CJ152" t="s">
        <v>7367</v>
      </c>
      <c r="CK152" t="s">
        <v>7367</v>
      </c>
      <c r="CL152" t="s">
        <v>7368</v>
      </c>
      <c r="CM152" t="s">
        <v>7368</v>
      </c>
      <c r="CS152" t="s">
        <v>7361</v>
      </c>
      <c r="CT152" t="s">
        <v>7362</v>
      </c>
      <c r="CU152" t="s">
        <v>7362</v>
      </c>
      <c r="CV152" t="s">
        <v>7362</v>
      </c>
      <c r="CW152" t="s">
        <v>7362</v>
      </c>
      <c r="CX152">
        <v>3600000</v>
      </c>
      <c r="DA152">
        <v>0</v>
      </c>
    </row>
    <row r="153" spans="1:106" x14ac:dyDescent="0.3">
      <c r="A153">
        <v>1357</v>
      </c>
      <c r="B153" t="s">
        <v>7405</v>
      </c>
      <c r="C153">
        <v>175</v>
      </c>
      <c r="D153" s="20">
        <v>44953</v>
      </c>
      <c r="E153" t="s">
        <v>7372</v>
      </c>
      <c r="F153" t="s">
        <v>5639</v>
      </c>
      <c r="G153" t="s">
        <v>7357</v>
      </c>
      <c r="H153">
        <v>1</v>
      </c>
      <c r="I153" t="s">
        <v>7358</v>
      </c>
      <c r="J153">
        <v>1</v>
      </c>
      <c r="K153" s="20">
        <v>44953</v>
      </c>
      <c r="L153" s="23">
        <v>8953260</v>
      </c>
      <c r="M153" t="s">
        <v>7359</v>
      </c>
      <c r="N153" t="s">
        <v>7360</v>
      </c>
      <c r="O153">
        <v>0</v>
      </c>
      <c r="P153">
        <v>11963</v>
      </c>
      <c r="Q153">
        <v>416095</v>
      </c>
      <c r="R153">
        <v>0</v>
      </c>
      <c r="S153">
        <v>20230127</v>
      </c>
      <c r="T153">
        <v>0</v>
      </c>
      <c r="U153" t="s">
        <v>7362</v>
      </c>
      <c r="V153" t="s">
        <v>7360</v>
      </c>
      <c r="W153" t="s">
        <v>7360</v>
      </c>
      <c r="X153" t="s">
        <v>7360</v>
      </c>
      <c r="Y153" t="s">
        <v>7360</v>
      </c>
      <c r="Z153" t="s">
        <v>7360</v>
      </c>
      <c r="AA153" t="s">
        <v>7362</v>
      </c>
      <c r="AB153" t="s">
        <v>7360</v>
      </c>
      <c r="AC153" t="s">
        <v>7360</v>
      </c>
      <c r="AD153" t="s">
        <v>7360</v>
      </c>
      <c r="AE153" t="s">
        <v>7360</v>
      </c>
      <c r="AF153" t="s">
        <v>1684</v>
      </c>
      <c r="AG153">
        <v>0</v>
      </c>
      <c r="AH153">
        <v>0</v>
      </c>
      <c r="AI153">
        <v>0</v>
      </c>
      <c r="AJ153">
        <v>0</v>
      </c>
      <c r="AK153">
        <v>0</v>
      </c>
      <c r="AL153" t="s">
        <v>7360</v>
      </c>
      <c r="AM153">
        <v>0</v>
      </c>
      <c r="AN153" s="20">
        <v>44953</v>
      </c>
      <c r="AO153" s="20">
        <v>44953</v>
      </c>
      <c r="AP153" s="20">
        <v>44953</v>
      </c>
      <c r="AQ153">
        <v>0</v>
      </c>
      <c r="AR153">
        <v>0</v>
      </c>
      <c r="AS153">
        <v>0</v>
      </c>
      <c r="AT153">
        <v>0</v>
      </c>
      <c r="AU153">
        <v>0</v>
      </c>
      <c r="AV153" t="s">
        <v>7360</v>
      </c>
      <c r="AW153">
        <v>0</v>
      </c>
      <c r="AX153" t="s">
        <v>7360</v>
      </c>
      <c r="AY153" t="s">
        <v>7373</v>
      </c>
      <c r="BA153">
        <v>0</v>
      </c>
      <c r="BB153" s="20">
        <v>44953</v>
      </c>
      <c r="BC153">
        <v>0</v>
      </c>
      <c r="BD153" t="s">
        <v>7360</v>
      </c>
      <c r="BF153" s="20">
        <v>44953</v>
      </c>
      <c r="BG153">
        <v>0</v>
      </c>
      <c r="BH153" t="s">
        <v>1684</v>
      </c>
      <c r="BJ153" t="s">
        <v>7362</v>
      </c>
      <c r="BK153">
        <v>0</v>
      </c>
      <c r="BL153">
        <v>0</v>
      </c>
      <c r="BM153">
        <v>0</v>
      </c>
      <c r="BN153">
        <v>0</v>
      </c>
      <c r="BO153">
        <v>169</v>
      </c>
      <c r="BP153">
        <v>11</v>
      </c>
      <c r="BQ153">
        <v>1</v>
      </c>
      <c r="BR153" t="s">
        <v>7364</v>
      </c>
      <c r="BS153" t="s">
        <v>7382</v>
      </c>
      <c r="BT153" t="s">
        <v>7360</v>
      </c>
      <c r="BU153" t="s">
        <v>7360</v>
      </c>
      <c r="BV153" t="s">
        <v>7360</v>
      </c>
      <c r="BX153">
        <v>0</v>
      </c>
      <c r="BY153">
        <v>0</v>
      </c>
      <c r="BZ153" t="s">
        <v>7360</v>
      </c>
      <c r="CA153" t="s">
        <v>7360</v>
      </c>
      <c r="CB153">
        <v>3380666</v>
      </c>
      <c r="CC153" s="21">
        <v>44953.427071759259</v>
      </c>
      <c r="CE153" t="s">
        <v>7366</v>
      </c>
      <c r="CF153">
        <v>0</v>
      </c>
      <c r="CG153">
        <v>702002</v>
      </c>
      <c r="CH153">
        <v>702002</v>
      </c>
      <c r="CI153" s="21">
        <v>44953.429490740738</v>
      </c>
      <c r="CJ153" t="s">
        <v>7367</v>
      </c>
      <c r="CK153" t="s">
        <v>7367</v>
      </c>
      <c r="CL153" t="s">
        <v>7368</v>
      </c>
      <c r="CM153" t="s">
        <v>7368</v>
      </c>
      <c r="CS153" t="s">
        <v>7361</v>
      </c>
      <c r="CT153" t="s">
        <v>7362</v>
      </c>
      <c r="CU153" t="s">
        <v>7362</v>
      </c>
      <c r="CV153" t="s">
        <v>7362</v>
      </c>
      <c r="CW153" t="s">
        <v>7362</v>
      </c>
      <c r="CX153">
        <v>8953260</v>
      </c>
      <c r="DA153">
        <v>0</v>
      </c>
    </row>
    <row r="154" spans="1:106" x14ac:dyDescent="0.3">
      <c r="A154">
        <v>1357</v>
      </c>
      <c r="B154" t="s">
        <v>7405</v>
      </c>
      <c r="C154">
        <v>176</v>
      </c>
      <c r="D154" s="20">
        <v>44953</v>
      </c>
      <c r="E154" t="s">
        <v>7356</v>
      </c>
      <c r="F154" t="s">
        <v>5633</v>
      </c>
      <c r="G154" t="s">
        <v>7357</v>
      </c>
      <c r="H154">
        <v>1</v>
      </c>
      <c r="I154" t="s">
        <v>7358</v>
      </c>
      <c r="J154">
        <v>1</v>
      </c>
      <c r="K154" s="20">
        <v>44953</v>
      </c>
      <c r="L154" s="23">
        <v>339150</v>
      </c>
      <c r="M154" t="s">
        <v>7359</v>
      </c>
      <c r="N154" t="s">
        <v>7360</v>
      </c>
      <c r="O154">
        <v>0</v>
      </c>
      <c r="P154">
        <v>11962</v>
      </c>
      <c r="Q154">
        <v>416094</v>
      </c>
      <c r="R154">
        <v>0</v>
      </c>
      <c r="S154">
        <v>20230127</v>
      </c>
      <c r="T154">
        <v>0</v>
      </c>
      <c r="U154" t="s">
        <v>7361</v>
      </c>
      <c r="V154" t="s">
        <v>7360</v>
      </c>
      <c r="W154" t="s">
        <v>7360</v>
      </c>
      <c r="X154" t="s">
        <v>7360</v>
      </c>
      <c r="Y154" t="s">
        <v>7360</v>
      </c>
      <c r="Z154" t="s">
        <v>7360</v>
      </c>
      <c r="AA154" t="s">
        <v>7362</v>
      </c>
      <c r="AB154" t="s">
        <v>7360</v>
      </c>
      <c r="AC154" t="s">
        <v>7360</v>
      </c>
      <c r="AD154" t="s">
        <v>7360</v>
      </c>
      <c r="AE154" t="s">
        <v>7360</v>
      </c>
      <c r="AF154" t="s">
        <v>1684</v>
      </c>
      <c r="AG154">
        <v>0</v>
      </c>
      <c r="AH154">
        <v>0</v>
      </c>
      <c r="AI154">
        <v>0</v>
      </c>
      <c r="AJ154">
        <v>0</v>
      </c>
      <c r="AK154">
        <v>0</v>
      </c>
      <c r="AL154" t="s">
        <v>7360</v>
      </c>
      <c r="AM154">
        <v>0</v>
      </c>
      <c r="AN154" s="20">
        <v>44953</v>
      </c>
      <c r="AO154" s="20">
        <v>44953</v>
      </c>
      <c r="AP154" s="20">
        <v>44953</v>
      </c>
      <c r="AQ154">
        <v>0</v>
      </c>
      <c r="AR154">
        <v>0</v>
      </c>
      <c r="AS154">
        <v>0</v>
      </c>
      <c r="AT154">
        <v>0</v>
      </c>
      <c r="AU154">
        <v>0</v>
      </c>
      <c r="AV154" t="s">
        <v>7360</v>
      </c>
      <c r="AW154">
        <v>0</v>
      </c>
      <c r="AX154" t="s">
        <v>7360</v>
      </c>
      <c r="AY154" t="s">
        <v>7363</v>
      </c>
      <c r="BA154">
        <v>0</v>
      </c>
      <c r="BB154" s="20">
        <v>44953</v>
      </c>
      <c r="BC154">
        <v>0</v>
      </c>
      <c r="BD154" t="s">
        <v>7360</v>
      </c>
      <c r="BF154" s="20">
        <v>44953</v>
      </c>
      <c r="BG154">
        <v>0</v>
      </c>
      <c r="BH154" t="s">
        <v>1684</v>
      </c>
      <c r="BJ154" t="s">
        <v>7362</v>
      </c>
      <c r="BK154">
        <v>0</v>
      </c>
      <c r="BL154">
        <v>0</v>
      </c>
      <c r="BM154">
        <v>0</v>
      </c>
      <c r="BN154">
        <v>0</v>
      </c>
      <c r="BO154">
        <v>169</v>
      </c>
      <c r="BP154">
        <v>11</v>
      </c>
      <c r="BQ154">
        <v>1</v>
      </c>
      <c r="BR154" t="s">
        <v>7364</v>
      </c>
      <c r="BS154" t="s">
        <v>7382</v>
      </c>
      <c r="BT154" t="s">
        <v>7360</v>
      </c>
      <c r="BU154" t="s">
        <v>7360</v>
      </c>
      <c r="BV154" t="s">
        <v>7360</v>
      </c>
      <c r="BX154">
        <v>0</v>
      </c>
      <c r="BY154">
        <v>0</v>
      </c>
      <c r="BZ154" t="s">
        <v>7360</v>
      </c>
      <c r="CA154" t="s">
        <v>7360</v>
      </c>
      <c r="CB154">
        <v>3380666</v>
      </c>
      <c r="CC154" s="21">
        <v>44953.504594907405</v>
      </c>
      <c r="CE154" t="s">
        <v>7366</v>
      </c>
      <c r="CF154">
        <v>0</v>
      </c>
      <c r="CG154">
        <v>702002</v>
      </c>
      <c r="CH154">
        <v>702002</v>
      </c>
      <c r="CI154" s="21">
        <v>44953.506979166668</v>
      </c>
      <c r="CJ154" t="s">
        <v>7367</v>
      </c>
      <c r="CK154" t="s">
        <v>7367</v>
      </c>
      <c r="CL154" t="s">
        <v>7368</v>
      </c>
      <c r="CM154" t="s">
        <v>7368</v>
      </c>
      <c r="CS154" t="s">
        <v>7361</v>
      </c>
      <c r="CT154" t="s">
        <v>7362</v>
      </c>
      <c r="CU154" t="s">
        <v>7362</v>
      </c>
      <c r="CV154" t="s">
        <v>7362</v>
      </c>
      <c r="CW154" t="s">
        <v>7362</v>
      </c>
      <c r="CX154">
        <v>339150</v>
      </c>
      <c r="DA154">
        <v>0</v>
      </c>
    </row>
    <row r="155" spans="1:106" x14ac:dyDescent="0.3">
      <c r="A155">
        <v>1372</v>
      </c>
      <c r="B155" t="s">
        <v>7369</v>
      </c>
      <c r="C155">
        <v>177</v>
      </c>
      <c r="D155" s="20">
        <v>44953</v>
      </c>
      <c r="E155" t="s">
        <v>7356</v>
      </c>
      <c r="F155" t="s">
        <v>5639</v>
      </c>
      <c r="G155" t="s">
        <v>7357</v>
      </c>
      <c r="H155">
        <v>1</v>
      </c>
      <c r="I155" t="s">
        <v>7358</v>
      </c>
      <c r="J155">
        <v>1</v>
      </c>
      <c r="K155" s="20">
        <v>44953</v>
      </c>
      <c r="L155" s="23">
        <v>889400</v>
      </c>
      <c r="M155" t="s">
        <v>7359</v>
      </c>
      <c r="N155" t="s">
        <v>7360</v>
      </c>
      <c r="O155">
        <v>0</v>
      </c>
      <c r="P155">
        <v>11970</v>
      </c>
      <c r="Q155">
        <v>416097</v>
      </c>
      <c r="R155">
        <v>0</v>
      </c>
      <c r="S155">
        <v>20230127</v>
      </c>
      <c r="T155">
        <v>0</v>
      </c>
      <c r="U155" t="s">
        <v>7362</v>
      </c>
      <c r="V155" t="s">
        <v>7360</v>
      </c>
      <c r="W155" t="s">
        <v>7360</v>
      </c>
      <c r="X155" t="s">
        <v>7360</v>
      </c>
      <c r="Y155" t="s">
        <v>7360</v>
      </c>
      <c r="Z155" t="s">
        <v>7360</v>
      </c>
      <c r="AA155" t="s">
        <v>7362</v>
      </c>
      <c r="AB155" t="s">
        <v>7360</v>
      </c>
      <c r="AC155" t="s">
        <v>7360</v>
      </c>
      <c r="AD155" t="s">
        <v>7360</v>
      </c>
      <c r="AE155" t="s">
        <v>7360</v>
      </c>
      <c r="AF155" t="s">
        <v>1684</v>
      </c>
      <c r="AG155">
        <v>0</v>
      </c>
      <c r="AH155">
        <v>0</v>
      </c>
      <c r="AI155">
        <v>0</v>
      </c>
      <c r="AJ155">
        <v>0</v>
      </c>
      <c r="AK155">
        <v>0</v>
      </c>
      <c r="AL155" t="s">
        <v>7360</v>
      </c>
      <c r="AM155">
        <v>0</v>
      </c>
      <c r="AN155" s="20">
        <v>44953</v>
      </c>
      <c r="AO155" s="20">
        <v>44953</v>
      </c>
      <c r="AP155" s="20">
        <v>44953</v>
      </c>
      <c r="AQ155">
        <v>0</v>
      </c>
      <c r="AR155">
        <v>0</v>
      </c>
      <c r="AS155">
        <v>0</v>
      </c>
      <c r="AT155">
        <v>0</v>
      </c>
      <c r="AU155">
        <v>0</v>
      </c>
      <c r="AV155" t="s">
        <v>7360</v>
      </c>
      <c r="AW155">
        <v>0</v>
      </c>
      <c r="AX155" t="s">
        <v>7360</v>
      </c>
      <c r="AY155" t="s">
        <v>7362</v>
      </c>
      <c r="AZ155">
        <v>1383</v>
      </c>
      <c r="BA155">
        <v>372</v>
      </c>
      <c r="BB155" s="20">
        <v>44973</v>
      </c>
      <c r="BC155">
        <v>20230216</v>
      </c>
      <c r="BD155" t="s">
        <v>7417</v>
      </c>
      <c r="BF155" s="20">
        <v>44953</v>
      </c>
      <c r="BG155">
        <v>0</v>
      </c>
      <c r="BH155" t="s">
        <v>7363</v>
      </c>
      <c r="BJ155" t="s">
        <v>7362</v>
      </c>
      <c r="BK155">
        <v>0</v>
      </c>
      <c r="BL155">
        <v>0</v>
      </c>
      <c r="BM155">
        <v>0</v>
      </c>
      <c r="BN155">
        <v>0</v>
      </c>
      <c r="BO155">
        <v>169</v>
      </c>
      <c r="BP155">
        <v>11</v>
      </c>
      <c r="BQ155">
        <v>1</v>
      </c>
      <c r="BR155" t="s">
        <v>7364</v>
      </c>
      <c r="BS155" t="s">
        <v>61</v>
      </c>
      <c r="BT155" t="s">
        <v>7360</v>
      </c>
      <c r="BU155" t="s">
        <v>7360</v>
      </c>
      <c r="BV155" t="s">
        <v>7360</v>
      </c>
      <c r="BX155">
        <v>0</v>
      </c>
      <c r="BY155">
        <v>0</v>
      </c>
      <c r="BZ155" t="s">
        <v>7360</v>
      </c>
      <c r="CA155" t="s">
        <v>7360</v>
      </c>
      <c r="CB155">
        <v>3380666</v>
      </c>
      <c r="CC155" s="21">
        <v>44953.58662037037</v>
      </c>
      <c r="CE155" t="s">
        <v>7366</v>
      </c>
      <c r="CF155">
        <v>0</v>
      </c>
      <c r="CG155">
        <v>702002</v>
      </c>
      <c r="CH155">
        <v>702002</v>
      </c>
      <c r="CI155" s="21">
        <v>44953.593657407408</v>
      </c>
      <c r="CJ155" t="s">
        <v>7367</v>
      </c>
      <c r="CK155" t="s">
        <v>7367</v>
      </c>
      <c r="CL155" t="s">
        <v>7368</v>
      </c>
      <c r="CM155" t="s">
        <v>7368</v>
      </c>
      <c r="CS155" t="s">
        <v>7361</v>
      </c>
      <c r="CT155" t="s">
        <v>7362</v>
      </c>
      <c r="CU155" t="s">
        <v>7362</v>
      </c>
      <c r="CV155" t="s">
        <v>7362</v>
      </c>
      <c r="CW155" t="s">
        <v>7362</v>
      </c>
      <c r="CX155">
        <v>889400</v>
      </c>
      <c r="CY155" t="s">
        <v>1684</v>
      </c>
      <c r="DA155">
        <v>0</v>
      </c>
    </row>
    <row r="156" spans="1:106" x14ac:dyDescent="0.3">
      <c r="A156">
        <v>1373</v>
      </c>
      <c r="B156" t="s">
        <v>7383</v>
      </c>
      <c r="C156">
        <v>178</v>
      </c>
      <c r="D156" s="20">
        <v>44953</v>
      </c>
      <c r="E156" t="s">
        <v>7356</v>
      </c>
      <c r="F156" t="s">
        <v>5633</v>
      </c>
      <c r="G156" t="s">
        <v>7357</v>
      </c>
      <c r="H156">
        <v>1</v>
      </c>
      <c r="I156" t="s">
        <v>7358</v>
      </c>
      <c r="J156">
        <v>1</v>
      </c>
      <c r="K156" s="20">
        <v>44953</v>
      </c>
      <c r="L156" s="23">
        <v>475000</v>
      </c>
      <c r="M156" t="s">
        <v>7359</v>
      </c>
      <c r="N156" t="s">
        <v>7360</v>
      </c>
      <c r="O156">
        <v>0</v>
      </c>
      <c r="P156">
        <v>11946</v>
      </c>
      <c r="Q156">
        <v>416091</v>
      </c>
      <c r="R156">
        <v>0</v>
      </c>
      <c r="S156">
        <v>20230127</v>
      </c>
      <c r="T156">
        <v>0</v>
      </c>
      <c r="U156" t="s">
        <v>7362</v>
      </c>
      <c r="V156" t="s">
        <v>7360</v>
      </c>
      <c r="W156" t="s">
        <v>7360</v>
      </c>
      <c r="X156" t="s">
        <v>7360</v>
      </c>
      <c r="Y156" t="s">
        <v>7360</v>
      </c>
      <c r="Z156" t="s">
        <v>7360</v>
      </c>
      <c r="AA156" t="s">
        <v>7362</v>
      </c>
      <c r="AB156" t="s">
        <v>7360</v>
      </c>
      <c r="AC156" t="s">
        <v>7360</v>
      </c>
      <c r="AD156" t="s">
        <v>7360</v>
      </c>
      <c r="AE156" t="s">
        <v>7360</v>
      </c>
      <c r="AF156" t="s">
        <v>1684</v>
      </c>
      <c r="AG156">
        <v>0</v>
      </c>
      <c r="AH156">
        <v>0</v>
      </c>
      <c r="AI156">
        <v>0</v>
      </c>
      <c r="AJ156">
        <v>0</v>
      </c>
      <c r="AK156">
        <v>0</v>
      </c>
      <c r="AL156" t="s">
        <v>7360</v>
      </c>
      <c r="AM156">
        <v>0</v>
      </c>
      <c r="AN156" s="20">
        <v>44953</v>
      </c>
      <c r="AO156" s="20">
        <v>44953</v>
      </c>
      <c r="AP156" s="20">
        <v>44953</v>
      </c>
      <c r="AQ156">
        <v>0</v>
      </c>
      <c r="AR156">
        <v>0</v>
      </c>
      <c r="AS156">
        <v>0</v>
      </c>
      <c r="AT156">
        <v>0</v>
      </c>
      <c r="AU156">
        <v>0</v>
      </c>
      <c r="AV156" t="s">
        <v>7360</v>
      </c>
      <c r="AW156">
        <v>0</v>
      </c>
      <c r="AX156" t="s">
        <v>7360</v>
      </c>
      <c r="AY156" t="s">
        <v>7362</v>
      </c>
      <c r="AZ156">
        <v>1383</v>
      </c>
      <c r="BA156">
        <v>247</v>
      </c>
      <c r="BB156" s="20">
        <v>44963</v>
      </c>
      <c r="BC156">
        <v>20230206</v>
      </c>
      <c r="BD156" t="s">
        <v>7418</v>
      </c>
      <c r="BF156" s="20">
        <v>44953</v>
      </c>
      <c r="BG156">
        <v>0</v>
      </c>
      <c r="BH156" t="s">
        <v>7363</v>
      </c>
      <c r="BJ156" t="s">
        <v>7362</v>
      </c>
      <c r="BK156">
        <v>0</v>
      </c>
      <c r="BL156">
        <v>0</v>
      </c>
      <c r="BM156">
        <v>0</v>
      </c>
      <c r="BN156">
        <v>0</v>
      </c>
      <c r="BO156">
        <v>169</v>
      </c>
      <c r="BP156">
        <v>11</v>
      </c>
      <c r="BQ156">
        <v>1</v>
      </c>
      <c r="BR156" t="s">
        <v>7364</v>
      </c>
      <c r="BS156" t="s">
        <v>7419</v>
      </c>
      <c r="BT156" t="s">
        <v>7360</v>
      </c>
      <c r="BU156" t="s">
        <v>7360</v>
      </c>
      <c r="BV156" t="s">
        <v>7360</v>
      </c>
      <c r="BX156">
        <v>0</v>
      </c>
      <c r="BY156">
        <v>0</v>
      </c>
      <c r="BZ156" t="s">
        <v>7360</v>
      </c>
      <c r="CA156" t="s">
        <v>7360</v>
      </c>
      <c r="CB156">
        <v>3380666</v>
      </c>
      <c r="CC156" s="21">
        <v>44953.608587962961</v>
      </c>
      <c r="CE156" t="s">
        <v>7366</v>
      </c>
      <c r="CF156">
        <v>0</v>
      </c>
      <c r="CG156">
        <v>702002</v>
      </c>
      <c r="CH156">
        <v>702002</v>
      </c>
      <c r="CI156" s="21">
        <v>44953.610462962963</v>
      </c>
      <c r="CJ156" t="s">
        <v>7367</v>
      </c>
      <c r="CK156" t="s">
        <v>7367</v>
      </c>
      <c r="CL156" t="s">
        <v>7368</v>
      </c>
      <c r="CM156" t="s">
        <v>7368</v>
      </c>
      <c r="CS156" t="s">
        <v>7361</v>
      </c>
      <c r="CT156" t="s">
        <v>7362</v>
      </c>
      <c r="CU156" t="s">
        <v>7362</v>
      </c>
      <c r="CV156" t="s">
        <v>7362</v>
      </c>
      <c r="CW156" t="s">
        <v>7362</v>
      </c>
      <c r="CX156">
        <v>475000</v>
      </c>
      <c r="CY156" t="s">
        <v>1684</v>
      </c>
      <c r="DA156">
        <v>0</v>
      </c>
    </row>
    <row r="157" spans="1:106" x14ac:dyDescent="0.3">
      <c r="A157">
        <v>1366</v>
      </c>
      <c r="B157" t="s">
        <v>7380</v>
      </c>
      <c r="C157">
        <v>699</v>
      </c>
      <c r="D157" s="20">
        <v>45002</v>
      </c>
      <c r="E157" t="s">
        <v>7372</v>
      </c>
      <c r="F157" t="s">
        <v>5639</v>
      </c>
      <c r="G157" t="s">
        <v>7357</v>
      </c>
      <c r="H157">
        <v>1</v>
      </c>
      <c r="I157" t="s">
        <v>7358</v>
      </c>
      <c r="J157">
        <v>1</v>
      </c>
      <c r="K157" s="20">
        <v>45002</v>
      </c>
      <c r="L157" s="23">
        <v>16171386</v>
      </c>
      <c r="M157" t="s">
        <v>7359</v>
      </c>
      <c r="N157" t="s">
        <v>7360</v>
      </c>
      <c r="O157">
        <v>0</v>
      </c>
      <c r="P157">
        <v>13309</v>
      </c>
      <c r="Q157">
        <v>456010</v>
      </c>
      <c r="R157">
        <v>0</v>
      </c>
      <c r="S157">
        <v>20230317</v>
      </c>
      <c r="T157">
        <v>0</v>
      </c>
      <c r="U157" t="s">
        <v>7362</v>
      </c>
      <c r="V157" t="s">
        <v>7360</v>
      </c>
      <c r="W157" t="s">
        <v>7360</v>
      </c>
      <c r="X157" t="s">
        <v>7360</v>
      </c>
      <c r="Y157" t="s">
        <v>7360</v>
      </c>
      <c r="Z157" t="s">
        <v>7360</v>
      </c>
      <c r="AA157" t="s">
        <v>7362</v>
      </c>
      <c r="AB157" t="s">
        <v>7360</v>
      </c>
      <c r="AC157" t="s">
        <v>7360</v>
      </c>
      <c r="AD157" t="s">
        <v>7360</v>
      </c>
      <c r="AE157" t="s">
        <v>7360</v>
      </c>
      <c r="AF157" t="s">
        <v>1684</v>
      </c>
      <c r="AG157">
        <v>0</v>
      </c>
      <c r="AH157">
        <v>0</v>
      </c>
      <c r="AI157">
        <v>0</v>
      </c>
      <c r="AJ157">
        <v>0</v>
      </c>
      <c r="AK157">
        <v>0</v>
      </c>
      <c r="AL157" t="s">
        <v>7360</v>
      </c>
      <c r="AM157">
        <v>0</v>
      </c>
      <c r="AN157" s="20">
        <v>45002</v>
      </c>
      <c r="AO157" s="20">
        <v>45002</v>
      </c>
      <c r="AP157" s="20">
        <v>45002</v>
      </c>
      <c r="AQ157">
        <v>0</v>
      </c>
      <c r="AR157">
        <v>0</v>
      </c>
      <c r="AS157">
        <v>0</v>
      </c>
      <c r="AT157">
        <v>0</v>
      </c>
      <c r="AU157">
        <v>0</v>
      </c>
      <c r="AV157" t="s">
        <v>7360</v>
      </c>
      <c r="AW157">
        <v>0</v>
      </c>
      <c r="AX157" t="s">
        <v>7360</v>
      </c>
      <c r="AY157" t="s">
        <v>7362</v>
      </c>
      <c r="BA157">
        <v>0</v>
      </c>
      <c r="BB157" s="20">
        <v>45002</v>
      </c>
      <c r="BC157">
        <v>0</v>
      </c>
      <c r="BD157" t="s">
        <v>7360</v>
      </c>
      <c r="BF157" s="20">
        <v>45002</v>
      </c>
      <c r="BG157">
        <v>0</v>
      </c>
      <c r="BH157" t="s">
        <v>7363</v>
      </c>
      <c r="BJ157" t="s">
        <v>7362</v>
      </c>
      <c r="BK157">
        <v>169</v>
      </c>
      <c r="BL157">
        <v>11</v>
      </c>
      <c r="BM157">
        <v>1</v>
      </c>
      <c r="BN157" t="s">
        <v>7364</v>
      </c>
      <c r="BO157">
        <v>169</v>
      </c>
      <c r="BP157">
        <v>11</v>
      </c>
      <c r="BQ157">
        <v>1</v>
      </c>
      <c r="BR157" t="s">
        <v>7364</v>
      </c>
      <c r="BS157" t="s">
        <v>7388</v>
      </c>
      <c r="BT157" t="s">
        <v>7360</v>
      </c>
      <c r="BU157" t="s">
        <v>7360</v>
      </c>
      <c r="BV157" t="s">
        <v>7360</v>
      </c>
      <c r="BX157" t="s">
        <v>7391</v>
      </c>
      <c r="BY157">
        <v>74</v>
      </c>
      <c r="BZ157" t="s">
        <v>7360</v>
      </c>
      <c r="CA157" t="s">
        <v>7360</v>
      </c>
      <c r="CB157" t="s">
        <v>7360</v>
      </c>
      <c r="CC157" s="21">
        <v>44964.641145833331</v>
      </c>
      <c r="CE157" t="s">
        <v>7392</v>
      </c>
      <c r="CF157">
        <v>1100101</v>
      </c>
      <c r="CG157">
        <v>53575</v>
      </c>
      <c r="CH157">
        <v>53575</v>
      </c>
      <c r="CI157" s="21">
        <v>44964.642847222225</v>
      </c>
      <c r="CJ157" t="s">
        <v>7393</v>
      </c>
      <c r="CK157" t="s">
        <v>7393</v>
      </c>
      <c r="CL157" t="s">
        <v>7394</v>
      </c>
      <c r="CM157" t="s">
        <v>7394</v>
      </c>
      <c r="CS157" t="s">
        <v>7361</v>
      </c>
      <c r="CT157" t="s">
        <v>7362</v>
      </c>
      <c r="CU157" t="s">
        <v>7362</v>
      </c>
      <c r="CV157" t="s">
        <v>7362</v>
      </c>
      <c r="CW157" t="s">
        <v>7362</v>
      </c>
      <c r="CX157">
        <v>15850000</v>
      </c>
      <c r="DA157">
        <v>0</v>
      </c>
    </row>
    <row r="158" spans="1:106" x14ac:dyDescent="0.3">
      <c r="A158">
        <v>1362</v>
      </c>
      <c r="B158" t="s">
        <v>7371</v>
      </c>
      <c r="C158">
        <v>180</v>
      </c>
      <c r="D158" s="20">
        <v>44958</v>
      </c>
      <c r="E158" t="s">
        <v>7397</v>
      </c>
      <c r="F158" t="s">
        <v>5633</v>
      </c>
      <c r="G158" t="s">
        <v>7357</v>
      </c>
      <c r="H158">
        <v>1</v>
      </c>
      <c r="I158" t="s">
        <v>7358</v>
      </c>
      <c r="J158">
        <v>1</v>
      </c>
      <c r="K158" s="20">
        <v>44953</v>
      </c>
      <c r="L158" s="23">
        <v>1039999191</v>
      </c>
      <c r="M158" t="s">
        <v>7398</v>
      </c>
      <c r="N158" t="s">
        <v>7360</v>
      </c>
      <c r="O158">
        <v>0</v>
      </c>
      <c r="P158">
        <v>11679</v>
      </c>
      <c r="R158">
        <v>0</v>
      </c>
      <c r="S158">
        <v>20230201</v>
      </c>
      <c r="T158">
        <v>0</v>
      </c>
      <c r="U158" t="s">
        <v>7362</v>
      </c>
      <c r="V158" t="s">
        <v>7360</v>
      </c>
      <c r="W158" t="s">
        <v>7360</v>
      </c>
      <c r="X158" t="s">
        <v>7360</v>
      </c>
      <c r="Y158" t="s">
        <v>7360</v>
      </c>
      <c r="Z158" t="s">
        <v>7360</v>
      </c>
      <c r="AA158" t="s">
        <v>1684</v>
      </c>
      <c r="AB158" t="s">
        <v>7360</v>
      </c>
      <c r="AC158" t="s">
        <v>7360</v>
      </c>
      <c r="AD158" t="s">
        <v>7360</v>
      </c>
      <c r="AE158" t="s">
        <v>7360</v>
      </c>
      <c r="AF158" t="s">
        <v>1684</v>
      </c>
      <c r="AG158">
        <v>0</v>
      </c>
      <c r="AH158">
        <v>0</v>
      </c>
      <c r="AI158">
        <v>0</v>
      </c>
      <c r="AJ158">
        <v>0</v>
      </c>
      <c r="AK158">
        <v>0</v>
      </c>
      <c r="AL158" t="s">
        <v>7360</v>
      </c>
      <c r="AM158">
        <v>0</v>
      </c>
      <c r="AN158" s="20">
        <v>44953</v>
      </c>
      <c r="AO158" s="20">
        <v>44953</v>
      </c>
      <c r="AP158" s="20">
        <v>44953</v>
      </c>
      <c r="AQ158">
        <v>0</v>
      </c>
      <c r="AR158">
        <v>0</v>
      </c>
      <c r="AS158">
        <v>0</v>
      </c>
      <c r="AT158">
        <v>0</v>
      </c>
      <c r="AU158">
        <v>0</v>
      </c>
      <c r="AV158" t="s">
        <v>7360</v>
      </c>
      <c r="AW158">
        <v>0</v>
      </c>
      <c r="AX158" t="s">
        <v>7360</v>
      </c>
      <c r="AY158" t="s">
        <v>7362</v>
      </c>
      <c r="BA158">
        <v>0</v>
      </c>
      <c r="BB158" s="20">
        <v>44953</v>
      </c>
      <c r="BC158">
        <v>0</v>
      </c>
      <c r="BD158" t="s">
        <v>7360</v>
      </c>
      <c r="BF158" s="20">
        <v>44953</v>
      </c>
      <c r="BG158">
        <v>0</v>
      </c>
      <c r="BH158" t="s">
        <v>7363</v>
      </c>
      <c r="BJ158" t="s">
        <v>7362</v>
      </c>
      <c r="BK158">
        <v>0</v>
      </c>
      <c r="BL158">
        <v>0</v>
      </c>
      <c r="BM158">
        <v>0</v>
      </c>
      <c r="BN158">
        <v>0</v>
      </c>
      <c r="BO158">
        <v>169</v>
      </c>
      <c r="BP158">
        <v>11</v>
      </c>
      <c r="BQ158">
        <v>1</v>
      </c>
      <c r="BR158" t="s">
        <v>7364</v>
      </c>
      <c r="BS158" t="s">
        <v>7374</v>
      </c>
      <c r="BT158" t="s">
        <v>7360</v>
      </c>
      <c r="BU158" t="s">
        <v>7360</v>
      </c>
      <c r="BV158" t="s">
        <v>7360</v>
      </c>
      <c r="BX158">
        <v>0</v>
      </c>
      <c r="BY158">
        <v>0</v>
      </c>
      <c r="BZ158" t="s">
        <v>7360</v>
      </c>
      <c r="CA158" t="s">
        <v>7360</v>
      </c>
      <c r="CB158">
        <v>3380666</v>
      </c>
      <c r="CC158" s="21">
        <v>44953.621157407404</v>
      </c>
      <c r="CE158" t="s">
        <v>7366</v>
      </c>
      <c r="CF158">
        <v>0</v>
      </c>
      <c r="CG158">
        <v>702002</v>
      </c>
      <c r="CH158">
        <v>702002</v>
      </c>
      <c r="CI158" s="21">
        <v>44966.423634259256</v>
      </c>
      <c r="CJ158" t="s">
        <v>7367</v>
      </c>
      <c r="CK158" t="s">
        <v>7367</v>
      </c>
      <c r="CL158" t="s">
        <v>7368</v>
      </c>
      <c r="CM158" t="s">
        <v>7368</v>
      </c>
      <c r="CS158" t="s">
        <v>7361</v>
      </c>
      <c r="CT158" t="s">
        <v>7362</v>
      </c>
      <c r="CU158" t="s">
        <v>7362</v>
      </c>
      <c r="CV158" t="s">
        <v>7362</v>
      </c>
      <c r="CW158" t="s">
        <v>7362</v>
      </c>
      <c r="CX158">
        <v>1039999191</v>
      </c>
      <c r="DA158">
        <v>0</v>
      </c>
      <c r="DB158">
        <v>132001</v>
      </c>
    </row>
    <row r="159" spans="1:106" x14ac:dyDescent="0.3">
      <c r="A159">
        <v>1354</v>
      </c>
      <c r="B159" t="s">
        <v>7396</v>
      </c>
      <c r="C159">
        <v>181</v>
      </c>
      <c r="D159" s="20">
        <v>44956</v>
      </c>
      <c r="E159" t="s">
        <v>7356</v>
      </c>
      <c r="F159" t="s">
        <v>5639</v>
      </c>
      <c r="G159" t="s">
        <v>7370</v>
      </c>
      <c r="H159">
        <v>1</v>
      </c>
      <c r="I159" t="s">
        <v>7358</v>
      </c>
      <c r="J159">
        <v>1</v>
      </c>
      <c r="K159" s="20">
        <v>44956</v>
      </c>
      <c r="L159" s="23">
        <v>1350000</v>
      </c>
      <c r="M159" t="s">
        <v>7359</v>
      </c>
      <c r="N159" t="s">
        <v>7360</v>
      </c>
      <c r="O159">
        <v>0</v>
      </c>
      <c r="P159">
        <v>11845</v>
      </c>
      <c r="Q159">
        <v>416021</v>
      </c>
      <c r="R159">
        <v>0</v>
      </c>
      <c r="S159">
        <v>20230130</v>
      </c>
      <c r="T159">
        <v>0</v>
      </c>
      <c r="U159" t="s">
        <v>7361</v>
      </c>
      <c r="V159" t="s">
        <v>7360</v>
      </c>
      <c r="W159" t="s">
        <v>7360</v>
      </c>
      <c r="X159" t="s">
        <v>7360</v>
      </c>
      <c r="Y159" t="s">
        <v>7360</v>
      </c>
      <c r="Z159" t="s">
        <v>7360</v>
      </c>
      <c r="AA159" t="s">
        <v>7362</v>
      </c>
      <c r="AB159" t="s">
        <v>7360</v>
      </c>
      <c r="AC159" t="s">
        <v>7360</v>
      </c>
      <c r="AD159" t="s">
        <v>7360</v>
      </c>
      <c r="AE159" t="s">
        <v>7360</v>
      </c>
      <c r="AF159" t="s">
        <v>1684</v>
      </c>
      <c r="AG159">
        <v>0</v>
      </c>
      <c r="AH159">
        <v>0</v>
      </c>
      <c r="AI159">
        <v>0</v>
      </c>
      <c r="AJ159">
        <v>0</v>
      </c>
      <c r="AK159">
        <v>0</v>
      </c>
      <c r="AL159" t="s">
        <v>7360</v>
      </c>
      <c r="AM159">
        <v>0</v>
      </c>
      <c r="AN159" s="20">
        <v>44956</v>
      </c>
      <c r="AO159" s="20">
        <v>44956</v>
      </c>
      <c r="AP159" s="20">
        <v>44956</v>
      </c>
      <c r="AQ159">
        <v>0</v>
      </c>
      <c r="AR159">
        <v>0</v>
      </c>
      <c r="AS159">
        <v>0</v>
      </c>
      <c r="AT159">
        <v>0</v>
      </c>
      <c r="AU159">
        <v>0</v>
      </c>
      <c r="AV159" t="s">
        <v>7360</v>
      </c>
      <c r="AW159">
        <v>0</v>
      </c>
      <c r="AX159" t="s">
        <v>7360</v>
      </c>
      <c r="AY159" t="s">
        <v>7363</v>
      </c>
      <c r="BA159">
        <v>0</v>
      </c>
      <c r="BB159" s="20">
        <v>44956</v>
      </c>
      <c r="BC159">
        <v>0</v>
      </c>
      <c r="BD159" t="s">
        <v>7360</v>
      </c>
      <c r="BF159" s="20">
        <v>44956</v>
      </c>
      <c r="BG159">
        <v>0</v>
      </c>
      <c r="BH159" t="s">
        <v>7363</v>
      </c>
      <c r="BJ159" t="s">
        <v>7362</v>
      </c>
      <c r="BK159">
        <v>169</v>
      </c>
      <c r="BL159">
        <v>11</v>
      </c>
      <c r="BM159">
        <v>1</v>
      </c>
      <c r="BN159" t="s">
        <v>7364</v>
      </c>
      <c r="BO159">
        <v>169</v>
      </c>
      <c r="BP159">
        <v>11</v>
      </c>
      <c r="BQ159">
        <v>1</v>
      </c>
      <c r="BR159" t="s">
        <v>7364</v>
      </c>
      <c r="BS159" t="s">
        <v>132</v>
      </c>
      <c r="BT159" t="s">
        <v>7360</v>
      </c>
      <c r="BU159" t="s">
        <v>7360</v>
      </c>
      <c r="BV159" t="s">
        <v>7360</v>
      </c>
      <c r="BX159" t="s">
        <v>7391</v>
      </c>
      <c r="BY159">
        <v>74</v>
      </c>
      <c r="BZ159" t="s">
        <v>7360</v>
      </c>
      <c r="CA159" t="s">
        <v>7360</v>
      </c>
      <c r="CB159">
        <v>5558210</v>
      </c>
      <c r="CC159" s="21">
        <v>44956.41710648148</v>
      </c>
      <c r="CE159" t="s">
        <v>7392</v>
      </c>
      <c r="CF159">
        <v>1100101</v>
      </c>
      <c r="CG159">
        <v>53575</v>
      </c>
      <c r="CH159">
        <v>53575</v>
      </c>
      <c r="CI159" s="21">
        <v>44956.418078703704</v>
      </c>
      <c r="CJ159" t="s">
        <v>7393</v>
      </c>
      <c r="CK159" t="s">
        <v>7393</v>
      </c>
      <c r="CL159" t="s">
        <v>7394</v>
      </c>
      <c r="CM159" t="s">
        <v>7394</v>
      </c>
      <c r="CS159" t="s">
        <v>7361</v>
      </c>
      <c r="CT159" t="s">
        <v>7362</v>
      </c>
      <c r="CU159" t="s">
        <v>7362</v>
      </c>
      <c r="CV159" t="s">
        <v>7362</v>
      </c>
      <c r="CW159" t="s">
        <v>7362</v>
      </c>
      <c r="CX159">
        <v>1350000</v>
      </c>
      <c r="DA159">
        <v>0</v>
      </c>
    </row>
    <row r="160" spans="1:106" x14ac:dyDescent="0.3">
      <c r="A160">
        <v>1354</v>
      </c>
      <c r="B160" t="s">
        <v>7396</v>
      </c>
      <c r="C160">
        <v>182</v>
      </c>
      <c r="D160" s="20">
        <v>44953</v>
      </c>
      <c r="E160" t="s">
        <v>7356</v>
      </c>
      <c r="F160" t="s">
        <v>5633</v>
      </c>
      <c r="G160" t="s">
        <v>7370</v>
      </c>
      <c r="H160">
        <v>1</v>
      </c>
      <c r="I160" t="s">
        <v>7358</v>
      </c>
      <c r="J160">
        <v>1</v>
      </c>
      <c r="K160" s="20">
        <v>44956</v>
      </c>
      <c r="L160" s="23">
        <v>1350000</v>
      </c>
      <c r="M160" t="s">
        <v>7359</v>
      </c>
      <c r="N160" t="s">
        <v>7360</v>
      </c>
      <c r="O160">
        <v>0</v>
      </c>
      <c r="P160">
        <v>11847</v>
      </c>
      <c r="Q160">
        <v>416024</v>
      </c>
      <c r="R160">
        <v>0</v>
      </c>
      <c r="S160">
        <v>20230127</v>
      </c>
      <c r="T160">
        <v>0</v>
      </c>
      <c r="U160" t="s">
        <v>7361</v>
      </c>
      <c r="V160" t="s">
        <v>7360</v>
      </c>
      <c r="W160" t="s">
        <v>7360</v>
      </c>
      <c r="X160" t="s">
        <v>7360</v>
      </c>
      <c r="Y160" t="s">
        <v>7360</v>
      </c>
      <c r="Z160" t="s">
        <v>7360</v>
      </c>
      <c r="AA160" t="s">
        <v>7362</v>
      </c>
      <c r="AB160" t="s">
        <v>7360</v>
      </c>
      <c r="AC160" t="s">
        <v>7360</v>
      </c>
      <c r="AD160" t="s">
        <v>7360</v>
      </c>
      <c r="AE160" t="s">
        <v>7360</v>
      </c>
      <c r="AF160" t="s">
        <v>1684</v>
      </c>
      <c r="AG160">
        <v>0</v>
      </c>
      <c r="AH160">
        <v>0</v>
      </c>
      <c r="AI160">
        <v>0</v>
      </c>
      <c r="AJ160">
        <v>0</v>
      </c>
      <c r="AK160">
        <v>0</v>
      </c>
      <c r="AL160" t="s">
        <v>7360</v>
      </c>
      <c r="AM160">
        <v>0</v>
      </c>
      <c r="AN160" s="20">
        <v>44956</v>
      </c>
      <c r="AO160" s="20">
        <v>44956</v>
      </c>
      <c r="AP160" s="20">
        <v>44956</v>
      </c>
      <c r="AQ160">
        <v>0</v>
      </c>
      <c r="AR160">
        <v>0</v>
      </c>
      <c r="AS160">
        <v>0</v>
      </c>
      <c r="AT160">
        <v>0</v>
      </c>
      <c r="AU160">
        <v>0</v>
      </c>
      <c r="AV160" t="s">
        <v>7360</v>
      </c>
      <c r="AW160">
        <v>0</v>
      </c>
      <c r="AX160" t="s">
        <v>7360</v>
      </c>
      <c r="AY160" t="s">
        <v>7363</v>
      </c>
      <c r="BA160">
        <v>0</v>
      </c>
      <c r="BB160" s="20">
        <v>44956</v>
      </c>
      <c r="BC160">
        <v>0</v>
      </c>
      <c r="BD160" t="s">
        <v>7360</v>
      </c>
      <c r="BF160" s="20">
        <v>44956</v>
      </c>
      <c r="BG160">
        <v>0</v>
      </c>
      <c r="BH160" t="s">
        <v>7363</v>
      </c>
      <c r="BJ160" t="s">
        <v>7362</v>
      </c>
      <c r="BK160">
        <v>169</v>
      </c>
      <c r="BL160">
        <v>11</v>
      </c>
      <c r="BM160">
        <v>1</v>
      </c>
      <c r="BN160" t="s">
        <v>7364</v>
      </c>
      <c r="BO160">
        <v>169</v>
      </c>
      <c r="BP160">
        <v>11</v>
      </c>
      <c r="BQ160">
        <v>1</v>
      </c>
      <c r="BR160" t="s">
        <v>7364</v>
      </c>
      <c r="BS160" t="s">
        <v>132</v>
      </c>
      <c r="BT160" t="s">
        <v>7360</v>
      </c>
      <c r="BU160" t="s">
        <v>7360</v>
      </c>
      <c r="BV160" t="s">
        <v>7360</v>
      </c>
      <c r="BX160" t="s">
        <v>7391</v>
      </c>
      <c r="BY160">
        <v>74</v>
      </c>
      <c r="BZ160" t="s">
        <v>7360</v>
      </c>
      <c r="CA160" t="s">
        <v>7360</v>
      </c>
      <c r="CB160">
        <v>5558210</v>
      </c>
      <c r="CC160" s="21">
        <v>44956.422858796293</v>
      </c>
      <c r="CE160" t="s">
        <v>7392</v>
      </c>
      <c r="CF160">
        <v>1100101</v>
      </c>
      <c r="CG160">
        <v>53575</v>
      </c>
      <c r="CH160">
        <v>53575</v>
      </c>
      <c r="CI160" s="21">
        <v>44956.423935185187</v>
      </c>
      <c r="CJ160" t="s">
        <v>7393</v>
      </c>
      <c r="CK160" t="s">
        <v>7393</v>
      </c>
      <c r="CL160" t="s">
        <v>7394</v>
      </c>
      <c r="CM160" t="s">
        <v>7394</v>
      </c>
      <c r="CS160" t="s">
        <v>7361</v>
      </c>
      <c r="CT160" t="s">
        <v>7362</v>
      </c>
      <c r="CU160" t="s">
        <v>7362</v>
      </c>
      <c r="CV160" t="s">
        <v>7362</v>
      </c>
      <c r="CW160" t="s">
        <v>7362</v>
      </c>
      <c r="CX160">
        <v>1350000</v>
      </c>
      <c r="DA160">
        <v>0</v>
      </c>
    </row>
    <row r="161" spans="1:105" x14ac:dyDescent="0.3">
      <c r="A161">
        <v>1354</v>
      </c>
      <c r="B161" t="s">
        <v>7396</v>
      </c>
      <c r="C161">
        <v>183</v>
      </c>
      <c r="D161" s="20">
        <v>44953</v>
      </c>
      <c r="E161" t="s">
        <v>7356</v>
      </c>
      <c r="F161" t="s">
        <v>5639</v>
      </c>
      <c r="G161" t="s">
        <v>7370</v>
      </c>
      <c r="H161">
        <v>1</v>
      </c>
      <c r="I161" t="s">
        <v>7358</v>
      </c>
      <c r="J161">
        <v>1</v>
      </c>
      <c r="K161" s="20">
        <v>44956</v>
      </c>
      <c r="L161" s="23">
        <v>1650000</v>
      </c>
      <c r="M161" t="s">
        <v>7359</v>
      </c>
      <c r="N161" t="s">
        <v>7360</v>
      </c>
      <c r="O161">
        <v>0</v>
      </c>
      <c r="P161">
        <v>11832</v>
      </c>
      <c r="Q161">
        <v>416010</v>
      </c>
      <c r="R161">
        <v>0</v>
      </c>
      <c r="S161">
        <v>20230127</v>
      </c>
      <c r="T161">
        <v>0</v>
      </c>
      <c r="U161" t="s">
        <v>7361</v>
      </c>
      <c r="V161" t="s">
        <v>7360</v>
      </c>
      <c r="W161" t="s">
        <v>7360</v>
      </c>
      <c r="X161" t="s">
        <v>7360</v>
      </c>
      <c r="Y161" t="s">
        <v>7360</v>
      </c>
      <c r="Z161" t="s">
        <v>7360</v>
      </c>
      <c r="AA161" t="s">
        <v>7362</v>
      </c>
      <c r="AB161" t="s">
        <v>7360</v>
      </c>
      <c r="AC161" t="s">
        <v>7360</v>
      </c>
      <c r="AD161" t="s">
        <v>7360</v>
      </c>
      <c r="AE161" t="s">
        <v>7360</v>
      </c>
      <c r="AF161" t="s">
        <v>1684</v>
      </c>
      <c r="AG161">
        <v>0</v>
      </c>
      <c r="AH161">
        <v>0</v>
      </c>
      <c r="AI161">
        <v>0</v>
      </c>
      <c r="AJ161">
        <v>0</v>
      </c>
      <c r="AK161">
        <v>0</v>
      </c>
      <c r="AL161" t="s">
        <v>7360</v>
      </c>
      <c r="AM161">
        <v>0</v>
      </c>
      <c r="AN161" s="20">
        <v>44956</v>
      </c>
      <c r="AO161" s="20">
        <v>44956</v>
      </c>
      <c r="AP161" s="20">
        <v>44956</v>
      </c>
      <c r="AQ161">
        <v>0</v>
      </c>
      <c r="AR161">
        <v>0</v>
      </c>
      <c r="AS161">
        <v>0</v>
      </c>
      <c r="AT161">
        <v>0</v>
      </c>
      <c r="AU161">
        <v>0</v>
      </c>
      <c r="AV161" t="s">
        <v>7360</v>
      </c>
      <c r="AW161">
        <v>0</v>
      </c>
      <c r="AX161" t="s">
        <v>7360</v>
      </c>
      <c r="AY161" t="s">
        <v>7363</v>
      </c>
      <c r="BA161">
        <v>0</v>
      </c>
      <c r="BB161" s="20">
        <v>44956</v>
      </c>
      <c r="BC161">
        <v>0</v>
      </c>
      <c r="BD161" t="s">
        <v>7360</v>
      </c>
      <c r="BF161" s="20">
        <v>44956</v>
      </c>
      <c r="BG161">
        <v>0</v>
      </c>
      <c r="BH161" t="s">
        <v>7363</v>
      </c>
      <c r="BJ161" t="s">
        <v>7362</v>
      </c>
      <c r="BK161">
        <v>169</v>
      </c>
      <c r="BL161">
        <v>11</v>
      </c>
      <c r="BM161">
        <v>1</v>
      </c>
      <c r="BN161" t="s">
        <v>7364</v>
      </c>
      <c r="BO161">
        <v>169</v>
      </c>
      <c r="BP161">
        <v>11</v>
      </c>
      <c r="BQ161">
        <v>1</v>
      </c>
      <c r="BR161" t="s">
        <v>7364</v>
      </c>
      <c r="BS161" t="s">
        <v>132</v>
      </c>
      <c r="BT161" t="s">
        <v>7360</v>
      </c>
      <c r="BU161" t="s">
        <v>7360</v>
      </c>
      <c r="BV161" t="s">
        <v>7360</v>
      </c>
      <c r="BX161" t="s">
        <v>7391</v>
      </c>
      <c r="BY161">
        <v>74</v>
      </c>
      <c r="BZ161" t="s">
        <v>7360</v>
      </c>
      <c r="CA161" t="s">
        <v>7360</v>
      </c>
      <c r="CB161">
        <v>5558210</v>
      </c>
      <c r="CC161" s="21">
        <v>44956.430185185185</v>
      </c>
      <c r="CE161" t="s">
        <v>7392</v>
      </c>
      <c r="CF161">
        <v>1100101</v>
      </c>
      <c r="CG161">
        <v>53575</v>
      </c>
      <c r="CH161">
        <v>53575</v>
      </c>
      <c r="CI161" s="21">
        <v>44956.431076388886</v>
      </c>
      <c r="CJ161" t="s">
        <v>7393</v>
      </c>
      <c r="CK161" t="s">
        <v>7393</v>
      </c>
      <c r="CL161" t="s">
        <v>7394</v>
      </c>
      <c r="CM161" t="s">
        <v>7394</v>
      </c>
      <c r="CS161" t="s">
        <v>7361</v>
      </c>
      <c r="CT161" t="s">
        <v>7362</v>
      </c>
      <c r="CU161" t="s">
        <v>7362</v>
      </c>
      <c r="CV161" t="s">
        <v>7362</v>
      </c>
      <c r="CW161" t="s">
        <v>7362</v>
      </c>
      <c r="CX161">
        <v>1650000</v>
      </c>
      <c r="DA161">
        <v>0</v>
      </c>
    </row>
    <row r="162" spans="1:105" x14ac:dyDescent="0.3">
      <c r="A162">
        <v>1354</v>
      </c>
      <c r="B162" t="s">
        <v>7396</v>
      </c>
      <c r="C162">
        <v>184</v>
      </c>
      <c r="D162" s="20">
        <v>44953</v>
      </c>
      <c r="E162" t="s">
        <v>7372</v>
      </c>
      <c r="F162" t="s">
        <v>5633</v>
      </c>
      <c r="G162" t="s">
        <v>7370</v>
      </c>
      <c r="H162">
        <v>1</v>
      </c>
      <c r="I162" t="s">
        <v>7358</v>
      </c>
      <c r="J162">
        <v>1</v>
      </c>
      <c r="K162" s="20">
        <v>44956</v>
      </c>
      <c r="L162" s="23">
        <v>11550000</v>
      </c>
      <c r="M162" t="s">
        <v>7359</v>
      </c>
      <c r="N162" t="s">
        <v>7360</v>
      </c>
      <c r="O162">
        <v>0</v>
      </c>
      <c r="P162">
        <v>11849</v>
      </c>
      <c r="Q162">
        <v>416025</v>
      </c>
      <c r="R162">
        <v>0</v>
      </c>
      <c r="S162">
        <v>20230127</v>
      </c>
      <c r="T162">
        <v>0</v>
      </c>
      <c r="U162" t="s">
        <v>7362</v>
      </c>
      <c r="V162" t="s">
        <v>7360</v>
      </c>
      <c r="W162" t="s">
        <v>7360</v>
      </c>
      <c r="X162" t="s">
        <v>7360</v>
      </c>
      <c r="Y162" t="s">
        <v>7360</v>
      </c>
      <c r="Z162" t="s">
        <v>7360</v>
      </c>
      <c r="AA162" t="s">
        <v>7362</v>
      </c>
      <c r="AB162" t="s">
        <v>7360</v>
      </c>
      <c r="AC162" t="s">
        <v>7360</v>
      </c>
      <c r="AD162" t="s">
        <v>7360</v>
      </c>
      <c r="AE162" t="s">
        <v>7360</v>
      </c>
      <c r="AF162" t="s">
        <v>1684</v>
      </c>
      <c r="AG162">
        <v>0</v>
      </c>
      <c r="AH162">
        <v>0</v>
      </c>
      <c r="AI162">
        <v>0</v>
      </c>
      <c r="AJ162">
        <v>0</v>
      </c>
      <c r="AK162">
        <v>0</v>
      </c>
      <c r="AL162" t="s">
        <v>7360</v>
      </c>
      <c r="AM162">
        <v>0</v>
      </c>
      <c r="AN162" s="20">
        <v>44956</v>
      </c>
      <c r="AO162" s="20">
        <v>44956</v>
      </c>
      <c r="AP162" s="20">
        <v>44956</v>
      </c>
      <c r="AQ162">
        <v>0</v>
      </c>
      <c r="AR162">
        <v>0</v>
      </c>
      <c r="AS162">
        <v>0</v>
      </c>
      <c r="AT162">
        <v>0</v>
      </c>
      <c r="AU162">
        <v>0</v>
      </c>
      <c r="AV162" t="s">
        <v>7360</v>
      </c>
      <c r="AW162">
        <v>0</v>
      </c>
      <c r="AX162" t="s">
        <v>7360</v>
      </c>
      <c r="AY162" t="s">
        <v>7373</v>
      </c>
      <c r="BA162">
        <v>0</v>
      </c>
      <c r="BB162" s="20">
        <v>44956</v>
      </c>
      <c r="BC162">
        <v>0</v>
      </c>
      <c r="BD162" t="s">
        <v>7360</v>
      </c>
      <c r="BF162" s="20">
        <v>44956</v>
      </c>
      <c r="BG162">
        <v>0</v>
      </c>
      <c r="BH162" t="s">
        <v>7363</v>
      </c>
      <c r="BJ162" t="s">
        <v>7362</v>
      </c>
      <c r="BK162">
        <v>169</v>
      </c>
      <c r="BL162">
        <v>11</v>
      </c>
      <c r="BM162">
        <v>1</v>
      </c>
      <c r="BN162" t="s">
        <v>7364</v>
      </c>
      <c r="BO162">
        <v>169</v>
      </c>
      <c r="BP162">
        <v>11</v>
      </c>
      <c r="BQ162">
        <v>1</v>
      </c>
      <c r="BR162" t="s">
        <v>7364</v>
      </c>
      <c r="BS162" t="s">
        <v>132</v>
      </c>
      <c r="BT162" t="s">
        <v>7360</v>
      </c>
      <c r="BU162" t="s">
        <v>7360</v>
      </c>
      <c r="BV162" t="s">
        <v>7360</v>
      </c>
      <c r="BX162" t="s">
        <v>7391</v>
      </c>
      <c r="BY162">
        <v>74</v>
      </c>
      <c r="BZ162" t="s">
        <v>7360</v>
      </c>
      <c r="CA162" t="s">
        <v>7360</v>
      </c>
      <c r="CB162">
        <v>5558210</v>
      </c>
      <c r="CC162" s="21">
        <v>44956.435335648152</v>
      </c>
      <c r="CE162" t="s">
        <v>7392</v>
      </c>
      <c r="CF162">
        <v>1100101</v>
      </c>
      <c r="CG162">
        <v>53575</v>
      </c>
      <c r="CH162">
        <v>53575</v>
      </c>
      <c r="CI162" s="21">
        <v>44956.438194444447</v>
      </c>
      <c r="CJ162" t="s">
        <v>7393</v>
      </c>
      <c r="CK162" t="s">
        <v>7393</v>
      </c>
      <c r="CL162" t="s">
        <v>7394</v>
      </c>
      <c r="CM162" t="s">
        <v>7394</v>
      </c>
      <c r="CS162" t="s">
        <v>7361</v>
      </c>
      <c r="CT162" t="s">
        <v>7362</v>
      </c>
      <c r="CU162" t="s">
        <v>7362</v>
      </c>
      <c r="CV162" t="s">
        <v>7362</v>
      </c>
      <c r="CW162" t="s">
        <v>7362</v>
      </c>
      <c r="CX162">
        <v>11550000</v>
      </c>
      <c r="DA162">
        <v>0</v>
      </c>
    </row>
    <row r="163" spans="1:105" x14ac:dyDescent="0.3">
      <c r="A163">
        <v>1354</v>
      </c>
      <c r="B163" t="s">
        <v>7396</v>
      </c>
      <c r="C163">
        <v>185</v>
      </c>
      <c r="D163" s="20">
        <v>44956</v>
      </c>
      <c r="E163" t="s">
        <v>7356</v>
      </c>
      <c r="F163" t="s">
        <v>5639</v>
      </c>
      <c r="G163" t="s">
        <v>7370</v>
      </c>
      <c r="H163">
        <v>1</v>
      </c>
      <c r="I163" t="s">
        <v>7358</v>
      </c>
      <c r="J163">
        <v>1</v>
      </c>
      <c r="K163" s="20">
        <v>44956</v>
      </c>
      <c r="L163" s="23">
        <v>1650000</v>
      </c>
      <c r="M163" t="s">
        <v>7359</v>
      </c>
      <c r="N163" t="s">
        <v>7360</v>
      </c>
      <c r="O163">
        <v>0</v>
      </c>
      <c r="P163">
        <v>11851</v>
      </c>
      <c r="Q163">
        <v>416026</v>
      </c>
      <c r="R163">
        <v>0</v>
      </c>
      <c r="S163">
        <v>20230130</v>
      </c>
      <c r="T163">
        <v>0</v>
      </c>
      <c r="U163" t="s">
        <v>7361</v>
      </c>
      <c r="V163" t="s">
        <v>7360</v>
      </c>
      <c r="W163" t="s">
        <v>7360</v>
      </c>
      <c r="X163" t="s">
        <v>7360</v>
      </c>
      <c r="Y163" t="s">
        <v>7360</v>
      </c>
      <c r="Z163" t="s">
        <v>7360</v>
      </c>
      <c r="AA163" t="s">
        <v>7362</v>
      </c>
      <c r="AB163" t="s">
        <v>7360</v>
      </c>
      <c r="AC163" t="s">
        <v>7360</v>
      </c>
      <c r="AD163" t="s">
        <v>7360</v>
      </c>
      <c r="AE163" t="s">
        <v>7360</v>
      </c>
      <c r="AF163" t="s">
        <v>1684</v>
      </c>
      <c r="AG163">
        <v>0</v>
      </c>
      <c r="AH163">
        <v>0</v>
      </c>
      <c r="AI163">
        <v>0</v>
      </c>
      <c r="AJ163">
        <v>0</v>
      </c>
      <c r="AK163">
        <v>0</v>
      </c>
      <c r="AL163" t="s">
        <v>7360</v>
      </c>
      <c r="AM163">
        <v>0</v>
      </c>
      <c r="AN163" s="20">
        <v>44956</v>
      </c>
      <c r="AO163" s="20">
        <v>44956</v>
      </c>
      <c r="AP163" s="20">
        <v>44956</v>
      </c>
      <c r="AQ163">
        <v>0</v>
      </c>
      <c r="AR163">
        <v>0</v>
      </c>
      <c r="AS163">
        <v>0</v>
      </c>
      <c r="AT163">
        <v>0</v>
      </c>
      <c r="AU163">
        <v>0</v>
      </c>
      <c r="AV163" t="s">
        <v>7360</v>
      </c>
      <c r="AW163">
        <v>0</v>
      </c>
      <c r="AX163" t="s">
        <v>7360</v>
      </c>
      <c r="AY163" t="s">
        <v>7363</v>
      </c>
      <c r="BA163">
        <v>0</v>
      </c>
      <c r="BB163" s="20">
        <v>44956</v>
      </c>
      <c r="BC163">
        <v>0</v>
      </c>
      <c r="BD163" t="s">
        <v>7360</v>
      </c>
      <c r="BF163" s="20">
        <v>44956</v>
      </c>
      <c r="BG163">
        <v>0</v>
      </c>
      <c r="BH163" t="s">
        <v>7363</v>
      </c>
      <c r="BJ163" t="s">
        <v>7362</v>
      </c>
      <c r="BK163">
        <v>169</v>
      </c>
      <c r="BL163">
        <v>11</v>
      </c>
      <c r="BM163">
        <v>1</v>
      </c>
      <c r="BN163" t="s">
        <v>7364</v>
      </c>
      <c r="BO163">
        <v>169</v>
      </c>
      <c r="BP163">
        <v>11</v>
      </c>
      <c r="BQ163">
        <v>1</v>
      </c>
      <c r="BR163" t="s">
        <v>7364</v>
      </c>
      <c r="BS163" t="s">
        <v>132</v>
      </c>
      <c r="BT163" t="s">
        <v>7360</v>
      </c>
      <c r="BU163" t="s">
        <v>7360</v>
      </c>
      <c r="BV163" t="s">
        <v>7360</v>
      </c>
      <c r="BX163" t="s">
        <v>7391</v>
      </c>
      <c r="BY163">
        <v>74</v>
      </c>
      <c r="BZ163" t="s">
        <v>7360</v>
      </c>
      <c r="CA163" t="s">
        <v>7360</v>
      </c>
      <c r="CB163">
        <v>5558210</v>
      </c>
      <c r="CC163" s="21">
        <v>44956.453750000001</v>
      </c>
      <c r="CE163" t="s">
        <v>7392</v>
      </c>
      <c r="CF163">
        <v>1100101</v>
      </c>
      <c r="CG163">
        <v>53575</v>
      </c>
      <c r="CH163">
        <v>53575</v>
      </c>
      <c r="CI163" s="21">
        <v>44956.455127314817</v>
      </c>
      <c r="CJ163" t="s">
        <v>7393</v>
      </c>
      <c r="CK163" t="s">
        <v>7393</v>
      </c>
      <c r="CL163" t="s">
        <v>7394</v>
      </c>
      <c r="CM163" t="s">
        <v>7394</v>
      </c>
      <c r="CS163" t="s">
        <v>7361</v>
      </c>
      <c r="CT163" t="s">
        <v>7362</v>
      </c>
      <c r="CU163" t="s">
        <v>7362</v>
      </c>
      <c r="CV163" t="s">
        <v>7362</v>
      </c>
      <c r="CW163" t="s">
        <v>7362</v>
      </c>
      <c r="CX163">
        <v>1650000</v>
      </c>
      <c r="DA163">
        <v>0</v>
      </c>
    </row>
    <row r="164" spans="1:105" x14ac:dyDescent="0.3">
      <c r="A164">
        <v>1354</v>
      </c>
      <c r="B164" t="s">
        <v>7396</v>
      </c>
      <c r="C164">
        <v>186</v>
      </c>
      <c r="D164" s="20">
        <v>44953</v>
      </c>
      <c r="E164" t="s">
        <v>7356</v>
      </c>
      <c r="F164" t="s">
        <v>5633</v>
      </c>
      <c r="G164" t="s">
        <v>7370</v>
      </c>
      <c r="H164">
        <v>1</v>
      </c>
      <c r="I164" t="s">
        <v>7358</v>
      </c>
      <c r="J164">
        <v>1</v>
      </c>
      <c r="K164" s="20">
        <v>44956</v>
      </c>
      <c r="L164" s="23">
        <v>1350000</v>
      </c>
      <c r="M164" t="s">
        <v>7359</v>
      </c>
      <c r="N164" t="s">
        <v>7360</v>
      </c>
      <c r="O164">
        <v>0</v>
      </c>
      <c r="P164">
        <v>11852</v>
      </c>
      <c r="Q164">
        <v>416027</v>
      </c>
      <c r="R164">
        <v>0</v>
      </c>
      <c r="S164">
        <v>20230127</v>
      </c>
      <c r="T164">
        <v>0</v>
      </c>
      <c r="U164" t="s">
        <v>7361</v>
      </c>
      <c r="V164" t="s">
        <v>7360</v>
      </c>
      <c r="W164" t="s">
        <v>7360</v>
      </c>
      <c r="X164" t="s">
        <v>7360</v>
      </c>
      <c r="Y164" t="s">
        <v>7360</v>
      </c>
      <c r="Z164" t="s">
        <v>7360</v>
      </c>
      <c r="AA164" t="s">
        <v>7362</v>
      </c>
      <c r="AB164" t="s">
        <v>7360</v>
      </c>
      <c r="AC164" t="s">
        <v>7360</v>
      </c>
      <c r="AD164" t="s">
        <v>7360</v>
      </c>
      <c r="AE164" t="s">
        <v>7360</v>
      </c>
      <c r="AF164" t="s">
        <v>1684</v>
      </c>
      <c r="AG164">
        <v>0</v>
      </c>
      <c r="AH164">
        <v>0</v>
      </c>
      <c r="AI164">
        <v>0</v>
      </c>
      <c r="AJ164">
        <v>0</v>
      </c>
      <c r="AK164">
        <v>0</v>
      </c>
      <c r="AL164" t="s">
        <v>7360</v>
      </c>
      <c r="AM164">
        <v>0</v>
      </c>
      <c r="AN164" s="20">
        <v>44956</v>
      </c>
      <c r="AO164" s="20">
        <v>44956</v>
      </c>
      <c r="AP164" s="20">
        <v>44956</v>
      </c>
      <c r="AQ164">
        <v>0</v>
      </c>
      <c r="AR164">
        <v>0</v>
      </c>
      <c r="AS164">
        <v>0</v>
      </c>
      <c r="AT164">
        <v>0</v>
      </c>
      <c r="AU164">
        <v>0</v>
      </c>
      <c r="AV164" t="s">
        <v>7360</v>
      </c>
      <c r="AW164">
        <v>0</v>
      </c>
      <c r="AX164" t="s">
        <v>7360</v>
      </c>
      <c r="AY164" t="s">
        <v>7363</v>
      </c>
      <c r="BA164">
        <v>0</v>
      </c>
      <c r="BB164" s="20">
        <v>44956</v>
      </c>
      <c r="BC164">
        <v>0</v>
      </c>
      <c r="BD164" t="s">
        <v>7360</v>
      </c>
      <c r="BF164" s="20">
        <v>44956</v>
      </c>
      <c r="BG164">
        <v>0</v>
      </c>
      <c r="BH164" t="s">
        <v>7363</v>
      </c>
      <c r="BJ164" t="s">
        <v>7362</v>
      </c>
      <c r="BK164">
        <v>169</v>
      </c>
      <c r="BL164">
        <v>11</v>
      </c>
      <c r="BM164">
        <v>1</v>
      </c>
      <c r="BN164" t="s">
        <v>7364</v>
      </c>
      <c r="BO164">
        <v>169</v>
      </c>
      <c r="BP164">
        <v>11</v>
      </c>
      <c r="BQ164">
        <v>1</v>
      </c>
      <c r="BR164" t="s">
        <v>7364</v>
      </c>
      <c r="BS164" t="s">
        <v>132</v>
      </c>
      <c r="BT164" t="s">
        <v>7360</v>
      </c>
      <c r="BU164" t="s">
        <v>7360</v>
      </c>
      <c r="BV164" t="s">
        <v>7360</v>
      </c>
      <c r="BX164" t="s">
        <v>7391</v>
      </c>
      <c r="BY164">
        <v>74</v>
      </c>
      <c r="BZ164" t="s">
        <v>7360</v>
      </c>
      <c r="CA164" t="s">
        <v>7360</v>
      </c>
      <c r="CB164">
        <v>5558210</v>
      </c>
      <c r="CC164" s="21">
        <v>44956.458749999998</v>
      </c>
      <c r="CE164" t="s">
        <v>7392</v>
      </c>
      <c r="CF164">
        <v>1100101</v>
      </c>
      <c r="CG164">
        <v>53575</v>
      </c>
      <c r="CH164">
        <v>53575</v>
      </c>
      <c r="CI164" s="21">
        <v>44956.460243055553</v>
      </c>
      <c r="CJ164" t="s">
        <v>7393</v>
      </c>
      <c r="CK164" t="s">
        <v>7393</v>
      </c>
      <c r="CL164" t="s">
        <v>7394</v>
      </c>
      <c r="CM164" t="s">
        <v>7394</v>
      </c>
      <c r="CS164" t="s">
        <v>7361</v>
      </c>
      <c r="CT164" t="s">
        <v>7362</v>
      </c>
      <c r="CU164" t="s">
        <v>7362</v>
      </c>
      <c r="CV164" t="s">
        <v>7362</v>
      </c>
      <c r="CW164" t="s">
        <v>7362</v>
      </c>
      <c r="CX164">
        <v>1350000</v>
      </c>
      <c r="DA164">
        <v>0</v>
      </c>
    </row>
    <row r="165" spans="1:105" x14ac:dyDescent="0.3">
      <c r="A165">
        <v>1354</v>
      </c>
      <c r="B165" t="s">
        <v>7396</v>
      </c>
      <c r="C165">
        <v>187</v>
      </c>
      <c r="D165" s="20">
        <v>44953</v>
      </c>
      <c r="E165" t="s">
        <v>7356</v>
      </c>
      <c r="F165" t="s">
        <v>5639</v>
      </c>
      <c r="G165" t="s">
        <v>7370</v>
      </c>
      <c r="H165">
        <v>1</v>
      </c>
      <c r="I165" t="s">
        <v>7358</v>
      </c>
      <c r="J165">
        <v>1</v>
      </c>
      <c r="K165" s="20">
        <v>44956</v>
      </c>
      <c r="L165" s="23">
        <v>5250000</v>
      </c>
      <c r="M165" t="s">
        <v>7359</v>
      </c>
      <c r="N165" t="s">
        <v>7360</v>
      </c>
      <c r="O165">
        <v>0</v>
      </c>
      <c r="P165">
        <v>11854</v>
      </c>
      <c r="Q165">
        <v>416031</v>
      </c>
      <c r="R165">
        <v>0</v>
      </c>
      <c r="S165">
        <v>20230127</v>
      </c>
      <c r="T165">
        <v>0</v>
      </c>
      <c r="U165" t="s">
        <v>7361</v>
      </c>
      <c r="V165" t="s">
        <v>7360</v>
      </c>
      <c r="W165" t="s">
        <v>7360</v>
      </c>
      <c r="X165" t="s">
        <v>7360</v>
      </c>
      <c r="Y165" t="s">
        <v>7360</v>
      </c>
      <c r="Z165" t="s">
        <v>7360</v>
      </c>
      <c r="AA165" t="s">
        <v>7362</v>
      </c>
      <c r="AB165" t="s">
        <v>7360</v>
      </c>
      <c r="AC165" t="s">
        <v>7360</v>
      </c>
      <c r="AD165" t="s">
        <v>7360</v>
      </c>
      <c r="AE165" t="s">
        <v>7360</v>
      </c>
      <c r="AF165" t="s">
        <v>1684</v>
      </c>
      <c r="AG165">
        <v>0</v>
      </c>
      <c r="AH165">
        <v>0</v>
      </c>
      <c r="AI165">
        <v>0</v>
      </c>
      <c r="AJ165">
        <v>0</v>
      </c>
      <c r="AK165">
        <v>0</v>
      </c>
      <c r="AL165" t="s">
        <v>7360</v>
      </c>
      <c r="AM165">
        <v>0</v>
      </c>
      <c r="AN165" s="20">
        <v>44956</v>
      </c>
      <c r="AO165" s="20">
        <v>44956</v>
      </c>
      <c r="AP165" s="20">
        <v>44956</v>
      </c>
      <c r="AQ165">
        <v>0</v>
      </c>
      <c r="AR165">
        <v>0</v>
      </c>
      <c r="AS165">
        <v>0</v>
      </c>
      <c r="AT165">
        <v>0</v>
      </c>
      <c r="AU165">
        <v>0</v>
      </c>
      <c r="AV165" t="s">
        <v>7360</v>
      </c>
      <c r="AW165">
        <v>0</v>
      </c>
      <c r="AX165" t="s">
        <v>7360</v>
      </c>
      <c r="AY165" t="s">
        <v>7363</v>
      </c>
      <c r="BA165">
        <v>0</v>
      </c>
      <c r="BB165" s="20">
        <v>44956</v>
      </c>
      <c r="BC165">
        <v>0</v>
      </c>
      <c r="BD165" t="s">
        <v>7360</v>
      </c>
      <c r="BF165" s="20">
        <v>44956</v>
      </c>
      <c r="BG165">
        <v>0</v>
      </c>
      <c r="BH165" t="s">
        <v>7363</v>
      </c>
      <c r="BJ165" t="s">
        <v>7362</v>
      </c>
      <c r="BK165">
        <v>169</v>
      </c>
      <c r="BL165">
        <v>11</v>
      </c>
      <c r="BM165">
        <v>1</v>
      </c>
      <c r="BN165" t="s">
        <v>7364</v>
      </c>
      <c r="BO165">
        <v>169</v>
      </c>
      <c r="BP165">
        <v>11</v>
      </c>
      <c r="BQ165">
        <v>1</v>
      </c>
      <c r="BR165" t="s">
        <v>7364</v>
      </c>
      <c r="BS165" t="s">
        <v>132</v>
      </c>
      <c r="BT165" t="s">
        <v>7360</v>
      </c>
      <c r="BU165" t="s">
        <v>7360</v>
      </c>
      <c r="BV165" t="s">
        <v>7360</v>
      </c>
      <c r="BX165" t="s">
        <v>7391</v>
      </c>
      <c r="BY165">
        <v>74</v>
      </c>
      <c r="BZ165" t="s">
        <v>7360</v>
      </c>
      <c r="CA165" t="s">
        <v>7360</v>
      </c>
      <c r="CB165">
        <v>5558210</v>
      </c>
      <c r="CC165" s="21">
        <v>44956.469918981478</v>
      </c>
      <c r="CE165" t="s">
        <v>7392</v>
      </c>
      <c r="CF165">
        <v>1100101</v>
      </c>
      <c r="CG165">
        <v>53575</v>
      </c>
      <c r="CH165">
        <v>53575</v>
      </c>
      <c r="CI165" s="21">
        <v>44956.470694444448</v>
      </c>
      <c r="CJ165" t="s">
        <v>7393</v>
      </c>
      <c r="CK165" t="s">
        <v>7393</v>
      </c>
      <c r="CL165" t="s">
        <v>7394</v>
      </c>
      <c r="CM165" t="s">
        <v>7394</v>
      </c>
      <c r="CS165" t="s">
        <v>7361</v>
      </c>
      <c r="CT165" t="s">
        <v>7362</v>
      </c>
      <c r="CU165" t="s">
        <v>7362</v>
      </c>
      <c r="CV165" t="s">
        <v>7362</v>
      </c>
      <c r="CW165" t="s">
        <v>7362</v>
      </c>
      <c r="CX165">
        <v>5250000</v>
      </c>
      <c r="DA165">
        <v>0</v>
      </c>
    </row>
    <row r="166" spans="1:105" x14ac:dyDescent="0.3">
      <c r="A166">
        <v>1354</v>
      </c>
      <c r="B166" t="s">
        <v>7396</v>
      </c>
      <c r="C166">
        <v>188</v>
      </c>
      <c r="D166" s="20">
        <v>44953</v>
      </c>
      <c r="E166" t="s">
        <v>7356</v>
      </c>
      <c r="F166" t="s">
        <v>5633</v>
      </c>
      <c r="G166" t="s">
        <v>7370</v>
      </c>
      <c r="H166">
        <v>1</v>
      </c>
      <c r="I166" t="s">
        <v>7358</v>
      </c>
      <c r="J166">
        <v>1</v>
      </c>
      <c r="K166" s="20">
        <v>44956</v>
      </c>
      <c r="L166" s="23">
        <v>1950000</v>
      </c>
      <c r="M166" t="s">
        <v>7359</v>
      </c>
      <c r="N166" t="s">
        <v>7360</v>
      </c>
      <c r="O166">
        <v>0</v>
      </c>
      <c r="P166">
        <v>11859</v>
      </c>
      <c r="Q166">
        <v>416032</v>
      </c>
      <c r="R166">
        <v>0</v>
      </c>
      <c r="S166">
        <v>20230127</v>
      </c>
      <c r="T166">
        <v>0</v>
      </c>
      <c r="U166" t="s">
        <v>7361</v>
      </c>
      <c r="V166" t="s">
        <v>7360</v>
      </c>
      <c r="W166" t="s">
        <v>7360</v>
      </c>
      <c r="X166" t="s">
        <v>7360</v>
      </c>
      <c r="Y166" t="s">
        <v>7360</v>
      </c>
      <c r="Z166" t="s">
        <v>7360</v>
      </c>
      <c r="AA166" t="s">
        <v>7362</v>
      </c>
      <c r="AB166" t="s">
        <v>7360</v>
      </c>
      <c r="AC166" t="s">
        <v>7360</v>
      </c>
      <c r="AD166" t="s">
        <v>7360</v>
      </c>
      <c r="AE166" t="s">
        <v>7360</v>
      </c>
      <c r="AF166" t="s">
        <v>1684</v>
      </c>
      <c r="AG166">
        <v>0</v>
      </c>
      <c r="AH166">
        <v>0</v>
      </c>
      <c r="AI166">
        <v>0</v>
      </c>
      <c r="AJ166">
        <v>0</v>
      </c>
      <c r="AK166">
        <v>0</v>
      </c>
      <c r="AL166" t="s">
        <v>7360</v>
      </c>
      <c r="AM166">
        <v>0</v>
      </c>
      <c r="AN166" s="20">
        <v>44956</v>
      </c>
      <c r="AO166" s="20">
        <v>44956</v>
      </c>
      <c r="AP166" s="20">
        <v>44956</v>
      </c>
      <c r="AQ166">
        <v>0</v>
      </c>
      <c r="AR166">
        <v>0</v>
      </c>
      <c r="AS166">
        <v>0</v>
      </c>
      <c r="AT166">
        <v>0</v>
      </c>
      <c r="AU166">
        <v>0</v>
      </c>
      <c r="AV166" t="s">
        <v>7360</v>
      </c>
      <c r="AW166">
        <v>0</v>
      </c>
      <c r="AX166" t="s">
        <v>7360</v>
      </c>
      <c r="AY166" t="s">
        <v>7363</v>
      </c>
      <c r="BA166">
        <v>0</v>
      </c>
      <c r="BB166" s="20">
        <v>44956</v>
      </c>
      <c r="BC166">
        <v>0</v>
      </c>
      <c r="BD166" t="s">
        <v>7360</v>
      </c>
      <c r="BF166" s="20">
        <v>44956</v>
      </c>
      <c r="BG166">
        <v>0</v>
      </c>
      <c r="BH166" t="s">
        <v>7363</v>
      </c>
      <c r="BJ166" t="s">
        <v>7362</v>
      </c>
      <c r="BK166">
        <v>169</v>
      </c>
      <c r="BL166">
        <v>11</v>
      </c>
      <c r="BM166">
        <v>1</v>
      </c>
      <c r="BN166" t="s">
        <v>7364</v>
      </c>
      <c r="BO166">
        <v>169</v>
      </c>
      <c r="BP166">
        <v>11</v>
      </c>
      <c r="BQ166">
        <v>1</v>
      </c>
      <c r="BR166" t="s">
        <v>7364</v>
      </c>
      <c r="BS166" t="s">
        <v>132</v>
      </c>
      <c r="BT166" t="s">
        <v>7360</v>
      </c>
      <c r="BU166" t="s">
        <v>7360</v>
      </c>
      <c r="BV166" t="s">
        <v>7360</v>
      </c>
      <c r="BX166" t="s">
        <v>7391</v>
      </c>
      <c r="BY166">
        <v>74</v>
      </c>
      <c r="BZ166" t="s">
        <v>7360</v>
      </c>
      <c r="CA166" t="s">
        <v>7360</v>
      </c>
      <c r="CB166">
        <v>5558210</v>
      </c>
      <c r="CC166" s="21">
        <v>44956.493622685186</v>
      </c>
      <c r="CE166" t="s">
        <v>7392</v>
      </c>
      <c r="CF166">
        <v>1100101</v>
      </c>
      <c r="CG166">
        <v>53575</v>
      </c>
      <c r="CH166">
        <v>53575</v>
      </c>
      <c r="CI166" s="21">
        <v>44956.49454861111</v>
      </c>
      <c r="CJ166" t="s">
        <v>7393</v>
      </c>
      <c r="CK166" t="s">
        <v>7393</v>
      </c>
      <c r="CL166" t="s">
        <v>7394</v>
      </c>
      <c r="CM166" t="s">
        <v>7394</v>
      </c>
      <c r="CS166" t="s">
        <v>7361</v>
      </c>
      <c r="CT166" t="s">
        <v>7362</v>
      </c>
      <c r="CU166" t="s">
        <v>7362</v>
      </c>
      <c r="CV166" t="s">
        <v>7362</v>
      </c>
      <c r="CW166" t="s">
        <v>7362</v>
      </c>
      <c r="CX166">
        <v>1950000</v>
      </c>
      <c r="DA166">
        <v>0</v>
      </c>
    </row>
    <row r="167" spans="1:105" x14ac:dyDescent="0.3">
      <c r="A167">
        <v>1354</v>
      </c>
      <c r="B167" t="s">
        <v>7396</v>
      </c>
      <c r="C167">
        <v>189</v>
      </c>
      <c r="D167" s="20">
        <v>44953</v>
      </c>
      <c r="E167" t="s">
        <v>7356</v>
      </c>
      <c r="F167" t="s">
        <v>5639</v>
      </c>
      <c r="G167" t="s">
        <v>7370</v>
      </c>
      <c r="H167">
        <v>1</v>
      </c>
      <c r="I167" t="s">
        <v>7358</v>
      </c>
      <c r="J167">
        <v>1</v>
      </c>
      <c r="K167" s="20">
        <v>44956</v>
      </c>
      <c r="L167" s="23">
        <v>1650000</v>
      </c>
      <c r="M167" t="s">
        <v>7359</v>
      </c>
      <c r="N167" t="s">
        <v>7360</v>
      </c>
      <c r="O167">
        <v>0</v>
      </c>
      <c r="P167">
        <v>11860</v>
      </c>
      <c r="Q167">
        <v>416033</v>
      </c>
      <c r="R167">
        <v>0</v>
      </c>
      <c r="S167">
        <v>20230127</v>
      </c>
      <c r="T167">
        <v>0</v>
      </c>
      <c r="U167" t="s">
        <v>7361</v>
      </c>
      <c r="V167" t="s">
        <v>7360</v>
      </c>
      <c r="W167" t="s">
        <v>7360</v>
      </c>
      <c r="X167" t="s">
        <v>7360</v>
      </c>
      <c r="Y167" t="s">
        <v>7360</v>
      </c>
      <c r="Z167" t="s">
        <v>7360</v>
      </c>
      <c r="AA167" t="s">
        <v>7362</v>
      </c>
      <c r="AB167" t="s">
        <v>7360</v>
      </c>
      <c r="AC167" t="s">
        <v>7360</v>
      </c>
      <c r="AD167" t="s">
        <v>7360</v>
      </c>
      <c r="AE167" t="s">
        <v>7360</v>
      </c>
      <c r="AF167" t="s">
        <v>1684</v>
      </c>
      <c r="AG167">
        <v>0</v>
      </c>
      <c r="AH167">
        <v>0</v>
      </c>
      <c r="AI167">
        <v>0</v>
      </c>
      <c r="AJ167">
        <v>0</v>
      </c>
      <c r="AK167">
        <v>0</v>
      </c>
      <c r="AL167" t="s">
        <v>7360</v>
      </c>
      <c r="AM167">
        <v>0</v>
      </c>
      <c r="AN167" s="20">
        <v>44956</v>
      </c>
      <c r="AO167" s="20">
        <v>44956</v>
      </c>
      <c r="AP167" s="20">
        <v>44956</v>
      </c>
      <c r="AQ167">
        <v>0</v>
      </c>
      <c r="AR167">
        <v>0</v>
      </c>
      <c r="AS167">
        <v>0</v>
      </c>
      <c r="AT167">
        <v>0</v>
      </c>
      <c r="AU167">
        <v>0</v>
      </c>
      <c r="AV167" t="s">
        <v>7360</v>
      </c>
      <c r="AW167">
        <v>0</v>
      </c>
      <c r="AX167" t="s">
        <v>7360</v>
      </c>
      <c r="AY167" t="s">
        <v>7363</v>
      </c>
      <c r="BA167">
        <v>0</v>
      </c>
      <c r="BB167" s="20">
        <v>44956</v>
      </c>
      <c r="BC167">
        <v>0</v>
      </c>
      <c r="BD167" t="s">
        <v>7360</v>
      </c>
      <c r="BF167" s="20">
        <v>44956</v>
      </c>
      <c r="BG167">
        <v>0</v>
      </c>
      <c r="BH167" t="s">
        <v>7363</v>
      </c>
      <c r="BJ167" t="s">
        <v>7362</v>
      </c>
      <c r="BK167">
        <v>169</v>
      </c>
      <c r="BL167">
        <v>11</v>
      </c>
      <c r="BM167">
        <v>1</v>
      </c>
      <c r="BN167" t="s">
        <v>7364</v>
      </c>
      <c r="BO167">
        <v>169</v>
      </c>
      <c r="BP167">
        <v>11</v>
      </c>
      <c r="BQ167">
        <v>1</v>
      </c>
      <c r="BR167" t="s">
        <v>7364</v>
      </c>
      <c r="BS167" t="s">
        <v>132</v>
      </c>
      <c r="BT167" t="s">
        <v>7360</v>
      </c>
      <c r="BU167" t="s">
        <v>7360</v>
      </c>
      <c r="BV167" t="s">
        <v>7360</v>
      </c>
      <c r="BX167" t="s">
        <v>7391</v>
      </c>
      <c r="BY167">
        <v>74</v>
      </c>
      <c r="BZ167" t="s">
        <v>7360</v>
      </c>
      <c r="CA167" t="s">
        <v>7360</v>
      </c>
      <c r="CB167">
        <v>5558210</v>
      </c>
      <c r="CC167" s="21">
        <v>44956.610300925924</v>
      </c>
      <c r="CE167" t="s">
        <v>7392</v>
      </c>
      <c r="CF167">
        <v>1100101</v>
      </c>
      <c r="CG167">
        <v>53575</v>
      </c>
      <c r="CH167">
        <v>53575</v>
      </c>
      <c r="CI167" s="21">
        <v>44956.634467592594</v>
      </c>
      <c r="CJ167" t="s">
        <v>7393</v>
      </c>
      <c r="CK167" t="s">
        <v>7393</v>
      </c>
      <c r="CL167" t="s">
        <v>7394</v>
      </c>
      <c r="CM167" t="s">
        <v>7394</v>
      </c>
      <c r="CS167" t="s">
        <v>7361</v>
      </c>
      <c r="CT167" t="s">
        <v>7362</v>
      </c>
      <c r="CU167" t="s">
        <v>7362</v>
      </c>
      <c r="CV167" t="s">
        <v>7362</v>
      </c>
      <c r="CW167" t="s">
        <v>7362</v>
      </c>
      <c r="CX167">
        <v>1650000</v>
      </c>
      <c r="DA167">
        <v>0</v>
      </c>
    </row>
    <row r="168" spans="1:105" x14ac:dyDescent="0.3">
      <c r="A168">
        <v>1354</v>
      </c>
      <c r="B168" t="s">
        <v>7396</v>
      </c>
      <c r="C168">
        <v>190</v>
      </c>
      <c r="D168" s="20">
        <v>44953</v>
      </c>
      <c r="E168" t="s">
        <v>7356</v>
      </c>
      <c r="F168" t="s">
        <v>5633</v>
      </c>
      <c r="G168" t="s">
        <v>7370</v>
      </c>
      <c r="H168">
        <v>1</v>
      </c>
      <c r="I168" t="s">
        <v>7358</v>
      </c>
      <c r="J168">
        <v>1</v>
      </c>
      <c r="K168" s="20">
        <v>44956</v>
      </c>
      <c r="L168" s="23">
        <v>1950000</v>
      </c>
      <c r="M168" t="s">
        <v>7359</v>
      </c>
      <c r="N168" t="s">
        <v>7360</v>
      </c>
      <c r="O168">
        <v>0</v>
      </c>
      <c r="P168">
        <v>11861</v>
      </c>
      <c r="Q168">
        <v>416034</v>
      </c>
      <c r="R168">
        <v>0</v>
      </c>
      <c r="S168">
        <v>20230127</v>
      </c>
      <c r="T168">
        <v>0</v>
      </c>
      <c r="U168" t="s">
        <v>7361</v>
      </c>
      <c r="V168" t="s">
        <v>7360</v>
      </c>
      <c r="W168" t="s">
        <v>7360</v>
      </c>
      <c r="X168" t="s">
        <v>7360</v>
      </c>
      <c r="Y168" t="s">
        <v>7360</v>
      </c>
      <c r="Z168" t="s">
        <v>7360</v>
      </c>
      <c r="AA168" t="s">
        <v>7362</v>
      </c>
      <c r="AB168" t="s">
        <v>7360</v>
      </c>
      <c r="AC168" t="s">
        <v>7360</v>
      </c>
      <c r="AD168" t="s">
        <v>7360</v>
      </c>
      <c r="AE168" t="s">
        <v>7360</v>
      </c>
      <c r="AF168" t="s">
        <v>1684</v>
      </c>
      <c r="AG168">
        <v>0</v>
      </c>
      <c r="AH168">
        <v>0</v>
      </c>
      <c r="AI168">
        <v>0</v>
      </c>
      <c r="AJ168">
        <v>0</v>
      </c>
      <c r="AK168">
        <v>0</v>
      </c>
      <c r="AL168" t="s">
        <v>7360</v>
      </c>
      <c r="AM168">
        <v>0</v>
      </c>
      <c r="AN168" s="20">
        <v>44956</v>
      </c>
      <c r="AO168" s="20">
        <v>44956</v>
      </c>
      <c r="AP168" s="20">
        <v>44956</v>
      </c>
      <c r="AQ168">
        <v>0</v>
      </c>
      <c r="AR168">
        <v>0</v>
      </c>
      <c r="AS168">
        <v>0</v>
      </c>
      <c r="AT168">
        <v>0</v>
      </c>
      <c r="AU168">
        <v>0</v>
      </c>
      <c r="AV168" t="s">
        <v>7360</v>
      </c>
      <c r="AW168">
        <v>0</v>
      </c>
      <c r="AX168" t="s">
        <v>7360</v>
      </c>
      <c r="AY168" t="s">
        <v>7363</v>
      </c>
      <c r="BA168">
        <v>0</v>
      </c>
      <c r="BB168" s="20">
        <v>44956</v>
      </c>
      <c r="BC168">
        <v>0</v>
      </c>
      <c r="BD168" t="s">
        <v>7360</v>
      </c>
      <c r="BF168" s="20">
        <v>44956</v>
      </c>
      <c r="BG168">
        <v>0</v>
      </c>
      <c r="BH168" t="s">
        <v>7363</v>
      </c>
      <c r="BJ168" t="s">
        <v>7362</v>
      </c>
      <c r="BK168">
        <v>169</v>
      </c>
      <c r="BL168">
        <v>11</v>
      </c>
      <c r="BM168">
        <v>1</v>
      </c>
      <c r="BN168" t="s">
        <v>7364</v>
      </c>
      <c r="BO168">
        <v>169</v>
      </c>
      <c r="BP168">
        <v>11</v>
      </c>
      <c r="BQ168">
        <v>1</v>
      </c>
      <c r="BR168" t="s">
        <v>7364</v>
      </c>
      <c r="BS168" t="s">
        <v>132</v>
      </c>
      <c r="BT168" t="s">
        <v>7360</v>
      </c>
      <c r="BU168" t="s">
        <v>7360</v>
      </c>
      <c r="BV168" t="s">
        <v>7360</v>
      </c>
      <c r="BX168" t="s">
        <v>7391</v>
      </c>
      <c r="BY168">
        <v>74</v>
      </c>
      <c r="BZ168" t="s">
        <v>7360</v>
      </c>
      <c r="CA168" t="s">
        <v>7360</v>
      </c>
      <c r="CB168">
        <v>5558210</v>
      </c>
      <c r="CC168" s="21">
        <v>44956.642280092594</v>
      </c>
      <c r="CE168" t="s">
        <v>7392</v>
      </c>
      <c r="CF168">
        <v>1100101</v>
      </c>
      <c r="CG168">
        <v>53575</v>
      </c>
      <c r="CH168">
        <v>53575</v>
      </c>
      <c r="CI168" s="21">
        <v>44956.643553240741</v>
      </c>
      <c r="CJ168" t="s">
        <v>7393</v>
      </c>
      <c r="CK168" t="s">
        <v>7393</v>
      </c>
      <c r="CL168" t="s">
        <v>7394</v>
      </c>
      <c r="CM168" t="s">
        <v>7394</v>
      </c>
      <c r="CS168" t="s">
        <v>7361</v>
      </c>
      <c r="CT168" t="s">
        <v>7362</v>
      </c>
      <c r="CU168" t="s">
        <v>7362</v>
      </c>
      <c r="CV168" t="s">
        <v>7362</v>
      </c>
      <c r="CW168" t="s">
        <v>7362</v>
      </c>
      <c r="CX168">
        <v>1950000</v>
      </c>
      <c r="DA168">
        <v>0</v>
      </c>
    </row>
    <row r="169" spans="1:105" x14ac:dyDescent="0.3">
      <c r="A169">
        <v>1354</v>
      </c>
      <c r="B169" t="s">
        <v>7396</v>
      </c>
      <c r="C169">
        <v>191</v>
      </c>
      <c r="D169" s="20">
        <v>44953</v>
      </c>
      <c r="E169" t="s">
        <v>7356</v>
      </c>
      <c r="F169" t="s">
        <v>5639</v>
      </c>
      <c r="G169" t="s">
        <v>7370</v>
      </c>
      <c r="H169">
        <v>1</v>
      </c>
      <c r="I169" t="s">
        <v>7358</v>
      </c>
      <c r="J169">
        <v>1</v>
      </c>
      <c r="K169" s="20">
        <v>44956</v>
      </c>
      <c r="L169" s="23">
        <v>1950000</v>
      </c>
      <c r="M169" t="s">
        <v>7359</v>
      </c>
      <c r="N169" t="s">
        <v>7360</v>
      </c>
      <c r="O169">
        <v>0</v>
      </c>
      <c r="P169">
        <v>11864</v>
      </c>
      <c r="Q169">
        <v>416036</v>
      </c>
      <c r="R169">
        <v>0</v>
      </c>
      <c r="S169">
        <v>20230127</v>
      </c>
      <c r="T169">
        <v>0</v>
      </c>
      <c r="U169" t="s">
        <v>7361</v>
      </c>
      <c r="V169" t="s">
        <v>7360</v>
      </c>
      <c r="W169" t="s">
        <v>7360</v>
      </c>
      <c r="X169" t="s">
        <v>7360</v>
      </c>
      <c r="Y169" t="s">
        <v>7360</v>
      </c>
      <c r="Z169" t="s">
        <v>7360</v>
      </c>
      <c r="AA169" t="s">
        <v>7362</v>
      </c>
      <c r="AB169" t="s">
        <v>7360</v>
      </c>
      <c r="AC169" t="s">
        <v>7360</v>
      </c>
      <c r="AD169" t="s">
        <v>7360</v>
      </c>
      <c r="AE169" t="s">
        <v>7360</v>
      </c>
      <c r="AF169" t="s">
        <v>1684</v>
      </c>
      <c r="AG169">
        <v>0</v>
      </c>
      <c r="AH169">
        <v>0</v>
      </c>
      <c r="AI169">
        <v>0</v>
      </c>
      <c r="AJ169">
        <v>0</v>
      </c>
      <c r="AK169">
        <v>0</v>
      </c>
      <c r="AL169" t="s">
        <v>7360</v>
      </c>
      <c r="AM169">
        <v>0</v>
      </c>
      <c r="AN169" s="20">
        <v>44956</v>
      </c>
      <c r="AO169" s="20">
        <v>44956</v>
      </c>
      <c r="AP169" s="20">
        <v>44956</v>
      </c>
      <c r="AQ169">
        <v>0</v>
      </c>
      <c r="AR169">
        <v>0</v>
      </c>
      <c r="AS169">
        <v>0</v>
      </c>
      <c r="AT169">
        <v>0</v>
      </c>
      <c r="AU169">
        <v>0</v>
      </c>
      <c r="AV169" t="s">
        <v>7360</v>
      </c>
      <c r="AW169">
        <v>0</v>
      </c>
      <c r="AX169" t="s">
        <v>7360</v>
      </c>
      <c r="AY169" t="s">
        <v>7363</v>
      </c>
      <c r="BA169">
        <v>0</v>
      </c>
      <c r="BB169" s="20">
        <v>44956</v>
      </c>
      <c r="BC169">
        <v>0</v>
      </c>
      <c r="BD169" t="s">
        <v>7360</v>
      </c>
      <c r="BF169" s="20">
        <v>44956</v>
      </c>
      <c r="BG169">
        <v>0</v>
      </c>
      <c r="BH169" t="s">
        <v>7363</v>
      </c>
      <c r="BJ169" t="s">
        <v>7362</v>
      </c>
      <c r="BK169">
        <v>169</v>
      </c>
      <c r="BL169">
        <v>11</v>
      </c>
      <c r="BM169">
        <v>1</v>
      </c>
      <c r="BN169" t="s">
        <v>7364</v>
      </c>
      <c r="BO169">
        <v>169</v>
      </c>
      <c r="BP169">
        <v>11</v>
      </c>
      <c r="BQ169">
        <v>1</v>
      </c>
      <c r="BR169" t="s">
        <v>7364</v>
      </c>
      <c r="BS169" t="s">
        <v>132</v>
      </c>
      <c r="BT169" t="s">
        <v>7360</v>
      </c>
      <c r="BU169" t="s">
        <v>7360</v>
      </c>
      <c r="BV169" t="s">
        <v>7360</v>
      </c>
      <c r="BX169" t="s">
        <v>7391</v>
      </c>
      <c r="BY169">
        <v>74</v>
      </c>
      <c r="BZ169" t="s">
        <v>7360</v>
      </c>
      <c r="CA169" t="s">
        <v>7360</v>
      </c>
      <c r="CB169">
        <v>5558210</v>
      </c>
      <c r="CC169" s="21">
        <v>44956.664733796293</v>
      </c>
      <c r="CE169" t="s">
        <v>7392</v>
      </c>
      <c r="CF169">
        <v>1100101</v>
      </c>
      <c r="CG169">
        <v>53575</v>
      </c>
      <c r="CH169">
        <v>53575</v>
      </c>
      <c r="CI169" s="21">
        <v>44956.665752314817</v>
      </c>
      <c r="CJ169" t="s">
        <v>7393</v>
      </c>
      <c r="CK169" t="s">
        <v>7393</v>
      </c>
      <c r="CL169" t="s">
        <v>7394</v>
      </c>
      <c r="CM169" t="s">
        <v>7394</v>
      </c>
      <c r="CS169" t="s">
        <v>7361</v>
      </c>
      <c r="CT169" t="s">
        <v>7362</v>
      </c>
      <c r="CU169" t="s">
        <v>7362</v>
      </c>
      <c r="CV169" t="s">
        <v>7362</v>
      </c>
      <c r="CW169" t="s">
        <v>7362</v>
      </c>
      <c r="CX169">
        <v>1950000</v>
      </c>
      <c r="DA169">
        <v>0</v>
      </c>
    </row>
    <row r="170" spans="1:105" x14ac:dyDescent="0.3">
      <c r="A170">
        <v>1354</v>
      </c>
      <c r="B170" t="s">
        <v>7396</v>
      </c>
      <c r="C170">
        <v>192</v>
      </c>
      <c r="D170" s="20">
        <v>44953</v>
      </c>
      <c r="E170" t="s">
        <v>7356</v>
      </c>
      <c r="F170" t="s">
        <v>5633</v>
      </c>
      <c r="G170" t="s">
        <v>7357</v>
      </c>
      <c r="H170">
        <v>1</v>
      </c>
      <c r="I170" t="s">
        <v>7358</v>
      </c>
      <c r="J170">
        <v>1</v>
      </c>
      <c r="K170" s="20">
        <v>44957</v>
      </c>
      <c r="L170" s="23">
        <v>14940450</v>
      </c>
      <c r="M170" t="s">
        <v>7359</v>
      </c>
      <c r="N170" t="s">
        <v>7360</v>
      </c>
      <c r="O170">
        <v>0</v>
      </c>
      <c r="P170">
        <v>11899</v>
      </c>
      <c r="Q170">
        <v>416062</v>
      </c>
      <c r="R170">
        <v>0</v>
      </c>
      <c r="S170">
        <v>20230127</v>
      </c>
      <c r="T170">
        <v>0</v>
      </c>
      <c r="U170" t="s">
        <v>7361</v>
      </c>
      <c r="V170" t="s">
        <v>7360</v>
      </c>
      <c r="W170" t="s">
        <v>7360</v>
      </c>
      <c r="X170" t="s">
        <v>7360</v>
      </c>
      <c r="Y170" t="s">
        <v>7360</v>
      </c>
      <c r="Z170" t="s">
        <v>7360</v>
      </c>
      <c r="AA170" t="s">
        <v>7362</v>
      </c>
      <c r="AB170" t="s">
        <v>7360</v>
      </c>
      <c r="AC170" t="s">
        <v>7360</v>
      </c>
      <c r="AD170" t="s">
        <v>7360</v>
      </c>
      <c r="AE170" t="s">
        <v>7360</v>
      </c>
      <c r="AF170" t="s">
        <v>1684</v>
      </c>
      <c r="AG170">
        <v>0</v>
      </c>
      <c r="AH170">
        <v>0</v>
      </c>
      <c r="AI170">
        <v>0</v>
      </c>
      <c r="AJ170">
        <v>0</v>
      </c>
      <c r="AK170">
        <v>0</v>
      </c>
      <c r="AL170" t="s">
        <v>7360</v>
      </c>
      <c r="AM170">
        <v>0</v>
      </c>
      <c r="AN170" s="20">
        <v>44957</v>
      </c>
      <c r="AO170" s="20">
        <v>44957</v>
      </c>
      <c r="AP170" s="20">
        <v>44957</v>
      </c>
      <c r="AQ170">
        <v>0</v>
      </c>
      <c r="AR170">
        <v>0</v>
      </c>
      <c r="AS170">
        <v>0</v>
      </c>
      <c r="AT170">
        <v>0</v>
      </c>
      <c r="AU170">
        <v>0</v>
      </c>
      <c r="AV170" t="s">
        <v>7360</v>
      </c>
      <c r="AW170">
        <v>0</v>
      </c>
      <c r="AX170" t="s">
        <v>7360</v>
      </c>
      <c r="AY170" t="s">
        <v>7363</v>
      </c>
      <c r="BA170">
        <v>0</v>
      </c>
      <c r="BB170" s="20">
        <v>44957</v>
      </c>
      <c r="BC170">
        <v>0</v>
      </c>
      <c r="BD170" t="s">
        <v>7360</v>
      </c>
      <c r="BF170" s="20">
        <v>44957</v>
      </c>
      <c r="BG170">
        <v>0</v>
      </c>
      <c r="BH170" t="s">
        <v>7363</v>
      </c>
      <c r="BJ170" t="s">
        <v>7362</v>
      </c>
      <c r="BK170">
        <v>169</v>
      </c>
      <c r="BL170">
        <v>11</v>
      </c>
      <c r="BM170">
        <v>1</v>
      </c>
      <c r="BN170" t="s">
        <v>7364</v>
      </c>
      <c r="BO170">
        <v>169</v>
      </c>
      <c r="BP170">
        <v>11</v>
      </c>
      <c r="BQ170">
        <v>1</v>
      </c>
      <c r="BR170" t="s">
        <v>7364</v>
      </c>
      <c r="BS170" t="s">
        <v>132</v>
      </c>
      <c r="BT170" t="s">
        <v>7360</v>
      </c>
      <c r="BU170" t="s">
        <v>7360</v>
      </c>
      <c r="BV170" t="s">
        <v>7360</v>
      </c>
      <c r="BX170" t="s">
        <v>7391</v>
      </c>
      <c r="BY170">
        <v>74</v>
      </c>
      <c r="BZ170" t="s">
        <v>7360</v>
      </c>
      <c r="CA170" t="s">
        <v>7360</v>
      </c>
      <c r="CB170">
        <v>5558210</v>
      </c>
      <c r="CC170" s="21">
        <v>44957.324108796296</v>
      </c>
      <c r="CE170" t="s">
        <v>7392</v>
      </c>
      <c r="CF170">
        <v>1100101</v>
      </c>
      <c r="CG170">
        <v>53575</v>
      </c>
      <c r="CH170">
        <v>53575</v>
      </c>
      <c r="CI170" s="21">
        <v>44957.325370370374</v>
      </c>
      <c r="CJ170" t="s">
        <v>7393</v>
      </c>
      <c r="CK170" t="s">
        <v>7393</v>
      </c>
      <c r="CL170" t="s">
        <v>7394</v>
      </c>
      <c r="CM170" t="s">
        <v>7394</v>
      </c>
      <c r="CS170" t="s">
        <v>7361</v>
      </c>
      <c r="CT170" t="s">
        <v>7362</v>
      </c>
      <c r="CU170" t="s">
        <v>7362</v>
      </c>
      <c r="CV170" t="s">
        <v>7362</v>
      </c>
      <c r="CW170" t="s">
        <v>7362</v>
      </c>
      <c r="CX170">
        <v>14940450</v>
      </c>
      <c r="DA170">
        <v>0</v>
      </c>
    </row>
    <row r="171" spans="1:105" x14ac:dyDescent="0.3">
      <c r="A171">
        <v>1354</v>
      </c>
      <c r="B171" t="s">
        <v>7396</v>
      </c>
      <c r="C171">
        <v>193</v>
      </c>
      <c r="D171" s="20">
        <v>44953</v>
      </c>
      <c r="E171" t="s">
        <v>7356</v>
      </c>
      <c r="F171" t="s">
        <v>5639</v>
      </c>
      <c r="G171" t="s">
        <v>7370</v>
      </c>
      <c r="H171">
        <v>1</v>
      </c>
      <c r="I171" t="s">
        <v>7358</v>
      </c>
      <c r="J171">
        <v>1</v>
      </c>
      <c r="K171" s="20">
        <v>44957</v>
      </c>
      <c r="L171" s="23">
        <v>1950000</v>
      </c>
      <c r="M171" t="s">
        <v>7359</v>
      </c>
      <c r="N171" t="s">
        <v>7360</v>
      </c>
      <c r="O171">
        <v>0</v>
      </c>
      <c r="P171">
        <v>11865</v>
      </c>
      <c r="Q171">
        <v>416038</v>
      </c>
      <c r="R171">
        <v>0</v>
      </c>
      <c r="S171">
        <v>20230127</v>
      </c>
      <c r="T171">
        <v>0</v>
      </c>
      <c r="U171" t="s">
        <v>7361</v>
      </c>
      <c r="V171" t="s">
        <v>7360</v>
      </c>
      <c r="W171" t="s">
        <v>7360</v>
      </c>
      <c r="X171" t="s">
        <v>7360</v>
      </c>
      <c r="Y171" t="s">
        <v>7360</v>
      </c>
      <c r="Z171" t="s">
        <v>7360</v>
      </c>
      <c r="AA171" t="s">
        <v>7362</v>
      </c>
      <c r="AB171" t="s">
        <v>7360</v>
      </c>
      <c r="AC171" t="s">
        <v>7360</v>
      </c>
      <c r="AD171" t="s">
        <v>7360</v>
      </c>
      <c r="AE171" t="s">
        <v>7360</v>
      </c>
      <c r="AF171" t="s">
        <v>1684</v>
      </c>
      <c r="AG171">
        <v>0</v>
      </c>
      <c r="AH171">
        <v>0</v>
      </c>
      <c r="AI171">
        <v>0</v>
      </c>
      <c r="AJ171">
        <v>0</v>
      </c>
      <c r="AK171">
        <v>0</v>
      </c>
      <c r="AL171" t="s">
        <v>7360</v>
      </c>
      <c r="AM171">
        <v>0</v>
      </c>
      <c r="AN171" s="20">
        <v>44957</v>
      </c>
      <c r="AO171" s="20">
        <v>44957</v>
      </c>
      <c r="AP171" s="20">
        <v>44957</v>
      </c>
      <c r="AQ171">
        <v>0</v>
      </c>
      <c r="AR171">
        <v>0</v>
      </c>
      <c r="AS171">
        <v>0</v>
      </c>
      <c r="AT171">
        <v>0</v>
      </c>
      <c r="AU171">
        <v>0</v>
      </c>
      <c r="AV171" t="s">
        <v>7360</v>
      </c>
      <c r="AW171">
        <v>0</v>
      </c>
      <c r="AX171" t="s">
        <v>7360</v>
      </c>
      <c r="AY171" t="s">
        <v>7363</v>
      </c>
      <c r="BA171">
        <v>0</v>
      </c>
      <c r="BB171" s="20">
        <v>44957</v>
      </c>
      <c r="BC171">
        <v>0</v>
      </c>
      <c r="BD171" t="s">
        <v>7360</v>
      </c>
      <c r="BF171" s="20">
        <v>44957</v>
      </c>
      <c r="BG171">
        <v>0</v>
      </c>
      <c r="BH171" t="s">
        <v>7363</v>
      </c>
      <c r="BJ171" t="s">
        <v>7362</v>
      </c>
      <c r="BK171">
        <v>169</v>
      </c>
      <c r="BL171">
        <v>11</v>
      </c>
      <c r="BM171">
        <v>1</v>
      </c>
      <c r="BN171" t="s">
        <v>7364</v>
      </c>
      <c r="BO171">
        <v>169</v>
      </c>
      <c r="BP171">
        <v>11</v>
      </c>
      <c r="BQ171">
        <v>1</v>
      </c>
      <c r="BR171" t="s">
        <v>7364</v>
      </c>
      <c r="BS171" t="s">
        <v>132</v>
      </c>
      <c r="BT171" t="s">
        <v>7360</v>
      </c>
      <c r="BU171" t="s">
        <v>7360</v>
      </c>
      <c r="BV171" t="s">
        <v>7360</v>
      </c>
      <c r="BX171" t="s">
        <v>7391</v>
      </c>
      <c r="BY171">
        <v>74</v>
      </c>
      <c r="BZ171" t="s">
        <v>7360</v>
      </c>
      <c r="CA171" t="s">
        <v>7360</v>
      </c>
      <c r="CB171">
        <v>5558210</v>
      </c>
      <c r="CC171" s="21">
        <v>44957.332060185188</v>
      </c>
      <c r="CE171" t="s">
        <v>7392</v>
      </c>
      <c r="CF171">
        <v>1100101</v>
      </c>
      <c r="CG171">
        <v>53575</v>
      </c>
      <c r="CH171">
        <v>53575</v>
      </c>
      <c r="CI171" s="21">
        <v>44957.333449074074</v>
      </c>
      <c r="CJ171" t="s">
        <v>7393</v>
      </c>
      <c r="CK171" t="s">
        <v>7393</v>
      </c>
      <c r="CL171" t="s">
        <v>7394</v>
      </c>
      <c r="CM171" t="s">
        <v>7394</v>
      </c>
      <c r="CS171" t="s">
        <v>7361</v>
      </c>
      <c r="CT171" t="s">
        <v>7362</v>
      </c>
      <c r="CU171" t="s">
        <v>7362</v>
      </c>
      <c r="CV171" t="s">
        <v>7362</v>
      </c>
      <c r="CW171" t="s">
        <v>7362</v>
      </c>
      <c r="CX171">
        <v>1950000</v>
      </c>
      <c r="DA171">
        <v>0</v>
      </c>
    </row>
    <row r="172" spans="1:105" x14ac:dyDescent="0.3">
      <c r="A172">
        <v>1354</v>
      </c>
      <c r="B172" t="s">
        <v>7396</v>
      </c>
      <c r="C172">
        <v>194</v>
      </c>
      <c r="D172" s="20">
        <v>44953</v>
      </c>
      <c r="E172" t="s">
        <v>7356</v>
      </c>
      <c r="F172" t="s">
        <v>5633</v>
      </c>
      <c r="G172" t="s">
        <v>7370</v>
      </c>
      <c r="H172">
        <v>1</v>
      </c>
      <c r="I172" t="s">
        <v>7358</v>
      </c>
      <c r="J172">
        <v>1</v>
      </c>
      <c r="K172" s="20">
        <v>44957</v>
      </c>
      <c r="L172" s="23">
        <v>1350000</v>
      </c>
      <c r="M172" t="s">
        <v>7359</v>
      </c>
      <c r="N172" t="s">
        <v>7360</v>
      </c>
      <c r="O172">
        <v>0</v>
      </c>
      <c r="P172">
        <v>11866</v>
      </c>
      <c r="Q172">
        <v>416039</v>
      </c>
      <c r="R172">
        <v>0</v>
      </c>
      <c r="S172">
        <v>20230127</v>
      </c>
      <c r="T172">
        <v>0</v>
      </c>
      <c r="U172" t="s">
        <v>7361</v>
      </c>
      <c r="V172" t="s">
        <v>7360</v>
      </c>
      <c r="W172" t="s">
        <v>7360</v>
      </c>
      <c r="X172" t="s">
        <v>7360</v>
      </c>
      <c r="Y172" t="s">
        <v>7360</v>
      </c>
      <c r="Z172" t="s">
        <v>7360</v>
      </c>
      <c r="AA172" t="s">
        <v>7362</v>
      </c>
      <c r="AB172" t="s">
        <v>7360</v>
      </c>
      <c r="AC172" t="s">
        <v>7360</v>
      </c>
      <c r="AD172" t="s">
        <v>7360</v>
      </c>
      <c r="AE172" t="s">
        <v>7360</v>
      </c>
      <c r="AF172" t="s">
        <v>1684</v>
      </c>
      <c r="AG172">
        <v>0</v>
      </c>
      <c r="AH172">
        <v>0</v>
      </c>
      <c r="AI172">
        <v>0</v>
      </c>
      <c r="AJ172">
        <v>0</v>
      </c>
      <c r="AK172">
        <v>0</v>
      </c>
      <c r="AL172" t="s">
        <v>7360</v>
      </c>
      <c r="AM172">
        <v>0</v>
      </c>
      <c r="AN172" s="20">
        <v>44957</v>
      </c>
      <c r="AO172" s="20">
        <v>44957</v>
      </c>
      <c r="AP172" s="20">
        <v>44957</v>
      </c>
      <c r="AQ172">
        <v>0</v>
      </c>
      <c r="AR172">
        <v>0</v>
      </c>
      <c r="AS172">
        <v>0</v>
      </c>
      <c r="AT172">
        <v>0</v>
      </c>
      <c r="AU172">
        <v>0</v>
      </c>
      <c r="AV172" t="s">
        <v>7360</v>
      </c>
      <c r="AW172">
        <v>0</v>
      </c>
      <c r="AX172" t="s">
        <v>7360</v>
      </c>
      <c r="AY172" t="s">
        <v>7363</v>
      </c>
      <c r="BA172">
        <v>0</v>
      </c>
      <c r="BB172" s="20">
        <v>44957</v>
      </c>
      <c r="BC172">
        <v>0</v>
      </c>
      <c r="BD172" t="s">
        <v>7360</v>
      </c>
      <c r="BF172" s="20">
        <v>44957</v>
      </c>
      <c r="BG172">
        <v>0</v>
      </c>
      <c r="BH172" t="s">
        <v>7363</v>
      </c>
      <c r="BJ172" t="s">
        <v>7362</v>
      </c>
      <c r="BK172">
        <v>169</v>
      </c>
      <c r="BL172">
        <v>11</v>
      </c>
      <c r="BM172">
        <v>1</v>
      </c>
      <c r="BN172" t="s">
        <v>7364</v>
      </c>
      <c r="BO172">
        <v>169</v>
      </c>
      <c r="BP172">
        <v>11</v>
      </c>
      <c r="BQ172">
        <v>1</v>
      </c>
      <c r="BR172" t="s">
        <v>7364</v>
      </c>
      <c r="BS172" t="s">
        <v>132</v>
      </c>
      <c r="BT172" t="s">
        <v>7360</v>
      </c>
      <c r="BU172" t="s">
        <v>7360</v>
      </c>
      <c r="BV172" t="s">
        <v>7360</v>
      </c>
      <c r="BX172" t="s">
        <v>7391</v>
      </c>
      <c r="BY172">
        <v>74</v>
      </c>
      <c r="BZ172" t="s">
        <v>7360</v>
      </c>
      <c r="CA172" t="s">
        <v>7360</v>
      </c>
      <c r="CB172">
        <v>5558210</v>
      </c>
      <c r="CC172" s="21">
        <v>44957.338564814818</v>
      </c>
      <c r="CE172" t="s">
        <v>7392</v>
      </c>
      <c r="CF172">
        <v>1100101</v>
      </c>
      <c r="CG172">
        <v>53575</v>
      </c>
      <c r="CH172">
        <v>53575</v>
      </c>
      <c r="CI172" s="21">
        <v>44957.34002314815</v>
      </c>
      <c r="CJ172" t="s">
        <v>7393</v>
      </c>
      <c r="CK172" t="s">
        <v>7393</v>
      </c>
      <c r="CL172" t="s">
        <v>7394</v>
      </c>
      <c r="CM172" t="s">
        <v>7394</v>
      </c>
      <c r="CS172" t="s">
        <v>7361</v>
      </c>
      <c r="CT172" t="s">
        <v>7362</v>
      </c>
      <c r="CU172" t="s">
        <v>7362</v>
      </c>
      <c r="CV172" t="s">
        <v>7362</v>
      </c>
      <c r="CW172" t="s">
        <v>7362</v>
      </c>
      <c r="CX172">
        <v>1350000</v>
      </c>
      <c r="DA172">
        <v>0</v>
      </c>
    </row>
    <row r="173" spans="1:105" x14ac:dyDescent="0.3">
      <c r="A173">
        <v>1354</v>
      </c>
      <c r="B173" t="s">
        <v>7396</v>
      </c>
      <c r="C173">
        <v>195</v>
      </c>
      <c r="D173" s="20">
        <v>44953</v>
      </c>
      <c r="E173" t="s">
        <v>7356</v>
      </c>
      <c r="F173" t="s">
        <v>5639</v>
      </c>
      <c r="G173" t="s">
        <v>7370</v>
      </c>
      <c r="H173">
        <v>1</v>
      </c>
      <c r="I173" t="s">
        <v>7358</v>
      </c>
      <c r="J173">
        <v>1</v>
      </c>
      <c r="K173" s="20">
        <v>44957</v>
      </c>
      <c r="L173" s="23">
        <v>1040000</v>
      </c>
      <c r="M173" t="s">
        <v>7359</v>
      </c>
      <c r="N173" t="s">
        <v>7360</v>
      </c>
      <c r="O173">
        <v>0</v>
      </c>
      <c r="P173">
        <v>11868</v>
      </c>
      <c r="Q173">
        <v>416041</v>
      </c>
      <c r="R173">
        <v>0</v>
      </c>
      <c r="S173">
        <v>20230127</v>
      </c>
      <c r="T173">
        <v>0</v>
      </c>
      <c r="U173" t="s">
        <v>7361</v>
      </c>
      <c r="V173" t="s">
        <v>7360</v>
      </c>
      <c r="W173" t="s">
        <v>7360</v>
      </c>
      <c r="X173" t="s">
        <v>7360</v>
      </c>
      <c r="Y173" t="s">
        <v>7360</v>
      </c>
      <c r="Z173" t="s">
        <v>7360</v>
      </c>
      <c r="AA173" t="s">
        <v>7362</v>
      </c>
      <c r="AB173" t="s">
        <v>7360</v>
      </c>
      <c r="AC173" t="s">
        <v>7360</v>
      </c>
      <c r="AD173" t="s">
        <v>7360</v>
      </c>
      <c r="AE173" t="s">
        <v>7360</v>
      </c>
      <c r="AF173" t="s">
        <v>1684</v>
      </c>
      <c r="AG173">
        <v>0</v>
      </c>
      <c r="AH173">
        <v>0</v>
      </c>
      <c r="AI173">
        <v>0</v>
      </c>
      <c r="AJ173">
        <v>0</v>
      </c>
      <c r="AK173">
        <v>0</v>
      </c>
      <c r="AL173" t="s">
        <v>7360</v>
      </c>
      <c r="AM173">
        <v>0</v>
      </c>
      <c r="AN173" s="20">
        <v>44957</v>
      </c>
      <c r="AO173" s="20">
        <v>44957</v>
      </c>
      <c r="AP173" s="20">
        <v>44957</v>
      </c>
      <c r="AQ173">
        <v>0</v>
      </c>
      <c r="AR173">
        <v>0</v>
      </c>
      <c r="AS173">
        <v>0</v>
      </c>
      <c r="AT173">
        <v>0</v>
      </c>
      <c r="AU173">
        <v>0</v>
      </c>
      <c r="AV173" t="s">
        <v>7360</v>
      </c>
      <c r="AW173">
        <v>0</v>
      </c>
      <c r="AX173" t="s">
        <v>7360</v>
      </c>
      <c r="AY173" t="s">
        <v>7363</v>
      </c>
      <c r="BA173">
        <v>0</v>
      </c>
      <c r="BB173" s="20">
        <v>44957</v>
      </c>
      <c r="BC173">
        <v>0</v>
      </c>
      <c r="BD173" t="s">
        <v>7360</v>
      </c>
      <c r="BF173" s="20">
        <v>44957</v>
      </c>
      <c r="BG173">
        <v>0</v>
      </c>
      <c r="BH173" t="s">
        <v>7363</v>
      </c>
      <c r="BJ173" t="s">
        <v>7362</v>
      </c>
      <c r="BK173">
        <v>169</v>
      </c>
      <c r="BL173">
        <v>11</v>
      </c>
      <c r="BM173">
        <v>1</v>
      </c>
      <c r="BN173" t="s">
        <v>7364</v>
      </c>
      <c r="BO173">
        <v>169</v>
      </c>
      <c r="BP173">
        <v>11</v>
      </c>
      <c r="BQ173">
        <v>1</v>
      </c>
      <c r="BR173" t="s">
        <v>7364</v>
      </c>
      <c r="BS173" t="s">
        <v>132</v>
      </c>
      <c r="BT173" t="s">
        <v>7360</v>
      </c>
      <c r="BU173" t="s">
        <v>7360</v>
      </c>
      <c r="BV173" t="s">
        <v>7360</v>
      </c>
      <c r="BX173" t="s">
        <v>7391</v>
      </c>
      <c r="BY173">
        <v>74</v>
      </c>
      <c r="BZ173" t="s">
        <v>7360</v>
      </c>
      <c r="CA173" t="s">
        <v>7360</v>
      </c>
      <c r="CB173">
        <v>5558210</v>
      </c>
      <c r="CC173" s="21">
        <v>44957.3440625</v>
      </c>
      <c r="CE173" t="s">
        <v>7392</v>
      </c>
      <c r="CF173">
        <v>1100101</v>
      </c>
      <c r="CG173">
        <v>53575</v>
      </c>
      <c r="CH173">
        <v>53575</v>
      </c>
      <c r="CI173" s="21">
        <v>44957.345185185186</v>
      </c>
      <c r="CJ173" t="s">
        <v>7393</v>
      </c>
      <c r="CK173" t="s">
        <v>7393</v>
      </c>
      <c r="CL173" t="s">
        <v>7394</v>
      </c>
      <c r="CM173" t="s">
        <v>7394</v>
      </c>
      <c r="CS173" t="s">
        <v>7361</v>
      </c>
      <c r="CT173" t="s">
        <v>7362</v>
      </c>
      <c r="CU173" t="s">
        <v>7362</v>
      </c>
      <c r="CV173" t="s">
        <v>7362</v>
      </c>
      <c r="CW173" t="s">
        <v>7362</v>
      </c>
      <c r="CX173">
        <v>1040000</v>
      </c>
      <c r="DA173">
        <v>0</v>
      </c>
    </row>
    <row r="174" spans="1:105" x14ac:dyDescent="0.3">
      <c r="A174">
        <v>1354</v>
      </c>
      <c r="B174" t="s">
        <v>7396</v>
      </c>
      <c r="C174">
        <v>196</v>
      </c>
      <c r="D174" s="20">
        <v>44953</v>
      </c>
      <c r="E174" t="s">
        <v>7356</v>
      </c>
      <c r="F174" t="s">
        <v>5633</v>
      </c>
      <c r="G174" t="s">
        <v>7370</v>
      </c>
      <c r="H174">
        <v>1</v>
      </c>
      <c r="I174" t="s">
        <v>7358</v>
      </c>
      <c r="J174">
        <v>1</v>
      </c>
      <c r="K174" s="20">
        <v>44957</v>
      </c>
      <c r="L174" s="23">
        <v>2600000</v>
      </c>
      <c r="M174" t="s">
        <v>7359</v>
      </c>
      <c r="N174" t="s">
        <v>7360</v>
      </c>
      <c r="O174">
        <v>0</v>
      </c>
      <c r="P174">
        <v>11894</v>
      </c>
      <c r="Q174">
        <v>416060</v>
      </c>
      <c r="R174">
        <v>0</v>
      </c>
      <c r="S174">
        <v>20230127</v>
      </c>
      <c r="T174">
        <v>0</v>
      </c>
      <c r="U174" t="s">
        <v>7361</v>
      </c>
      <c r="V174" t="s">
        <v>7360</v>
      </c>
      <c r="W174" t="s">
        <v>7360</v>
      </c>
      <c r="X174" t="s">
        <v>7360</v>
      </c>
      <c r="Y174" t="s">
        <v>7360</v>
      </c>
      <c r="Z174" t="s">
        <v>7360</v>
      </c>
      <c r="AA174" t="s">
        <v>7362</v>
      </c>
      <c r="AB174" t="s">
        <v>7360</v>
      </c>
      <c r="AC174" t="s">
        <v>7360</v>
      </c>
      <c r="AD174" t="s">
        <v>7360</v>
      </c>
      <c r="AE174" t="s">
        <v>7360</v>
      </c>
      <c r="AF174" t="s">
        <v>1684</v>
      </c>
      <c r="AG174">
        <v>0</v>
      </c>
      <c r="AH174">
        <v>0</v>
      </c>
      <c r="AI174">
        <v>0</v>
      </c>
      <c r="AJ174">
        <v>0</v>
      </c>
      <c r="AK174">
        <v>0</v>
      </c>
      <c r="AL174" t="s">
        <v>7360</v>
      </c>
      <c r="AM174">
        <v>0</v>
      </c>
      <c r="AN174" s="20">
        <v>44957</v>
      </c>
      <c r="AO174" s="20">
        <v>44957</v>
      </c>
      <c r="AP174" s="20">
        <v>44957</v>
      </c>
      <c r="AQ174">
        <v>0</v>
      </c>
      <c r="AR174">
        <v>0</v>
      </c>
      <c r="AS174">
        <v>0</v>
      </c>
      <c r="AT174">
        <v>0</v>
      </c>
      <c r="AU174">
        <v>0</v>
      </c>
      <c r="AV174" t="s">
        <v>7360</v>
      </c>
      <c r="AW174">
        <v>0</v>
      </c>
      <c r="AX174" t="s">
        <v>7360</v>
      </c>
      <c r="AY174" t="s">
        <v>7363</v>
      </c>
      <c r="BA174">
        <v>0</v>
      </c>
      <c r="BB174" s="20">
        <v>44957</v>
      </c>
      <c r="BC174">
        <v>0</v>
      </c>
      <c r="BD174" t="s">
        <v>7360</v>
      </c>
      <c r="BF174" s="20">
        <v>44957</v>
      </c>
      <c r="BG174">
        <v>0</v>
      </c>
      <c r="BH174" t="s">
        <v>7363</v>
      </c>
      <c r="BJ174" t="s">
        <v>7362</v>
      </c>
      <c r="BK174">
        <v>169</v>
      </c>
      <c r="BL174">
        <v>11</v>
      </c>
      <c r="BM174">
        <v>1</v>
      </c>
      <c r="BN174" t="s">
        <v>7364</v>
      </c>
      <c r="BO174">
        <v>169</v>
      </c>
      <c r="BP174">
        <v>11</v>
      </c>
      <c r="BQ174">
        <v>1</v>
      </c>
      <c r="BR174" t="s">
        <v>7364</v>
      </c>
      <c r="BS174" t="s">
        <v>132</v>
      </c>
      <c r="BT174" t="s">
        <v>7360</v>
      </c>
      <c r="BU174" t="s">
        <v>7360</v>
      </c>
      <c r="BV174" t="s">
        <v>7360</v>
      </c>
      <c r="BX174" t="s">
        <v>7391</v>
      </c>
      <c r="BY174">
        <v>74</v>
      </c>
      <c r="BZ174" t="s">
        <v>7360</v>
      </c>
      <c r="CA174" t="s">
        <v>7360</v>
      </c>
      <c r="CB174">
        <v>5558210</v>
      </c>
      <c r="CC174" s="21">
        <v>44957.347754629627</v>
      </c>
      <c r="CE174" t="s">
        <v>7392</v>
      </c>
      <c r="CF174">
        <v>1100101</v>
      </c>
      <c r="CG174">
        <v>53575</v>
      </c>
      <c r="CH174">
        <v>53575</v>
      </c>
      <c r="CI174" s="21">
        <v>44957.348726851851</v>
      </c>
      <c r="CJ174" t="s">
        <v>7393</v>
      </c>
      <c r="CK174" t="s">
        <v>7393</v>
      </c>
      <c r="CL174" t="s">
        <v>7394</v>
      </c>
      <c r="CM174" t="s">
        <v>7394</v>
      </c>
      <c r="CS174" t="s">
        <v>7361</v>
      </c>
      <c r="CT174" t="s">
        <v>7362</v>
      </c>
      <c r="CU174" t="s">
        <v>7362</v>
      </c>
      <c r="CV174" t="s">
        <v>7362</v>
      </c>
      <c r="CW174" t="s">
        <v>7362</v>
      </c>
      <c r="CX174">
        <v>2600000</v>
      </c>
      <c r="DA174">
        <v>0</v>
      </c>
    </row>
    <row r="175" spans="1:105" x14ac:dyDescent="0.3">
      <c r="A175">
        <v>1351</v>
      </c>
      <c r="B175" t="s">
        <v>7420</v>
      </c>
      <c r="C175">
        <v>197</v>
      </c>
      <c r="D175" s="20">
        <v>44953</v>
      </c>
      <c r="E175" t="s">
        <v>7356</v>
      </c>
      <c r="F175" t="s">
        <v>5639</v>
      </c>
      <c r="G175" t="s">
        <v>7357</v>
      </c>
      <c r="H175">
        <v>3</v>
      </c>
      <c r="I175" t="s">
        <v>7421</v>
      </c>
      <c r="J175" t="s">
        <v>7422</v>
      </c>
      <c r="K175" s="20">
        <v>44957</v>
      </c>
      <c r="L175" s="23">
        <f>449*5031.49</f>
        <v>2259139.0099999998</v>
      </c>
      <c r="M175" t="s">
        <v>7359</v>
      </c>
      <c r="N175" t="s">
        <v>7360</v>
      </c>
      <c r="O175">
        <v>0</v>
      </c>
      <c r="P175">
        <v>11969</v>
      </c>
      <c r="Q175">
        <v>416096</v>
      </c>
      <c r="R175">
        <v>0</v>
      </c>
      <c r="S175">
        <v>20230127</v>
      </c>
      <c r="T175">
        <v>0</v>
      </c>
      <c r="U175" t="s">
        <v>7362</v>
      </c>
      <c r="V175" t="s">
        <v>7360</v>
      </c>
      <c r="W175" t="s">
        <v>7360</v>
      </c>
      <c r="X175" t="s">
        <v>7360</v>
      </c>
      <c r="Y175" t="s">
        <v>7360</v>
      </c>
      <c r="Z175" t="s">
        <v>7360</v>
      </c>
      <c r="AA175" t="s">
        <v>7362</v>
      </c>
      <c r="AB175" t="s">
        <v>7360</v>
      </c>
      <c r="AC175" t="s">
        <v>7360</v>
      </c>
      <c r="AD175" t="s">
        <v>7360</v>
      </c>
      <c r="AE175" t="s">
        <v>7360</v>
      </c>
      <c r="AF175" t="s">
        <v>1684</v>
      </c>
      <c r="AG175">
        <v>0</v>
      </c>
      <c r="AH175">
        <v>0</v>
      </c>
      <c r="AI175">
        <v>0</v>
      </c>
      <c r="AJ175">
        <v>0</v>
      </c>
      <c r="AK175">
        <v>0</v>
      </c>
      <c r="AL175" t="s">
        <v>7360</v>
      </c>
      <c r="AM175">
        <v>0</v>
      </c>
      <c r="AN175" s="20">
        <v>44957</v>
      </c>
      <c r="AO175" s="20">
        <v>44957</v>
      </c>
      <c r="AP175" s="20">
        <v>44957</v>
      </c>
      <c r="AQ175">
        <v>0</v>
      </c>
      <c r="AR175">
        <v>0</v>
      </c>
      <c r="AS175">
        <v>0</v>
      </c>
      <c r="AT175">
        <v>0</v>
      </c>
      <c r="AU175">
        <v>0</v>
      </c>
      <c r="AV175" t="s">
        <v>7360</v>
      </c>
      <c r="AW175">
        <v>0</v>
      </c>
      <c r="AX175" t="s">
        <v>7360</v>
      </c>
      <c r="AY175" t="s">
        <v>7362</v>
      </c>
      <c r="AZ175">
        <v>1351</v>
      </c>
      <c r="BA175">
        <v>294</v>
      </c>
      <c r="BB175" s="20">
        <v>44967</v>
      </c>
      <c r="BC175">
        <v>20230210</v>
      </c>
      <c r="BD175" t="s">
        <v>7423</v>
      </c>
      <c r="BF175" s="20">
        <v>44957</v>
      </c>
      <c r="BG175">
        <v>0</v>
      </c>
      <c r="BH175" t="s">
        <v>1729</v>
      </c>
      <c r="BJ175" t="s">
        <v>7362</v>
      </c>
      <c r="BK175">
        <v>169</v>
      </c>
      <c r="BL175">
        <v>11</v>
      </c>
      <c r="BM175">
        <v>1</v>
      </c>
      <c r="BN175" t="s">
        <v>7364</v>
      </c>
      <c r="BO175">
        <v>0</v>
      </c>
      <c r="BP175">
        <v>0</v>
      </c>
      <c r="BQ175">
        <v>0</v>
      </c>
      <c r="BR175">
        <v>0</v>
      </c>
      <c r="BS175" t="s">
        <v>7411</v>
      </c>
      <c r="BT175" t="s">
        <v>7360</v>
      </c>
      <c r="BU175" t="s">
        <v>7360</v>
      </c>
      <c r="BV175" t="s">
        <v>7360</v>
      </c>
      <c r="BX175" t="s">
        <v>7391</v>
      </c>
      <c r="BY175">
        <v>74</v>
      </c>
      <c r="BZ175" t="s">
        <v>7360</v>
      </c>
      <c r="CA175" t="s">
        <v>7360</v>
      </c>
      <c r="CB175">
        <v>5558210</v>
      </c>
      <c r="CC175" s="21">
        <v>44957.369039351855</v>
      </c>
      <c r="CE175" t="s">
        <v>7392</v>
      </c>
      <c r="CF175">
        <v>1100101</v>
      </c>
      <c r="CG175">
        <v>53575</v>
      </c>
      <c r="CH175">
        <v>53575</v>
      </c>
      <c r="CI175" s="21">
        <v>44957.596875000003</v>
      </c>
      <c r="CJ175" t="s">
        <v>7393</v>
      </c>
      <c r="CK175" t="s">
        <v>7393</v>
      </c>
      <c r="CL175" t="s">
        <v>7394</v>
      </c>
      <c r="CM175" t="s">
        <v>7394</v>
      </c>
      <c r="CS175" t="s">
        <v>7361</v>
      </c>
      <c r="CT175" t="s">
        <v>7362</v>
      </c>
      <c r="CU175" t="s">
        <v>7362</v>
      </c>
      <c r="CV175" t="s">
        <v>7362</v>
      </c>
      <c r="CW175" t="s">
        <v>7362</v>
      </c>
      <c r="CX175">
        <v>449</v>
      </c>
      <c r="CY175" t="s">
        <v>1684</v>
      </c>
      <c r="DA175">
        <v>0</v>
      </c>
    </row>
    <row r="176" spans="1:105" x14ac:dyDescent="0.3">
      <c r="A176">
        <v>1357</v>
      </c>
      <c r="B176" t="s">
        <v>7405</v>
      </c>
      <c r="C176">
        <v>198</v>
      </c>
      <c r="D176" s="20">
        <v>44957</v>
      </c>
      <c r="E176" t="s">
        <v>7356</v>
      </c>
      <c r="F176" t="s">
        <v>5633</v>
      </c>
      <c r="G176" t="s">
        <v>7357</v>
      </c>
      <c r="H176">
        <v>1</v>
      </c>
      <c r="I176" t="s">
        <v>7358</v>
      </c>
      <c r="J176">
        <v>1</v>
      </c>
      <c r="K176" s="20">
        <v>44957</v>
      </c>
      <c r="L176" s="23">
        <v>2865800</v>
      </c>
      <c r="M176" t="s">
        <v>7359</v>
      </c>
      <c r="N176" t="s">
        <v>7360</v>
      </c>
      <c r="O176">
        <v>0</v>
      </c>
      <c r="P176">
        <v>11858</v>
      </c>
      <c r="Q176">
        <v>416030</v>
      </c>
      <c r="R176">
        <v>0</v>
      </c>
      <c r="S176">
        <v>20230131</v>
      </c>
      <c r="T176">
        <v>0</v>
      </c>
      <c r="U176" t="s">
        <v>7361</v>
      </c>
      <c r="V176" t="s">
        <v>7360</v>
      </c>
      <c r="W176" t="s">
        <v>7360</v>
      </c>
      <c r="X176" t="s">
        <v>7360</v>
      </c>
      <c r="Y176" t="s">
        <v>7360</v>
      </c>
      <c r="Z176" t="s">
        <v>7360</v>
      </c>
      <c r="AA176" t="s">
        <v>7362</v>
      </c>
      <c r="AB176" t="s">
        <v>7360</v>
      </c>
      <c r="AC176" t="s">
        <v>7360</v>
      </c>
      <c r="AD176" t="s">
        <v>7360</v>
      </c>
      <c r="AE176" t="s">
        <v>7360</v>
      </c>
      <c r="AF176" t="s">
        <v>1684</v>
      </c>
      <c r="AG176">
        <v>0</v>
      </c>
      <c r="AH176">
        <v>0</v>
      </c>
      <c r="AI176">
        <v>0</v>
      </c>
      <c r="AJ176">
        <v>0</v>
      </c>
      <c r="AK176">
        <v>0</v>
      </c>
      <c r="AL176" t="s">
        <v>7360</v>
      </c>
      <c r="AM176">
        <v>0</v>
      </c>
      <c r="AN176" s="20">
        <v>44957</v>
      </c>
      <c r="AO176" s="20">
        <v>44957</v>
      </c>
      <c r="AP176" s="20">
        <v>44957</v>
      </c>
      <c r="AQ176">
        <v>0</v>
      </c>
      <c r="AR176">
        <v>0</v>
      </c>
      <c r="AS176">
        <v>0</v>
      </c>
      <c r="AT176">
        <v>0</v>
      </c>
      <c r="AU176">
        <v>0</v>
      </c>
      <c r="AV176" t="s">
        <v>7360</v>
      </c>
      <c r="AW176">
        <v>0</v>
      </c>
      <c r="AX176" t="s">
        <v>7360</v>
      </c>
      <c r="AY176" t="s">
        <v>7363</v>
      </c>
      <c r="BA176">
        <v>0</v>
      </c>
      <c r="BB176" s="20">
        <v>44957</v>
      </c>
      <c r="BC176">
        <v>0</v>
      </c>
      <c r="BD176" t="s">
        <v>7360</v>
      </c>
      <c r="BF176" s="20">
        <v>44957</v>
      </c>
      <c r="BG176">
        <v>0</v>
      </c>
      <c r="BH176" t="s">
        <v>1684</v>
      </c>
      <c r="BJ176" t="s">
        <v>7362</v>
      </c>
      <c r="BK176">
        <v>0</v>
      </c>
      <c r="BL176">
        <v>0</v>
      </c>
      <c r="BM176">
        <v>0</v>
      </c>
      <c r="BN176">
        <v>0</v>
      </c>
      <c r="BO176">
        <v>169</v>
      </c>
      <c r="BP176">
        <v>11</v>
      </c>
      <c r="BQ176">
        <v>1</v>
      </c>
      <c r="BR176" t="s">
        <v>7364</v>
      </c>
      <c r="BS176" t="s">
        <v>7382</v>
      </c>
      <c r="BT176" t="s">
        <v>7360</v>
      </c>
      <c r="BU176" t="s">
        <v>7360</v>
      </c>
      <c r="BV176" t="s">
        <v>7360</v>
      </c>
      <c r="BX176">
        <v>0</v>
      </c>
      <c r="BY176">
        <v>0</v>
      </c>
      <c r="BZ176" t="s">
        <v>7360</v>
      </c>
      <c r="CA176" t="s">
        <v>7360</v>
      </c>
      <c r="CB176">
        <v>3380666</v>
      </c>
      <c r="CC176" s="21">
        <v>44957.375937500001</v>
      </c>
      <c r="CE176" t="s">
        <v>7366</v>
      </c>
      <c r="CF176">
        <v>0</v>
      </c>
      <c r="CG176">
        <v>702002</v>
      </c>
      <c r="CH176">
        <v>702002</v>
      </c>
      <c r="CI176" s="21">
        <v>44957.381388888891</v>
      </c>
      <c r="CJ176" t="s">
        <v>7367</v>
      </c>
      <c r="CK176" t="s">
        <v>7367</v>
      </c>
      <c r="CL176" t="s">
        <v>7368</v>
      </c>
      <c r="CM176" t="s">
        <v>7368</v>
      </c>
      <c r="CS176" t="s">
        <v>7361</v>
      </c>
      <c r="CT176" t="s">
        <v>7362</v>
      </c>
      <c r="CU176" t="s">
        <v>7362</v>
      </c>
      <c r="CV176" t="s">
        <v>7362</v>
      </c>
      <c r="CW176" t="s">
        <v>7362</v>
      </c>
      <c r="CX176">
        <v>2865800</v>
      </c>
      <c r="DA176">
        <v>0</v>
      </c>
    </row>
    <row r="177" spans="1:105" x14ac:dyDescent="0.3">
      <c r="A177">
        <v>1357</v>
      </c>
      <c r="B177" t="s">
        <v>7405</v>
      </c>
      <c r="C177">
        <v>199</v>
      </c>
      <c r="D177" s="20">
        <v>44957</v>
      </c>
      <c r="E177" t="s">
        <v>7372</v>
      </c>
      <c r="F177" t="s">
        <v>5639</v>
      </c>
      <c r="G177" t="s">
        <v>7357</v>
      </c>
      <c r="H177">
        <v>1</v>
      </c>
      <c r="I177" t="s">
        <v>7358</v>
      </c>
      <c r="J177">
        <v>1</v>
      </c>
      <c r="K177" s="20">
        <v>44957</v>
      </c>
      <c r="L177" s="23">
        <v>8248675</v>
      </c>
      <c r="M177" t="s">
        <v>7359</v>
      </c>
      <c r="N177" t="s">
        <v>7360</v>
      </c>
      <c r="O177">
        <v>0</v>
      </c>
      <c r="P177">
        <v>11992</v>
      </c>
      <c r="Q177">
        <v>417001</v>
      </c>
      <c r="R177">
        <v>0</v>
      </c>
      <c r="S177">
        <v>20230131</v>
      </c>
      <c r="T177">
        <v>0</v>
      </c>
      <c r="U177" t="s">
        <v>7362</v>
      </c>
      <c r="V177" t="s">
        <v>7360</v>
      </c>
      <c r="W177" t="s">
        <v>7360</v>
      </c>
      <c r="X177" t="s">
        <v>7360</v>
      </c>
      <c r="Y177" t="s">
        <v>7360</v>
      </c>
      <c r="Z177" t="s">
        <v>7360</v>
      </c>
      <c r="AA177" t="s">
        <v>7362</v>
      </c>
      <c r="AB177" t="s">
        <v>7360</v>
      </c>
      <c r="AC177" t="s">
        <v>7360</v>
      </c>
      <c r="AD177" t="s">
        <v>7360</v>
      </c>
      <c r="AE177" t="s">
        <v>7360</v>
      </c>
      <c r="AF177" t="s">
        <v>1684</v>
      </c>
      <c r="AG177">
        <v>0</v>
      </c>
      <c r="AH177">
        <v>0</v>
      </c>
      <c r="AI177">
        <v>0</v>
      </c>
      <c r="AJ177">
        <v>0</v>
      </c>
      <c r="AK177">
        <v>0</v>
      </c>
      <c r="AL177" t="s">
        <v>7360</v>
      </c>
      <c r="AM177">
        <v>0</v>
      </c>
      <c r="AN177" s="20">
        <v>44957</v>
      </c>
      <c r="AO177" s="20">
        <v>44957</v>
      </c>
      <c r="AP177" s="20">
        <v>44957</v>
      </c>
      <c r="AQ177">
        <v>0</v>
      </c>
      <c r="AR177">
        <v>0</v>
      </c>
      <c r="AS177">
        <v>0</v>
      </c>
      <c r="AT177">
        <v>0</v>
      </c>
      <c r="AU177">
        <v>0</v>
      </c>
      <c r="AV177" t="s">
        <v>7360</v>
      </c>
      <c r="AW177">
        <v>0</v>
      </c>
      <c r="AX177" t="s">
        <v>7360</v>
      </c>
      <c r="AY177" t="s">
        <v>7373</v>
      </c>
      <c r="BA177">
        <v>0</v>
      </c>
      <c r="BB177" s="20">
        <v>44957</v>
      </c>
      <c r="BC177">
        <v>0</v>
      </c>
      <c r="BD177" t="s">
        <v>7360</v>
      </c>
      <c r="BF177" s="20">
        <v>44957</v>
      </c>
      <c r="BG177">
        <v>0</v>
      </c>
      <c r="BH177" t="s">
        <v>1684</v>
      </c>
      <c r="BJ177" t="s">
        <v>7362</v>
      </c>
      <c r="BK177">
        <v>0</v>
      </c>
      <c r="BL177">
        <v>0</v>
      </c>
      <c r="BM177">
        <v>0</v>
      </c>
      <c r="BN177">
        <v>0</v>
      </c>
      <c r="BO177">
        <v>169</v>
      </c>
      <c r="BP177">
        <v>11</v>
      </c>
      <c r="BQ177">
        <v>1</v>
      </c>
      <c r="BR177" t="s">
        <v>7364</v>
      </c>
      <c r="BS177" t="s">
        <v>7382</v>
      </c>
      <c r="BT177" t="s">
        <v>7360</v>
      </c>
      <c r="BU177" t="s">
        <v>7360</v>
      </c>
      <c r="BV177" t="s">
        <v>7360</v>
      </c>
      <c r="BX177">
        <v>0</v>
      </c>
      <c r="BY177">
        <v>0</v>
      </c>
      <c r="BZ177" t="s">
        <v>7360</v>
      </c>
      <c r="CA177" t="s">
        <v>7360</v>
      </c>
      <c r="CB177">
        <v>3380666</v>
      </c>
      <c r="CC177" s="21">
        <v>44957.408321759256</v>
      </c>
      <c r="CE177" t="s">
        <v>7366</v>
      </c>
      <c r="CF177">
        <v>0</v>
      </c>
      <c r="CG177">
        <v>702002</v>
      </c>
      <c r="CH177">
        <v>702002</v>
      </c>
      <c r="CI177" s="21">
        <v>44957.422418981485</v>
      </c>
      <c r="CJ177" t="s">
        <v>7367</v>
      </c>
      <c r="CK177" t="s">
        <v>7367</v>
      </c>
      <c r="CL177" t="s">
        <v>7368</v>
      </c>
      <c r="CM177" t="s">
        <v>7368</v>
      </c>
      <c r="CS177" t="s">
        <v>7361</v>
      </c>
      <c r="CT177" t="s">
        <v>7362</v>
      </c>
      <c r="CU177" t="s">
        <v>7362</v>
      </c>
      <c r="CV177" t="s">
        <v>7362</v>
      </c>
      <c r="CW177" t="s">
        <v>7362</v>
      </c>
      <c r="CX177">
        <v>8248675</v>
      </c>
      <c r="DA177">
        <v>0</v>
      </c>
    </row>
    <row r="178" spans="1:105" x14ac:dyDescent="0.3">
      <c r="A178">
        <v>1357</v>
      </c>
      <c r="B178" t="s">
        <v>7405</v>
      </c>
      <c r="C178">
        <v>200</v>
      </c>
      <c r="D178" s="20">
        <v>44957</v>
      </c>
      <c r="E178" t="s">
        <v>7372</v>
      </c>
      <c r="F178" t="s">
        <v>5633</v>
      </c>
      <c r="G178" t="s">
        <v>7357</v>
      </c>
      <c r="H178">
        <v>1</v>
      </c>
      <c r="I178" t="s">
        <v>7358</v>
      </c>
      <c r="J178">
        <v>1</v>
      </c>
      <c r="K178" s="20">
        <v>44957</v>
      </c>
      <c r="L178" s="23">
        <v>4334308.26</v>
      </c>
      <c r="M178" t="s">
        <v>7359</v>
      </c>
      <c r="N178" t="s">
        <v>7360</v>
      </c>
      <c r="O178">
        <v>0</v>
      </c>
      <c r="P178">
        <v>11996</v>
      </c>
      <c r="Q178">
        <v>417003</v>
      </c>
      <c r="R178">
        <v>0</v>
      </c>
      <c r="S178">
        <v>20230131</v>
      </c>
      <c r="T178">
        <v>0</v>
      </c>
      <c r="U178" t="s">
        <v>7362</v>
      </c>
      <c r="V178" t="s">
        <v>7360</v>
      </c>
      <c r="W178" t="s">
        <v>7360</v>
      </c>
      <c r="X178" t="s">
        <v>7360</v>
      </c>
      <c r="Y178" t="s">
        <v>7360</v>
      </c>
      <c r="Z178" t="s">
        <v>7360</v>
      </c>
      <c r="AA178" t="s">
        <v>7362</v>
      </c>
      <c r="AB178" t="s">
        <v>7360</v>
      </c>
      <c r="AC178" t="s">
        <v>7360</v>
      </c>
      <c r="AD178" t="s">
        <v>7360</v>
      </c>
      <c r="AE178" t="s">
        <v>7360</v>
      </c>
      <c r="AF178" t="s">
        <v>1684</v>
      </c>
      <c r="AG178">
        <v>0</v>
      </c>
      <c r="AH178">
        <v>0</v>
      </c>
      <c r="AI178">
        <v>0</v>
      </c>
      <c r="AJ178">
        <v>0</v>
      </c>
      <c r="AK178">
        <v>0</v>
      </c>
      <c r="AL178" t="s">
        <v>7360</v>
      </c>
      <c r="AM178">
        <v>0</v>
      </c>
      <c r="AN178" s="20">
        <v>44957</v>
      </c>
      <c r="AO178" s="20">
        <v>44957</v>
      </c>
      <c r="AP178" s="20">
        <v>44957</v>
      </c>
      <c r="AQ178">
        <v>0</v>
      </c>
      <c r="AR178">
        <v>0</v>
      </c>
      <c r="AS178">
        <v>0</v>
      </c>
      <c r="AT178">
        <v>0</v>
      </c>
      <c r="AU178">
        <v>0</v>
      </c>
      <c r="AV178" t="s">
        <v>7360</v>
      </c>
      <c r="AW178">
        <v>0</v>
      </c>
      <c r="AX178" t="s">
        <v>7360</v>
      </c>
      <c r="AY178" t="s">
        <v>7362</v>
      </c>
      <c r="BA178">
        <v>0</v>
      </c>
      <c r="BB178" s="20">
        <v>44957</v>
      </c>
      <c r="BC178">
        <v>0</v>
      </c>
      <c r="BD178" t="s">
        <v>7360</v>
      </c>
      <c r="BF178" s="20">
        <v>44957</v>
      </c>
      <c r="BG178">
        <v>0</v>
      </c>
      <c r="BH178" t="s">
        <v>1684</v>
      </c>
      <c r="BJ178" t="s">
        <v>7362</v>
      </c>
      <c r="BK178">
        <v>0</v>
      </c>
      <c r="BL178">
        <v>0</v>
      </c>
      <c r="BM178">
        <v>0</v>
      </c>
      <c r="BN178">
        <v>0</v>
      </c>
      <c r="BO178">
        <v>169</v>
      </c>
      <c r="BP178">
        <v>11</v>
      </c>
      <c r="BQ178">
        <v>1</v>
      </c>
      <c r="BR178" t="s">
        <v>7364</v>
      </c>
      <c r="BS178" t="s">
        <v>7382</v>
      </c>
      <c r="BT178" t="s">
        <v>7360</v>
      </c>
      <c r="BU178" t="s">
        <v>7360</v>
      </c>
      <c r="BV178" t="s">
        <v>7360</v>
      </c>
      <c r="BX178">
        <v>0</v>
      </c>
      <c r="BY178">
        <v>0</v>
      </c>
      <c r="BZ178" t="s">
        <v>7360</v>
      </c>
      <c r="CA178" t="s">
        <v>7360</v>
      </c>
      <c r="CB178">
        <v>3380666</v>
      </c>
      <c r="CC178" s="21">
        <v>44957.429525462961</v>
      </c>
      <c r="CE178" t="s">
        <v>7366</v>
      </c>
      <c r="CF178">
        <v>0</v>
      </c>
      <c r="CG178">
        <v>702002</v>
      </c>
      <c r="CH178">
        <v>702002</v>
      </c>
      <c r="CI178" s="21">
        <v>44957.437060185184</v>
      </c>
      <c r="CJ178" t="s">
        <v>7367</v>
      </c>
      <c r="CK178" t="s">
        <v>7367</v>
      </c>
      <c r="CL178" t="s">
        <v>7368</v>
      </c>
      <c r="CM178" t="s">
        <v>7368</v>
      </c>
      <c r="CS178" t="s">
        <v>7361</v>
      </c>
      <c r="CT178" t="s">
        <v>7362</v>
      </c>
      <c r="CU178" t="s">
        <v>7362</v>
      </c>
      <c r="CV178" t="s">
        <v>7362</v>
      </c>
      <c r="CW178" t="s">
        <v>7362</v>
      </c>
      <c r="CX178" t="s">
        <v>7424</v>
      </c>
      <c r="DA178">
        <v>0</v>
      </c>
    </row>
    <row r="179" spans="1:105" x14ac:dyDescent="0.3">
      <c r="A179">
        <v>1357</v>
      </c>
      <c r="B179" t="s">
        <v>7405</v>
      </c>
      <c r="C179">
        <v>201</v>
      </c>
      <c r="D179" s="20">
        <v>44957</v>
      </c>
      <c r="E179" t="s">
        <v>7356</v>
      </c>
      <c r="F179" t="s">
        <v>5639</v>
      </c>
      <c r="G179" t="s">
        <v>7357</v>
      </c>
      <c r="H179">
        <v>1</v>
      </c>
      <c r="I179" t="s">
        <v>7358</v>
      </c>
      <c r="J179">
        <v>1</v>
      </c>
      <c r="K179" s="20">
        <v>44957</v>
      </c>
      <c r="L179" s="23">
        <v>1612450</v>
      </c>
      <c r="M179" t="s">
        <v>7359</v>
      </c>
      <c r="N179" t="s">
        <v>7360</v>
      </c>
      <c r="O179">
        <v>0</v>
      </c>
      <c r="P179">
        <v>12000</v>
      </c>
      <c r="Q179">
        <v>417004</v>
      </c>
      <c r="R179">
        <v>0</v>
      </c>
      <c r="S179">
        <v>20230131</v>
      </c>
      <c r="T179">
        <v>0</v>
      </c>
      <c r="U179" t="s">
        <v>7361</v>
      </c>
      <c r="V179" t="s">
        <v>7360</v>
      </c>
      <c r="W179" t="s">
        <v>7360</v>
      </c>
      <c r="X179" t="s">
        <v>7360</v>
      </c>
      <c r="Y179" t="s">
        <v>7360</v>
      </c>
      <c r="Z179" t="s">
        <v>7360</v>
      </c>
      <c r="AA179" t="s">
        <v>7362</v>
      </c>
      <c r="AB179" t="s">
        <v>7360</v>
      </c>
      <c r="AC179" t="s">
        <v>7360</v>
      </c>
      <c r="AD179" t="s">
        <v>7360</v>
      </c>
      <c r="AE179" t="s">
        <v>7360</v>
      </c>
      <c r="AF179" t="s">
        <v>1684</v>
      </c>
      <c r="AG179">
        <v>0</v>
      </c>
      <c r="AH179">
        <v>0</v>
      </c>
      <c r="AI179">
        <v>0</v>
      </c>
      <c r="AJ179">
        <v>0</v>
      </c>
      <c r="AK179">
        <v>0</v>
      </c>
      <c r="AL179" t="s">
        <v>7360</v>
      </c>
      <c r="AM179">
        <v>0</v>
      </c>
      <c r="AN179" s="20">
        <v>44957</v>
      </c>
      <c r="AO179" s="20">
        <v>44957</v>
      </c>
      <c r="AP179" s="20">
        <v>44957</v>
      </c>
      <c r="AQ179">
        <v>0</v>
      </c>
      <c r="AR179">
        <v>0</v>
      </c>
      <c r="AS179">
        <v>0</v>
      </c>
      <c r="AT179">
        <v>0</v>
      </c>
      <c r="AU179">
        <v>0</v>
      </c>
      <c r="AV179" t="s">
        <v>7360</v>
      </c>
      <c r="AW179">
        <v>0</v>
      </c>
      <c r="AX179" t="s">
        <v>7360</v>
      </c>
      <c r="AY179" t="s">
        <v>7363</v>
      </c>
      <c r="BA179">
        <v>0</v>
      </c>
      <c r="BB179" s="20">
        <v>44957</v>
      </c>
      <c r="BC179">
        <v>0</v>
      </c>
      <c r="BD179" t="s">
        <v>7360</v>
      </c>
      <c r="BF179" s="20">
        <v>44957</v>
      </c>
      <c r="BG179">
        <v>0</v>
      </c>
      <c r="BH179" t="s">
        <v>1684</v>
      </c>
      <c r="BJ179" t="s">
        <v>7362</v>
      </c>
      <c r="BK179">
        <v>0</v>
      </c>
      <c r="BL179">
        <v>0</v>
      </c>
      <c r="BM179">
        <v>0</v>
      </c>
      <c r="BN179">
        <v>0</v>
      </c>
      <c r="BO179">
        <v>169</v>
      </c>
      <c r="BP179">
        <v>11</v>
      </c>
      <c r="BQ179">
        <v>1</v>
      </c>
      <c r="BR179" t="s">
        <v>7364</v>
      </c>
      <c r="BS179" t="s">
        <v>7382</v>
      </c>
      <c r="BT179" t="s">
        <v>7360</v>
      </c>
      <c r="BU179" t="s">
        <v>7360</v>
      </c>
      <c r="BV179" t="s">
        <v>7360</v>
      </c>
      <c r="BX179">
        <v>0</v>
      </c>
      <c r="BY179">
        <v>0</v>
      </c>
      <c r="BZ179" t="s">
        <v>7360</v>
      </c>
      <c r="CA179" t="s">
        <v>7360</v>
      </c>
      <c r="CB179">
        <v>3380666</v>
      </c>
      <c r="CC179" s="21">
        <v>44957.448946759258</v>
      </c>
      <c r="CE179" t="s">
        <v>7366</v>
      </c>
      <c r="CF179">
        <v>0</v>
      </c>
      <c r="CG179">
        <v>702002</v>
      </c>
      <c r="CH179">
        <v>702002</v>
      </c>
      <c r="CI179" s="21">
        <v>44957.469050925924</v>
      </c>
      <c r="CJ179" t="s">
        <v>7367</v>
      </c>
      <c r="CK179" t="s">
        <v>7367</v>
      </c>
      <c r="CL179" t="s">
        <v>7368</v>
      </c>
      <c r="CM179" t="s">
        <v>7368</v>
      </c>
      <c r="CS179" t="s">
        <v>7361</v>
      </c>
      <c r="CT179" t="s">
        <v>7362</v>
      </c>
      <c r="CU179" t="s">
        <v>7362</v>
      </c>
      <c r="CV179" t="s">
        <v>7362</v>
      </c>
      <c r="CW179" t="s">
        <v>7362</v>
      </c>
      <c r="CX179">
        <v>1612450</v>
      </c>
      <c r="DA179">
        <v>0</v>
      </c>
    </row>
    <row r="180" spans="1:105" x14ac:dyDescent="0.3">
      <c r="A180">
        <v>1362</v>
      </c>
      <c r="B180" t="s">
        <v>7371</v>
      </c>
      <c r="C180">
        <v>202</v>
      </c>
      <c r="D180" s="20">
        <v>44957</v>
      </c>
      <c r="E180" t="s">
        <v>7356</v>
      </c>
      <c r="F180" t="s">
        <v>5633</v>
      </c>
      <c r="G180" t="s">
        <v>7357</v>
      </c>
      <c r="H180">
        <v>1</v>
      </c>
      <c r="I180" t="s">
        <v>7358</v>
      </c>
      <c r="J180">
        <v>1</v>
      </c>
      <c r="K180" s="20">
        <v>44957</v>
      </c>
      <c r="L180" s="23">
        <v>10767389</v>
      </c>
      <c r="M180" t="s">
        <v>7359</v>
      </c>
      <c r="N180" t="s">
        <v>7360</v>
      </c>
      <c r="O180">
        <v>0</v>
      </c>
      <c r="P180">
        <v>12002</v>
      </c>
      <c r="Q180">
        <v>417005</v>
      </c>
      <c r="R180">
        <v>0</v>
      </c>
      <c r="S180">
        <v>20230131</v>
      </c>
      <c r="T180">
        <v>0</v>
      </c>
      <c r="U180" t="s">
        <v>7361</v>
      </c>
      <c r="V180" t="s">
        <v>7360</v>
      </c>
      <c r="W180" t="s">
        <v>7360</v>
      </c>
      <c r="X180" t="s">
        <v>7360</v>
      </c>
      <c r="Y180" t="s">
        <v>7360</v>
      </c>
      <c r="Z180" t="s">
        <v>7360</v>
      </c>
      <c r="AA180" t="s">
        <v>7362</v>
      </c>
      <c r="AB180" t="s">
        <v>7360</v>
      </c>
      <c r="AC180" t="s">
        <v>7360</v>
      </c>
      <c r="AD180" t="s">
        <v>7360</v>
      </c>
      <c r="AE180" t="s">
        <v>7360</v>
      </c>
      <c r="AF180" t="s">
        <v>1684</v>
      </c>
      <c r="AG180">
        <v>0</v>
      </c>
      <c r="AH180">
        <v>0</v>
      </c>
      <c r="AI180">
        <v>0</v>
      </c>
      <c r="AJ180">
        <v>0</v>
      </c>
      <c r="AK180">
        <v>0</v>
      </c>
      <c r="AL180" t="s">
        <v>7360</v>
      </c>
      <c r="AM180">
        <v>0</v>
      </c>
      <c r="AN180" s="20">
        <v>44957</v>
      </c>
      <c r="AO180" s="20">
        <v>44957</v>
      </c>
      <c r="AP180" s="20">
        <v>44957</v>
      </c>
      <c r="AQ180">
        <v>0</v>
      </c>
      <c r="AR180">
        <v>0</v>
      </c>
      <c r="AS180">
        <v>0</v>
      </c>
      <c r="AT180">
        <v>0</v>
      </c>
      <c r="AU180">
        <v>0</v>
      </c>
      <c r="AV180" t="s">
        <v>7360</v>
      </c>
      <c r="AW180">
        <v>0</v>
      </c>
      <c r="AX180" t="s">
        <v>7360</v>
      </c>
      <c r="AY180" t="s">
        <v>7363</v>
      </c>
      <c r="BA180">
        <v>0</v>
      </c>
      <c r="BB180" s="20">
        <v>44957</v>
      </c>
      <c r="BC180">
        <v>0</v>
      </c>
      <c r="BD180" t="s">
        <v>7360</v>
      </c>
      <c r="BF180" s="20">
        <v>44957</v>
      </c>
      <c r="BG180">
        <v>0</v>
      </c>
      <c r="BH180" t="s">
        <v>7363</v>
      </c>
      <c r="BJ180" t="s">
        <v>7362</v>
      </c>
      <c r="BK180">
        <v>0</v>
      </c>
      <c r="BL180">
        <v>0</v>
      </c>
      <c r="BM180">
        <v>0</v>
      </c>
      <c r="BN180">
        <v>0</v>
      </c>
      <c r="BO180">
        <v>169</v>
      </c>
      <c r="BP180">
        <v>11</v>
      </c>
      <c r="BQ180">
        <v>1</v>
      </c>
      <c r="BR180" t="s">
        <v>7364</v>
      </c>
      <c r="BS180" t="s">
        <v>7374</v>
      </c>
      <c r="BT180" t="s">
        <v>7360</v>
      </c>
      <c r="BU180" t="s">
        <v>7360</v>
      </c>
      <c r="BV180" t="s">
        <v>7360</v>
      </c>
      <c r="BX180">
        <v>0</v>
      </c>
      <c r="BY180">
        <v>0</v>
      </c>
      <c r="BZ180" t="s">
        <v>7360</v>
      </c>
      <c r="CA180" t="s">
        <v>7360</v>
      </c>
      <c r="CB180">
        <v>3380666</v>
      </c>
      <c r="CC180" s="21">
        <v>44957.476446759261</v>
      </c>
      <c r="CE180" t="s">
        <v>7366</v>
      </c>
      <c r="CF180">
        <v>0</v>
      </c>
      <c r="CG180">
        <v>702002</v>
      </c>
      <c r="CH180">
        <v>702002</v>
      </c>
      <c r="CI180" s="21">
        <v>44957.480185185188</v>
      </c>
      <c r="CJ180" t="s">
        <v>7367</v>
      </c>
      <c r="CK180" t="s">
        <v>7367</v>
      </c>
      <c r="CL180" t="s">
        <v>7368</v>
      </c>
      <c r="CM180" t="s">
        <v>7368</v>
      </c>
      <c r="CS180" t="s">
        <v>7361</v>
      </c>
      <c r="CT180" t="s">
        <v>7362</v>
      </c>
      <c r="CU180" t="s">
        <v>7362</v>
      </c>
      <c r="CV180" t="s">
        <v>7362</v>
      </c>
      <c r="CW180" t="s">
        <v>7362</v>
      </c>
      <c r="CX180">
        <v>10767389</v>
      </c>
      <c r="DA180">
        <v>0</v>
      </c>
    </row>
    <row r="181" spans="1:105" x14ac:dyDescent="0.3">
      <c r="A181">
        <v>1354</v>
      </c>
      <c r="B181" t="s">
        <v>7396</v>
      </c>
      <c r="C181">
        <v>203</v>
      </c>
      <c r="D181" s="20">
        <v>44959</v>
      </c>
      <c r="E181" t="s">
        <v>7372</v>
      </c>
      <c r="F181" t="s">
        <v>5639</v>
      </c>
      <c r="G181" t="s">
        <v>7370</v>
      </c>
      <c r="H181">
        <v>1</v>
      </c>
      <c r="I181" t="s">
        <v>7358</v>
      </c>
      <c r="J181">
        <v>1</v>
      </c>
      <c r="K181" s="20">
        <v>44959</v>
      </c>
      <c r="L181" s="23">
        <v>2520000</v>
      </c>
      <c r="M181" t="s">
        <v>7359</v>
      </c>
      <c r="N181" t="s">
        <v>7360</v>
      </c>
      <c r="O181">
        <v>0</v>
      </c>
      <c r="P181">
        <v>12030</v>
      </c>
      <c r="Q181">
        <v>418011</v>
      </c>
      <c r="R181">
        <v>0</v>
      </c>
      <c r="S181">
        <v>20230202</v>
      </c>
      <c r="T181">
        <v>0</v>
      </c>
      <c r="U181" t="s">
        <v>7362</v>
      </c>
      <c r="V181" t="s">
        <v>7360</v>
      </c>
      <c r="W181" t="s">
        <v>7360</v>
      </c>
      <c r="X181" t="s">
        <v>7360</v>
      </c>
      <c r="Y181" t="s">
        <v>7360</v>
      </c>
      <c r="Z181" t="s">
        <v>7360</v>
      </c>
      <c r="AA181" t="s">
        <v>7362</v>
      </c>
      <c r="AB181" t="s">
        <v>7360</v>
      </c>
      <c r="AC181" t="s">
        <v>7360</v>
      </c>
      <c r="AD181" t="s">
        <v>7360</v>
      </c>
      <c r="AE181" t="s">
        <v>7360</v>
      </c>
      <c r="AF181" t="s">
        <v>1684</v>
      </c>
      <c r="AG181">
        <v>0</v>
      </c>
      <c r="AH181">
        <v>0</v>
      </c>
      <c r="AI181">
        <v>0</v>
      </c>
      <c r="AJ181">
        <v>0</v>
      </c>
      <c r="AK181">
        <v>0</v>
      </c>
      <c r="AL181" t="s">
        <v>7360</v>
      </c>
      <c r="AM181">
        <v>0</v>
      </c>
      <c r="AN181" s="20">
        <v>44959</v>
      </c>
      <c r="AO181" s="20">
        <v>44959</v>
      </c>
      <c r="AP181" s="20">
        <v>44959</v>
      </c>
      <c r="AQ181">
        <v>0</v>
      </c>
      <c r="AR181">
        <v>0</v>
      </c>
      <c r="AS181">
        <v>0</v>
      </c>
      <c r="AT181">
        <v>0</v>
      </c>
      <c r="AU181">
        <v>0</v>
      </c>
      <c r="AV181" t="s">
        <v>7360</v>
      </c>
      <c r="AW181">
        <v>0</v>
      </c>
      <c r="AX181" t="s">
        <v>7360</v>
      </c>
      <c r="AY181" t="s">
        <v>7362</v>
      </c>
      <c r="BA181">
        <v>0</v>
      </c>
      <c r="BB181" s="20">
        <v>44959</v>
      </c>
      <c r="BC181">
        <v>0</v>
      </c>
      <c r="BD181" t="s">
        <v>7360</v>
      </c>
      <c r="BF181" s="20">
        <v>44959</v>
      </c>
      <c r="BG181">
        <v>0</v>
      </c>
      <c r="BH181" t="s">
        <v>7363</v>
      </c>
      <c r="BJ181" t="s">
        <v>7362</v>
      </c>
      <c r="BK181">
        <v>169</v>
      </c>
      <c r="BL181">
        <v>11</v>
      </c>
      <c r="BM181">
        <v>1</v>
      </c>
      <c r="BN181" t="s">
        <v>7364</v>
      </c>
      <c r="BO181">
        <v>0</v>
      </c>
      <c r="BP181">
        <v>0</v>
      </c>
      <c r="BQ181">
        <v>0</v>
      </c>
      <c r="BR181">
        <v>0</v>
      </c>
      <c r="BS181" t="s">
        <v>7411</v>
      </c>
      <c r="BT181" t="s">
        <v>7360</v>
      </c>
      <c r="BU181" t="s">
        <v>7360</v>
      </c>
      <c r="BV181" t="s">
        <v>7360</v>
      </c>
      <c r="BX181" t="s">
        <v>7391</v>
      </c>
      <c r="BY181">
        <v>80</v>
      </c>
      <c r="BZ181">
        <v>0</v>
      </c>
      <c r="CA181">
        <v>0</v>
      </c>
      <c r="CB181" t="s">
        <v>7360</v>
      </c>
      <c r="CC181" s="21">
        <v>44959.418981481482</v>
      </c>
      <c r="CE181" t="s">
        <v>7412</v>
      </c>
      <c r="CF181">
        <v>1108001</v>
      </c>
      <c r="CG181">
        <v>53575</v>
      </c>
      <c r="CH181">
        <v>53575</v>
      </c>
      <c r="CI181" s="21">
        <v>44959.424687500003</v>
      </c>
      <c r="CJ181" t="s">
        <v>7393</v>
      </c>
      <c r="CK181" t="s">
        <v>7393</v>
      </c>
      <c r="CL181" t="s">
        <v>7394</v>
      </c>
      <c r="CM181" t="s">
        <v>7394</v>
      </c>
      <c r="CS181" t="s">
        <v>7361</v>
      </c>
      <c r="CT181" t="s">
        <v>7362</v>
      </c>
      <c r="CU181" t="s">
        <v>7362</v>
      </c>
      <c r="CV181" t="s">
        <v>7362</v>
      </c>
      <c r="CW181" t="s">
        <v>7362</v>
      </c>
      <c r="CX181">
        <v>2520000</v>
      </c>
      <c r="DA181">
        <v>0</v>
      </c>
    </row>
    <row r="182" spans="1:105" x14ac:dyDescent="0.3">
      <c r="A182">
        <v>1354</v>
      </c>
      <c r="B182" t="s">
        <v>7396</v>
      </c>
      <c r="C182">
        <v>204</v>
      </c>
      <c r="D182" s="20">
        <v>44959</v>
      </c>
      <c r="E182" t="s">
        <v>7372</v>
      </c>
      <c r="F182" t="s">
        <v>5633</v>
      </c>
      <c r="G182" t="s">
        <v>7370</v>
      </c>
      <c r="H182">
        <v>1</v>
      </c>
      <c r="I182" t="s">
        <v>7358</v>
      </c>
      <c r="J182">
        <v>1</v>
      </c>
      <c r="K182" s="20">
        <v>44959</v>
      </c>
      <c r="L182" s="23">
        <v>2940000</v>
      </c>
      <c r="M182" t="s">
        <v>7359</v>
      </c>
      <c r="N182" t="s">
        <v>7360</v>
      </c>
      <c r="O182">
        <v>0</v>
      </c>
      <c r="P182">
        <v>12027</v>
      </c>
      <c r="Q182">
        <v>418009</v>
      </c>
      <c r="R182">
        <v>0</v>
      </c>
      <c r="S182">
        <v>20230202</v>
      </c>
      <c r="T182">
        <v>0</v>
      </c>
      <c r="U182" t="s">
        <v>7362</v>
      </c>
      <c r="V182" t="s">
        <v>7360</v>
      </c>
      <c r="W182" t="s">
        <v>7360</v>
      </c>
      <c r="X182" t="s">
        <v>7360</v>
      </c>
      <c r="Y182" t="s">
        <v>7360</v>
      </c>
      <c r="Z182" t="s">
        <v>7360</v>
      </c>
      <c r="AA182" t="s">
        <v>7362</v>
      </c>
      <c r="AB182" t="s">
        <v>7360</v>
      </c>
      <c r="AC182" t="s">
        <v>7360</v>
      </c>
      <c r="AD182" t="s">
        <v>7360</v>
      </c>
      <c r="AE182" t="s">
        <v>7360</v>
      </c>
      <c r="AF182" t="s">
        <v>1684</v>
      </c>
      <c r="AG182">
        <v>0</v>
      </c>
      <c r="AH182">
        <v>0</v>
      </c>
      <c r="AI182">
        <v>0</v>
      </c>
      <c r="AJ182">
        <v>0</v>
      </c>
      <c r="AK182">
        <v>0</v>
      </c>
      <c r="AL182" t="s">
        <v>7360</v>
      </c>
      <c r="AM182">
        <v>0</v>
      </c>
      <c r="AN182" s="20">
        <v>44959</v>
      </c>
      <c r="AO182" s="20">
        <v>44959</v>
      </c>
      <c r="AP182" s="20">
        <v>44959</v>
      </c>
      <c r="AQ182">
        <v>0</v>
      </c>
      <c r="AR182">
        <v>0</v>
      </c>
      <c r="AS182">
        <v>0</v>
      </c>
      <c r="AT182">
        <v>0</v>
      </c>
      <c r="AU182">
        <v>0</v>
      </c>
      <c r="AV182" t="s">
        <v>7360</v>
      </c>
      <c r="AW182">
        <v>0</v>
      </c>
      <c r="AX182" t="s">
        <v>7360</v>
      </c>
      <c r="AY182" t="s">
        <v>7362</v>
      </c>
      <c r="BA182">
        <v>0</v>
      </c>
      <c r="BB182" s="20">
        <v>44959</v>
      </c>
      <c r="BC182">
        <v>0</v>
      </c>
      <c r="BD182" t="s">
        <v>7360</v>
      </c>
      <c r="BF182" s="20">
        <v>44959</v>
      </c>
      <c r="BG182">
        <v>0</v>
      </c>
      <c r="BH182" t="s">
        <v>7363</v>
      </c>
      <c r="BJ182" t="s">
        <v>7362</v>
      </c>
      <c r="BK182">
        <v>169</v>
      </c>
      <c r="BL182">
        <v>11</v>
      </c>
      <c r="BM182">
        <v>1</v>
      </c>
      <c r="BN182" t="s">
        <v>7364</v>
      </c>
      <c r="BO182">
        <v>0</v>
      </c>
      <c r="BP182">
        <v>0</v>
      </c>
      <c r="BQ182">
        <v>0</v>
      </c>
      <c r="BR182">
        <v>0</v>
      </c>
      <c r="BS182" t="s">
        <v>7411</v>
      </c>
      <c r="BT182" t="s">
        <v>7360</v>
      </c>
      <c r="BU182" t="s">
        <v>7360</v>
      </c>
      <c r="BV182" t="s">
        <v>7360</v>
      </c>
      <c r="BX182" t="s">
        <v>7391</v>
      </c>
      <c r="BY182">
        <v>80</v>
      </c>
      <c r="BZ182">
        <v>0</v>
      </c>
      <c r="CA182">
        <v>0</v>
      </c>
      <c r="CB182" t="s">
        <v>7360</v>
      </c>
      <c r="CC182" s="21">
        <v>44959.4374537037</v>
      </c>
      <c r="CE182" t="s">
        <v>7412</v>
      </c>
      <c r="CF182">
        <v>1108001</v>
      </c>
      <c r="CG182">
        <v>53575</v>
      </c>
      <c r="CH182">
        <v>53575</v>
      </c>
      <c r="CI182" s="21">
        <v>44959.490925925929</v>
      </c>
      <c r="CJ182" t="s">
        <v>7393</v>
      </c>
      <c r="CK182" t="s">
        <v>7393</v>
      </c>
      <c r="CL182" t="s">
        <v>7394</v>
      </c>
      <c r="CM182" t="s">
        <v>7394</v>
      </c>
      <c r="CS182" t="s">
        <v>7361</v>
      </c>
      <c r="CT182" t="s">
        <v>7362</v>
      </c>
      <c r="CU182" t="s">
        <v>7362</v>
      </c>
      <c r="CV182" t="s">
        <v>7362</v>
      </c>
      <c r="CW182" t="s">
        <v>7362</v>
      </c>
      <c r="CX182">
        <v>2940000</v>
      </c>
      <c r="DA182">
        <v>0</v>
      </c>
    </row>
    <row r="183" spans="1:105" x14ac:dyDescent="0.3">
      <c r="A183">
        <v>1372</v>
      </c>
      <c r="B183" t="s">
        <v>7369</v>
      </c>
      <c r="C183">
        <v>205</v>
      </c>
      <c r="D183" s="20">
        <v>44959</v>
      </c>
      <c r="E183" t="s">
        <v>7356</v>
      </c>
      <c r="F183" t="s">
        <v>5639</v>
      </c>
      <c r="G183" t="s">
        <v>7357</v>
      </c>
      <c r="H183">
        <v>1</v>
      </c>
      <c r="I183" t="s">
        <v>7358</v>
      </c>
      <c r="J183">
        <v>1</v>
      </c>
      <c r="K183" s="20">
        <v>44959</v>
      </c>
      <c r="L183" s="23">
        <v>2403161</v>
      </c>
      <c r="M183" t="s">
        <v>7359</v>
      </c>
      <c r="N183" t="s">
        <v>7360</v>
      </c>
      <c r="O183">
        <v>0</v>
      </c>
      <c r="P183">
        <v>12016</v>
      </c>
      <c r="Q183">
        <v>418001</v>
      </c>
      <c r="R183">
        <v>0</v>
      </c>
      <c r="S183">
        <v>20230202</v>
      </c>
      <c r="T183">
        <v>0</v>
      </c>
      <c r="U183" t="s">
        <v>7361</v>
      </c>
      <c r="V183" t="s">
        <v>7360</v>
      </c>
      <c r="W183" t="s">
        <v>7360</v>
      </c>
      <c r="X183" t="s">
        <v>7360</v>
      </c>
      <c r="Y183" t="s">
        <v>7360</v>
      </c>
      <c r="Z183" t="s">
        <v>7360</v>
      </c>
      <c r="AA183" t="s">
        <v>7362</v>
      </c>
      <c r="AB183" t="s">
        <v>7360</v>
      </c>
      <c r="AC183" t="s">
        <v>7360</v>
      </c>
      <c r="AD183" t="s">
        <v>7360</v>
      </c>
      <c r="AE183" t="s">
        <v>7360</v>
      </c>
      <c r="AF183" t="s">
        <v>1684</v>
      </c>
      <c r="AG183">
        <v>0</v>
      </c>
      <c r="AH183">
        <v>0</v>
      </c>
      <c r="AI183">
        <v>0</v>
      </c>
      <c r="AJ183">
        <v>0</v>
      </c>
      <c r="AK183">
        <v>0</v>
      </c>
      <c r="AL183" t="s">
        <v>7360</v>
      </c>
      <c r="AM183">
        <v>0</v>
      </c>
      <c r="AN183" s="20">
        <v>44959</v>
      </c>
      <c r="AO183" s="20">
        <v>44959</v>
      </c>
      <c r="AP183" s="20">
        <v>44959</v>
      </c>
      <c r="AQ183">
        <v>0</v>
      </c>
      <c r="AR183">
        <v>0</v>
      </c>
      <c r="AS183">
        <v>0</v>
      </c>
      <c r="AT183">
        <v>0</v>
      </c>
      <c r="AU183">
        <v>0</v>
      </c>
      <c r="AV183" t="s">
        <v>7360</v>
      </c>
      <c r="AW183">
        <v>0</v>
      </c>
      <c r="AX183" t="s">
        <v>7360</v>
      </c>
      <c r="AY183" t="s">
        <v>7363</v>
      </c>
      <c r="BA183">
        <v>0</v>
      </c>
      <c r="BB183" s="20">
        <v>44959</v>
      </c>
      <c r="BC183">
        <v>0</v>
      </c>
      <c r="BD183" t="s">
        <v>7360</v>
      </c>
      <c r="BF183" s="20">
        <v>44959</v>
      </c>
      <c r="BG183">
        <v>0</v>
      </c>
      <c r="BH183" t="s">
        <v>7363</v>
      </c>
      <c r="BJ183" t="s">
        <v>7362</v>
      </c>
      <c r="BK183">
        <v>0</v>
      </c>
      <c r="BL183">
        <v>0</v>
      </c>
      <c r="BM183">
        <v>0</v>
      </c>
      <c r="BN183">
        <v>0</v>
      </c>
      <c r="BO183">
        <v>169</v>
      </c>
      <c r="BP183">
        <v>11</v>
      </c>
      <c r="BQ183">
        <v>1</v>
      </c>
      <c r="BR183" t="s">
        <v>7364</v>
      </c>
      <c r="BS183" t="s">
        <v>7365</v>
      </c>
      <c r="BT183" t="s">
        <v>7360</v>
      </c>
      <c r="BU183" t="s">
        <v>7360</v>
      </c>
      <c r="BV183" t="s">
        <v>7360</v>
      </c>
      <c r="BX183">
        <v>0</v>
      </c>
      <c r="BY183">
        <v>0</v>
      </c>
      <c r="BZ183" t="s">
        <v>7360</v>
      </c>
      <c r="CA183" t="s">
        <v>7360</v>
      </c>
      <c r="CB183">
        <v>3380966</v>
      </c>
      <c r="CC183" s="21">
        <v>44959.459317129629</v>
      </c>
      <c r="CE183" t="s">
        <v>7366</v>
      </c>
      <c r="CF183">
        <v>0</v>
      </c>
      <c r="CG183">
        <v>702002</v>
      </c>
      <c r="CH183">
        <v>702002</v>
      </c>
      <c r="CI183" s="21">
        <v>44960.753842592596</v>
      </c>
      <c r="CJ183" t="s">
        <v>7367</v>
      </c>
      <c r="CK183" t="s">
        <v>7367</v>
      </c>
      <c r="CL183" t="s">
        <v>7368</v>
      </c>
      <c r="CM183" t="s">
        <v>7368</v>
      </c>
      <c r="CS183" t="s">
        <v>7361</v>
      </c>
      <c r="CT183" t="s">
        <v>7362</v>
      </c>
      <c r="CU183" t="s">
        <v>7362</v>
      </c>
      <c r="CV183" t="s">
        <v>7362</v>
      </c>
      <c r="CW183" t="s">
        <v>7362</v>
      </c>
      <c r="CX183">
        <v>2403161</v>
      </c>
      <c r="DA183">
        <v>0</v>
      </c>
    </row>
    <row r="184" spans="1:105" x14ac:dyDescent="0.3">
      <c r="A184">
        <v>1355</v>
      </c>
      <c r="B184" t="s">
        <v>7409</v>
      </c>
      <c r="C184">
        <v>206</v>
      </c>
      <c r="D184" s="20">
        <v>44959</v>
      </c>
      <c r="E184" t="s">
        <v>7372</v>
      </c>
      <c r="F184" t="s">
        <v>5633</v>
      </c>
      <c r="G184" t="s">
        <v>7370</v>
      </c>
      <c r="H184">
        <v>1</v>
      </c>
      <c r="I184" t="s">
        <v>7358</v>
      </c>
      <c r="J184">
        <v>1</v>
      </c>
      <c r="K184" s="20">
        <v>44959</v>
      </c>
      <c r="L184" s="23">
        <v>4340000</v>
      </c>
      <c r="M184" t="s">
        <v>7359</v>
      </c>
      <c r="N184" t="s">
        <v>7360</v>
      </c>
      <c r="O184">
        <v>0</v>
      </c>
      <c r="P184">
        <v>12032</v>
      </c>
      <c r="Q184">
        <v>418014</v>
      </c>
      <c r="R184">
        <v>0</v>
      </c>
      <c r="S184">
        <v>20230202</v>
      </c>
      <c r="T184">
        <v>0</v>
      </c>
      <c r="U184" t="s">
        <v>7362</v>
      </c>
      <c r="V184" t="s">
        <v>7360</v>
      </c>
      <c r="W184" t="s">
        <v>7360</v>
      </c>
      <c r="X184" t="s">
        <v>7360</v>
      </c>
      <c r="Y184" t="s">
        <v>7360</v>
      </c>
      <c r="Z184" t="s">
        <v>7360</v>
      </c>
      <c r="AA184" t="s">
        <v>7362</v>
      </c>
      <c r="AB184" t="s">
        <v>7360</v>
      </c>
      <c r="AC184" t="s">
        <v>7360</v>
      </c>
      <c r="AD184" t="s">
        <v>7360</v>
      </c>
      <c r="AE184" t="s">
        <v>7360</v>
      </c>
      <c r="AF184" t="s">
        <v>1684</v>
      </c>
      <c r="AG184">
        <v>0</v>
      </c>
      <c r="AH184">
        <v>0</v>
      </c>
      <c r="AI184">
        <v>0</v>
      </c>
      <c r="AJ184">
        <v>0</v>
      </c>
      <c r="AK184">
        <v>0</v>
      </c>
      <c r="AL184" t="s">
        <v>7360</v>
      </c>
      <c r="AM184">
        <v>0</v>
      </c>
      <c r="AN184" s="20">
        <v>44959</v>
      </c>
      <c r="AO184" s="20">
        <v>44959</v>
      </c>
      <c r="AP184" s="20">
        <v>44959</v>
      </c>
      <c r="AQ184">
        <v>0</v>
      </c>
      <c r="AR184">
        <v>0</v>
      </c>
      <c r="AS184">
        <v>0</v>
      </c>
      <c r="AT184">
        <v>0</v>
      </c>
      <c r="AU184">
        <v>0</v>
      </c>
      <c r="AV184" t="s">
        <v>7360</v>
      </c>
      <c r="AW184">
        <v>0</v>
      </c>
      <c r="AX184" t="s">
        <v>7360</v>
      </c>
      <c r="AY184" t="s">
        <v>7362</v>
      </c>
      <c r="BA184">
        <v>0</v>
      </c>
      <c r="BB184" s="20">
        <v>44959</v>
      </c>
      <c r="BC184">
        <v>0</v>
      </c>
      <c r="BD184" t="s">
        <v>7360</v>
      </c>
      <c r="BF184" s="20">
        <v>44959</v>
      </c>
      <c r="BG184">
        <v>0</v>
      </c>
      <c r="BH184" t="s">
        <v>7363</v>
      </c>
      <c r="BJ184" t="s">
        <v>7362</v>
      </c>
      <c r="BK184">
        <v>169</v>
      </c>
      <c r="BL184">
        <v>11</v>
      </c>
      <c r="BM184">
        <v>1</v>
      </c>
      <c r="BN184" t="s">
        <v>7364</v>
      </c>
      <c r="BO184">
        <v>0</v>
      </c>
      <c r="BP184">
        <v>0</v>
      </c>
      <c r="BQ184">
        <v>0</v>
      </c>
      <c r="BR184">
        <v>0</v>
      </c>
      <c r="BS184" t="s">
        <v>7411</v>
      </c>
      <c r="BT184" t="s">
        <v>7360</v>
      </c>
      <c r="BU184" t="s">
        <v>7360</v>
      </c>
      <c r="BV184" t="s">
        <v>7360</v>
      </c>
      <c r="BX184" t="s">
        <v>7391</v>
      </c>
      <c r="BY184">
        <v>80</v>
      </c>
      <c r="BZ184">
        <v>0</v>
      </c>
      <c r="CA184">
        <v>0</v>
      </c>
      <c r="CB184" t="s">
        <v>7360</v>
      </c>
      <c r="CC184" s="21">
        <v>44959.530543981484</v>
      </c>
      <c r="CE184" t="s">
        <v>7412</v>
      </c>
      <c r="CF184">
        <v>1108001</v>
      </c>
      <c r="CG184">
        <v>53575</v>
      </c>
      <c r="CH184">
        <v>53575</v>
      </c>
      <c r="CI184" s="21">
        <v>44959.531608796293</v>
      </c>
      <c r="CJ184" t="s">
        <v>7393</v>
      </c>
      <c r="CK184" t="s">
        <v>7393</v>
      </c>
      <c r="CL184" t="s">
        <v>7394</v>
      </c>
      <c r="CM184" t="s">
        <v>7394</v>
      </c>
      <c r="CS184" t="s">
        <v>7361</v>
      </c>
      <c r="CT184" t="s">
        <v>7362</v>
      </c>
      <c r="CU184" t="s">
        <v>7362</v>
      </c>
      <c r="CV184" t="s">
        <v>7362</v>
      </c>
      <c r="CW184" t="s">
        <v>7362</v>
      </c>
      <c r="CX184">
        <v>4340000</v>
      </c>
      <c r="DA184">
        <v>0</v>
      </c>
    </row>
    <row r="185" spans="1:105" x14ac:dyDescent="0.3">
      <c r="A185">
        <v>1354</v>
      </c>
      <c r="B185" t="s">
        <v>7396</v>
      </c>
      <c r="C185">
        <v>207</v>
      </c>
      <c r="D185" s="20">
        <v>44959</v>
      </c>
      <c r="E185" t="s">
        <v>7372</v>
      </c>
      <c r="F185" t="s">
        <v>5639</v>
      </c>
      <c r="G185" t="s">
        <v>7370</v>
      </c>
      <c r="H185">
        <v>1</v>
      </c>
      <c r="I185" t="s">
        <v>7358</v>
      </c>
      <c r="J185">
        <v>1</v>
      </c>
      <c r="K185" s="20">
        <v>44959</v>
      </c>
      <c r="L185" s="23">
        <v>2940000</v>
      </c>
      <c r="M185" t="s">
        <v>7359</v>
      </c>
      <c r="N185" t="s">
        <v>7360</v>
      </c>
      <c r="O185">
        <v>0</v>
      </c>
      <c r="P185">
        <v>12031</v>
      </c>
      <c r="Q185">
        <v>418013</v>
      </c>
      <c r="R185">
        <v>0</v>
      </c>
      <c r="S185">
        <v>20230202</v>
      </c>
      <c r="T185">
        <v>0</v>
      </c>
      <c r="U185" t="s">
        <v>7362</v>
      </c>
      <c r="V185" t="s">
        <v>7360</v>
      </c>
      <c r="W185" t="s">
        <v>7360</v>
      </c>
      <c r="X185" t="s">
        <v>7360</v>
      </c>
      <c r="Y185" t="s">
        <v>7360</v>
      </c>
      <c r="Z185" t="s">
        <v>7360</v>
      </c>
      <c r="AA185" t="s">
        <v>7362</v>
      </c>
      <c r="AB185" t="s">
        <v>7360</v>
      </c>
      <c r="AC185" t="s">
        <v>7360</v>
      </c>
      <c r="AD185" t="s">
        <v>7360</v>
      </c>
      <c r="AE185" t="s">
        <v>7360</v>
      </c>
      <c r="AF185" t="s">
        <v>1684</v>
      </c>
      <c r="AG185">
        <v>0</v>
      </c>
      <c r="AH185">
        <v>0</v>
      </c>
      <c r="AI185">
        <v>0</v>
      </c>
      <c r="AJ185">
        <v>0</v>
      </c>
      <c r="AK185">
        <v>0</v>
      </c>
      <c r="AL185" t="s">
        <v>7360</v>
      </c>
      <c r="AM185">
        <v>0</v>
      </c>
      <c r="AN185" s="20">
        <v>44959</v>
      </c>
      <c r="AO185" s="20">
        <v>44959</v>
      </c>
      <c r="AP185" s="20">
        <v>44959</v>
      </c>
      <c r="AQ185">
        <v>0</v>
      </c>
      <c r="AR185">
        <v>0</v>
      </c>
      <c r="AS185">
        <v>0</v>
      </c>
      <c r="AT185">
        <v>0</v>
      </c>
      <c r="AU185">
        <v>0</v>
      </c>
      <c r="AV185" t="s">
        <v>7360</v>
      </c>
      <c r="AW185">
        <v>0</v>
      </c>
      <c r="AX185" t="s">
        <v>7360</v>
      </c>
      <c r="AY185" t="s">
        <v>7362</v>
      </c>
      <c r="BA185">
        <v>0</v>
      </c>
      <c r="BB185" s="20">
        <v>44959</v>
      </c>
      <c r="BC185">
        <v>0</v>
      </c>
      <c r="BD185" t="s">
        <v>7360</v>
      </c>
      <c r="BF185" s="20">
        <v>44959</v>
      </c>
      <c r="BG185">
        <v>0</v>
      </c>
      <c r="BH185" t="s">
        <v>7363</v>
      </c>
      <c r="BJ185" t="s">
        <v>7362</v>
      </c>
      <c r="BK185">
        <v>169</v>
      </c>
      <c r="BL185">
        <v>11</v>
      </c>
      <c r="BM185">
        <v>1</v>
      </c>
      <c r="BN185" t="s">
        <v>7364</v>
      </c>
      <c r="BO185">
        <v>0</v>
      </c>
      <c r="BP185">
        <v>0</v>
      </c>
      <c r="BQ185">
        <v>0</v>
      </c>
      <c r="BR185">
        <v>0</v>
      </c>
      <c r="BS185" t="s">
        <v>7411</v>
      </c>
      <c r="BT185" t="s">
        <v>7360</v>
      </c>
      <c r="BU185" t="s">
        <v>7360</v>
      </c>
      <c r="BV185" t="s">
        <v>7360</v>
      </c>
      <c r="BX185" t="s">
        <v>7391</v>
      </c>
      <c r="BY185">
        <v>80</v>
      </c>
      <c r="BZ185">
        <v>0</v>
      </c>
      <c r="CA185">
        <v>0</v>
      </c>
      <c r="CB185">
        <v>5558210</v>
      </c>
      <c r="CC185" s="21">
        <v>44959.59883101852</v>
      </c>
      <c r="CE185" t="s">
        <v>7412</v>
      </c>
      <c r="CF185">
        <v>1108001</v>
      </c>
      <c r="CG185">
        <v>53575</v>
      </c>
      <c r="CH185">
        <v>53575</v>
      </c>
      <c r="CI185" s="21">
        <v>44959.599861111114</v>
      </c>
      <c r="CJ185" t="s">
        <v>7393</v>
      </c>
      <c r="CK185" t="s">
        <v>7393</v>
      </c>
      <c r="CL185" t="s">
        <v>7394</v>
      </c>
      <c r="CM185" t="s">
        <v>7394</v>
      </c>
      <c r="CS185" t="s">
        <v>7361</v>
      </c>
      <c r="CT185" t="s">
        <v>7362</v>
      </c>
      <c r="CU185" t="s">
        <v>7362</v>
      </c>
      <c r="CV185" t="s">
        <v>7362</v>
      </c>
      <c r="CW185" t="s">
        <v>7362</v>
      </c>
      <c r="CX185">
        <v>2940000</v>
      </c>
      <c r="DA185">
        <v>0</v>
      </c>
    </row>
    <row r="186" spans="1:105" x14ac:dyDescent="0.3">
      <c r="A186">
        <v>1354</v>
      </c>
      <c r="B186" t="s">
        <v>7396</v>
      </c>
      <c r="C186">
        <v>208</v>
      </c>
      <c r="D186" s="20">
        <v>44959</v>
      </c>
      <c r="E186" t="s">
        <v>7372</v>
      </c>
      <c r="F186" t="s">
        <v>5639</v>
      </c>
      <c r="G186" t="s">
        <v>7370</v>
      </c>
      <c r="H186">
        <v>1</v>
      </c>
      <c r="I186" t="s">
        <v>7358</v>
      </c>
      <c r="J186">
        <v>1</v>
      </c>
      <c r="K186" s="20">
        <v>44959</v>
      </c>
      <c r="L186" s="23">
        <v>4340000</v>
      </c>
      <c r="M186" t="s">
        <v>7359</v>
      </c>
      <c r="N186" t="s">
        <v>7360</v>
      </c>
      <c r="O186">
        <v>0</v>
      </c>
      <c r="P186">
        <v>12033</v>
      </c>
      <c r="Q186">
        <v>418015</v>
      </c>
      <c r="R186">
        <v>0</v>
      </c>
      <c r="S186">
        <v>20230202</v>
      </c>
      <c r="T186">
        <v>0</v>
      </c>
      <c r="U186" t="s">
        <v>7362</v>
      </c>
      <c r="V186" t="s">
        <v>7360</v>
      </c>
      <c r="W186" t="s">
        <v>7360</v>
      </c>
      <c r="X186" t="s">
        <v>7360</v>
      </c>
      <c r="Y186" t="s">
        <v>7360</v>
      </c>
      <c r="Z186" t="s">
        <v>7360</v>
      </c>
      <c r="AA186" t="s">
        <v>7362</v>
      </c>
      <c r="AB186" t="s">
        <v>7360</v>
      </c>
      <c r="AC186" t="s">
        <v>7360</v>
      </c>
      <c r="AD186" t="s">
        <v>7360</v>
      </c>
      <c r="AE186" t="s">
        <v>7360</v>
      </c>
      <c r="AF186" t="s">
        <v>1684</v>
      </c>
      <c r="AG186">
        <v>0</v>
      </c>
      <c r="AH186">
        <v>0</v>
      </c>
      <c r="AI186">
        <v>0</v>
      </c>
      <c r="AJ186">
        <v>0</v>
      </c>
      <c r="AK186">
        <v>0</v>
      </c>
      <c r="AL186" t="s">
        <v>7360</v>
      </c>
      <c r="AM186">
        <v>0</v>
      </c>
      <c r="AN186" s="20">
        <v>44959</v>
      </c>
      <c r="AO186" s="20">
        <v>44959</v>
      </c>
      <c r="AP186" s="20">
        <v>44959</v>
      </c>
      <c r="AQ186">
        <v>0</v>
      </c>
      <c r="AR186">
        <v>0</v>
      </c>
      <c r="AS186">
        <v>0</v>
      </c>
      <c r="AT186">
        <v>0</v>
      </c>
      <c r="AU186">
        <v>0</v>
      </c>
      <c r="AV186" t="s">
        <v>7360</v>
      </c>
      <c r="AW186">
        <v>0</v>
      </c>
      <c r="AX186" t="s">
        <v>7360</v>
      </c>
      <c r="AY186" t="s">
        <v>7362</v>
      </c>
      <c r="BA186">
        <v>0</v>
      </c>
      <c r="BB186" s="20">
        <v>44959</v>
      </c>
      <c r="BC186">
        <v>0</v>
      </c>
      <c r="BD186" t="s">
        <v>7360</v>
      </c>
      <c r="BF186" s="20">
        <v>44959</v>
      </c>
      <c r="BG186">
        <v>0</v>
      </c>
      <c r="BH186" t="s">
        <v>7363</v>
      </c>
      <c r="BJ186" t="s">
        <v>7362</v>
      </c>
      <c r="BK186">
        <v>169</v>
      </c>
      <c r="BL186">
        <v>11</v>
      </c>
      <c r="BM186">
        <v>1</v>
      </c>
      <c r="BN186" t="s">
        <v>7364</v>
      </c>
      <c r="BO186">
        <v>0</v>
      </c>
      <c r="BP186">
        <v>0</v>
      </c>
      <c r="BQ186">
        <v>0</v>
      </c>
      <c r="BR186">
        <v>0</v>
      </c>
      <c r="BS186" t="s">
        <v>7411</v>
      </c>
      <c r="BT186" t="s">
        <v>7360</v>
      </c>
      <c r="BU186" t="s">
        <v>7360</v>
      </c>
      <c r="BV186" t="s">
        <v>7360</v>
      </c>
      <c r="BX186" t="s">
        <v>7391</v>
      </c>
      <c r="BY186">
        <v>80</v>
      </c>
      <c r="BZ186">
        <v>0</v>
      </c>
      <c r="CA186">
        <v>0</v>
      </c>
      <c r="CB186">
        <v>5558210</v>
      </c>
      <c r="CC186" s="21">
        <v>44959.643553240741</v>
      </c>
      <c r="CE186" t="s">
        <v>7412</v>
      </c>
      <c r="CF186">
        <v>1108001</v>
      </c>
      <c r="CG186">
        <v>53575</v>
      </c>
      <c r="CH186">
        <v>53575</v>
      </c>
      <c r="CI186" s="21">
        <v>44959.645115740743</v>
      </c>
      <c r="CJ186" t="s">
        <v>7393</v>
      </c>
      <c r="CK186" t="s">
        <v>7393</v>
      </c>
      <c r="CL186" t="s">
        <v>7394</v>
      </c>
      <c r="CM186" t="s">
        <v>7394</v>
      </c>
      <c r="CS186" t="s">
        <v>7361</v>
      </c>
      <c r="CT186" t="s">
        <v>7362</v>
      </c>
      <c r="CU186" t="s">
        <v>7362</v>
      </c>
      <c r="CV186" t="s">
        <v>7362</v>
      </c>
      <c r="CW186" t="s">
        <v>7362</v>
      </c>
      <c r="CX186">
        <v>4340000</v>
      </c>
      <c r="DA186">
        <v>0</v>
      </c>
    </row>
    <row r="187" spans="1:105" x14ac:dyDescent="0.3">
      <c r="A187">
        <v>1354</v>
      </c>
      <c r="B187" t="s">
        <v>7396</v>
      </c>
      <c r="C187">
        <v>209</v>
      </c>
      <c r="D187" s="20">
        <v>44959</v>
      </c>
      <c r="E187" t="s">
        <v>7372</v>
      </c>
      <c r="F187" t="s">
        <v>5639</v>
      </c>
      <c r="G187" t="s">
        <v>7370</v>
      </c>
      <c r="H187">
        <v>1</v>
      </c>
      <c r="I187" t="s">
        <v>7358</v>
      </c>
      <c r="J187">
        <v>1</v>
      </c>
      <c r="K187" s="20">
        <v>44959</v>
      </c>
      <c r="L187" s="23">
        <v>2700000</v>
      </c>
      <c r="M187" t="s">
        <v>7359</v>
      </c>
      <c r="N187" t="s">
        <v>7360</v>
      </c>
      <c r="O187">
        <v>0</v>
      </c>
      <c r="P187">
        <v>12035</v>
      </c>
      <c r="Q187">
        <v>418017</v>
      </c>
      <c r="R187">
        <v>0</v>
      </c>
      <c r="S187">
        <v>20230202</v>
      </c>
      <c r="T187">
        <v>0</v>
      </c>
      <c r="U187" t="s">
        <v>7362</v>
      </c>
      <c r="V187" t="s">
        <v>7360</v>
      </c>
      <c r="W187" t="s">
        <v>7360</v>
      </c>
      <c r="X187" t="s">
        <v>7360</v>
      </c>
      <c r="Y187" t="s">
        <v>7360</v>
      </c>
      <c r="Z187" t="s">
        <v>7360</v>
      </c>
      <c r="AA187" t="s">
        <v>7362</v>
      </c>
      <c r="AB187" t="s">
        <v>7360</v>
      </c>
      <c r="AC187" t="s">
        <v>7360</v>
      </c>
      <c r="AD187" t="s">
        <v>7360</v>
      </c>
      <c r="AE187" t="s">
        <v>7360</v>
      </c>
      <c r="AF187" t="s">
        <v>1684</v>
      </c>
      <c r="AG187">
        <v>0</v>
      </c>
      <c r="AH187">
        <v>0</v>
      </c>
      <c r="AI187">
        <v>0</v>
      </c>
      <c r="AJ187">
        <v>0</v>
      </c>
      <c r="AK187">
        <v>0</v>
      </c>
      <c r="AL187" t="s">
        <v>7360</v>
      </c>
      <c r="AM187">
        <v>0</v>
      </c>
      <c r="AN187" s="20">
        <v>44959</v>
      </c>
      <c r="AO187" s="20">
        <v>44959</v>
      </c>
      <c r="AP187" s="20">
        <v>44959</v>
      </c>
      <c r="AQ187">
        <v>0</v>
      </c>
      <c r="AR187">
        <v>0</v>
      </c>
      <c r="AS187">
        <v>0</v>
      </c>
      <c r="AT187">
        <v>0</v>
      </c>
      <c r="AU187">
        <v>0</v>
      </c>
      <c r="AV187" t="s">
        <v>7360</v>
      </c>
      <c r="AW187">
        <v>0</v>
      </c>
      <c r="AX187" t="s">
        <v>7360</v>
      </c>
      <c r="AY187" t="s">
        <v>7362</v>
      </c>
      <c r="BA187">
        <v>0</v>
      </c>
      <c r="BB187" s="20">
        <v>44959</v>
      </c>
      <c r="BC187">
        <v>0</v>
      </c>
      <c r="BD187" t="s">
        <v>7360</v>
      </c>
      <c r="BF187" s="20">
        <v>44959</v>
      </c>
      <c r="BG187">
        <v>0</v>
      </c>
      <c r="BH187" t="s">
        <v>7363</v>
      </c>
      <c r="BJ187" t="s">
        <v>7362</v>
      </c>
      <c r="BK187">
        <v>169</v>
      </c>
      <c r="BL187">
        <v>11</v>
      </c>
      <c r="BM187">
        <v>1</v>
      </c>
      <c r="BN187" t="s">
        <v>7364</v>
      </c>
      <c r="BO187">
        <v>169</v>
      </c>
      <c r="BP187">
        <v>11</v>
      </c>
      <c r="BQ187">
        <v>1</v>
      </c>
      <c r="BR187" t="s">
        <v>7364</v>
      </c>
      <c r="BS187" t="s">
        <v>7411</v>
      </c>
      <c r="BT187" t="s">
        <v>7360</v>
      </c>
      <c r="BU187" t="s">
        <v>7360</v>
      </c>
      <c r="BV187" t="s">
        <v>7360</v>
      </c>
      <c r="BX187" t="s">
        <v>7391</v>
      </c>
      <c r="BY187">
        <v>80</v>
      </c>
      <c r="BZ187">
        <v>0</v>
      </c>
      <c r="CA187">
        <v>0</v>
      </c>
      <c r="CC187" s="21">
        <v>44959.663182870368</v>
      </c>
      <c r="CE187" t="s">
        <v>7412</v>
      </c>
      <c r="CF187">
        <v>1108001</v>
      </c>
      <c r="CG187">
        <v>53575</v>
      </c>
      <c r="CH187">
        <v>53575</v>
      </c>
      <c r="CI187" s="21">
        <v>44959.667754629627</v>
      </c>
      <c r="CJ187" t="s">
        <v>7393</v>
      </c>
      <c r="CK187" t="s">
        <v>7393</v>
      </c>
      <c r="CL187" t="s">
        <v>7394</v>
      </c>
      <c r="CM187" t="s">
        <v>7394</v>
      </c>
      <c r="CS187" t="s">
        <v>7361</v>
      </c>
      <c r="CT187" t="s">
        <v>7362</v>
      </c>
      <c r="CU187" t="s">
        <v>7362</v>
      </c>
      <c r="CV187" t="s">
        <v>7362</v>
      </c>
      <c r="CW187" t="s">
        <v>7362</v>
      </c>
      <c r="CX187">
        <v>2700000</v>
      </c>
      <c r="DA187">
        <v>0</v>
      </c>
    </row>
    <row r="188" spans="1:105" x14ac:dyDescent="0.3">
      <c r="A188">
        <v>1366</v>
      </c>
      <c r="B188" t="s">
        <v>7380</v>
      </c>
      <c r="C188">
        <v>450</v>
      </c>
      <c r="D188" s="20">
        <v>44979</v>
      </c>
      <c r="E188" t="s">
        <v>7356</v>
      </c>
      <c r="F188" t="s">
        <v>5639</v>
      </c>
      <c r="G188" t="s">
        <v>7357</v>
      </c>
      <c r="H188">
        <v>1</v>
      </c>
      <c r="I188" t="s">
        <v>7358</v>
      </c>
      <c r="J188">
        <v>1</v>
      </c>
      <c r="K188" s="20">
        <v>44979</v>
      </c>
      <c r="L188" s="23">
        <v>16356681</v>
      </c>
      <c r="M188" t="s">
        <v>7403</v>
      </c>
      <c r="N188" t="s">
        <v>7360</v>
      </c>
      <c r="O188">
        <v>0</v>
      </c>
      <c r="P188">
        <v>12497</v>
      </c>
      <c r="Q188">
        <v>134009</v>
      </c>
      <c r="R188">
        <v>0</v>
      </c>
      <c r="S188">
        <v>20230222</v>
      </c>
      <c r="T188">
        <v>0</v>
      </c>
      <c r="U188" t="s">
        <v>7361</v>
      </c>
      <c r="V188" t="s">
        <v>7360</v>
      </c>
      <c r="W188" t="s">
        <v>7360</v>
      </c>
      <c r="X188" t="s">
        <v>7360</v>
      </c>
      <c r="Y188" t="s">
        <v>7360</v>
      </c>
      <c r="Z188" t="s">
        <v>7360</v>
      </c>
      <c r="AA188" t="s">
        <v>7362</v>
      </c>
      <c r="AB188" t="s">
        <v>7360</v>
      </c>
      <c r="AC188" t="s">
        <v>7360</v>
      </c>
      <c r="AD188" t="s">
        <v>7360</v>
      </c>
      <c r="AE188" t="s">
        <v>7360</v>
      </c>
      <c r="AF188" t="s">
        <v>1684</v>
      </c>
      <c r="AG188">
        <v>0</v>
      </c>
      <c r="AH188">
        <v>0</v>
      </c>
      <c r="AI188">
        <v>0</v>
      </c>
      <c r="AJ188">
        <v>0</v>
      </c>
      <c r="AK188">
        <v>0</v>
      </c>
      <c r="AL188" t="s">
        <v>7360</v>
      </c>
      <c r="AM188">
        <v>0</v>
      </c>
      <c r="AN188" s="20">
        <v>44979</v>
      </c>
      <c r="AO188" s="20">
        <v>44979</v>
      </c>
      <c r="AP188" s="20">
        <v>44979</v>
      </c>
      <c r="AQ188">
        <v>0</v>
      </c>
      <c r="AR188">
        <v>0</v>
      </c>
      <c r="AS188">
        <v>0</v>
      </c>
      <c r="AT188">
        <v>0</v>
      </c>
      <c r="AU188">
        <v>0</v>
      </c>
      <c r="AV188" t="s">
        <v>7360</v>
      </c>
      <c r="AW188">
        <v>0</v>
      </c>
      <c r="AX188" t="s">
        <v>7360</v>
      </c>
      <c r="AY188" t="s">
        <v>7363</v>
      </c>
      <c r="BA188">
        <v>0</v>
      </c>
      <c r="BB188" s="20">
        <v>44979</v>
      </c>
      <c r="BC188">
        <v>0</v>
      </c>
      <c r="BD188" t="s">
        <v>7360</v>
      </c>
      <c r="BE188">
        <v>147</v>
      </c>
      <c r="BF188" s="20">
        <v>44979</v>
      </c>
      <c r="BG188">
        <v>0</v>
      </c>
      <c r="BH188" t="s">
        <v>7363</v>
      </c>
      <c r="BJ188" t="s">
        <v>7362</v>
      </c>
      <c r="BK188">
        <v>169</v>
      </c>
      <c r="BL188">
        <v>11</v>
      </c>
      <c r="BM188">
        <v>1</v>
      </c>
      <c r="BN188" t="s">
        <v>7364</v>
      </c>
      <c r="BO188">
        <v>0</v>
      </c>
      <c r="BP188">
        <v>0</v>
      </c>
      <c r="BQ188">
        <v>0</v>
      </c>
      <c r="BR188">
        <v>0</v>
      </c>
      <c r="BS188" t="s">
        <v>7388</v>
      </c>
      <c r="BT188" t="s">
        <v>7360</v>
      </c>
      <c r="BU188" t="s">
        <v>7360</v>
      </c>
      <c r="BV188" t="s">
        <v>7360</v>
      </c>
      <c r="BX188" t="s">
        <v>7391</v>
      </c>
      <c r="BY188">
        <v>74</v>
      </c>
      <c r="BZ188" t="s">
        <v>7360</v>
      </c>
      <c r="CA188" t="s">
        <v>7360</v>
      </c>
      <c r="CB188">
        <v>5558210</v>
      </c>
      <c r="CC188" s="21">
        <v>44964.652557870373</v>
      </c>
      <c r="CE188" t="s">
        <v>7392</v>
      </c>
      <c r="CF188">
        <v>1100101</v>
      </c>
      <c r="CG188">
        <v>53575</v>
      </c>
      <c r="CH188">
        <v>53575</v>
      </c>
      <c r="CI188" s="21">
        <v>44964.663877314815</v>
      </c>
      <c r="CJ188" t="s">
        <v>7393</v>
      </c>
      <c r="CK188" t="s">
        <v>7393</v>
      </c>
      <c r="CL188" t="s">
        <v>7394</v>
      </c>
      <c r="CM188" t="s">
        <v>7394</v>
      </c>
      <c r="CS188" t="s">
        <v>7361</v>
      </c>
      <c r="CT188" t="s">
        <v>7362</v>
      </c>
      <c r="CU188" t="s">
        <v>7362</v>
      </c>
      <c r="CV188" t="s">
        <v>7362</v>
      </c>
      <c r="CW188" t="s">
        <v>7362</v>
      </c>
      <c r="CX188">
        <v>15850000</v>
      </c>
      <c r="DA188">
        <v>0</v>
      </c>
    </row>
    <row r="189" spans="1:105" x14ac:dyDescent="0.3">
      <c r="A189">
        <v>1354</v>
      </c>
      <c r="B189" t="s">
        <v>7396</v>
      </c>
      <c r="C189">
        <v>211</v>
      </c>
      <c r="D189" s="20">
        <v>44960</v>
      </c>
      <c r="E189" t="s">
        <v>7372</v>
      </c>
      <c r="F189" t="s">
        <v>5639</v>
      </c>
      <c r="G189" t="s">
        <v>7370</v>
      </c>
      <c r="H189">
        <v>1</v>
      </c>
      <c r="I189" t="s">
        <v>7358</v>
      </c>
      <c r="J189">
        <v>1</v>
      </c>
      <c r="K189" s="20">
        <v>44960</v>
      </c>
      <c r="L189" s="23">
        <v>4068000</v>
      </c>
      <c r="M189" t="s">
        <v>7359</v>
      </c>
      <c r="N189" t="s">
        <v>7360</v>
      </c>
      <c r="O189">
        <v>0</v>
      </c>
      <c r="P189">
        <v>12036</v>
      </c>
      <c r="Q189">
        <v>418018</v>
      </c>
      <c r="R189">
        <v>0</v>
      </c>
      <c r="S189">
        <v>20230203</v>
      </c>
      <c r="T189">
        <v>0</v>
      </c>
      <c r="U189" t="s">
        <v>7362</v>
      </c>
      <c r="V189" t="s">
        <v>7360</v>
      </c>
      <c r="W189" t="s">
        <v>7360</v>
      </c>
      <c r="X189" t="s">
        <v>7360</v>
      </c>
      <c r="Y189" t="s">
        <v>7360</v>
      </c>
      <c r="Z189" t="s">
        <v>7360</v>
      </c>
      <c r="AA189" t="s">
        <v>7362</v>
      </c>
      <c r="AB189" t="s">
        <v>7360</v>
      </c>
      <c r="AC189" t="s">
        <v>7360</v>
      </c>
      <c r="AD189" t="s">
        <v>7360</v>
      </c>
      <c r="AE189" t="s">
        <v>7360</v>
      </c>
      <c r="AF189" t="s">
        <v>1684</v>
      </c>
      <c r="AG189">
        <v>0</v>
      </c>
      <c r="AH189">
        <v>0</v>
      </c>
      <c r="AI189">
        <v>0</v>
      </c>
      <c r="AJ189">
        <v>0</v>
      </c>
      <c r="AK189">
        <v>0</v>
      </c>
      <c r="AL189" t="s">
        <v>7360</v>
      </c>
      <c r="AM189">
        <v>0</v>
      </c>
      <c r="AN189" s="20">
        <v>44960</v>
      </c>
      <c r="AO189" s="20">
        <v>44960</v>
      </c>
      <c r="AP189" s="20">
        <v>44960</v>
      </c>
      <c r="AQ189">
        <v>0</v>
      </c>
      <c r="AR189">
        <v>0</v>
      </c>
      <c r="AS189">
        <v>0</v>
      </c>
      <c r="AT189">
        <v>0</v>
      </c>
      <c r="AU189">
        <v>0</v>
      </c>
      <c r="AV189" t="s">
        <v>7360</v>
      </c>
      <c r="AW189">
        <v>0</v>
      </c>
      <c r="AX189" t="s">
        <v>7360</v>
      </c>
      <c r="AY189" t="s">
        <v>7362</v>
      </c>
      <c r="BA189">
        <v>0</v>
      </c>
      <c r="BB189" s="20">
        <v>44960</v>
      </c>
      <c r="BC189">
        <v>0</v>
      </c>
      <c r="BD189" t="s">
        <v>7360</v>
      </c>
      <c r="BF189" s="20">
        <v>44960</v>
      </c>
      <c r="BG189">
        <v>0</v>
      </c>
      <c r="BH189" t="s">
        <v>7363</v>
      </c>
      <c r="BJ189" t="s">
        <v>7362</v>
      </c>
      <c r="BK189">
        <v>0</v>
      </c>
      <c r="BL189">
        <v>0</v>
      </c>
      <c r="BM189">
        <v>0</v>
      </c>
      <c r="BN189">
        <v>0</v>
      </c>
      <c r="BO189">
        <v>169</v>
      </c>
      <c r="BP189">
        <v>11</v>
      </c>
      <c r="BQ189">
        <v>1</v>
      </c>
      <c r="BR189" t="s">
        <v>7364</v>
      </c>
      <c r="BS189" t="s">
        <v>7365</v>
      </c>
      <c r="BT189" t="s">
        <v>7360</v>
      </c>
      <c r="BU189" t="s">
        <v>7360</v>
      </c>
      <c r="BV189" t="s">
        <v>7360</v>
      </c>
      <c r="BX189">
        <v>0</v>
      </c>
      <c r="BY189">
        <v>0</v>
      </c>
      <c r="BZ189" t="s">
        <v>7360</v>
      </c>
      <c r="CA189" t="s">
        <v>7360</v>
      </c>
      <c r="CB189">
        <v>3380666</v>
      </c>
      <c r="CC189" s="21">
        <v>44960.316840277781</v>
      </c>
      <c r="CE189" t="s">
        <v>7366</v>
      </c>
      <c r="CF189">
        <v>0</v>
      </c>
      <c r="CG189">
        <v>702002</v>
      </c>
      <c r="CH189">
        <v>702002</v>
      </c>
      <c r="CI189" s="21">
        <v>44960.319768518515</v>
      </c>
      <c r="CJ189" t="s">
        <v>7367</v>
      </c>
      <c r="CK189" t="s">
        <v>7367</v>
      </c>
      <c r="CL189" t="s">
        <v>7368</v>
      </c>
      <c r="CM189" t="s">
        <v>7368</v>
      </c>
      <c r="CS189" t="s">
        <v>7361</v>
      </c>
      <c r="CT189" t="s">
        <v>7362</v>
      </c>
      <c r="CU189" t="s">
        <v>7362</v>
      </c>
      <c r="CV189" t="s">
        <v>7362</v>
      </c>
      <c r="CW189" t="s">
        <v>7362</v>
      </c>
      <c r="CX189">
        <v>4068000</v>
      </c>
      <c r="DA189">
        <v>0</v>
      </c>
    </row>
    <row r="190" spans="1:105" x14ac:dyDescent="0.3">
      <c r="A190">
        <v>1366</v>
      </c>
      <c r="B190" t="s">
        <v>7380</v>
      </c>
      <c r="C190">
        <v>212</v>
      </c>
      <c r="D190" s="20">
        <v>44960</v>
      </c>
      <c r="E190" t="s">
        <v>7356</v>
      </c>
      <c r="F190" t="s">
        <v>5639</v>
      </c>
      <c r="G190" t="s">
        <v>7357</v>
      </c>
      <c r="H190">
        <v>1</v>
      </c>
      <c r="I190" t="s">
        <v>7358</v>
      </c>
      <c r="J190">
        <v>1</v>
      </c>
      <c r="K190" s="20">
        <v>44960</v>
      </c>
      <c r="L190" s="23">
        <v>5800000</v>
      </c>
      <c r="M190" t="s">
        <v>7359</v>
      </c>
      <c r="N190" t="s">
        <v>7360</v>
      </c>
      <c r="O190">
        <v>0</v>
      </c>
      <c r="P190">
        <v>12029</v>
      </c>
      <c r="Q190">
        <v>418010</v>
      </c>
      <c r="R190">
        <v>0</v>
      </c>
      <c r="S190">
        <v>20230203</v>
      </c>
      <c r="T190">
        <v>0</v>
      </c>
      <c r="U190" t="s">
        <v>7361</v>
      </c>
      <c r="V190" t="s">
        <v>7360</v>
      </c>
      <c r="W190" t="s">
        <v>7360</v>
      </c>
      <c r="X190" t="s">
        <v>7360</v>
      </c>
      <c r="Y190" t="s">
        <v>7360</v>
      </c>
      <c r="Z190" t="s">
        <v>7360</v>
      </c>
      <c r="AA190" t="s">
        <v>7362</v>
      </c>
      <c r="AB190" t="s">
        <v>7360</v>
      </c>
      <c r="AC190" t="s">
        <v>7360</v>
      </c>
      <c r="AD190" t="s">
        <v>7360</v>
      </c>
      <c r="AE190" t="s">
        <v>7360</v>
      </c>
      <c r="AF190" t="s">
        <v>1684</v>
      </c>
      <c r="AG190">
        <v>0</v>
      </c>
      <c r="AH190">
        <v>0</v>
      </c>
      <c r="AI190">
        <v>0</v>
      </c>
      <c r="AJ190">
        <v>0</v>
      </c>
      <c r="AK190">
        <v>0</v>
      </c>
      <c r="AL190" t="s">
        <v>7360</v>
      </c>
      <c r="AM190">
        <v>0</v>
      </c>
      <c r="AN190" s="20">
        <v>44960</v>
      </c>
      <c r="AO190" s="20">
        <v>44960</v>
      </c>
      <c r="AP190" s="20">
        <v>44960</v>
      </c>
      <c r="AQ190">
        <v>0</v>
      </c>
      <c r="AR190">
        <v>0</v>
      </c>
      <c r="AS190">
        <v>0</v>
      </c>
      <c r="AT190">
        <v>0</v>
      </c>
      <c r="AU190">
        <v>0</v>
      </c>
      <c r="AV190" t="s">
        <v>7360</v>
      </c>
      <c r="AW190">
        <v>0</v>
      </c>
      <c r="AX190" t="s">
        <v>7360</v>
      </c>
      <c r="AY190" t="s">
        <v>7363</v>
      </c>
      <c r="BA190">
        <v>0</v>
      </c>
      <c r="BB190" s="20">
        <v>44960</v>
      </c>
      <c r="BC190">
        <v>0</v>
      </c>
      <c r="BD190" t="s">
        <v>7360</v>
      </c>
      <c r="BF190" s="20">
        <v>44960</v>
      </c>
      <c r="BG190">
        <v>0</v>
      </c>
      <c r="BH190" t="s">
        <v>7363</v>
      </c>
      <c r="BJ190" t="s">
        <v>7362</v>
      </c>
      <c r="BK190">
        <v>0</v>
      </c>
      <c r="BL190">
        <v>0</v>
      </c>
      <c r="BM190">
        <v>0</v>
      </c>
      <c r="BN190">
        <v>0</v>
      </c>
      <c r="BO190">
        <v>169</v>
      </c>
      <c r="BP190">
        <v>11</v>
      </c>
      <c r="BQ190">
        <v>1</v>
      </c>
      <c r="BR190" t="s">
        <v>7364</v>
      </c>
      <c r="BS190" t="s">
        <v>7365</v>
      </c>
      <c r="BT190" t="s">
        <v>7360</v>
      </c>
      <c r="BU190" t="s">
        <v>7360</v>
      </c>
      <c r="BV190" t="s">
        <v>7360</v>
      </c>
      <c r="BX190">
        <v>0</v>
      </c>
      <c r="BY190">
        <v>0</v>
      </c>
      <c r="BZ190" t="s">
        <v>7360</v>
      </c>
      <c r="CA190" t="s">
        <v>7360</v>
      </c>
      <c r="CB190">
        <v>3380666</v>
      </c>
      <c r="CC190" s="21">
        <v>44960.328761574077</v>
      </c>
      <c r="CE190" t="s">
        <v>7366</v>
      </c>
      <c r="CF190">
        <v>0</v>
      </c>
      <c r="CG190">
        <v>702002</v>
      </c>
      <c r="CH190">
        <v>702002</v>
      </c>
      <c r="CI190" s="21">
        <v>44960.331342592595</v>
      </c>
      <c r="CJ190" t="s">
        <v>7367</v>
      </c>
      <c r="CK190" t="s">
        <v>7367</v>
      </c>
      <c r="CL190" t="s">
        <v>7368</v>
      </c>
      <c r="CM190" t="s">
        <v>7368</v>
      </c>
      <c r="CS190" t="s">
        <v>7361</v>
      </c>
      <c r="CT190" t="s">
        <v>7362</v>
      </c>
      <c r="CU190" t="s">
        <v>7362</v>
      </c>
      <c r="CV190" t="s">
        <v>7362</v>
      </c>
      <c r="CW190" t="s">
        <v>7362</v>
      </c>
      <c r="CX190">
        <v>5800000</v>
      </c>
      <c r="DA190">
        <v>0</v>
      </c>
    </row>
    <row r="191" spans="1:105" x14ac:dyDescent="0.3">
      <c r="A191">
        <v>1372</v>
      </c>
      <c r="B191" t="s">
        <v>7369</v>
      </c>
      <c r="C191">
        <v>213</v>
      </c>
      <c r="D191" s="20">
        <v>44960</v>
      </c>
      <c r="E191" t="s">
        <v>7356</v>
      </c>
      <c r="F191" t="s">
        <v>5639</v>
      </c>
      <c r="G191" t="s">
        <v>7370</v>
      </c>
      <c r="H191">
        <v>1</v>
      </c>
      <c r="I191" t="s">
        <v>7358</v>
      </c>
      <c r="J191">
        <v>1</v>
      </c>
      <c r="K191" s="20">
        <v>44960</v>
      </c>
      <c r="L191" s="23">
        <v>475000</v>
      </c>
      <c r="M191" t="s">
        <v>7359</v>
      </c>
      <c r="N191" t="s">
        <v>7360</v>
      </c>
      <c r="O191">
        <v>0</v>
      </c>
      <c r="P191">
        <v>12023</v>
      </c>
      <c r="Q191">
        <v>418005</v>
      </c>
      <c r="R191">
        <v>0</v>
      </c>
      <c r="S191">
        <v>20230203</v>
      </c>
      <c r="T191">
        <v>0</v>
      </c>
      <c r="U191" t="s">
        <v>7361</v>
      </c>
      <c r="V191" t="s">
        <v>7360</v>
      </c>
      <c r="W191" t="s">
        <v>7360</v>
      </c>
      <c r="X191" t="s">
        <v>7360</v>
      </c>
      <c r="Y191" t="s">
        <v>7360</v>
      </c>
      <c r="Z191" t="s">
        <v>7360</v>
      </c>
      <c r="AA191" t="s">
        <v>7362</v>
      </c>
      <c r="AB191" t="s">
        <v>7360</v>
      </c>
      <c r="AC191" t="s">
        <v>7360</v>
      </c>
      <c r="AD191" t="s">
        <v>7360</v>
      </c>
      <c r="AE191" t="s">
        <v>7360</v>
      </c>
      <c r="AF191" t="s">
        <v>1684</v>
      </c>
      <c r="AG191">
        <v>0</v>
      </c>
      <c r="AH191">
        <v>0</v>
      </c>
      <c r="AI191">
        <v>0</v>
      </c>
      <c r="AJ191">
        <v>0</v>
      </c>
      <c r="AK191">
        <v>0</v>
      </c>
      <c r="AL191" t="s">
        <v>7360</v>
      </c>
      <c r="AM191">
        <v>0</v>
      </c>
      <c r="AN191" s="20">
        <v>44960</v>
      </c>
      <c r="AO191" s="20">
        <v>44960</v>
      </c>
      <c r="AP191" s="20">
        <v>44960</v>
      </c>
      <c r="AQ191">
        <v>0</v>
      </c>
      <c r="AR191">
        <v>0</v>
      </c>
      <c r="AS191">
        <v>0</v>
      </c>
      <c r="AT191">
        <v>0</v>
      </c>
      <c r="AU191">
        <v>0</v>
      </c>
      <c r="AV191" t="s">
        <v>7360</v>
      </c>
      <c r="AW191">
        <v>0</v>
      </c>
      <c r="AX191" t="s">
        <v>7360</v>
      </c>
      <c r="AY191" t="s">
        <v>7363</v>
      </c>
      <c r="BA191">
        <v>0</v>
      </c>
      <c r="BB191" s="20">
        <v>44960</v>
      </c>
      <c r="BC191">
        <v>0</v>
      </c>
      <c r="BD191" t="s">
        <v>7360</v>
      </c>
      <c r="BF191" s="20">
        <v>44960</v>
      </c>
      <c r="BG191">
        <v>0</v>
      </c>
      <c r="BH191" t="s">
        <v>7363</v>
      </c>
      <c r="BJ191" t="s">
        <v>7362</v>
      </c>
      <c r="BK191">
        <v>0</v>
      </c>
      <c r="BL191">
        <v>0</v>
      </c>
      <c r="BM191">
        <v>0</v>
      </c>
      <c r="BN191">
        <v>0</v>
      </c>
      <c r="BO191">
        <v>169</v>
      </c>
      <c r="BP191">
        <v>11</v>
      </c>
      <c r="BQ191">
        <v>1</v>
      </c>
      <c r="BR191" t="s">
        <v>7364</v>
      </c>
      <c r="BS191" t="s">
        <v>7365</v>
      </c>
      <c r="BT191" t="s">
        <v>7360</v>
      </c>
      <c r="BU191" t="s">
        <v>7360</v>
      </c>
      <c r="BV191" t="s">
        <v>7360</v>
      </c>
      <c r="BX191">
        <v>0</v>
      </c>
      <c r="BY191">
        <v>0</v>
      </c>
      <c r="BZ191" t="s">
        <v>7360</v>
      </c>
      <c r="CA191" t="s">
        <v>7360</v>
      </c>
      <c r="CB191">
        <v>3380666</v>
      </c>
      <c r="CC191" s="21">
        <v>44960.353518518517</v>
      </c>
      <c r="CE191" t="s">
        <v>7366</v>
      </c>
      <c r="CF191">
        <v>0</v>
      </c>
      <c r="CG191">
        <v>702002</v>
      </c>
      <c r="CH191">
        <v>702002</v>
      </c>
      <c r="CI191" s="21">
        <v>44960.373738425929</v>
      </c>
      <c r="CJ191" t="s">
        <v>7367</v>
      </c>
      <c r="CK191" t="s">
        <v>7367</v>
      </c>
      <c r="CL191" t="s">
        <v>7368</v>
      </c>
      <c r="CM191" t="s">
        <v>7368</v>
      </c>
      <c r="CS191" t="s">
        <v>7361</v>
      </c>
      <c r="CT191" t="s">
        <v>7362</v>
      </c>
      <c r="CU191" t="s">
        <v>7362</v>
      </c>
      <c r="CV191" t="s">
        <v>7362</v>
      </c>
      <c r="CW191" t="s">
        <v>7362</v>
      </c>
      <c r="CX191">
        <v>475000</v>
      </c>
      <c r="DA191">
        <v>0</v>
      </c>
    </row>
    <row r="192" spans="1:105" x14ac:dyDescent="0.3">
      <c r="A192">
        <v>1364</v>
      </c>
      <c r="B192" t="s">
        <v>7355</v>
      </c>
      <c r="C192">
        <v>214</v>
      </c>
      <c r="D192" s="20">
        <v>44960</v>
      </c>
      <c r="E192" t="s">
        <v>7372</v>
      </c>
      <c r="F192" t="s">
        <v>5639</v>
      </c>
      <c r="G192" t="s">
        <v>7357</v>
      </c>
      <c r="H192">
        <v>1</v>
      </c>
      <c r="I192" t="s">
        <v>7358</v>
      </c>
      <c r="J192">
        <v>1</v>
      </c>
      <c r="K192" s="20">
        <v>44960</v>
      </c>
      <c r="L192" s="23">
        <v>3737567</v>
      </c>
      <c r="M192" t="s">
        <v>7359</v>
      </c>
      <c r="N192" t="s">
        <v>7360</v>
      </c>
      <c r="O192">
        <v>0</v>
      </c>
      <c r="P192">
        <v>12017</v>
      </c>
      <c r="Q192">
        <v>418002</v>
      </c>
      <c r="R192">
        <v>0</v>
      </c>
      <c r="S192">
        <v>20230203</v>
      </c>
      <c r="T192">
        <v>0</v>
      </c>
      <c r="U192" t="s">
        <v>7362</v>
      </c>
      <c r="V192" t="s">
        <v>7360</v>
      </c>
      <c r="W192" t="s">
        <v>7360</v>
      </c>
      <c r="X192" t="s">
        <v>7360</v>
      </c>
      <c r="Y192" t="s">
        <v>7360</v>
      </c>
      <c r="Z192" t="s">
        <v>7360</v>
      </c>
      <c r="AA192" t="s">
        <v>7362</v>
      </c>
      <c r="AB192" t="s">
        <v>7360</v>
      </c>
      <c r="AC192" t="s">
        <v>7360</v>
      </c>
      <c r="AD192" t="s">
        <v>7360</v>
      </c>
      <c r="AE192" t="s">
        <v>7360</v>
      </c>
      <c r="AF192" t="s">
        <v>1684</v>
      </c>
      <c r="AG192">
        <v>0</v>
      </c>
      <c r="AH192">
        <v>0</v>
      </c>
      <c r="AI192">
        <v>0</v>
      </c>
      <c r="AJ192">
        <v>0</v>
      </c>
      <c r="AK192">
        <v>0</v>
      </c>
      <c r="AL192" t="s">
        <v>7360</v>
      </c>
      <c r="AM192">
        <v>0</v>
      </c>
      <c r="AN192" s="20">
        <v>44960</v>
      </c>
      <c r="AO192" s="20">
        <v>44960</v>
      </c>
      <c r="AP192" s="20">
        <v>44960</v>
      </c>
      <c r="AQ192">
        <v>0</v>
      </c>
      <c r="AR192">
        <v>0</v>
      </c>
      <c r="AS192">
        <v>0</v>
      </c>
      <c r="AT192">
        <v>0</v>
      </c>
      <c r="AU192">
        <v>0</v>
      </c>
      <c r="AV192" t="s">
        <v>7360</v>
      </c>
      <c r="AW192">
        <v>0</v>
      </c>
      <c r="AX192" t="s">
        <v>7360</v>
      </c>
      <c r="AY192" t="s">
        <v>7362</v>
      </c>
      <c r="BA192">
        <v>0</v>
      </c>
      <c r="BB192" s="20">
        <v>44960</v>
      </c>
      <c r="BC192">
        <v>0</v>
      </c>
      <c r="BD192" t="s">
        <v>7360</v>
      </c>
      <c r="BF192" s="20">
        <v>44960</v>
      </c>
      <c r="BG192">
        <v>0</v>
      </c>
      <c r="BH192" t="s">
        <v>7363</v>
      </c>
      <c r="BJ192" t="s">
        <v>7362</v>
      </c>
      <c r="BK192">
        <v>0</v>
      </c>
      <c r="BL192">
        <v>0</v>
      </c>
      <c r="BM192">
        <v>0</v>
      </c>
      <c r="BN192">
        <v>0</v>
      </c>
      <c r="BO192">
        <v>169</v>
      </c>
      <c r="BP192">
        <v>11</v>
      </c>
      <c r="BQ192">
        <v>1</v>
      </c>
      <c r="BR192" t="s">
        <v>7364</v>
      </c>
      <c r="BS192" t="s">
        <v>7365</v>
      </c>
      <c r="BT192" t="s">
        <v>7360</v>
      </c>
      <c r="BU192" t="s">
        <v>7360</v>
      </c>
      <c r="BV192" t="s">
        <v>7360</v>
      </c>
      <c r="BX192">
        <v>0</v>
      </c>
      <c r="BY192">
        <v>0</v>
      </c>
      <c r="BZ192" t="s">
        <v>7360</v>
      </c>
      <c r="CA192" t="s">
        <v>7360</v>
      </c>
      <c r="CB192">
        <v>3380666</v>
      </c>
      <c r="CC192" s="21">
        <v>44960.401203703703</v>
      </c>
      <c r="CE192" t="s">
        <v>7366</v>
      </c>
      <c r="CF192">
        <v>0</v>
      </c>
      <c r="CG192">
        <v>702002</v>
      </c>
      <c r="CH192">
        <v>702002</v>
      </c>
      <c r="CI192" s="21">
        <v>44961.90892361111</v>
      </c>
      <c r="CJ192" t="s">
        <v>7367</v>
      </c>
      <c r="CK192" t="s">
        <v>7367</v>
      </c>
      <c r="CL192" t="s">
        <v>7368</v>
      </c>
      <c r="CM192" t="s">
        <v>7368</v>
      </c>
      <c r="CS192" t="s">
        <v>7361</v>
      </c>
      <c r="CT192" t="s">
        <v>7362</v>
      </c>
      <c r="CU192" t="s">
        <v>7362</v>
      </c>
      <c r="CV192" t="s">
        <v>7362</v>
      </c>
      <c r="CW192" t="s">
        <v>7362</v>
      </c>
      <c r="CX192">
        <v>3737567</v>
      </c>
      <c r="DA192">
        <v>0</v>
      </c>
    </row>
    <row r="193" spans="1:105" x14ac:dyDescent="0.3">
      <c r="A193">
        <v>1372</v>
      </c>
      <c r="B193" t="s">
        <v>7369</v>
      </c>
      <c r="C193">
        <v>215</v>
      </c>
      <c r="D193" s="20">
        <v>44960</v>
      </c>
      <c r="E193" t="s">
        <v>7356</v>
      </c>
      <c r="F193" t="s">
        <v>5639</v>
      </c>
      <c r="G193" t="s">
        <v>7357</v>
      </c>
      <c r="H193">
        <v>1</v>
      </c>
      <c r="I193" t="s">
        <v>7358</v>
      </c>
      <c r="J193">
        <v>1</v>
      </c>
      <c r="K193" s="20">
        <v>44960</v>
      </c>
      <c r="L193" s="23">
        <v>155520</v>
      </c>
      <c r="M193" t="s">
        <v>7359</v>
      </c>
      <c r="N193" t="s">
        <v>7360</v>
      </c>
      <c r="O193">
        <v>0</v>
      </c>
      <c r="P193">
        <v>12020</v>
      </c>
      <c r="Q193">
        <v>418003</v>
      </c>
      <c r="R193">
        <v>0</v>
      </c>
      <c r="S193">
        <v>20230203</v>
      </c>
      <c r="T193">
        <v>0</v>
      </c>
      <c r="U193" t="s">
        <v>7361</v>
      </c>
      <c r="V193" t="s">
        <v>7360</v>
      </c>
      <c r="W193" t="s">
        <v>7360</v>
      </c>
      <c r="X193" t="s">
        <v>7360</v>
      </c>
      <c r="Y193" t="s">
        <v>7360</v>
      </c>
      <c r="Z193" t="s">
        <v>7360</v>
      </c>
      <c r="AA193" t="s">
        <v>7362</v>
      </c>
      <c r="AB193" t="s">
        <v>7360</v>
      </c>
      <c r="AC193" t="s">
        <v>7360</v>
      </c>
      <c r="AD193" t="s">
        <v>7360</v>
      </c>
      <c r="AE193" t="s">
        <v>7360</v>
      </c>
      <c r="AF193" t="s">
        <v>1684</v>
      </c>
      <c r="AG193">
        <v>0</v>
      </c>
      <c r="AH193">
        <v>0</v>
      </c>
      <c r="AI193">
        <v>0</v>
      </c>
      <c r="AJ193">
        <v>0</v>
      </c>
      <c r="AK193">
        <v>0</v>
      </c>
      <c r="AL193" t="s">
        <v>7360</v>
      </c>
      <c r="AM193">
        <v>0</v>
      </c>
      <c r="AN193" s="20">
        <v>44960</v>
      </c>
      <c r="AO193" s="20">
        <v>44960</v>
      </c>
      <c r="AP193" s="20">
        <v>44960</v>
      </c>
      <c r="AQ193">
        <v>0</v>
      </c>
      <c r="AR193">
        <v>0</v>
      </c>
      <c r="AS193">
        <v>0</v>
      </c>
      <c r="AT193">
        <v>0</v>
      </c>
      <c r="AU193">
        <v>0</v>
      </c>
      <c r="AV193" t="s">
        <v>7360</v>
      </c>
      <c r="AW193">
        <v>0</v>
      </c>
      <c r="AX193" t="s">
        <v>7360</v>
      </c>
      <c r="AY193" t="s">
        <v>7363</v>
      </c>
      <c r="BA193">
        <v>0</v>
      </c>
      <c r="BB193" s="20">
        <v>44960</v>
      </c>
      <c r="BC193">
        <v>0</v>
      </c>
      <c r="BD193" t="s">
        <v>7360</v>
      </c>
      <c r="BF193" s="20">
        <v>44960</v>
      </c>
      <c r="BG193">
        <v>0</v>
      </c>
      <c r="BH193" t="s">
        <v>7363</v>
      </c>
      <c r="BJ193" t="s">
        <v>7362</v>
      </c>
      <c r="BK193">
        <v>0</v>
      </c>
      <c r="BL193">
        <v>0</v>
      </c>
      <c r="BM193">
        <v>0</v>
      </c>
      <c r="BN193">
        <v>0</v>
      </c>
      <c r="BO193">
        <v>169</v>
      </c>
      <c r="BP193">
        <v>11</v>
      </c>
      <c r="BQ193">
        <v>1</v>
      </c>
      <c r="BR193" t="s">
        <v>7364</v>
      </c>
      <c r="BS193" t="s">
        <v>7365</v>
      </c>
      <c r="BT193" t="s">
        <v>7360</v>
      </c>
      <c r="BU193" t="s">
        <v>7360</v>
      </c>
      <c r="BV193" t="s">
        <v>7360</v>
      </c>
      <c r="BX193">
        <v>0</v>
      </c>
      <c r="BY193">
        <v>0</v>
      </c>
      <c r="BZ193" t="s">
        <v>7360</v>
      </c>
      <c r="CA193" t="s">
        <v>7360</v>
      </c>
      <c r="CB193">
        <v>3380666</v>
      </c>
      <c r="CC193" s="21">
        <v>44960.413726851853</v>
      </c>
      <c r="CE193" t="s">
        <v>7366</v>
      </c>
      <c r="CF193">
        <v>0</v>
      </c>
      <c r="CG193">
        <v>702002</v>
      </c>
      <c r="CH193">
        <v>702002</v>
      </c>
      <c r="CI193" s="21">
        <v>44960.417337962965</v>
      </c>
      <c r="CJ193" t="s">
        <v>7367</v>
      </c>
      <c r="CK193" t="s">
        <v>7367</v>
      </c>
      <c r="CL193" t="s">
        <v>7368</v>
      </c>
      <c r="CM193" t="s">
        <v>7368</v>
      </c>
      <c r="CS193" t="s">
        <v>7361</v>
      </c>
      <c r="CT193" t="s">
        <v>7362</v>
      </c>
      <c r="CU193" t="s">
        <v>7362</v>
      </c>
      <c r="CV193" t="s">
        <v>7362</v>
      </c>
      <c r="CW193" t="s">
        <v>7362</v>
      </c>
      <c r="CX193">
        <v>155520</v>
      </c>
      <c r="DA193">
        <v>0</v>
      </c>
    </row>
    <row r="194" spans="1:105" x14ac:dyDescent="0.3">
      <c r="A194">
        <v>1354</v>
      </c>
      <c r="B194" t="s">
        <v>7396</v>
      </c>
      <c r="C194">
        <v>359</v>
      </c>
      <c r="D194" s="20">
        <v>44973</v>
      </c>
      <c r="E194" t="s">
        <v>7356</v>
      </c>
      <c r="F194" t="s">
        <v>5639</v>
      </c>
      <c r="G194" t="s">
        <v>7357</v>
      </c>
      <c r="H194">
        <v>1</v>
      </c>
      <c r="I194" t="s">
        <v>7358</v>
      </c>
      <c r="J194">
        <v>1</v>
      </c>
      <c r="K194" s="20">
        <v>44973</v>
      </c>
      <c r="L194" s="23">
        <v>16779000</v>
      </c>
      <c r="M194" t="s">
        <v>7359</v>
      </c>
      <c r="N194" t="s">
        <v>7360</v>
      </c>
      <c r="O194">
        <v>0</v>
      </c>
      <c r="P194">
        <v>12307</v>
      </c>
      <c r="Q194">
        <v>432020</v>
      </c>
      <c r="R194">
        <v>0</v>
      </c>
      <c r="S194">
        <v>20230216</v>
      </c>
      <c r="T194">
        <v>0</v>
      </c>
      <c r="U194" t="s">
        <v>7361</v>
      </c>
      <c r="V194" t="s">
        <v>7360</v>
      </c>
      <c r="W194" t="s">
        <v>7360</v>
      </c>
      <c r="X194" t="s">
        <v>7360</v>
      </c>
      <c r="Y194" t="s">
        <v>7360</v>
      </c>
      <c r="Z194" t="s">
        <v>7360</v>
      </c>
      <c r="AA194" t="s">
        <v>7362</v>
      </c>
      <c r="AB194" t="s">
        <v>7360</v>
      </c>
      <c r="AC194" t="s">
        <v>7360</v>
      </c>
      <c r="AD194" t="s">
        <v>7360</v>
      </c>
      <c r="AE194" t="s">
        <v>7360</v>
      </c>
      <c r="AF194" t="s">
        <v>1684</v>
      </c>
      <c r="AG194">
        <v>0</v>
      </c>
      <c r="AH194">
        <v>0</v>
      </c>
      <c r="AI194">
        <v>0</v>
      </c>
      <c r="AJ194">
        <v>0</v>
      </c>
      <c r="AK194">
        <v>0</v>
      </c>
      <c r="AL194" t="s">
        <v>7360</v>
      </c>
      <c r="AM194">
        <v>0</v>
      </c>
      <c r="AN194" s="20">
        <v>44973</v>
      </c>
      <c r="AO194" s="20">
        <v>44973</v>
      </c>
      <c r="AP194" s="20">
        <v>44973</v>
      </c>
      <c r="AQ194">
        <v>0</v>
      </c>
      <c r="AR194">
        <v>0</v>
      </c>
      <c r="AS194">
        <v>0</v>
      </c>
      <c r="AT194">
        <v>0</v>
      </c>
      <c r="AU194">
        <v>0</v>
      </c>
      <c r="AV194" t="s">
        <v>7360</v>
      </c>
      <c r="AW194">
        <v>0</v>
      </c>
      <c r="AX194" t="s">
        <v>7360</v>
      </c>
      <c r="AY194" t="s">
        <v>7363</v>
      </c>
      <c r="BA194">
        <v>0</v>
      </c>
      <c r="BB194" s="20">
        <v>44973</v>
      </c>
      <c r="BC194">
        <v>0</v>
      </c>
      <c r="BD194" t="s">
        <v>7360</v>
      </c>
      <c r="BF194" s="20">
        <v>44973</v>
      </c>
      <c r="BG194">
        <v>0</v>
      </c>
      <c r="BH194" t="s">
        <v>7363</v>
      </c>
      <c r="BJ194" t="s">
        <v>7362</v>
      </c>
      <c r="BK194">
        <v>169</v>
      </c>
      <c r="BL194">
        <v>11</v>
      </c>
      <c r="BM194">
        <v>1</v>
      </c>
      <c r="BN194" t="s">
        <v>7364</v>
      </c>
      <c r="BO194">
        <v>0</v>
      </c>
      <c r="BP194">
        <v>0</v>
      </c>
      <c r="BQ194">
        <v>0</v>
      </c>
      <c r="BR194">
        <v>0</v>
      </c>
      <c r="BS194" t="s">
        <v>132</v>
      </c>
      <c r="BT194" t="s">
        <v>7360</v>
      </c>
      <c r="BU194" t="s">
        <v>7360</v>
      </c>
      <c r="BV194" t="s">
        <v>7360</v>
      </c>
      <c r="BX194" t="s">
        <v>7391</v>
      </c>
      <c r="BY194">
        <v>74</v>
      </c>
      <c r="BZ194" t="s">
        <v>7360</v>
      </c>
      <c r="CA194" t="s">
        <v>7360</v>
      </c>
      <c r="CB194">
        <v>5558210</v>
      </c>
      <c r="CC194" s="21">
        <v>44965.400092592594</v>
      </c>
      <c r="CE194" t="s">
        <v>7392</v>
      </c>
      <c r="CF194">
        <v>1100101</v>
      </c>
      <c r="CG194">
        <v>53575</v>
      </c>
      <c r="CH194">
        <v>53575</v>
      </c>
      <c r="CI194" s="21">
        <v>44965.408148148148</v>
      </c>
      <c r="CJ194" t="s">
        <v>7393</v>
      </c>
      <c r="CK194" t="s">
        <v>7393</v>
      </c>
      <c r="CL194" t="s">
        <v>7394</v>
      </c>
      <c r="CM194" t="s">
        <v>7394</v>
      </c>
      <c r="CS194" t="s">
        <v>7361</v>
      </c>
      <c r="CT194" t="s">
        <v>7362</v>
      </c>
      <c r="CU194" t="s">
        <v>7362</v>
      </c>
      <c r="CV194" t="s">
        <v>7362</v>
      </c>
      <c r="CW194" t="s">
        <v>7362</v>
      </c>
      <c r="CX194">
        <v>15000000</v>
      </c>
      <c r="DA194">
        <v>0</v>
      </c>
    </row>
    <row r="195" spans="1:105" x14ac:dyDescent="0.3">
      <c r="A195">
        <v>1356</v>
      </c>
      <c r="B195" t="s">
        <v>7402</v>
      </c>
      <c r="C195">
        <v>217</v>
      </c>
      <c r="D195" s="20">
        <v>44956</v>
      </c>
      <c r="E195" t="s">
        <v>7356</v>
      </c>
      <c r="F195" t="s">
        <v>5639</v>
      </c>
      <c r="G195" t="s">
        <v>7377</v>
      </c>
      <c r="H195">
        <v>1</v>
      </c>
      <c r="I195" t="s">
        <v>7358</v>
      </c>
      <c r="J195">
        <v>1</v>
      </c>
      <c r="K195" s="20">
        <v>44960</v>
      </c>
      <c r="L195" s="23">
        <v>194268</v>
      </c>
      <c r="M195" t="s">
        <v>7359</v>
      </c>
      <c r="N195" t="s">
        <v>7360</v>
      </c>
      <c r="O195">
        <v>0</v>
      </c>
      <c r="P195">
        <v>12092</v>
      </c>
      <c r="Q195">
        <v>419031</v>
      </c>
      <c r="R195">
        <v>0</v>
      </c>
      <c r="S195">
        <v>20230130</v>
      </c>
      <c r="T195">
        <v>0</v>
      </c>
      <c r="U195" t="s">
        <v>7361</v>
      </c>
      <c r="V195" t="s">
        <v>7360</v>
      </c>
      <c r="W195" t="s">
        <v>7360</v>
      </c>
      <c r="X195" t="s">
        <v>7360</v>
      </c>
      <c r="Y195" t="s">
        <v>7360</v>
      </c>
      <c r="Z195" t="s">
        <v>7360</v>
      </c>
      <c r="AA195" t="s">
        <v>7362</v>
      </c>
      <c r="AB195" t="s">
        <v>7360</v>
      </c>
      <c r="AC195" t="s">
        <v>7360</v>
      </c>
      <c r="AD195" t="s">
        <v>7360</v>
      </c>
      <c r="AE195" t="s">
        <v>7360</v>
      </c>
      <c r="AF195" t="s">
        <v>1684</v>
      </c>
      <c r="AG195">
        <v>0</v>
      </c>
      <c r="AH195">
        <v>0</v>
      </c>
      <c r="AI195">
        <v>0</v>
      </c>
      <c r="AJ195">
        <v>0</v>
      </c>
      <c r="AK195">
        <v>0</v>
      </c>
      <c r="AL195" t="s">
        <v>7360</v>
      </c>
      <c r="AM195">
        <v>0</v>
      </c>
      <c r="AN195" s="20">
        <v>44960</v>
      </c>
      <c r="AO195" s="20">
        <v>44960</v>
      </c>
      <c r="AP195" s="20">
        <v>44960</v>
      </c>
      <c r="AQ195">
        <v>0</v>
      </c>
      <c r="AR195">
        <v>0</v>
      </c>
      <c r="AS195">
        <v>0</v>
      </c>
      <c r="AT195">
        <v>0</v>
      </c>
      <c r="AU195">
        <v>0</v>
      </c>
      <c r="AV195" t="s">
        <v>7360</v>
      </c>
      <c r="AW195">
        <v>0</v>
      </c>
      <c r="AX195" t="s">
        <v>7360</v>
      </c>
      <c r="AY195" t="s">
        <v>7363</v>
      </c>
      <c r="BA195">
        <v>0</v>
      </c>
      <c r="BB195" s="20">
        <v>44960</v>
      </c>
      <c r="BC195">
        <v>0</v>
      </c>
      <c r="BD195" t="s">
        <v>7360</v>
      </c>
      <c r="BF195" s="20">
        <v>44960</v>
      </c>
      <c r="BG195">
        <v>0</v>
      </c>
      <c r="BH195" t="s">
        <v>1729</v>
      </c>
      <c r="BJ195" t="s">
        <v>7362</v>
      </c>
      <c r="BK195">
        <v>0</v>
      </c>
      <c r="BL195">
        <v>0</v>
      </c>
      <c r="BM195">
        <v>0</v>
      </c>
      <c r="BN195">
        <v>0</v>
      </c>
      <c r="BO195">
        <v>169</v>
      </c>
      <c r="BP195">
        <v>11</v>
      </c>
      <c r="BQ195">
        <v>1</v>
      </c>
      <c r="BR195" t="s">
        <v>7364</v>
      </c>
      <c r="BS195" t="s">
        <v>7386</v>
      </c>
      <c r="BT195" t="s">
        <v>7360</v>
      </c>
      <c r="BU195" t="s">
        <v>7360</v>
      </c>
      <c r="BV195" t="s">
        <v>7360</v>
      </c>
      <c r="BX195">
        <v>0</v>
      </c>
      <c r="BY195">
        <v>0</v>
      </c>
      <c r="BZ195" t="s">
        <v>7360</v>
      </c>
      <c r="CA195" t="s">
        <v>7360</v>
      </c>
      <c r="CB195">
        <v>3360866</v>
      </c>
      <c r="CC195" s="21">
        <v>44960.539641203701</v>
      </c>
      <c r="CE195" t="s">
        <v>7366</v>
      </c>
      <c r="CF195">
        <v>0</v>
      </c>
      <c r="CG195">
        <v>702002</v>
      </c>
      <c r="CH195">
        <v>53575</v>
      </c>
      <c r="CI195" s="21">
        <v>44964.636678240742</v>
      </c>
      <c r="CJ195" t="s">
        <v>7367</v>
      </c>
      <c r="CK195" t="s">
        <v>7393</v>
      </c>
      <c r="CL195" t="s">
        <v>7368</v>
      </c>
      <c r="CM195" t="s">
        <v>7394</v>
      </c>
      <c r="CS195" t="s">
        <v>7361</v>
      </c>
      <c r="CT195" t="s">
        <v>7362</v>
      </c>
      <c r="CU195" t="s">
        <v>7362</v>
      </c>
      <c r="CV195" t="s">
        <v>7362</v>
      </c>
      <c r="CW195" t="s">
        <v>7362</v>
      </c>
      <c r="CX195">
        <v>194268</v>
      </c>
      <c r="DA195">
        <v>0</v>
      </c>
    </row>
    <row r="196" spans="1:105" x14ac:dyDescent="0.3">
      <c r="A196">
        <v>1359</v>
      </c>
      <c r="B196" t="s">
        <v>7425</v>
      </c>
      <c r="C196">
        <v>218</v>
      </c>
      <c r="D196" s="20">
        <v>44960</v>
      </c>
      <c r="E196" t="s">
        <v>7356</v>
      </c>
      <c r="F196" t="s">
        <v>5639</v>
      </c>
      <c r="G196" t="s">
        <v>7357</v>
      </c>
      <c r="H196">
        <v>1</v>
      </c>
      <c r="I196" t="s">
        <v>7358</v>
      </c>
      <c r="J196">
        <v>1</v>
      </c>
      <c r="K196" s="20">
        <v>44960</v>
      </c>
      <c r="L196" s="23">
        <v>429043</v>
      </c>
      <c r="M196" t="s">
        <v>7359</v>
      </c>
      <c r="N196" t="s">
        <v>7360</v>
      </c>
      <c r="O196">
        <v>0</v>
      </c>
      <c r="P196">
        <v>12070</v>
      </c>
      <c r="Q196">
        <v>419020</v>
      </c>
      <c r="R196">
        <v>0</v>
      </c>
      <c r="S196">
        <v>20230203</v>
      </c>
      <c r="T196">
        <v>0</v>
      </c>
      <c r="U196" t="s">
        <v>7361</v>
      </c>
      <c r="V196" t="s">
        <v>7360</v>
      </c>
      <c r="W196" t="s">
        <v>7360</v>
      </c>
      <c r="X196" t="s">
        <v>7360</v>
      </c>
      <c r="Y196" t="s">
        <v>7360</v>
      </c>
      <c r="Z196" t="s">
        <v>7360</v>
      </c>
      <c r="AA196" t="s">
        <v>7362</v>
      </c>
      <c r="AB196" t="s">
        <v>7360</v>
      </c>
      <c r="AC196" t="s">
        <v>7360</v>
      </c>
      <c r="AD196" t="s">
        <v>7360</v>
      </c>
      <c r="AE196" t="s">
        <v>7360</v>
      </c>
      <c r="AF196" t="s">
        <v>1684</v>
      </c>
      <c r="AG196">
        <v>0</v>
      </c>
      <c r="AH196">
        <v>0</v>
      </c>
      <c r="AI196">
        <v>0</v>
      </c>
      <c r="AJ196">
        <v>0</v>
      </c>
      <c r="AK196">
        <v>0</v>
      </c>
      <c r="AL196" t="s">
        <v>7360</v>
      </c>
      <c r="AM196">
        <v>0</v>
      </c>
      <c r="AN196" s="20">
        <v>44960</v>
      </c>
      <c r="AO196" s="20">
        <v>44960</v>
      </c>
      <c r="AP196" s="20">
        <v>44960</v>
      </c>
      <c r="AQ196">
        <v>0</v>
      </c>
      <c r="AR196">
        <v>0</v>
      </c>
      <c r="AS196">
        <v>0</v>
      </c>
      <c r="AT196">
        <v>0</v>
      </c>
      <c r="AU196">
        <v>0</v>
      </c>
      <c r="AV196" t="s">
        <v>7360</v>
      </c>
      <c r="AW196">
        <v>0</v>
      </c>
      <c r="AX196" t="s">
        <v>7360</v>
      </c>
      <c r="AY196" t="s">
        <v>7363</v>
      </c>
      <c r="BA196">
        <v>0</v>
      </c>
      <c r="BB196" s="20">
        <v>44960</v>
      </c>
      <c r="BC196">
        <v>0</v>
      </c>
      <c r="BD196" t="s">
        <v>7360</v>
      </c>
      <c r="BF196" s="20">
        <v>44960</v>
      </c>
      <c r="BG196">
        <v>0</v>
      </c>
      <c r="BH196" t="s">
        <v>7363</v>
      </c>
      <c r="BJ196" t="s">
        <v>7362</v>
      </c>
      <c r="BK196">
        <v>0</v>
      </c>
      <c r="BL196">
        <v>0</v>
      </c>
      <c r="BM196">
        <v>0</v>
      </c>
      <c r="BN196">
        <v>0</v>
      </c>
      <c r="BO196">
        <v>169</v>
      </c>
      <c r="BP196">
        <v>11</v>
      </c>
      <c r="BQ196">
        <v>1</v>
      </c>
      <c r="BR196" t="s">
        <v>7364</v>
      </c>
      <c r="BS196" t="s">
        <v>7386</v>
      </c>
      <c r="BT196" t="s">
        <v>7360</v>
      </c>
      <c r="BU196" t="s">
        <v>7360</v>
      </c>
      <c r="BV196" t="s">
        <v>7360</v>
      </c>
      <c r="BX196">
        <v>0</v>
      </c>
      <c r="BY196">
        <v>0</v>
      </c>
      <c r="BZ196" t="s">
        <v>7360</v>
      </c>
      <c r="CA196" t="s">
        <v>7360</v>
      </c>
      <c r="CB196">
        <v>3380666</v>
      </c>
      <c r="CC196" s="21">
        <v>44960.586168981485</v>
      </c>
      <c r="CE196" t="s">
        <v>7366</v>
      </c>
      <c r="CF196">
        <v>0</v>
      </c>
      <c r="CG196">
        <v>702002</v>
      </c>
      <c r="CH196">
        <v>702002</v>
      </c>
      <c r="CI196" s="21">
        <v>44960.588182870371</v>
      </c>
      <c r="CJ196" t="s">
        <v>7367</v>
      </c>
      <c r="CK196" t="s">
        <v>7367</v>
      </c>
      <c r="CL196" t="s">
        <v>7368</v>
      </c>
      <c r="CM196" t="s">
        <v>7368</v>
      </c>
      <c r="CS196" t="s">
        <v>7361</v>
      </c>
      <c r="CT196" t="s">
        <v>7362</v>
      </c>
      <c r="CU196" t="s">
        <v>7362</v>
      </c>
      <c r="CV196" t="s">
        <v>7362</v>
      </c>
      <c r="CW196" t="s">
        <v>7362</v>
      </c>
      <c r="CX196">
        <v>429043</v>
      </c>
      <c r="DA196">
        <v>0</v>
      </c>
    </row>
    <row r="197" spans="1:105" x14ac:dyDescent="0.3">
      <c r="A197">
        <v>1373</v>
      </c>
      <c r="B197" t="s">
        <v>7383</v>
      </c>
      <c r="C197">
        <v>219</v>
      </c>
      <c r="D197" s="20">
        <v>44960</v>
      </c>
      <c r="E197" t="s">
        <v>7356</v>
      </c>
      <c r="F197" t="s">
        <v>5639</v>
      </c>
      <c r="G197" t="s">
        <v>7357</v>
      </c>
      <c r="H197">
        <v>1</v>
      </c>
      <c r="I197" t="s">
        <v>7358</v>
      </c>
      <c r="J197">
        <v>1</v>
      </c>
      <c r="K197" s="20">
        <v>44960</v>
      </c>
      <c r="L197" s="23">
        <v>398628</v>
      </c>
      <c r="M197" t="s">
        <v>7359</v>
      </c>
      <c r="N197" t="s">
        <v>7360</v>
      </c>
      <c r="O197">
        <v>0</v>
      </c>
      <c r="P197">
        <v>12042</v>
      </c>
      <c r="Q197">
        <v>418023</v>
      </c>
      <c r="R197">
        <v>0</v>
      </c>
      <c r="S197">
        <v>20230203</v>
      </c>
      <c r="T197">
        <v>0</v>
      </c>
      <c r="U197" t="s">
        <v>7361</v>
      </c>
      <c r="V197" t="s">
        <v>7360</v>
      </c>
      <c r="W197" t="s">
        <v>7360</v>
      </c>
      <c r="X197" t="s">
        <v>7360</v>
      </c>
      <c r="Y197" t="s">
        <v>7360</v>
      </c>
      <c r="Z197" t="s">
        <v>7360</v>
      </c>
      <c r="AA197" t="s">
        <v>7362</v>
      </c>
      <c r="AB197" t="s">
        <v>7360</v>
      </c>
      <c r="AC197" t="s">
        <v>7360</v>
      </c>
      <c r="AD197" t="s">
        <v>7360</v>
      </c>
      <c r="AE197" t="s">
        <v>7360</v>
      </c>
      <c r="AF197" t="s">
        <v>1684</v>
      </c>
      <c r="AG197">
        <v>0</v>
      </c>
      <c r="AH197">
        <v>0</v>
      </c>
      <c r="AI197">
        <v>0</v>
      </c>
      <c r="AJ197">
        <v>0</v>
      </c>
      <c r="AK197">
        <v>0</v>
      </c>
      <c r="AL197" t="s">
        <v>7360</v>
      </c>
      <c r="AM197">
        <v>0</v>
      </c>
      <c r="AN197" s="20">
        <v>44960</v>
      </c>
      <c r="AO197" s="20">
        <v>44960</v>
      </c>
      <c r="AP197" s="20">
        <v>44960</v>
      </c>
      <c r="AQ197">
        <v>0</v>
      </c>
      <c r="AR197">
        <v>0</v>
      </c>
      <c r="AS197">
        <v>0</v>
      </c>
      <c r="AT197">
        <v>0</v>
      </c>
      <c r="AU197">
        <v>0</v>
      </c>
      <c r="AV197" t="s">
        <v>7360</v>
      </c>
      <c r="AW197">
        <v>0</v>
      </c>
      <c r="AX197" t="s">
        <v>7360</v>
      </c>
      <c r="AY197" t="s">
        <v>7363</v>
      </c>
      <c r="BA197">
        <v>0</v>
      </c>
      <c r="BB197" s="20">
        <v>44960</v>
      </c>
      <c r="BC197">
        <v>0</v>
      </c>
      <c r="BD197" t="s">
        <v>7360</v>
      </c>
      <c r="BF197" s="20">
        <v>44960</v>
      </c>
      <c r="BG197">
        <v>0</v>
      </c>
      <c r="BH197" t="s">
        <v>7363</v>
      </c>
      <c r="BJ197" t="s">
        <v>7362</v>
      </c>
      <c r="BK197">
        <v>0</v>
      </c>
      <c r="BL197">
        <v>0</v>
      </c>
      <c r="BM197">
        <v>0</v>
      </c>
      <c r="BN197">
        <v>0</v>
      </c>
      <c r="BO197">
        <v>169</v>
      </c>
      <c r="BP197">
        <v>11</v>
      </c>
      <c r="BQ197">
        <v>1</v>
      </c>
      <c r="BR197" t="s">
        <v>7364</v>
      </c>
      <c r="BS197" t="s">
        <v>7374</v>
      </c>
      <c r="BT197" t="s">
        <v>7360</v>
      </c>
      <c r="BU197" t="s">
        <v>7360</v>
      </c>
      <c r="BV197" t="s">
        <v>7360</v>
      </c>
      <c r="BX197">
        <v>0</v>
      </c>
      <c r="BY197">
        <v>0</v>
      </c>
      <c r="BZ197" t="s">
        <v>7360</v>
      </c>
      <c r="CA197" t="s">
        <v>7360</v>
      </c>
      <c r="CB197">
        <v>3380666</v>
      </c>
      <c r="CC197" s="21">
        <v>44960.593981481485</v>
      </c>
      <c r="CE197" t="s">
        <v>7366</v>
      </c>
      <c r="CF197">
        <v>0</v>
      </c>
      <c r="CG197">
        <v>702002</v>
      </c>
      <c r="CH197">
        <v>702002</v>
      </c>
      <c r="CI197" s="21">
        <v>44960.596562500003</v>
      </c>
      <c r="CJ197" t="s">
        <v>7367</v>
      </c>
      <c r="CK197" t="s">
        <v>7367</v>
      </c>
      <c r="CL197" t="s">
        <v>7368</v>
      </c>
      <c r="CM197" t="s">
        <v>7368</v>
      </c>
      <c r="CS197" t="s">
        <v>7361</v>
      </c>
      <c r="CT197" t="s">
        <v>7362</v>
      </c>
      <c r="CU197" t="s">
        <v>7362</v>
      </c>
      <c r="CV197" t="s">
        <v>7362</v>
      </c>
      <c r="CW197" t="s">
        <v>7362</v>
      </c>
      <c r="CX197">
        <v>398628</v>
      </c>
      <c r="DA197">
        <v>0</v>
      </c>
    </row>
    <row r="198" spans="1:105" x14ac:dyDescent="0.3">
      <c r="A198">
        <v>1354</v>
      </c>
      <c r="B198" t="s">
        <v>7396</v>
      </c>
      <c r="C198">
        <v>220</v>
      </c>
      <c r="D198" s="20">
        <v>44960</v>
      </c>
      <c r="E198" t="s">
        <v>7372</v>
      </c>
      <c r="F198" t="s">
        <v>5639</v>
      </c>
      <c r="G198" t="s">
        <v>7370</v>
      </c>
      <c r="H198">
        <v>1</v>
      </c>
      <c r="I198" t="s">
        <v>7358</v>
      </c>
      <c r="J198">
        <v>1</v>
      </c>
      <c r="K198" s="20">
        <v>44960</v>
      </c>
      <c r="L198" s="23">
        <v>1500000</v>
      </c>
      <c r="M198" t="s">
        <v>7359</v>
      </c>
      <c r="N198" t="s">
        <v>7360</v>
      </c>
      <c r="O198">
        <v>0</v>
      </c>
      <c r="P198">
        <v>12024</v>
      </c>
      <c r="Q198">
        <v>418006</v>
      </c>
      <c r="R198">
        <v>0</v>
      </c>
      <c r="S198">
        <v>20230203</v>
      </c>
      <c r="T198">
        <v>0</v>
      </c>
      <c r="U198" t="s">
        <v>7362</v>
      </c>
      <c r="V198" t="s">
        <v>7360</v>
      </c>
      <c r="W198" t="s">
        <v>7360</v>
      </c>
      <c r="X198" t="s">
        <v>7360</v>
      </c>
      <c r="Y198" t="s">
        <v>7360</v>
      </c>
      <c r="Z198" t="s">
        <v>7360</v>
      </c>
      <c r="AA198" t="s">
        <v>7362</v>
      </c>
      <c r="AB198" t="s">
        <v>7360</v>
      </c>
      <c r="AC198" t="s">
        <v>7360</v>
      </c>
      <c r="AD198" t="s">
        <v>7360</v>
      </c>
      <c r="AE198" t="s">
        <v>7360</v>
      </c>
      <c r="AF198" t="s">
        <v>1684</v>
      </c>
      <c r="AG198">
        <v>0</v>
      </c>
      <c r="AH198">
        <v>0</v>
      </c>
      <c r="AI198">
        <v>0</v>
      </c>
      <c r="AJ198">
        <v>0</v>
      </c>
      <c r="AK198">
        <v>0</v>
      </c>
      <c r="AL198" t="s">
        <v>7360</v>
      </c>
      <c r="AM198">
        <v>0</v>
      </c>
      <c r="AN198" s="20">
        <v>44960</v>
      </c>
      <c r="AO198" s="20">
        <v>44960</v>
      </c>
      <c r="AP198" s="20">
        <v>44960</v>
      </c>
      <c r="AQ198">
        <v>0</v>
      </c>
      <c r="AR198">
        <v>0</v>
      </c>
      <c r="AS198">
        <v>0</v>
      </c>
      <c r="AT198">
        <v>0</v>
      </c>
      <c r="AU198">
        <v>0</v>
      </c>
      <c r="AV198" t="s">
        <v>7360</v>
      </c>
      <c r="AW198">
        <v>0</v>
      </c>
      <c r="AX198" t="s">
        <v>7360</v>
      </c>
      <c r="AY198" t="s">
        <v>7362</v>
      </c>
      <c r="BA198">
        <v>0</v>
      </c>
      <c r="BB198" s="20">
        <v>44960</v>
      </c>
      <c r="BC198">
        <v>0</v>
      </c>
      <c r="BD198" t="s">
        <v>7360</v>
      </c>
      <c r="BF198" s="20">
        <v>44960</v>
      </c>
      <c r="BG198">
        <v>0</v>
      </c>
      <c r="BH198" t="s">
        <v>7363</v>
      </c>
      <c r="BJ198" t="s">
        <v>7362</v>
      </c>
      <c r="BK198">
        <v>0</v>
      </c>
      <c r="BL198">
        <v>0</v>
      </c>
      <c r="BM198">
        <v>0</v>
      </c>
      <c r="BN198">
        <v>0</v>
      </c>
      <c r="BO198">
        <v>169</v>
      </c>
      <c r="BP198">
        <v>11</v>
      </c>
      <c r="BQ198">
        <v>1</v>
      </c>
      <c r="BR198" t="s">
        <v>7364</v>
      </c>
      <c r="BS198" t="s">
        <v>7365</v>
      </c>
      <c r="BT198" t="s">
        <v>7360</v>
      </c>
      <c r="BU198" t="s">
        <v>7360</v>
      </c>
      <c r="BV198" t="s">
        <v>7360</v>
      </c>
      <c r="BX198">
        <v>0</v>
      </c>
      <c r="BY198">
        <v>0</v>
      </c>
      <c r="BZ198" t="s">
        <v>7360</v>
      </c>
      <c r="CA198" t="s">
        <v>7360</v>
      </c>
      <c r="CB198">
        <v>3380666</v>
      </c>
      <c r="CC198" s="21">
        <v>44960.654780092591</v>
      </c>
      <c r="CE198" t="s">
        <v>7366</v>
      </c>
      <c r="CF198">
        <v>0</v>
      </c>
      <c r="CG198">
        <v>702002</v>
      </c>
      <c r="CH198">
        <v>702002</v>
      </c>
      <c r="CI198" s="21">
        <v>44960.657731481479</v>
      </c>
      <c r="CJ198" t="s">
        <v>7367</v>
      </c>
      <c r="CK198" t="s">
        <v>7367</v>
      </c>
      <c r="CL198" t="s">
        <v>7368</v>
      </c>
      <c r="CM198" t="s">
        <v>7368</v>
      </c>
      <c r="CS198" t="s">
        <v>7361</v>
      </c>
      <c r="CT198" t="s">
        <v>7362</v>
      </c>
      <c r="CU198" t="s">
        <v>7362</v>
      </c>
      <c r="CV198" t="s">
        <v>7362</v>
      </c>
      <c r="CW198" t="s">
        <v>7362</v>
      </c>
      <c r="CX198">
        <v>1500000</v>
      </c>
      <c r="DA198">
        <v>0</v>
      </c>
    </row>
    <row r="199" spans="1:105" x14ac:dyDescent="0.3">
      <c r="A199">
        <v>1354</v>
      </c>
      <c r="B199" t="s">
        <v>7396</v>
      </c>
      <c r="C199">
        <v>221</v>
      </c>
      <c r="D199" s="20">
        <v>44960</v>
      </c>
      <c r="E199" t="s">
        <v>7372</v>
      </c>
      <c r="F199" t="s">
        <v>5639</v>
      </c>
      <c r="G199" t="s">
        <v>7370</v>
      </c>
      <c r="H199">
        <v>1</v>
      </c>
      <c r="I199" t="s">
        <v>7358</v>
      </c>
      <c r="J199">
        <v>1</v>
      </c>
      <c r="K199" s="20">
        <v>44960</v>
      </c>
      <c r="L199" s="23">
        <v>2712000</v>
      </c>
      <c r="M199" t="s">
        <v>7359</v>
      </c>
      <c r="N199" t="s">
        <v>7360</v>
      </c>
      <c r="O199">
        <v>0</v>
      </c>
      <c r="P199">
        <v>11797</v>
      </c>
      <c r="Q199">
        <v>415014</v>
      </c>
      <c r="R199">
        <v>0</v>
      </c>
      <c r="S199">
        <v>20230203</v>
      </c>
      <c r="T199">
        <v>0</v>
      </c>
      <c r="U199" t="s">
        <v>7362</v>
      </c>
      <c r="V199" t="s">
        <v>7360</v>
      </c>
      <c r="W199" t="s">
        <v>7360</v>
      </c>
      <c r="X199" t="s">
        <v>7360</v>
      </c>
      <c r="Y199" t="s">
        <v>7360</v>
      </c>
      <c r="Z199" t="s">
        <v>7360</v>
      </c>
      <c r="AA199" t="s">
        <v>7362</v>
      </c>
      <c r="AB199" t="s">
        <v>7360</v>
      </c>
      <c r="AC199" t="s">
        <v>7360</v>
      </c>
      <c r="AD199" t="s">
        <v>7360</v>
      </c>
      <c r="AE199" t="s">
        <v>7360</v>
      </c>
      <c r="AF199" t="s">
        <v>1684</v>
      </c>
      <c r="AG199">
        <v>0</v>
      </c>
      <c r="AH199">
        <v>0</v>
      </c>
      <c r="AI199">
        <v>0</v>
      </c>
      <c r="AJ199">
        <v>0</v>
      </c>
      <c r="AK199">
        <v>0</v>
      </c>
      <c r="AL199" t="s">
        <v>7360</v>
      </c>
      <c r="AM199">
        <v>0</v>
      </c>
      <c r="AN199" s="20">
        <v>44960</v>
      </c>
      <c r="AO199" s="20">
        <v>44960</v>
      </c>
      <c r="AP199" s="20">
        <v>44960</v>
      </c>
      <c r="AQ199">
        <v>0</v>
      </c>
      <c r="AR199">
        <v>0</v>
      </c>
      <c r="AS199">
        <v>0</v>
      </c>
      <c r="AT199">
        <v>0</v>
      </c>
      <c r="AU199">
        <v>0</v>
      </c>
      <c r="AV199" t="s">
        <v>7360</v>
      </c>
      <c r="AW199">
        <v>0</v>
      </c>
      <c r="AX199" t="s">
        <v>7360</v>
      </c>
      <c r="AY199" t="s">
        <v>7362</v>
      </c>
      <c r="BA199">
        <v>0</v>
      </c>
      <c r="BB199" s="20">
        <v>44960</v>
      </c>
      <c r="BC199">
        <v>0</v>
      </c>
      <c r="BD199" t="s">
        <v>7360</v>
      </c>
      <c r="BF199" s="20">
        <v>44960</v>
      </c>
      <c r="BG199">
        <v>0</v>
      </c>
      <c r="BH199" t="s">
        <v>7363</v>
      </c>
      <c r="BJ199" t="s">
        <v>7362</v>
      </c>
      <c r="BK199">
        <v>0</v>
      </c>
      <c r="BL199">
        <v>0</v>
      </c>
      <c r="BM199">
        <v>0</v>
      </c>
      <c r="BN199">
        <v>0</v>
      </c>
      <c r="BO199">
        <v>169</v>
      </c>
      <c r="BP199">
        <v>11</v>
      </c>
      <c r="BQ199">
        <v>1</v>
      </c>
      <c r="BR199" t="s">
        <v>7364</v>
      </c>
      <c r="BS199" t="s">
        <v>7365</v>
      </c>
      <c r="BT199" t="s">
        <v>7360</v>
      </c>
      <c r="BU199" t="s">
        <v>7360</v>
      </c>
      <c r="BV199" t="s">
        <v>7360</v>
      </c>
      <c r="BX199">
        <v>0</v>
      </c>
      <c r="BY199">
        <v>0</v>
      </c>
      <c r="BZ199" t="s">
        <v>7360</v>
      </c>
      <c r="CA199" t="s">
        <v>7360</v>
      </c>
      <c r="CB199">
        <v>3380666</v>
      </c>
      <c r="CC199" s="21">
        <v>44960.678738425922</v>
      </c>
      <c r="CE199" t="s">
        <v>7366</v>
      </c>
      <c r="CF199">
        <v>0</v>
      </c>
      <c r="CG199">
        <v>702002</v>
      </c>
      <c r="CH199">
        <v>702002</v>
      </c>
      <c r="CI199" s="21">
        <v>44960.681041666663</v>
      </c>
      <c r="CJ199" t="s">
        <v>7367</v>
      </c>
      <c r="CK199" t="s">
        <v>7367</v>
      </c>
      <c r="CL199" t="s">
        <v>7368</v>
      </c>
      <c r="CM199" t="s">
        <v>7368</v>
      </c>
      <c r="CS199" t="s">
        <v>7361</v>
      </c>
      <c r="CT199" t="s">
        <v>7362</v>
      </c>
      <c r="CU199" t="s">
        <v>7362</v>
      </c>
      <c r="CV199" t="s">
        <v>7362</v>
      </c>
      <c r="CW199" t="s">
        <v>7362</v>
      </c>
      <c r="CX199">
        <v>2712000</v>
      </c>
      <c r="DA199">
        <v>0</v>
      </c>
    </row>
    <row r="200" spans="1:105" x14ac:dyDescent="0.3">
      <c r="A200">
        <v>1364</v>
      </c>
      <c r="B200" t="s">
        <v>7355</v>
      </c>
      <c r="C200">
        <v>222</v>
      </c>
      <c r="D200" s="20">
        <v>44960</v>
      </c>
      <c r="E200" t="s">
        <v>7356</v>
      </c>
      <c r="F200" t="s">
        <v>5639</v>
      </c>
      <c r="G200" t="s">
        <v>7357</v>
      </c>
      <c r="H200">
        <v>1</v>
      </c>
      <c r="I200" t="s">
        <v>7358</v>
      </c>
      <c r="J200">
        <v>1</v>
      </c>
      <c r="K200" s="20">
        <v>44960</v>
      </c>
      <c r="L200" s="23">
        <v>345000</v>
      </c>
      <c r="M200" t="s">
        <v>7359</v>
      </c>
      <c r="N200" t="s">
        <v>7360</v>
      </c>
      <c r="O200">
        <v>0</v>
      </c>
      <c r="P200">
        <v>12060</v>
      </c>
      <c r="Q200">
        <v>419012</v>
      </c>
      <c r="R200">
        <v>0</v>
      </c>
      <c r="S200">
        <v>20230203</v>
      </c>
      <c r="T200">
        <v>0</v>
      </c>
      <c r="U200" t="s">
        <v>7361</v>
      </c>
      <c r="V200" t="s">
        <v>7360</v>
      </c>
      <c r="W200" t="s">
        <v>7360</v>
      </c>
      <c r="X200" t="s">
        <v>7360</v>
      </c>
      <c r="Y200" t="s">
        <v>7360</v>
      </c>
      <c r="Z200" t="s">
        <v>7360</v>
      </c>
      <c r="AA200" t="s">
        <v>7362</v>
      </c>
      <c r="AB200" t="s">
        <v>7360</v>
      </c>
      <c r="AC200" t="s">
        <v>7360</v>
      </c>
      <c r="AD200" t="s">
        <v>7360</v>
      </c>
      <c r="AE200" t="s">
        <v>7360</v>
      </c>
      <c r="AF200" t="s">
        <v>1684</v>
      </c>
      <c r="AG200">
        <v>0</v>
      </c>
      <c r="AH200">
        <v>0</v>
      </c>
      <c r="AI200">
        <v>0</v>
      </c>
      <c r="AJ200">
        <v>0</v>
      </c>
      <c r="AK200">
        <v>0</v>
      </c>
      <c r="AL200" t="s">
        <v>7360</v>
      </c>
      <c r="AM200">
        <v>0</v>
      </c>
      <c r="AN200" s="20">
        <v>44960</v>
      </c>
      <c r="AO200" s="20">
        <v>44960</v>
      </c>
      <c r="AP200" s="20">
        <v>44960</v>
      </c>
      <c r="AQ200">
        <v>0</v>
      </c>
      <c r="AR200">
        <v>0</v>
      </c>
      <c r="AS200">
        <v>0</v>
      </c>
      <c r="AT200">
        <v>0</v>
      </c>
      <c r="AU200">
        <v>0</v>
      </c>
      <c r="AV200" t="s">
        <v>7360</v>
      </c>
      <c r="AW200">
        <v>0</v>
      </c>
      <c r="AX200" t="s">
        <v>7360</v>
      </c>
      <c r="AY200" t="s">
        <v>7363</v>
      </c>
      <c r="BA200">
        <v>0</v>
      </c>
      <c r="BB200" s="20">
        <v>44960</v>
      </c>
      <c r="BC200">
        <v>0</v>
      </c>
      <c r="BD200" t="s">
        <v>7360</v>
      </c>
      <c r="BF200" s="20">
        <v>44960</v>
      </c>
      <c r="BG200">
        <v>0</v>
      </c>
      <c r="BH200" t="s">
        <v>7363</v>
      </c>
      <c r="BJ200" t="s">
        <v>7362</v>
      </c>
      <c r="BK200">
        <v>0</v>
      </c>
      <c r="BL200">
        <v>0</v>
      </c>
      <c r="BM200">
        <v>0</v>
      </c>
      <c r="BN200">
        <v>0</v>
      </c>
      <c r="BO200">
        <v>169</v>
      </c>
      <c r="BP200">
        <v>11</v>
      </c>
      <c r="BQ200">
        <v>1</v>
      </c>
      <c r="BR200" t="s">
        <v>7364</v>
      </c>
      <c r="BS200" t="s">
        <v>7374</v>
      </c>
      <c r="BT200" t="s">
        <v>7360</v>
      </c>
      <c r="BU200" t="s">
        <v>7360</v>
      </c>
      <c r="BV200" t="s">
        <v>7360</v>
      </c>
      <c r="BX200">
        <v>0</v>
      </c>
      <c r="BY200">
        <v>0</v>
      </c>
      <c r="BZ200" t="s">
        <v>7360</v>
      </c>
      <c r="CA200" t="s">
        <v>7360</v>
      </c>
      <c r="CB200">
        <v>3380666</v>
      </c>
      <c r="CC200" s="21">
        <v>44960.690625000003</v>
      </c>
      <c r="CE200" t="s">
        <v>7366</v>
      </c>
      <c r="CF200">
        <v>0</v>
      </c>
      <c r="CG200">
        <v>702002</v>
      </c>
      <c r="CH200">
        <v>702002</v>
      </c>
      <c r="CI200" s="21">
        <v>44960.692986111113</v>
      </c>
      <c r="CJ200" t="s">
        <v>7367</v>
      </c>
      <c r="CK200" t="s">
        <v>7367</v>
      </c>
      <c r="CL200" t="s">
        <v>7368</v>
      </c>
      <c r="CM200" t="s">
        <v>7368</v>
      </c>
      <c r="CS200" t="s">
        <v>7361</v>
      </c>
      <c r="CT200" t="s">
        <v>7362</v>
      </c>
      <c r="CU200" t="s">
        <v>7362</v>
      </c>
      <c r="CV200" t="s">
        <v>7362</v>
      </c>
      <c r="CW200" t="s">
        <v>7362</v>
      </c>
      <c r="CX200">
        <v>345000</v>
      </c>
      <c r="DA200">
        <v>0</v>
      </c>
    </row>
    <row r="201" spans="1:105" x14ac:dyDescent="0.3">
      <c r="A201">
        <v>1354</v>
      </c>
      <c r="B201" t="s">
        <v>7396</v>
      </c>
      <c r="C201">
        <v>223</v>
      </c>
      <c r="D201" s="20">
        <v>44960</v>
      </c>
      <c r="E201" t="s">
        <v>7356</v>
      </c>
      <c r="F201" t="s">
        <v>5639</v>
      </c>
      <c r="G201" t="s">
        <v>7370</v>
      </c>
      <c r="H201">
        <v>1</v>
      </c>
      <c r="I201" t="s">
        <v>7358</v>
      </c>
      <c r="J201">
        <v>1</v>
      </c>
      <c r="K201" s="20">
        <v>44960</v>
      </c>
      <c r="L201" s="23">
        <v>10400000</v>
      </c>
      <c r="M201" t="s">
        <v>7359</v>
      </c>
      <c r="N201" t="s">
        <v>7360</v>
      </c>
      <c r="O201">
        <v>0</v>
      </c>
      <c r="P201">
        <v>12061</v>
      </c>
      <c r="Q201">
        <v>419015</v>
      </c>
      <c r="R201">
        <v>0</v>
      </c>
      <c r="S201">
        <v>20230203</v>
      </c>
      <c r="T201">
        <v>0</v>
      </c>
      <c r="U201" t="s">
        <v>7361</v>
      </c>
      <c r="V201" t="s">
        <v>7360</v>
      </c>
      <c r="W201" t="s">
        <v>7360</v>
      </c>
      <c r="X201" t="s">
        <v>7360</v>
      </c>
      <c r="Y201" t="s">
        <v>7360</v>
      </c>
      <c r="Z201" t="s">
        <v>7360</v>
      </c>
      <c r="AA201" t="s">
        <v>7362</v>
      </c>
      <c r="AB201" t="s">
        <v>7360</v>
      </c>
      <c r="AC201" t="s">
        <v>7360</v>
      </c>
      <c r="AD201" t="s">
        <v>7360</v>
      </c>
      <c r="AE201" t="s">
        <v>7360</v>
      </c>
      <c r="AF201" t="s">
        <v>1684</v>
      </c>
      <c r="AG201">
        <v>0</v>
      </c>
      <c r="AH201">
        <v>0</v>
      </c>
      <c r="AI201">
        <v>0</v>
      </c>
      <c r="AJ201">
        <v>0</v>
      </c>
      <c r="AK201">
        <v>0</v>
      </c>
      <c r="AL201" t="s">
        <v>7360</v>
      </c>
      <c r="AM201">
        <v>0</v>
      </c>
      <c r="AN201" s="20">
        <v>44960</v>
      </c>
      <c r="AO201" s="20">
        <v>44960</v>
      </c>
      <c r="AP201" s="20">
        <v>44960</v>
      </c>
      <c r="AQ201">
        <v>0</v>
      </c>
      <c r="AR201">
        <v>0</v>
      </c>
      <c r="AS201">
        <v>0</v>
      </c>
      <c r="AT201">
        <v>0</v>
      </c>
      <c r="AU201">
        <v>0</v>
      </c>
      <c r="AV201" t="s">
        <v>7360</v>
      </c>
      <c r="AW201">
        <v>0</v>
      </c>
      <c r="AX201" t="s">
        <v>7360</v>
      </c>
      <c r="AY201" t="s">
        <v>7363</v>
      </c>
      <c r="BA201">
        <v>0</v>
      </c>
      <c r="BB201" s="20">
        <v>44960</v>
      </c>
      <c r="BC201">
        <v>0</v>
      </c>
      <c r="BD201" t="s">
        <v>7360</v>
      </c>
      <c r="BF201" s="20">
        <v>44960</v>
      </c>
      <c r="BG201">
        <v>0</v>
      </c>
      <c r="BH201" t="s">
        <v>7363</v>
      </c>
      <c r="BJ201" t="s">
        <v>7362</v>
      </c>
      <c r="BK201">
        <v>0</v>
      </c>
      <c r="BL201">
        <v>0</v>
      </c>
      <c r="BM201">
        <v>0</v>
      </c>
      <c r="BN201">
        <v>0</v>
      </c>
      <c r="BO201">
        <v>169</v>
      </c>
      <c r="BP201">
        <v>11</v>
      </c>
      <c r="BQ201">
        <v>1</v>
      </c>
      <c r="BR201" t="s">
        <v>7364</v>
      </c>
      <c r="BS201" t="s">
        <v>7365</v>
      </c>
      <c r="BT201" t="s">
        <v>7360</v>
      </c>
      <c r="BU201" t="s">
        <v>7360</v>
      </c>
      <c r="BV201" t="s">
        <v>7360</v>
      </c>
      <c r="BX201">
        <v>0</v>
      </c>
      <c r="BY201">
        <v>0</v>
      </c>
      <c r="BZ201" t="s">
        <v>7360</v>
      </c>
      <c r="CA201" t="s">
        <v>7360</v>
      </c>
      <c r="CB201">
        <v>3380666</v>
      </c>
      <c r="CC201" s="21">
        <v>44960.768541666665</v>
      </c>
      <c r="CE201" t="s">
        <v>7366</v>
      </c>
      <c r="CF201">
        <v>0</v>
      </c>
      <c r="CG201">
        <v>702002</v>
      </c>
      <c r="CH201">
        <v>702002</v>
      </c>
      <c r="CI201" s="21">
        <v>44960.77070601852</v>
      </c>
      <c r="CJ201" t="s">
        <v>7367</v>
      </c>
      <c r="CK201" t="s">
        <v>7367</v>
      </c>
      <c r="CL201" t="s">
        <v>7368</v>
      </c>
      <c r="CM201" t="s">
        <v>7368</v>
      </c>
      <c r="CS201" t="s">
        <v>7361</v>
      </c>
      <c r="CT201" t="s">
        <v>7362</v>
      </c>
      <c r="CU201" t="s">
        <v>7362</v>
      </c>
      <c r="CV201" t="s">
        <v>7362</v>
      </c>
      <c r="CW201" t="s">
        <v>7362</v>
      </c>
      <c r="CX201">
        <v>10400000</v>
      </c>
      <c r="DA201">
        <v>0</v>
      </c>
    </row>
    <row r="202" spans="1:105" x14ac:dyDescent="0.3">
      <c r="A202">
        <v>1357</v>
      </c>
      <c r="B202" t="s">
        <v>7405</v>
      </c>
      <c r="C202">
        <v>224</v>
      </c>
      <c r="D202" s="20">
        <v>44960</v>
      </c>
      <c r="E202" t="s">
        <v>7372</v>
      </c>
      <c r="F202" t="s">
        <v>5633</v>
      </c>
      <c r="G202" t="s">
        <v>7357</v>
      </c>
      <c r="H202">
        <v>1</v>
      </c>
      <c r="I202" t="s">
        <v>7358</v>
      </c>
      <c r="J202">
        <v>1</v>
      </c>
      <c r="K202" s="20">
        <v>44960</v>
      </c>
      <c r="L202" s="23">
        <v>7592200</v>
      </c>
      <c r="M202" t="s">
        <v>7359</v>
      </c>
      <c r="N202" t="s">
        <v>7360</v>
      </c>
      <c r="O202">
        <v>0</v>
      </c>
      <c r="P202">
        <v>12073</v>
      </c>
      <c r="Q202">
        <v>419021</v>
      </c>
      <c r="R202">
        <v>0</v>
      </c>
      <c r="S202">
        <v>20230203</v>
      </c>
      <c r="T202">
        <v>0</v>
      </c>
      <c r="U202" t="s">
        <v>7362</v>
      </c>
      <c r="V202" t="s">
        <v>7360</v>
      </c>
      <c r="W202" t="s">
        <v>7360</v>
      </c>
      <c r="X202" t="s">
        <v>7360</v>
      </c>
      <c r="Y202" t="s">
        <v>7360</v>
      </c>
      <c r="Z202" t="s">
        <v>7360</v>
      </c>
      <c r="AA202" t="s">
        <v>7362</v>
      </c>
      <c r="AB202" t="s">
        <v>7360</v>
      </c>
      <c r="AC202" t="s">
        <v>7360</v>
      </c>
      <c r="AD202" t="s">
        <v>7360</v>
      </c>
      <c r="AE202" t="s">
        <v>7360</v>
      </c>
      <c r="AF202" t="s">
        <v>1684</v>
      </c>
      <c r="AG202">
        <v>0</v>
      </c>
      <c r="AH202">
        <v>0</v>
      </c>
      <c r="AI202">
        <v>0</v>
      </c>
      <c r="AJ202">
        <v>0</v>
      </c>
      <c r="AK202">
        <v>0</v>
      </c>
      <c r="AL202" t="s">
        <v>7360</v>
      </c>
      <c r="AM202">
        <v>0</v>
      </c>
      <c r="AN202" s="20">
        <v>44960</v>
      </c>
      <c r="AO202" s="20">
        <v>44960</v>
      </c>
      <c r="AP202" s="20">
        <v>44960</v>
      </c>
      <c r="AQ202">
        <v>0</v>
      </c>
      <c r="AR202">
        <v>0</v>
      </c>
      <c r="AS202">
        <v>0</v>
      </c>
      <c r="AT202">
        <v>0</v>
      </c>
      <c r="AU202">
        <v>0</v>
      </c>
      <c r="AV202" t="s">
        <v>7360</v>
      </c>
      <c r="AW202">
        <v>0</v>
      </c>
      <c r="AX202" t="s">
        <v>7360</v>
      </c>
      <c r="AY202" t="s">
        <v>7362</v>
      </c>
      <c r="BA202">
        <v>0</v>
      </c>
      <c r="BB202" s="20">
        <v>44960</v>
      </c>
      <c r="BC202">
        <v>0</v>
      </c>
      <c r="BD202" t="s">
        <v>7360</v>
      </c>
      <c r="BF202" s="20">
        <v>44960</v>
      </c>
      <c r="BG202">
        <v>0</v>
      </c>
      <c r="BH202" t="s">
        <v>1684</v>
      </c>
      <c r="BJ202" t="s">
        <v>7362</v>
      </c>
      <c r="BK202">
        <v>0</v>
      </c>
      <c r="BL202">
        <v>0</v>
      </c>
      <c r="BM202">
        <v>0</v>
      </c>
      <c r="BN202">
        <v>0</v>
      </c>
      <c r="BO202">
        <v>169</v>
      </c>
      <c r="BP202">
        <v>11</v>
      </c>
      <c r="BQ202">
        <v>1</v>
      </c>
      <c r="BR202" t="s">
        <v>7364</v>
      </c>
      <c r="BS202" t="s">
        <v>7382</v>
      </c>
      <c r="BT202" t="s">
        <v>7360</v>
      </c>
      <c r="BU202" t="s">
        <v>7360</v>
      </c>
      <c r="BV202" t="s">
        <v>7360</v>
      </c>
      <c r="BX202">
        <v>0</v>
      </c>
      <c r="BY202">
        <v>0</v>
      </c>
      <c r="BZ202" t="s">
        <v>7360</v>
      </c>
      <c r="CA202" t="s">
        <v>7360</v>
      </c>
      <c r="CB202">
        <v>3380666</v>
      </c>
      <c r="CC202" s="21">
        <v>44960.776273148149</v>
      </c>
      <c r="CE202" t="s">
        <v>7366</v>
      </c>
      <c r="CF202">
        <v>0</v>
      </c>
      <c r="CG202">
        <v>702002</v>
      </c>
      <c r="CH202">
        <v>702002</v>
      </c>
      <c r="CI202" s="21">
        <v>44960.779131944444</v>
      </c>
      <c r="CJ202" t="s">
        <v>7367</v>
      </c>
      <c r="CK202" t="s">
        <v>7367</v>
      </c>
      <c r="CL202" t="s">
        <v>7368</v>
      </c>
      <c r="CM202" t="s">
        <v>7368</v>
      </c>
      <c r="CS202" t="s">
        <v>7361</v>
      </c>
      <c r="CT202" t="s">
        <v>7362</v>
      </c>
      <c r="CU202" t="s">
        <v>7362</v>
      </c>
      <c r="CV202" t="s">
        <v>7362</v>
      </c>
      <c r="CW202" t="s">
        <v>7362</v>
      </c>
      <c r="CX202">
        <v>7592200</v>
      </c>
      <c r="DA202">
        <v>0</v>
      </c>
    </row>
    <row r="203" spans="1:105" x14ac:dyDescent="0.3">
      <c r="A203">
        <v>1354</v>
      </c>
      <c r="B203" t="s">
        <v>7396</v>
      </c>
      <c r="C203">
        <v>225</v>
      </c>
      <c r="D203" s="20">
        <v>44960</v>
      </c>
      <c r="E203" t="s">
        <v>7356</v>
      </c>
      <c r="F203" t="s">
        <v>5639</v>
      </c>
      <c r="G203" t="s">
        <v>7357</v>
      </c>
      <c r="H203">
        <v>1</v>
      </c>
      <c r="I203" t="s">
        <v>7358</v>
      </c>
      <c r="J203">
        <v>1</v>
      </c>
      <c r="K203" s="20">
        <v>44960</v>
      </c>
      <c r="L203" s="23">
        <v>4068000</v>
      </c>
      <c r="M203" t="s">
        <v>7359</v>
      </c>
      <c r="N203" t="s">
        <v>7360</v>
      </c>
      <c r="O203">
        <v>0</v>
      </c>
      <c r="P203">
        <v>12025</v>
      </c>
      <c r="Q203">
        <v>418007</v>
      </c>
      <c r="R203">
        <v>0</v>
      </c>
      <c r="S203">
        <v>20230203</v>
      </c>
      <c r="T203">
        <v>0</v>
      </c>
      <c r="U203" t="s">
        <v>7361</v>
      </c>
      <c r="V203" t="s">
        <v>7360</v>
      </c>
      <c r="W203" t="s">
        <v>7360</v>
      </c>
      <c r="X203" t="s">
        <v>7360</v>
      </c>
      <c r="Y203" t="s">
        <v>7360</v>
      </c>
      <c r="Z203" t="s">
        <v>7360</v>
      </c>
      <c r="AA203" t="s">
        <v>7362</v>
      </c>
      <c r="AB203" t="s">
        <v>7360</v>
      </c>
      <c r="AC203" t="s">
        <v>7360</v>
      </c>
      <c r="AD203" t="s">
        <v>7360</v>
      </c>
      <c r="AE203" t="s">
        <v>7360</v>
      </c>
      <c r="AF203" t="s">
        <v>1684</v>
      </c>
      <c r="AG203">
        <v>0</v>
      </c>
      <c r="AH203">
        <v>0</v>
      </c>
      <c r="AI203">
        <v>0</v>
      </c>
      <c r="AJ203">
        <v>0</v>
      </c>
      <c r="AK203">
        <v>0</v>
      </c>
      <c r="AL203" t="s">
        <v>7360</v>
      </c>
      <c r="AM203">
        <v>0</v>
      </c>
      <c r="AN203" s="20">
        <v>44960</v>
      </c>
      <c r="AO203" s="20">
        <v>44960</v>
      </c>
      <c r="AP203" s="20">
        <v>44960</v>
      </c>
      <c r="AQ203">
        <v>0</v>
      </c>
      <c r="AR203">
        <v>0</v>
      </c>
      <c r="AS203">
        <v>0</v>
      </c>
      <c r="AT203">
        <v>0</v>
      </c>
      <c r="AU203">
        <v>0</v>
      </c>
      <c r="AV203" t="s">
        <v>7360</v>
      </c>
      <c r="AW203">
        <v>0</v>
      </c>
      <c r="AX203" t="s">
        <v>7360</v>
      </c>
      <c r="AY203" t="s">
        <v>7363</v>
      </c>
      <c r="BA203">
        <v>0</v>
      </c>
      <c r="BB203" s="20">
        <v>44960</v>
      </c>
      <c r="BC203">
        <v>0</v>
      </c>
      <c r="BD203" t="s">
        <v>7360</v>
      </c>
      <c r="BF203" s="20">
        <v>44960</v>
      </c>
      <c r="BG203">
        <v>0</v>
      </c>
      <c r="BH203" t="s">
        <v>7363</v>
      </c>
      <c r="BJ203" t="s">
        <v>7362</v>
      </c>
      <c r="BK203">
        <v>0</v>
      </c>
      <c r="BL203">
        <v>0</v>
      </c>
      <c r="BM203">
        <v>0</v>
      </c>
      <c r="BN203">
        <v>0</v>
      </c>
      <c r="BO203">
        <v>169</v>
      </c>
      <c r="BP203">
        <v>11</v>
      </c>
      <c r="BQ203">
        <v>1</v>
      </c>
      <c r="BR203" t="s">
        <v>7364</v>
      </c>
      <c r="BS203" t="s">
        <v>7365</v>
      </c>
      <c r="BT203" t="s">
        <v>7360</v>
      </c>
      <c r="BU203" t="s">
        <v>7360</v>
      </c>
      <c r="BV203" t="s">
        <v>7360</v>
      </c>
      <c r="BX203">
        <v>0</v>
      </c>
      <c r="BY203">
        <v>0</v>
      </c>
      <c r="BZ203" t="s">
        <v>7360</v>
      </c>
      <c r="CA203" t="s">
        <v>7360</v>
      </c>
      <c r="CB203">
        <v>3380666</v>
      </c>
      <c r="CC203" s="21">
        <v>44960.787557870368</v>
      </c>
      <c r="CE203" t="s">
        <v>7366</v>
      </c>
      <c r="CF203">
        <v>0</v>
      </c>
      <c r="CG203">
        <v>702002</v>
      </c>
      <c r="CH203">
        <v>702002</v>
      </c>
      <c r="CI203" s="21">
        <v>44960.789467592593</v>
      </c>
      <c r="CJ203" t="s">
        <v>7367</v>
      </c>
      <c r="CK203" t="s">
        <v>7367</v>
      </c>
      <c r="CL203" t="s">
        <v>7368</v>
      </c>
      <c r="CM203" t="s">
        <v>7368</v>
      </c>
      <c r="CS203" t="s">
        <v>7361</v>
      </c>
      <c r="CT203" t="s">
        <v>7362</v>
      </c>
      <c r="CU203" t="s">
        <v>7362</v>
      </c>
      <c r="CV203" t="s">
        <v>7362</v>
      </c>
      <c r="CW203" t="s">
        <v>7362</v>
      </c>
      <c r="CX203">
        <v>4068000</v>
      </c>
      <c r="DA203">
        <v>0</v>
      </c>
    </row>
    <row r="204" spans="1:105" x14ac:dyDescent="0.3">
      <c r="A204">
        <v>1357</v>
      </c>
      <c r="B204" t="s">
        <v>7405</v>
      </c>
      <c r="C204">
        <v>226</v>
      </c>
      <c r="D204" s="20">
        <v>44960</v>
      </c>
      <c r="E204" t="s">
        <v>7356</v>
      </c>
      <c r="F204" t="s">
        <v>5644</v>
      </c>
      <c r="G204" t="s">
        <v>7357</v>
      </c>
      <c r="H204">
        <v>1</v>
      </c>
      <c r="I204" t="s">
        <v>7358</v>
      </c>
      <c r="J204">
        <v>1</v>
      </c>
      <c r="K204" s="20">
        <v>44960</v>
      </c>
      <c r="L204" s="23">
        <v>678300</v>
      </c>
      <c r="M204" t="s">
        <v>7359</v>
      </c>
      <c r="N204" t="s">
        <v>7360</v>
      </c>
      <c r="O204">
        <v>0</v>
      </c>
      <c r="P204">
        <v>11902</v>
      </c>
      <c r="Q204">
        <v>416065</v>
      </c>
      <c r="R204">
        <v>0</v>
      </c>
      <c r="S204">
        <v>20230203</v>
      </c>
      <c r="T204">
        <v>0</v>
      </c>
      <c r="U204" t="s">
        <v>7361</v>
      </c>
      <c r="V204" t="s">
        <v>7360</v>
      </c>
      <c r="W204" t="s">
        <v>7360</v>
      </c>
      <c r="X204" t="s">
        <v>7360</v>
      </c>
      <c r="Y204" t="s">
        <v>7360</v>
      </c>
      <c r="Z204" t="s">
        <v>7360</v>
      </c>
      <c r="AA204" t="s">
        <v>7362</v>
      </c>
      <c r="AB204" t="s">
        <v>7360</v>
      </c>
      <c r="AC204" t="s">
        <v>7360</v>
      </c>
      <c r="AD204" t="s">
        <v>7360</v>
      </c>
      <c r="AE204" t="s">
        <v>7360</v>
      </c>
      <c r="AF204" t="s">
        <v>1684</v>
      </c>
      <c r="AG204">
        <v>0</v>
      </c>
      <c r="AH204">
        <v>0</v>
      </c>
      <c r="AI204">
        <v>0</v>
      </c>
      <c r="AJ204">
        <v>0</v>
      </c>
      <c r="AK204">
        <v>0</v>
      </c>
      <c r="AL204" t="s">
        <v>7360</v>
      </c>
      <c r="AM204">
        <v>0</v>
      </c>
      <c r="AN204" s="20">
        <v>44960</v>
      </c>
      <c r="AO204" s="20">
        <v>44960</v>
      </c>
      <c r="AP204" s="20">
        <v>44960</v>
      </c>
      <c r="AQ204">
        <v>0</v>
      </c>
      <c r="AR204">
        <v>0</v>
      </c>
      <c r="AS204">
        <v>0</v>
      </c>
      <c r="AT204">
        <v>0</v>
      </c>
      <c r="AU204">
        <v>0</v>
      </c>
      <c r="AV204" t="s">
        <v>7360</v>
      </c>
      <c r="AW204">
        <v>0</v>
      </c>
      <c r="AX204" t="s">
        <v>7360</v>
      </c>
      <c r="AY204" t="s">
        <v>7363</v>
      </c>
      <c r="BA204">
        <v>0</v>
      </c>
      <c r="BB204" s="20">
        <v>44960</v>
      </c>
      <c r="BC204">
        <v>0</v>
      </c>
      <c r="BD204" t="s">
        <v>7360</v>
      </c>
      <c r="BF204" s="20">
        <v>44960</v>
      </c>
      <c r="BG204">
        <v>0</v>
      </c>
      <c r="BH204" t="s">
        <v>1684</v>
      </c>
      <c r="BJ204" t="s">
        <v>7362</v>
      </c>
      <c r="BK204">
        <v>0</v>
      </c>
      <c r="BL204">
        <v>0</v>
      </c>
      <c r="BM204">
        <v>0</v>
      </c>
      <c r="BN204">
        <v>0</v>
      </c>
      <c r="BO204">
        <v>169</v>
      </c>
      <c r="BP204">
        <v>11</v>
      </c>
      <c r="BQ204">
        <v>1</v>
      </c>
      <c r="BR204" t="s">
        <v>7364</v>
      </c>
      <c r="BS204" t="s">
        <v>7382</v>
      </c>
      <c r="BT204" t="s">
        <v>7360</v>
      </c>
      <c r="BU204" t="s">
        <v>7360</v>
      </c>
      <c r="BV204" t="s">
        <v>7360</v>
      </c>
      <c r="BX204">
        <v>0</v>
      </c>
      <c r="BY204">
        <v>0</v>
      </c>
      <c r="BZ204" t="s">
        <v>7360</v>
      </c>
      <c r="CA204" t="s">
        <v>7360</v>
      </c>
      <c r="CB204">
        <v>3380666</v>
      </c>
      <c r="CC204" s="21">
        <v>44960.796898148146</v>
      </c>
      <c r="CE204" t="s">
        <v>7366</v>
      </c>
      <c r="CF204">
        <v>0</v>
      </c>
      <c r="CG204">
        <v>702002</v>
      </c>
      <c r="CH204">
        <v>702002</v>
      </c>
      <c r="CI204" s="21">
        <v>44960.799039351848</v>
      </c>
      <c r="CJ204" t="s">
        <v>7367</v>
      </c>
      <c r="CK204" t="s">
        <v>7367</v>
      </c>
      <c r="CL204" t="s">
        <v>7368</v>
      </c>
      <c r="CM204" t="s">
        <v>7368</v>
      </c>
      <c r="CS204" t="s">
        <v>7361</v>
      </c>
      <c r="CT204" t="s">
        <v>7362</v>
      </c>
      <c r="CU204" t="s">
        <v>7362</v>
      </c>
      <c r="CV204" t="s">
        <v>7362</v>
      </c>
      <c r="CW204" t="s">
        <v>7362</v>
      </c>
      <c r="CX204">
        <v>678300</v>
      </c>
      <c r="DA204">
        <v>0</v>
      </c>
    </row>
    <row r="205" spans="1:105" x14ac:dyDescent="0.3">
      <c r="A205">
        <v>1357</v>
      </c>
      <c r="B205" t="s">
        <v>7405</v>
      </c>
      <c r="C205">
        <v>227</v>
      </c>
      <c r="D205" s="20">
        <v>44960</v>
      </c>
      <c r="E205" t="s">
        <v>7356</v>
      </c>
      <c r="F205" t="s">
        <v>5649</v>
      </c>
      <c r="G205" t="s">
        <v>7357</v>
      </c>
      <c r="H205">
        <v>1</v>
      </c>
      <c r="I205" t="s">
        <v>7358</v>
      </c>
      <c r="J205">
        <v>1</v>
      </c>
      <c r="K205" s="20">
        <v>44960</v>
      </c>
      <c r="L205" s="23">
        <v>1142400</v>
      </c>
      <c r="M205" t="s">
        <v>7359</v>
      </c>
      <c r="N205" t="s">
        <v>7360</v>
      </c>
      <c r="O205">
        <v>0</v>
      </c>
      <c r="P205">
        <v>11906</v>
      </c>
      <c r="Q205">
        <v>416069</v>
      </c>
      <c r="R205">
        <v>0</v>
      </c>
      <c r="S205">
        <v>20230203</v>
      </c>
      <c r="T205">
        <v>0</v>
      </c>
      <c r="U205" t="s">
        <v>7361</v>
      </c>
      <c r="V205" t="s">
        <v>7360</v>
      </c>
      <c r="W205" t="s">
        <v>7360</v>
      </c>
      <c r="X205" t="s">
        <v>7360</v>
      </c>
      <c r="Y205" t="s">
        <v>7360</v>
      </c>
      <c r="Z205" t="s">
        <v>7360</v>
      </c>
      <c r="AA205" t="s">
        <v>7362</v>
      </c>
      <c r="AB205" t="s">
        <v>7360</v>
      </c>
      <c r="AC205" t="s">
        <v>7360</v>
      </c>
      <c r="AD205" t="s">
        <v>7360</v>
      </c>
      <c r="AE205" t="s">
        <v>7360</v>
      </c>
      <c r="AF205" t="s">
        <v>1684</v>
      </c>
      <c r="AG205">
        <v>0</v>
      </c>
      <c r="AH205">
        <v>0</v>
      </c>
      <c r="AI205">
        <v>0</v>
      </c>
      <c r="AJ205">
        <v>0</v>
      </c>
      <c r="AK205">
        <v>0</v>
      </c>
      <c r="AL205" t="s">
        <v>7360</v>
      </c>
      <c r="AM205">
        <v>0</v>
      </c>
      <c r="AN205" s="20">
        <v>44960</v>
      </c>
      <c r="AO205" s="20">
        <v>44960</v>
      </c>
      <c r="AP205" s="20">
        <v>44960</v>
      </c>
      <c r="AQ205">
        <v>0</v>
      </c>
      <c r="AR205">
        <v>0</v>
      </c>
      <c r="AS205">
        <v>0</v>
      </c>
      <c r="AT205">
        <v>0</v>
      </c>
      <c r="AU205">
        <v>0</v>
      </c>
      <c r="AV205" t="s">
        <v>7360</v>
      </c>
      <c r="AW205">
        <v>0</v>
      </c>
      <c r="AX205" t="s">
        <v>7360</v>
      </c>
      <c r="AY205" t="s">
        <v>7363</v>
      </c>
      <c r="BA205">
        <v>0</v>
      </c>
      <c r="BB205" s="20">
        <v>44960</v>
      </c>
      <c r="BC205">
        <v>0</v>
      </c>
      <c r="BD205" t="s">
        <v>7360</v>
      </c>
      <c r="BF205" s="20">
        <v>44960</v>
      </c>
      <c r="BG205">
        <v>0</v>
      </c>
      <c r="BH205" t="s">
        <v>1684</v>
      </c>
      <c r="BJ205" t="s">
        <v>7362</v>
      </c>
      <c r="BK205">
        <v>0</v>
      </c>
      <c r="BL205">
        <v>0</v>
      </c>
      <c r="BM205">
        <v>0</v>
      </c>
      <c r="BN205">
        <v>0</v>
      </c>
      <c r="BO205">
        <v>169</v>
      </c>
      <c r="BP205">
        <v>11</v>
      </c>
      <c r="BQ205">
        <v>1</v>
      </c>
      <c r="BR205" t="s">
        <v>7364</v>
      </c>
      <c r="BS205" t="s">
        <v>7382</v>
      </c>
      <c r="BT205" t="s">
        <v>7360</v>
      </c>
      <c r="BU205" t="s">
        <v>7360</v>
      </c>
      <c r="BV205" t="s">
        <v>7360</v>
      </c>
      <c r="BX205">
        <v>0</v>
      </c>
      <c r="BY205">
        <v>0</v>
      </c>
      <c r="BZ205" t="s">
        <v>7360</v>
      </c>
      <c r="CA205" t="s">
        <v>7360</v>
      </c>
      <c r="CB205">
        <v>3380666</v>
      </c>
      <c r="CC205" s="21">
        <v>44960.804861111108</v>
      </c>
      <c r="CE205" t="s">
        <v>7366</v>
      </c>
      <c r="CF205">
        <v>0</v>
      </c>
      <c r="CG205">
        <v>702002</v>
      </c>
      <c r="CH205">
        <v>702002</v>
      </c>
      <c r="CI205" s="21">
        <v>44960.806643518517</v>
      </c>
      <c r="CJ205" t="s">
        <v>7367</v>
      </c>
      <c r="CK205" t="s">
        <v>7367</v>
      </c>
      <c r="CL205" t="s">
        <v>7368</v>
      </c>
      <c r="CM205" t="s">
        <v>7368</v>
      </c>
      <c r="CS205" t="s">
        <v>7361</v>
      </c>
      <c r="CT205" t="s">
        <v>7362</v>
      </c>
      <c r="CU205" t="s">
        <v>7362</v>
      </c>
      <c r="CV205" t="s">
        <v>7362</v>
      </c>
      <c r="CW205" t="s">
        <v>7362</v>
      </c>
      <c r="CX205">
        <v>1142400</v>
      </c>
      <c r="DA205">
        <v>0</v>
      </c>
    </row>
    <row r="206" spans="1:105" x14ac:dyDescent="0.3">
      <c r="A206">
        <v>1357</v>
      </c>
      <c r="B206" t="s">
        <v>7405</v>
      </c>
      <c r="C206">
        <v>228</v>
      </c>
      <c r="D206" s="20">
        <v>44960</v>
      </c>
      <c r="E206" t="s">
        <v>7372</v>
      </c>
      <c r="F206" t="s">
        <v>5655</v>
      </c>
      <c r="G206" t="s">
        <v>7357</v>
      </c>
      <c r="H206">
        <v>1</v>
      </c>
      <c r="I206" t="s">
        <v>7358</v>
      </c>
      <c r="J206">
        <v>1</v>
      </c>
      <c r="K206" s="20">
        <v>44960</v>
      </c>
      <c r="L206" s="23">
        <v>2296700</v>
      </c>
      <c r="M206" t="s">
        <v>7359</v>
      </c>
      <c r="N206" t="s">
        <v>7360</v>
      </c>
      <c r="O206">
        <v>0</v>
      </c>
      <c r="P206">
        <v>12089</v>
      </c>
      <c r="Q206">
        <v>419029</v>
      </c>
      <c r="R206">
        <v>0</v>
      </c>
      <c r="S206">
        <v>20230203</v>
      </c>
      <c r="T206">
        <v>0</v>
      </c>
      <c r="U206" t="s">
        <v>7362</v>
      </c>
      <c r="V206" t="s">
        <v>7360</v>
      </c>
      <c r="W206" t="s">
        <v>7360</v>
      </c>
      <c r="X206" t="s">
        <v>7360</v>
      </c>
      <c r="Y206" t="s">
        <v>7360</v>
      </c>
      <c r="Z206" t="s">
        <v>7360</v>
      </c>
      <c r="AA206" t="s">
        <v>7362</v>
      </c>
      <c r="AB206" t="s">
        <v>7360</v>
      </c>
      <c r="AC206" t="s">
        <v>7360</v>
      </c>
      <c r="AD206" t="s">
        <v>7360</v>
      </c>
      <c r="AE206" t="s">
        <v>7360</v>
      </c>
      <c r="AF206" t="s">
        <v>1684</v>
      </c>
      <c r="AG206">
        <v>0</v>
      </c>
      <c r="AH206">
        <v>0</v>
      </c>
      <c r="AI206">
        <v>0</v>
      </c>
      <c r="AJ206">
        <v>0</v>
      </c>
      <c r="AK206">
        <v>0</v>
      </c>
      <c r="AL206" t="s">
        <v>7360</v>
      </c>
      <c r="AM206">
        <v>0</v>
      </c>
      <c r="AN206" s="20">
        <v>44960</v>
      </c>
      <c r="AO206" s="20">
        <v>44960</v>
      </c>
      <c r="AP206" s="20">
        <v>44960</v>
      </c>
      <c r="AQ206">
        <v>0</v>
      </c>
      <c r="AR206">
        <v>0</v>
      </c>
      <c r="AS206">
        <v>0</v>
      </c>
      <c r="AT206">
        <v>0</v>
      </c>
      <c r="AU206">
        <v>0</v>
      </c>
      <c r="AV206" t="s">
        <v>7360</v>
      </c>
      <c r="AW206">
        <v>0</v>
      </c>
      <c r="AX206" t="s">
        <v>7360</v>
      </c>
      <c r="AY206" t="s">
        <v>7362</v>
      </c>
      <c r="BA206">
        <v>0</v>
      </c>
      <c r="BB206" s="20">
        <v>44960</v>
      </c>
      <c r="BC206">
        <v>0</v>
      </c>
      <c r="BD206" t="s">
        <v>7360</v>
      </c>
      <c r="BF206" s="20">
        <v>44960</v>
      </c>
      <c r="BG206">
        <v>0</v>
      </c>
      <c r="BH206" t="s">
        <v>1684</v>
      </c>
      <c r="BJ206" t="s">
        <v>7362</v>
      </c>
      <c r="BK206">
        <v>0</v>
      </c>
      <c r="BL206">
        <v>0</v>
      </c>
      <c r="BM206">
        <v>0</v>
      </c>
      <c r="BN206">
        <v>0</v>
      </c>
      <c r="BO206">
        <v>169</v>
      </c>
      <c r="BP206">
        <v>11</v>
      </c>
      <c r="BQ206">
        <v>1</v>
      </c>
      <c r="BR206" t="s">
        <v>7364</v>
      </c>
      <c r="BS206" t="s">
        <v>7382</v>
      </c>
      <c r="BT206" t="s">
        <v>7360</v>
      </c>
      <c r="BU206" t="s">
        <v>7360</v>
      </c>
      <c r="BV206" t="s">
        <v>7360</v>
      </c>
      <c r="BX206">
        <v>0</v>
      </c>
      <c r="BY206">
        <v>0</v>
      </c>
      <c r="BZ206" t="s">
        <v>7360</v>
      </c>
      <c r="CA206" t="s">
        <v>7360</v>
      </c>
      <c r="CB206">
        <v>3380666</v>
      </c>
      <c r="CC206" s="21">
        <v>44960.814097222225</v>
      </c>
      <c r="CE206" t="s">
        <v>7366</v>
      </c>
      <c r="CF206">
        <v>0</v>
      </c>
      <c r="CG206">
        <v>702002</v>
      </c>
      <c r="CH206">
        <v>702002</v>
      </c>
      <c r="CI206" s="21">
        <v>44960.816747685189</v>
      </c>
      <c r="CJ206" t="s">
        <v>7367</v>
      </c>
      <c r="CK206" t="s">
        <v>7367</v>
      </c>
      <c r="CL206" t="s">
        <v>7368</v>
      </c>
      <c r="CM206" t="s">
        <v>7368</v>
      </c>
      <c r="CS206" t="s">
        <v>7361</v>
      </c>
      <c r="CT206" t="s">
        <v>7362</v>
      </c>
      <c r="CU206" t="s">
        <v>7362</v>
      </c>
      <c r="CV206" t="s">
        <v>7362</v>
      </c>
      <c r="CW206" t="s">
        <v>7362</v>
      </c>
      <c r="CX206">
        <v>2296700</v>
      </c>
      <c r="DA206">
        <v>0</v>
      </c>
    </row>
    <row r="207" spans="1:105" x14ac:dyDescent="0.3">
      <c r="A207">
        <v>1357</v>
      </c>
      <c r="B207" t="s">
        <v>7405</v>
      </c>
      <c r="C207">
        <v>229</v>
      </c>
      <c r="D207" s="20">
        <v>44961</v>
      </c>
      <c r="E207" t="s">
        <v>7372</v>
      </c>
      <c r="F207" t="s">
        <v>5660</v>
      </c>
      <c r="G207" t="s">
        <v>7357</v>
      </c>
      <c r="H207">
        <v>1</v>
      </c>
      <c r="I207" t="s">
        <v>7358</v>
      </c>
      <c r="J207">
        <v>1</v>
      </c>
      <c r="K207" s="20">
        <v>44961</v>
      </c>
      <c r="L207" s="23">
        <v>8139600</v>
      </c>
      <c r="M207" t="s">
        <v>7359</v>
      </c>
      <c r="N207" t="s">
        <v>7360</v>
      </c>
      <c r="O207">
        <v>0</v>
      </c>
      <c r="P207">
        <v>12099</v>
      </c>
      <c r="Q207">
        <v>419040</v>
      </c>
      <c r="R207">
        <v>0</v>
      </c>
      <c r="S207">
        <v>20230204</v>
      </c>
      <c r="T207">
        <v>0</v>
      </c>
      <c r="U207" t="s">
        <v>7362</v>
      </c>
      <c r="V207" t="s">
        <v>7360</v>
      </c>
      <c r="W207" t="s">
        <v>7360</v>
      </c>
      <c r="X207" t="s">
        <v>7360</v>
      </c>
      <c r="Y207" t="s">
        <v>7360</v>
      </c>
      <c r="Z207" t="s">
        <v>7360</v>
      </c>
      <c r="AA207" t="s">
        <v>7362</v>
      </c>
      <c r="AB207" t="s">
        <v>7360</v>
      </c>
      <c r="AC207" t="s">
        <v>7360</v>
      </c>
      <c r="AD207" t="s">
        <v>7360</v>
      </c>
      <c r="AE207" t="s">
        <v>7360</v>
      </c>
      <c r="AF207" t="s">
        <v>1684</v>
      </c>
      <c r="AG207">
        <v>0</v>
      </c>
      <c r="AH207">
        <v>0</v>
      </c>
      <c r="AI207">
        <v>0</v>
      </c>
      <c r="AJ207">
        <v>0</v>
      </c>
      <c r="AK207">
        <v>0</v>
      </c>
      <c r="AL207" t="s">
        <v>7360</v>
      </c>
      <c r="AM207">
        <v>0</v>
      </c>
      <c r="AN207" s="20">
        <v>44961</v>
      </c>
      <c r="AO207" s="20">
        <v>44961</v>
      </c>
      <c r="AP207" s="20">
        <v>44961</v>
      </c>
      <c r="AQ207">
        <v>0</v>
      </c>
      <c r="AR207">
        <v>0</v>
      </c>
      <c r="AS207">
        <v>0</v>
      </c>
      <c r="AT207">
        <v>0</v>
      </c>
      <c r="AU207">
        <v>0</v>
      </c>
      <c r="AV207" t="s">
        <v>7360</v>
      </c>
      <c r="AW207">
        <v>0</v>
      </c>
      <c r="AX207" t="s">
        <v>7360</v>
      </c>
      <c r="AY207" t="s">
        <v>7362</v>
      </c>
      <c r="BA207">
        <v>0</v>
      </c>
      <c r="BB207" s="20">
        <v>44961</v>
      </c>
      <c r="BC207">
        <v>0</v>
      </c>
      <c r="BD207" t="s">
        <v>7360</v>
      </c>
      <c r="BF207" s="20">
        <v>44961</v>
      </c>
      <c r="BG207">
        <v>0</v>
      </c>
      <c r="BH207" t="s">
        <v>1684</v>
      </c>
      <c r="BJ207" t="s">
        <v>7362</v>
      </c>
      <c r="BK207">
        <v>0</v>
      </c>
      <c r="BL207">
        <v>0</v>
      </c>
      <c r="BM207">
        <v>0</v>
      </c>
      <c r="BN207">
        <v>0</v>
      </c>
      <c r="BO207">
        <v>169</v>
      </c>
      <c r="BP207">
        <v>11</v>
      </c>
      <c r="BQ207">
        <v>1</v>
      </c>
      <c r="BR207" t="s">
        <v>7364</v>
      </c>
      <c r="BS207" t="s">
        <v>7382</v>
      </c>
      <c r="BT207" t="s">
        <v>7360</v>
      </c>
      <c r="BU207" t="s">
        <v>7360</v>
      </c>
      <c r="BV207" t="s">
        <v>7360</v>
      </c>
      <c r="BX207">
        <v>0</v>
      </c>
      <c r="BY207">
        <v>0</v>
      </c>
      <c r="BZ207" t="s">
        <v>7360</v>
      </c>
      <c r="CA207" t="s">
        <v>7360</v>
      </c>
      <c r="CB207">
        <v>3380666</v>
      </c>
      <c r="CC207" s="21">
        <v>44961.694918981484</v>
      </c>
      <c r="CE207" t="s">
        <v>7366</v>
      </c>
      <c r="CF207">
        <v>0</v>
      </c>
      <c r="CG207">
        <v>702002</v>
      </c>
      <c r="CH207">
        <v>702002</v>
      </c>
      <c r="CI207" s="21">
        <v>44961.696782407409</v>
      </c>
      <c r="CJ207" t="s">
        <v>7367</v>
      </c>
      <c r="CK207" t="s">
        <v>7367</v>
      </c>
      <c r="CL207" t="s">
        <v>7368</v>
      </c>
      <c r="CM207" t="s">
        <v>7368</v>
      </c>
      <c r="CS207" t="s">
        <v>7361</v>
      </c>
      <c r="CT207" t="s">
        <v>7362</v>
      </c>
      <c r="CU207" t="s">
        <v>7362</v>
      </c>
      <c r="CV207" t="s">
        <v>7362</v>
      </c>
      <c r="CW207" t="s">
        <v>7362</v>
      </c>
      <c r="CX207">
        <v>8139600</v>
      </c>
      <c r="DA207">
        <v>0</v>
      </c>
    </row>
    <row r="208" spans="1:105" x14ac:dyDescent="0.3">
      <c r="A208">
        <v>1366</v>
      </c>
      <c r="B208" t="s">
        <v>7380</v>
      </c>
      <c r="C208">
        <v>230</v>
      </c>
      <c r="D208" s="20">
        <v>44961</v>
      </c>
      <c r="E208" t="s">
        <v>7356</v>
      </c>
      <c r="F208" t="s">
        <v>5665</v>
      </c>
      <c r="G208" t="s">
        <v>7370</v>
      </c>
      <c r="H208">
        <v>1</v>
      </c>
      <c r="I208" t="s">
        <v>7358</v>
      </c>
      <c r="J208">
        <v>1</v>
      </c>
      <c r="K208" s="20">
        <v>44961</v>
      </c>
      <c r="L208" s="23">
        <v>2000000</v>
      </c>
      <c r="M208" t="s">
        <v>7359</v>
      </c>
      <c r="N208" t="s">
        <v>7360</v>
      </c>
      <c r="O208">
        <v>0</v>
      </c>
      <c r="P208">
        <v>12048</v>
      </c>
      <c r="Q208">
        <v>419002</v>
      </c>
      <c r="R208">
        <v>0</v>
      </c>
      <c r="S208">
        <v>20230204</v>
      </c>
      <c r="T208">
        <v>0</v>
      </c>
      <c r="U208" t="s">
        <v>7361</v>
      </c>
      <c r="V208" t="s">
        <v>7360</v>
      </c>
      <c r="W208" t="s">
        <v>7360</v>
      </c>
      <c r="X208" t="s">
        <v>7360</v>
      </c>
      <c r="Y208" t="s">
        <v>7360</v>
      </c>
      <c r="Z208" t="s">
        <v>7360</v>
      </c>
      <c r="AA208" t="s">
        <v>7362</v>
      </c>
      <c r="AB208" t="s">
        <v>7360</v>
      </c>
      <c r="AC208" t="s">
        <v>7360</v>
      </c>
      <c r="AD208" t="s">
        <v>7360</v>
      </c>
      <c r="AE208" t="s">
        <v>7360</v>
      </c>
      <c r="AF208" t="s">
        <v>1684</v>
      </c>
      <c r="AG208">
        <v>0</v>
      </c>
      <c r="AH208">
        <v>0</v>
      </c>
      <c r="AI208">
        <v>0</v>
      </c>
      <c r="AJ208">
        <v>0</v>
      </c>
      <c r="AK208">
        <v>0</v>
      </c>
      <c r="AL208" t="s">
        <v>7360</v>
      </c>
      <c r="AM208">
        <v>0</v>
      </c>
      <c r="AN208" s="20">
        <v>44961</v>
      </c>
      <c r="AO208" s="20">
        <v>44961</v>
      </c>
      <c r="AP208" s="20">
        <v>44961</v>
      </c>
      <c r="AQ208">
        <v>0</v>
      </c>
      <c r="AR208">
        <v>0</v>
      </c>
      <c r="AS208">
        <v>0</v>
      </c>
      <c r="AT208">
        <v>0</v>
      </c>
      <c r="AU208">
        <v>0</v>
      </c>
      <c r="AV208" t="s">
        <v>7360</v>
      </c>
      <c r="AW208">
        <v>0</v>
      </c>
      <c r="AX208" t="s">
        <v>7360</v>
      </c>
      <c r="AY208" t="s">
        <v>7363</v>
      </c>
      <c r="BA208">
        <v>0</v>
      </c>
      <c r="BB208" s="20">
        <v>44961</v>
      </c>
      <c r="BC208">
        <v>0</v>
      </c>
      <c r="BD208" t="s">
        <v>7360</v>
      </c>
      <c r="BF208" s="20">
        <v>44961</v>
      </c>
      <c r="BG208">
        <v>0</v>
      </c>
      <c r="BH208" t="s">
        <v>7363</v>
      </c>
      <c r="BJ208" t="s">
        <v>7362</v>
      </c>
      <c r="BK208">
        <v>0</v>
      </c>
      <c r="BL208">
        <v>0</v>
      </c>
      <c r="BM208">
        <v>0</v>
      </c>
      <c r="BN208">
        <v>0</v>
      </c>
      <c r="BO208">
        <v>169</v>
      </c>
      <c r="BP208">
        <v>11</v>
      </c>
      <c r="BQ208">
        <v>1</v>
      </c>
      <c r="BR208" t="s">
        <v>7364</v>
      </c>
      <c r="BS208" t="s">
        <v>7365</v>
      </c>
      <c r="BT208" t="s">
        <v>7360</v>
      </c>
      <c r="BU208" t="s">
        <v>7360</v>
      </c>
      <c r="BV208" t="s">
        <v>7360</v>
      </c>
      <c r="BX208">
        <v>0</v>
      </c>
      <c r="BY208">
        <v>0</v>
      </c>
      <c r="BZ208" t="s">
        <v>7360</v>
      </c>
      <c r="CA208" t="s">
        <v>7360</v>
      </c>
      <c r="CB208">
        <v>3380666</v>
      </c>
      <c r="CC208" s="21">
        <v>44961.70815972222</v>
      </c>
      <c r="CE208" t="s">
        <v>7366</v>
      </c>
      <c r="CF208">
        <v>0</v>
      </c>
      <c r="CG208">
        <v>702002</v>
      </c>
      <c r="CH208">
        <v>702002</v>
      </c>
      <c r="CI208" s="21">
        <v>44961.7108912037</v>
      </c>
      <c r="CJ208" t="s">
        <v>7367</v>
      </c>
      <c r="CK208" t="s">
        <v>7367</v>
      </c>
      <c r="CL208" t="s">
        <v>7368</v>
      </c>
      <c r="CM208" t="s">
        <v>7368</v>
      </c>
      <c r="CS208" t="s">
        <v>7361</v>
      </c>
      <c r="CT208" t="s">
        <v>7362</v>
      </c>
      <c r="CU208" t="s">
        <v>7362</v>
      </c>
      <c r="CV208" t="s">
        <v>7362</v>
      </c>
      <c r="CW208" t="s">
        <v>7362</v>
      </c>
      <c r="CX208">
        <v>2000000</v>
      </c>
      <c r="DA208">
        <v>0</v>
      </c>
    </row>
    <row r="209" spans="1:105" x14ac:dyDescent="0.3">
      <c r="A209">
        <v>1366</v>
      </c>
      <c r="B209" t="s">
        <v>7380</v>
      </c>
      <c r="C209">
        <v>231</v>
      </c>
      <c r="D209" s="20">
        <v>44961</v>
      </c>
      <c r="E209" t="s">
        <v>7356</v>
      </c>
      <c r="F209" t="s">
        <v>5671</v>
      </c>
      <c r="G209" t="s">
        <v>7370</v>
      </c>
      <c r="H209">
        <v>1</v>
      </c>
      <c r="I209" t="s">
        <v>7358</v>
      </c>
      <c r="J209">
        <v>1</v>
      </c>
      <c r="K209" s="20">
        <v>44961</v>
      </c>
      <c r="L209" s="23">
        <v>2840000</v>
      </c>
      <c r="M209" t="s">
        <v>7359</v>
      </c>
      <c r="N209" t="s">
        <v>7360</v>
      </c>
      <c r="O209">
        <v>0</v>
      </c>
      <c r="P209">
        <v>12056</v>
      </c>
      <c r="Q209">
        <v>419007</v>
      </c>
      <c r="R209">
        <v>0</v>
      </c>
      <c r="S209">
        <v>20230204</v>
      </c>
      <c r="T209">
        <v>0</v>
      </c>
      <c r="U209" t="s">
        <v>7361</v>
      </c>
      <c r="V209" t="s">
        <v>7360</v>
      </c>
      <c r="W209" t="s">
        <v>7360</v>
      </c>
      <c r="X209" t="s">
        <v>7360</v>
      </c>
      <c r="Y209" t="s">
        <v>7360</v>
      </c>
      <c r="Z209" t="s">
        <v>7360</v>
      </c>
      <c r="AA209" t="s">
        <v>7362</v>
      </c>
      <c r="AB209" t="s">
        <v>7360</v>
      </c>
      <c r="AC209" t="s">
        <v>7360</v>
      </c>
      <c r="AD209" t="s">
        <v>7360</v>
      </c>
      <c r="AE209" t="s">
        <v>7360</v>
      </c>
      <c r="AF209" t="s">
        <v>1684</v>
      </c>
      <c r="AG209">
        <v>0</v>
      </c>
      <c r="AH209">
        <v>0</v>
      </c>
      <c r="AI209">
        <v>0</v>
      </c>
      <c r="AJ209">
        <v>0</v>
      </c>
      <c r="AK209">
        <v>0</v>
      </c>
      <c r="AL209" t="s">
        <v>7360</v>
      </c>
      <c r="AM209">
        <v>0</v>
      </c>
      <c r="AN209" s="20">
        <v>44961</v>
      </c>
      <c r="AO209" s="20">
        <v>44961</v>
      </c>
      <c r="AP209" s="20">
        <v>44961</v>
      </c>
      <c r="AQ209">
        <v>0</v>
      </c>
      <c r="AR209">
        <v>0</v>
      </c>
      <c r="AS209">
        <v>0</v>
      </c>
      <c r="AT209">
        <v>0</v>
      </c>
      <c r="AU209">
        <v>0</v>
      </c>
      <c r="AV209" t="s">
        <v>7360</v>
      </c>
      <c r="AW209">
        <v>0</v>
      </c>
      <c r="AX209" t="s">
        <v>7360</v>
      </c>
      <c r="AY209" t="s">
        <v>7363</v>
      </c>
      <c r="BA209">
        <v>0</v>
      </c>
      <c r="BB209" s="20">
        <v>44961</v>
      </c>
      <c r="BC209">
        <v>0</v>
      </c>
      <c r="BD209" t="s">
        <v>7360</v>
      </c>
      <c r="BF209" s="20">
        <v>44961</v>
      </c>
      <c r="BG209">
        <v>0</v>
      </c>
      <c r="BH209" t="s">
        <v>7363</v>
      </c>
      <c r="BJ209" t="s">
        <v>7362</v>
      </c>
      <c r="BK209">
        <v>0</v>
      </c>
      <c r="BL209">
        <v>0</v>
      </c>
      <c r="BM209">
        <v>0</v>
      </c>
      <c r="BN209">
        <v>0</v>
      </c>
      <c r="BO209">
        <v>169</v>
      </c>
      <c r="BP209">
        <v>11</v>
      </c>
      <c r="BQ209">
        <v>1</v>
      </c>
      <c r="BR209" t="s">
        <v>7364</v>
      </c>
      <c r="BS209" t="s">
        <v>7365</v>
      </c>
      <c r="BT209" t="s">
        <v>7360</v>
      </c>
      <c r="BU209" t="s">
        <v>7360</v>
      </c>
      <c r="BV209" t="s">
        <v>7360</v>
      </c>
      <c r="BX209">
        <v>0</v>
      </c>
      <c r="BY209">
        <v>0</v>
      </c>
      <c r="BZ209" t="s">
        <v>7360</v>
      </c>
      <c r="CA209" t="s">
        <v>7360</v>
      </c>
      <c r="CB209">
        <v>3380666</v>
      </c>
      <c r="CC209" s="21">
        <v>44961.718263888892</v>
      </c>
      <c r="CE209" t="s">
        <v>7366</v>
      </c>
      <c r="CF209">
        <v>0</v>
      </c>
      <c r="CG209">
        <v>702002</v>
      </c>
      <c r="CH209">
        <v>702002</v>
      </c>
      <c r="CI209" s="21">
        <v>44961.720312500001</v>
      </c>
      <c r="CJ209" t="s">
        <v>7367</v>
      </c>
      <c r="CK209" t="s">
        <v>7367</v>
      </c>
      <c r="CL209" t="s">
        <v>7368</v>
      </c>
      <c r="CM209" t="s">
        <v>7368</v>
      </c>
      <c r="CS209" t="s">
        <v>7361</v>
      </c>
      <c r="CT209" t="s">
        <v>7362</v>
      </c>
      <c r="CU209" t="s">
        <v>7362</v>
      </c>
      <c r="CV209" t="s">
        <v>7362</v>
      </c>
      <c r="CW209" t="s">
        <v>7362</v>
      </c>
      <c r="CX209">
        <v>2840000</v>
      </c>
      <c r="DA209">
        <v>0</v>
      </c>
    </row>
    <row r="210" spans="1:105" x14ac:dyDescent="0.3">
      <c r="A210">
        <v>1364</v>
      </c>
      <c r="B210" t="s">
        <v>7355</v>
      </c>
      <c r="C210">
        <v>232</v>
      </c>
      <c r="D210" s="20">
        <v>44961</v>
      </c>
      <c r="E210" t="s">
        <v>7356</v>
      </c>
      <c r="F210" t="s">
        <v>5676</v>
      </c>
      <c r="G210" t="s">
        <v>7357</v>
      </c>
      <c r="H210">
        <v>1</v>
      </c>
      <c r="I210" t="s">
        <v>7358</v>
      </c>
      <c r="J210">
        <v>1</v>
      </c>
      <c r="K210" s="20">
        <v>44961</v>
      </c>
      <c r="L210" s="23">
        <v>2532470</v>
      </c>
      <c r="M210" t="s">
        <v>7359</v>
      </c>
      <c r="N210" t="s">
        <v>7360</v>
      </c>
      <c r="O210">
        <v>0</v>
      </c>
      <c r="P210">
        <v>12074</v>
      </c>
      <c r="Q210">
        <v>419032</v>
      </c>
      <c r="R210">
        <v>0</v>
      </c>
      <c r="S210">
        <v>20230204</v>
      </c>
      <c r="T210">
        <v>0</v>
      </c>
      <c r="U210" t="s">
        <v>7361</v>
      </c>
      <c r="V210" t="s">
        <v>7360</v>
      </c>
      <c r="W210" t="s">
        <v>7360</v>
      </c>
      <c r="X210" t="s">
        <v>7360</v>
      </c>
      <c r="Y210" t="s">
        <v>7360</v>
      </c>
      <c r="Z210" t="s">
        <v>7360</v>
      </c>
      <c r="AA210" t="s">
        <v>7362</v>
      </c>
      <c r="AB210" t="s">
        <v>7360</v>
      </c>
      <c r="AC210" t="s">
        <v>7360</v>
      </c>
      <c r="AD210" t="s">
        <v>7360</v>
      </c>
      <c r="AE210" t="s">
        <v>7360</v>
      </c>
      <c r="AF210" t="s">
        <v>1684</v>
      </c>
      <c r="AG210">
        <v>0</v>
      </c>
      <c r="AH210">
        <v>0</v>
      </c>
      <c r="AI210">
        <v>0</v>
      </c>
      <c r="AJ210">
        <v>0</v>
      </c>
      <c r="AK210">
        <v>0</v>
      </c>
      <c r="AL210" t="s">
        <v>7360</v>
      </c>
      <c r="AM210">
        <v>0</v>
      </c>
      <c r="AN210" s="20">
        <v>44961</v>
      </c>
      <c r="AO210" s="20">
        <v>44961</v>
      </c>
      <c r="AP210" s="20">
        <v>44961</v>
      </c>
      <c r="AQ210">
        <v>0</v>
      </c>
      <c r="AR210">
        <v>0</v>
      </c>
      <c r="AS210">
        <v>0</v>
      </c>
      <c r="AT210">
        <v>0</v>
      </c>
      <c r="AU210">
        <v>0</v>
      </c>
      <c r="AV210" t="s">
        <v>7360</v>
      </c>
      <c r="AW210">
        <v>0</v>
      </c>
      <c r="AX210" t="s">
        <v>7360</v>
      </c>
      <c r="AY210" t="s">
        <v>7363</v>
      </c>
      <c r="BA210">
        <v>0</v>
      </c>
      <c r="BB210" s="20">
        <v>44961</v>
      </c>
      <c r="BC210">
        <v>0</v>
      </c>
      <c r="BD210" t="s">
        <v>7360</v>
      </c>
      <c r="BF210" s="20">
        <v>44961</v>
      </c>
      <c r="BG210">
        <v>0</v>
      </c>
      <c r="BH210" t="s">
        <v>7363</v>
      </c>
      <c r="BJ210" t="s">
        <v>7362</v>
      </c>
      <c r="BK210">
        <v>0</v>
      </c>
      <c r="BL210">
        <v>0</v>
      </c>
      <c r="BM210">
        <v>0</v>
      </c>
      <c r="BN210">
        <v>0</v>
      </c>
      <c r="BO210">
        <v>169</v>
      </c>
      <c r="BP210">
        <v>11</v>
      </c>
      <c r="BQ210">
        <v>1</v>
      </c>
      <c r="BR210" t="s">
        <v>7364</v>
      </c>
      <c r="BS210" t="s">
        <v>7365</v>
      </c>
      <c r="BT210" t="s">
        <v>7360</v>
      </c>
      <c r="BU210" t="s">
        <v>7360</v>
      </c>
      <c r="BV210" t="s">
        <v>7360</v>
      </c>
      <c r="BX210">
        <v>0</v>
      </c>
      <c r="BY210">
        <v>0</v>
      </c>
      <c r="BZ210" t="s">
        <v>7360</v>
      </c>
      <c r="CA210" t="s">
        <v>7360</v>
      </c>
      <c r="CB210">
        <v>3380666</v>
      </c>
      <c r="CC210" s="21">
        <v>44961.725428240738</v>
      </c>
      <c r="CE210" t="s">
        <v>7366</v>
      </c>
      <c r="CF210">
        <v>0</v>
      </c>
      <c r="CG210">
        <v>702002</v>
      </c>
      <c r="CH210">
        <v>702002</v>
      </c>
      <c r="CI210" s="21">
        <v>44963.668402777781</v>
      </c>
      <c r="CJ210" t="s">
        <v>7367</v>
      </c>
      <c r="CK210" t="s">
        <v>7367</v>
      </c>
      <c r="CL210" t="s">
        <v>7368</v>
      </c>
      <c r="CM210" t="s">
        <v>7368</v>
      </c>
      <c r="CS210" t="s">
        <v>7361</v>
      </c>
      <c r="CT210" t="s">
        <v>7362</v>
      </c>
      <c r="CU210" t="s">
        <v>7362</v>
      </c>
      <c r="CV210" t="s">
        <v>7362</v>
      </c>
      <c r="CW210" t="s">
        <v>7362</v>
      </c>
      <c r="CX210">
        <v>2532470</v>
      </c>
      <c r="DA210">
        <v>0</v>
      </c>
    </row>
    <row r="211" spans="1:105" x14ac:dyDescent="0.3">
      <c r="A211">
        <v>1357</v>
      </c>
      <c r="B211" t="s">
        <v>7405</v>
      </c>
      <c r="C211">
        <v>233</v>
      </c>
      <c r="D211" s="20">
        <v>44961</v>
      </c>
      <c r="E211" t="s">
        <v>7372</v>
      </c>
      <c r="F211" t="s">
        <v>5680</v>
      </c>
      <c r="G211" t="s">
        <v>7357</v>
      </c>
      <c r="H211">
        <v>1</v>
      </c>
      <c r="I211" t="s">
        <v>7358</v>
      </c>
      <c r="J211">
        <v>1</v>
      </c>
      <c r="K211" s="20">
        <v>44961</v>
      </c>
      <c r="L211" s="23">
        <v>10526326</v>
      </c>
      <c r="M211" t="s">
        <v>7359</v>
      </c>
      <c r="N211" t="s">
        <v>7360</v>
      </c>
      <c r="O211">
        <v>0</v>
      </c>
      <c r="P211">
        <v>12075</v>
      </c>
      <c r="Q211">
        <v>419022</v>
      </c>
      <c r="R211">
        <v>0</v>
      </c>
      <c r="S211">
        <v>20230204</v>
      </c>
      <c r="T211">
        <v>0</v>
      </c>
      <c r="U211" t="s">
        <v>7362</v>
      </c>
      <c r="V211" t="s">
        <v>7360</v>
      </c>
      <c r="W211" t="s">
        <v>7360</v>
      </c>
      <c r="X211" t="s">
        <v>7360</v>
      </c>
      <c r="Y211" t="s">
        <v>7360</v>
      </c>
      <c r="Z211" t="s">
        <v>7360</v>
      </c>
      <c r="AA211" t="s">
        <v>7362</v>
      </c>
      <c r="AB211" t="s">
        <v>7360</v>
      </c>
      <c r="AC211" t="s">
        <v>7360</v>
      </c>
      <c r="AD211" t="s">
        <v>7360</v>
      </c>
      <c r="AE211" t="s">
        <v>7360</v>
      </c>
      <c r="AF211" t="s">
        <v>1684</v>
      </c>
      <c r="AG211">
        <v>0</v>
      </c>
      <c r="AH211">
        <v>0</v>
      </c>
      <c r="AI211">
        <v>0</v>
      </c>
      <c r="AJ211">
        <v>0</v>
      </c>
      <c r="AK211">
        <v>0</v>
      </c>
      <c r="AL211" t="s">
        <v>7360</v>
      </c>
      <c r="AM211">
        <v>0</v>
      </c>
      <c r="AN211" s="20">
        <v>44961</v>
      </c>
      <c r="AO211" s="20">
        <v>44961</v>
      </c>
      <c r="AP211" s="20">
        <v>44961</v>
      </c>
      <c r="AQ211">
        <v>0</v>
      </c>
      <c r="AR211">
        <v>0</v>
      </c>
      <c r="AS211">
        <v>0</v>
      </c>
      <c r="AT211">
        <v>0</v>
      </c>
      <c r="AU211">
        <v>0</v>
      </c>
      <c r="AV211" t="s">
        <v>7360</v>
      </c>
      <c r="AW211">
        <v>0</v>
      </c>
      <c r="AX211" t="s">
        <v>7360</v>
      </c>
      <c r="AY211" t="s">
        <v>7362</v>
      </c>
      <c r="BA211">
        <v>0</v>
      </c>
      <c r="BB211" s="20">
        <v>44961</v>
      </c>
      <c r="BC211">
        <v>0</v>
      </c>
      <c r="BD211" t="s">
        <v>7360</v>
      </c>
      <c r="BF211" s="20">
        <v>44961</v>
      </c>
      <c r="BG211">
        <v>0</v>
      </c>
      <c r="BH211" t="s">
        <v>1684</v>
      </c>
      <c r="BJ211" t="s">
        <v>7362</v>
      </c>
      <c r="BK211">
        <v>0</v>
      </c>
      <c r="BL211">
        <v>0</v>
      </c>
      <c r="BM211">
        <v>0</v>
      </c>
      <c r="BN211">
        <v>0</v>
      </c>
      <c r="BO211">
        <v>169</v>
      </c>
      <c r="BP211">
        <v>11</v>
      </c>
      <c r="BQ211">
        <v>1</v>
      </c>
      <c r="BR211" t="s">
        <v>7364</v>
      </c>
      <c r="BS211" t="s">
        <v>7382</v>
      </c>
      <c r="BT211" t="s">
        <v>7360</v>
      </c>
      <c r="BU211" t="s">
        <v>7360</v>
      </c>
      <c r="BV211" t="s">
        <v>7360</v>
      </c>
      <c r="BX211">
        <v>0</v>
      </c>
      <c r="BY211">
        <v>0</v>
      </c>
      <c r="BZ211" t="s">
        <v>7360</v>
      </c>
      <c r="CA211" t="s">
        <v>7360</v>
      </c>
      <c r="CB211">
        <v>3380666</v>
      </c>
      <c r="CC211" s="21">
        <v>44961.761053240742</v>
      </c>
      <c r="CE211" t="s">
        <v>7366</v>
      </c>
      <c r="CF211">
        <v>0</v>
      </c>
      <c r="CG211">
        <v>702002</v>
      </c>
      <c r="CH211">
        <v>702002</v>
      </c>
      <c r="CI211" s="21">
        <v>44961.763472222221</v>
      </c>
      <c r="CJ211" t="s">
        <v>7367</v>
      </c>
      <c r="CK211" t="s">
        <v>7367</v>
      </c>
      <c r="CL211" t="s">
        <v>7368</v>
      </c>
      <c r="CM211" t="s">
        <v>7368</v>
      </c>
      <c r="CS211" t="s">
        <v>7361</v>
      </c>
      <c r="CT211" t="s">
        <v>7362</v>
      </c>
      <c r="CU211" t="s">
        <v>7362</v>
      </c>
      <c r="CV211" t="s">
        <v>7362</v>
      </c>
      <c r="CW211" t="s">
        <v>7362</v>
      </c>
      <c r="CX211">
        <v>10526326</v>
      </c>
      <c r="DA211">
        <v>0</v>
      </c>
    </row>
    <row r="212" spans="1:105" x14ac:dyDescent="0.3">
      <c r="A212">
        <v>1357</v>
      </c>
      <c r="B212" t="s">
        <v>7405</v>
      </c>
      <c r="C212">
        <v>234</v>
      </c>
      <c r="D212" s="20">
        <v>44961</v>
      </c>
      <c r="E212" t="s">
        <v>7372</v>
      </c>
      <c r="F212" t="s">
        <v>5686</v>
      </c>
      <c r="G212" t="s">
        <v>7357</v>
      </c>
      <c r="H212">
        <v>1</v>
      </c>
      <c r="I212" t="s">
        <v>7358</v>
      </c>
      <c r="J212">
        <v>1</v>
      </c>
      <c r="K212" s="20">
        <v>44961</v>
      </c>
      <c r="L212" s="23">
        <v>8234800</v>
      </c>
      <c r="M212" t="s">
        <v>7359</v>
      </c>
      <c r="N212" t="s">
        <v>7360</v>
      </c>
      <c r="O212">
        <v>0</v>
      </c>
      <c r="P212">
        <v>12076</v>
      </c>
      <c r="Q212">
        <v>419023</v>
      </c>
      <c r="R212">
        <v>0</v>
      </c>
      <c r="S212">
        <v>20230204</v>
      </c>
      <c r="T212">
        <v>0</v>
      </c>
      <c r="U212" t="s">
        <v>7362</v>
      </c>
      <c r="V212" t="s">
        <v>7360</v>
      </c>
      <c r="W212" t="s">
        <v>7360</v>
      </c>
      <c r="X212" t="s">
        <v>7360</v>
      </c>
      <c r="Y212" t="s">
        <v>7360</v>
      </c>
      <c r="Z212" t="s">
        <v>7360</v>
      </c>
      <c r="AA212" t="s">
        <v>7362</v>
      </c>
      <c r="AB212" t="s">
        <v>7360</v>
      </c>
      <c r="AC212" t="s">
        <v>7360</v>
      </c>
      <c r="AD212" t="s">
        <v>7360</v>
      </c>
      <c r="AE212" t="s">
        <v>7360</v>
      </c>
      <c r="AF212" t="s">
        <v>1684</v>
      </c>
      <c r="AG212">
        <v>0</v>
      </c>
      <c r="AH212">
        <v>0</v>
      </c>
      <c r="AI212">
        <v>0</v>
      </c>
      <c r="AJ212">
        <v>0</v>
      </c>
      <c r="AK212">
        <v>0</v>
      </c>
      <c r="AL212" t="s">
        <v>7360</v>
      </c>
      <c r="AM212">
        <v>0</v>
      </c>
      <c r="AN212" s="20">
        <v>44961</v>
      </c>
      <c r="AO212" s="20">
        <v>44961</v>
      </c>
      <c r="AP212" s="20">
        <v>44961</v>
      </c>
      <c r="AQ212">
        <v>0</v>
      </c>
      <c r="AR212">
        <v>0</v>
      </c>
      <c r="AS212">
        <v>0</v>
      </c>
      <c r="AT212">
        <v>0</v>
      </c>
      <c r="AU212">
        <v>0</v>
      </c>
      <c r="AV212" t="s">
        <v>7360</v>
      </c>
      <c r="AW212">
        <v>0</v>
      </c>
      <c r="AX212" t="s">
        <v>7360</v>
      </c>
      <c r="AY212" t="s">
        <v>7362</v>
      </c>
      <c r="BA212">
        <v>0</v>
      </c>
      <c r="BB212" s="20">
        <v>44961</v>
      </c>
      <c r="BC212">
        <v>0</v>
      </c>
      <c r="BD212" t="s">
        <v>7360</v>
      </c>
      <c r="BF212" s="20">
        <v>44961</v>
      </c>
      <c r="BG212">
        <v>0</v>
      </c>
      <c r="BH212" t="s">
        <v>1684</v>
      </c>
      <c r="BJ212" t="s">
        <v>7362</v>
      </c>
      <c r="BK212">
        <v>0</v>
      </c>
      <c r="BL212">
        <v>0</v>
      </c>
      <c r="BM212">
        <v>0</v>
      </c>
      <c r="BN212">
        <v>0</v>
      </c>
      <c r="BO212">
        <v>169</v>
      </c>
      <c r="BP212">
        <v>11</v>
      </c>
      <c r="BQ212">
        <v>1</v>
      </c>
      <c r="BR212" t="s">
        <v>7364</v>
      </c>
      <c r="BS212" t="s">
        <v>7382</v>
      </c>
      <c r="BT212" t="s">
        <v>7360</v>
      </c>
      <c r="BU212" t="s">
        <v>7360</v>
      </c>
      <c r="BV212" t="s">
        <v>7360</v>
      </c>
      <c r="BX212">
        <v>0</v>
      </c>
      <c r="BY212">
        <v>0</v>
      </c>
      <c r="BZ212" t="s">
        <v>7360</v>
      </c>
      <c r="CA212" t="s">
        <v>7360</v>
      </c>
      <c r="CB212">
        <v>3380666</v>
      </c>
      <c r="CC212" s="21">
        <v>44961.769571759258</v>
      </c>
      <c r="CE212" t="s">
        <v>7366</v>
      </c>
      <c r="CF212">
        <v>0</v>
      </c>
      <c r="CG212">
        <v>702002</v>
      </c>
      <c r="CH212">
        <v>702002</v>
      </c>
      <c r="CI212" s="21">
        <v>44961.771365740744</v>
      </c>
      <c r="CJ212" t="s">
        <v>7367</v>
      </c>
      <c r="CK212" t="s">
        <v>7367</v>
      </c>
      <c r="CL212" t="s">
        <v>7368</v>
      </c>
      <c r="CM212" t="s">
        <v>7368</v>
      </c>
      <c r="CS212" t="s">
        <v>7361</v>
      </c>
      <c r="CT212" t="s">
        <v>7362</v>
      </c>
      <c r="CU212" t="s">
        <v>7362</v>
      </c>
      <c r="CV212" t="s">
        <v>7362</v>
      </c>
      <c r="CW212" t="s">
        <v>7362</v>
      </c>
      <c r="CX212">
        <v>8234800</v>
      </c>
      <c r="DA212">
        <v>0</v>
      </c>
    </row>
    <row r="213" spans="1:105" x14ac:dyDescent="0.3">
      <c r="A213">
        <v>1357</v>
      </c>
      <c r="B213" t="s">
        <v>7405</v>
      </c>
      <c r="C213">
        <v>235</v>
      </c>
      <c r="D213" s="20">
        <v>44961</v>
      </c>
      <c r="E213" t="s">
        <v>7372</v>
      </c>
      <c r="F213" t="s">
        <v>5691</v>
      </c>
      <c r="G213" t="s">
        <v>7357</v>
      </c>
      <c r="H213">
        <v>1</v>
      </c>
      <c r="I213" t="s">
        <v>7358</v>
      </c>
      <c r="J213">
        <v>1</v>
      </c>
      <c r="K213" s="20">
        <v>44961</v>
      </c>
      <c r="L213" s="23">
        <v>555860</v>
      </c>
      <c r="M213" t="s">
        <v>7359</v>
      </c>
      <c r="N213" t="s">
        <v>7360</v>
      </c>
      <c r="O213">
        <v>0</v>
      </c>
      <c r="P213">
        <v>12079</v>
      </c>
      <c r="Q213">
        <v>419024</v>
      </c>
      <c r="R213">
        <v>0</v>
      </c>
      <c r="S213">
        <v>20230204</v>
      </c>
      <c r="T213">
        <v>0</v>
      </c>
      <c r="U213" t="s">
        <v>7362</v>
      </c>
      <c r="V213" t="s">
        <v>7360</v>
      </c>
      <c r="W213" t="s">
        <v>7360</v>
      </c>
      <c r="X213" t="s">
        <v>7360</v>
      </c>
      <c r="Y213" t="s">
        <v>7360</v>
      </c>
      <c r="Z213" t="s">
        <v>7360</v>
      </c>
      <c r="AA213" t="s">
        <v>7362</v>
      </c>
      <c r="AB213" t="s">
        <v>7360</v>
      </c>
      <c r="AC213" t="s">
        <v>7360</v>
      </c>
      <c r="AD213" t="s">
        <v>7360</v>
      </c>
      <c r="AE213" t="s">
        <v>7360</v>
      </c>
      <c r="AF213" t="s">
        <v>1684</v>
      </c>
      <c r="AG213">
        <v>0</v>
      </c>
      <c r="AH213">
        <v>0</v>
      </c>
      <c r="AI213">
        <v>0</v>
      </c>
      <c r="AJ213">
        <v>0</v>
      </c>
      <c r="AK213">
        <v>0</v>
      </c>
      <c r="AL213" t="s">
        <v>7360</v>
      </c>
      <c r="AM213">
        <v>0</v>
      </c>
      <c r="AN213" s="20">
        <v>44961</v>
      </c>
      <c r="AO213" s="20">
        <v>44961</v>
      </c>
      <c r="AP213" s="20">
        <v>44961</v>
      </c>
      <c r="AQ213">
        <v>0</v>
      </c>
      <c r="AR213">
        <v>0</v>
      </c>
      <c r="AS213">
        <v>0</v>
      </c>
      <c r="AT213">
        <v>0</v>
      </c>
      <c r="AU213">
        <v>0</v>
      </c>
      <c r="AV213" t="s">
        <v>7360</v>
      </c>
      <c r="AW213">
        <v>0</v>
      </c>
      <c r="AX213" t="s">
        <v>7360</v>
      </c>
      <c r="AY213" t="s">
        <v>7362</v>
      </c>
      <c r="BA213">
        <v>0</v>
      </c>
      <c r="BB213" s="20">
        <v>44961</v>
      </c>
      <c r="BC213">
        <v>0</v>
      </c>
      <c r="BD213" t="s">
        <v>7360</v>
      </c>
      <c r="BF213" s="20">
        <v>44961</v>
      </c>
      <c r="BG213">
        <v>0</v>
      </c>
      <c r="BH213" t="s">
        <v>1684</v>
      </c>
      <c r="BJ213" t="s">
        <v>7362</v>
      </c>
      <c r="BK213">
        <v>0</v>
      </c>
      <c r="BL213">
        <v>0</v>
      </c>
      <c r="BM213">
        <v>0</v>
      </c>
      <c r="BN213">
        <v>0</v>
      </c>
      <c r="BO213">
        <v>169</v>
      </c>
      <c r="BP213">
        <v>11</v>
      </c>
      <c r="BQ213">
        <v>1</v>
      </c>
      <c r="BR213" t="s">
        <v>7364</v>
      </c>
      <c r="BS213" t="s">
        <v>7382</v>
      </c>
      <c r="BT213" t="s">
        <v>7360</v>
      </c>
      <c r="BU213" t="s">
        <v>7360</v>
      </c>
      <c r="BV213" t="s">
        <v>7360</v>
      </c>
      <c r="BX213">
        <v>0</v>
      </c>
      <c r="BY213">
        <v>0</v>
      </c>
      <c r="BZ213" t="s">
        <v>7360</v>
      </c>
      <c r="CA213" t="s">
        <v>7360</v>
      </c>
      <c r="CB213">
        <v>3380666</v>
      </c>
      <c r="CC213" s="21">
        <v>44961.775914351849</v>
      </c>
      <c r="CE213" t="s">
        <v>7366</v>
      </c>
      <c r="CF213">
        <v>0</v>
      </c>
      <c r="CG213">
        <v>702002</v>
      </c>
      <c r="CH213">
        <v>702002</v>
      </c>
      <c r="CI213" s="21">
        <v>44961.780104166668</v>
      </c>
      <c r="CJ213" t="s">
        <v>7367</v>
      </c>
      <c r="CK213" t="s">
        <v>7367</v>
      </c>
      <c r="CL213" t="s">
        <v>7368</v>
      </c>
      <c r="CM213" t="s">
        <v>7368</v>
      </c>
      <c r="CS213" t="s">
        <v>7361</v>
      </c>
      <c r="CT213" t="s">
        <v>7362</v>
      </c>
      <c r="CU213" t="s">
        <v>7362</v>
      </c>
      <c r="CV213" t="s">
        <v>7362</v>
      </c>
      <c r="CW213" t="s">
        <v>7362</v>
      </c>
      <c r="CX213">
        <v>555860</v>
      </c>
      <c r="DA213">
        <v>0</v>
      </c>
    </row>
    <row r="214" spans="1:105" x14ac:dyDescent="0.3">
      <c r="A214">
        <v>1354</v>
      </c>
      <c r="B214" t="s">
        <v>7396</v>
      </c>
      <c r="C214">
        <v>236</v>
      </c>
      <c r="D214" s="20">
        <v>44961</v>
      </c>
      <c r="E214" t="s">
        <v>7372</v>
      </c>
      <c r="F214" t="s">
        <v>5696</v>
      </c>
      <c r="G214" t="s">
        <v>7370</v>
      </c>
      <c r="H214">
        <v>1</v>
      </c>
      <c r="I214" t="s">
        <v>7358</v>
      </c>
      <c r="J214">
        <v>1</v>
      </c>
      <c r="K214" s="20">
        <v>44961</v>
      </c>
      <c r="L214" s="23">
        <v>4068000</v>
      </c>
      <c r="M214" t="s">
        <v>7359</v>
      </c>
      <c r="N214" t="s">
        <v>7360</v>
      </c>
      <c r="O214">
        <v>0</v>
      </c>
      <c r="P214">
        <v>12037</v>
      </c>
      <c r="Q214">
        <v>418019</v>
      </c>
      <c r="R214">
        <v>0</v>
      </c>
      <c r="S214">
        <v>20230204</v>
      </c>
      <c r="T214">
        <v>0</v>
      </c>
      <c r="U214" t="s">
        <v>7362</v>
      </c>
      <c r="V214" t="s">
        <v>7360</v>
      </c>
      <c r="W214" t="s">
        <v>7360</v>
      </c>
      <c r="X214" t="s">
        <v>7360</v>
      </c>
      <c r="Y214" t="s">
        <v>7360</v>
      </c>
      <c r="Z214" t="s">
        <v>7360</v>
      </c>
      <c r="AA214" t="s">
        <v>7362</v>
      </c>
      <c r="AB214" t="s">
        <v>7360</v>
      </c>
      <c r="AC214" t="s">
        <v>7360</v>
      </c>
      <c r="AD214" t="s">
        <v>7360</v>
      </c>
      <c r="AE214" t="s">
        <v>7360</v>
      </c>
      <c r="AF214" t="s">
        <v>1684</v>
      </c>
      <c r="AG214">
        <v>0</v>
      </c>
      <c r="AH214">
        <v>0</v>
      </c>
      <c r="AI214">
        <v>0</v>
      </c>
      <c r="AJ214">
        <v>0</v>
      </c>
      <c r="AK214">
        <v>0</v>
      </c>
      <c r="AL214" t="s">
        <v>7360</v>
      </c>
      <c r="AM214">
        <v>0</v>
      </c>
      <c r="AN214" s="20">
        <v>44961</v>
      </c>
      <c r="AO214" s="20">
        <v>44961</v>
      </c>
      <c r="AP214" s="20">
        <v>44961</v>
      </c>
      <c r="AQ214">
        <v>0</v>
      </c>
      <c r="AR214">
        <v>0</v>
      </c>
      <c r="AS214">
        <v>0</v>
      </c>
      <c r="AT214">
        <v>0</v>
      </c>
      <c r="AU214">
        <v>0</v>
      </c>
      <c r="AV214" t="s">
        <v>7360</v>
      </c>
      <c r="AW214">
        <v>0</v>
      </c>
      <c r="AX214" t="s">
        <v>7360</v>
      </c>
      <c r="AY214" t="s">
        <v>7362</v>
      </c>
      <c r="BA214">
        <v>0</v>
      </c>
      <c r="BB214" s="20">
        <v>44961</v>
      </c>
      <c r="BC214">
        <v>0</v>
      </c>
      <c r="BD214" t="s">
        <v>7360</v>
      </c>
      <c r="BF214" s="20">
        <v>44961</v>
      </c>
      <c r="BG214">
        <v>0</v>
      </c>
      <c r="BH214" t="s">
        <v>7363</v>
      </c>
      <c r="BJ214" t="s">
        <v>7362</v>
      </c>
      <c r="BK214">
        <v>0</v>
      </c>
      <c r="BL214">
        <v>0</v>
      </c>
      <c r="BM214">
        <v>0</v>
      </c>
      <c r="BN214">
        <v>0</v>
      </c>
      <c r="BO214">
        <v>169</v>
      </c>
      <c r="BP214">
        <v>11</v>
      </c>
      <c r="BQ214">
        <v>1</v>
      </c>
      <c r="BR214" t="s">
        <v>7364</v>
      </c>
      <c r="BS214" t="s">
        <v>7365</v>
      </c>
      <c r="BT214" t="s">
        <v>7360</v>
      </c>
      <c r="BU214" t="s">
        <v>7360</v>
      </c>
      <c r="BV214" t="s">
        <v>7360</v>
      </c>
      <c r="BX214">
        <v>0</v>
      </c>
      <c r="BY214">
        <v>0</v>
      </c>
      <c r="BZ214" t="s">
        <v>7360</v>
      </c>
      <c r="CA214" t="s">
        <v>7360</v>
      </c>
      <c r="CB214">
        <v>3380666</v>
      </c>
      <c r="CC214" s="21">
        <v>44961.786793981482</v>
      </c>
      <c r="CE214" t="s">
        <v>7366</v>
      </c>
      <c r="CF214">
        <v>0</v>
      </c>
      <c r="CG214">
        <v>702002</v>
      </c>
      <c r="CH214">
        <v>702002</v>
      </c>
      <c r="CI214" s="21">
        <v>44961.788576388892</v>
      </c>
      <c r="CJ214" t="s">
        <v>7367</v>
      </c>
      <c r="CK214" t="s">
        <v>7367</v>
      </c>
      <c r="CL214" t="s">
        <v>7368</v>
      </c>
      <c r="CM214" t="s">
        <v>7368</v>
      </c>
      <c r="CS214" t="s">
        <v>7361</v>
      </c>
      <c r="CT214" t="s">
        <v>7362</v>
      </c>
      <c r="CU214" t="s">
        <v>7362</v>
      </c>
      <c r="CV214" t="s">
        <v>7362</v>
      </c>
      <c r="CW214" t="s">
        <v>7362</v>
      </c>
      <c r="CX214">
        <v>4068000</v>
      </c>
      <c r="DA214">
        <v>0</v>
      </c>
    </row>
    <row r="215" spans="1:105" x14ac:dyDescent="0.3">
      <c r="A215">
        <v>1357</v>
      </c>
      <c r="B215" t="s">
        <v>7405</v>
      </c>
      <c r="C215">
        <v>237</v>
      </c>
      <c r="D215" s="20">
        <v>44961</v>
      </c>
      <c r="E215" t="s">
        <v>7372</v>
      </c>
      <c r="F215" t="s">
        <v>5702</v>
      </c>
      <c r="G215" t="s">
        <v>7357</v>
      </c>
      <c r="H215">
        <v>1</v>
      </c>
      <c r="I215" t="s">
        <v>7358</v>
      </c>
      <c r="J215">
        <v>1</v>
      </c>
      <c r="K215" s="20">
        <v>44961</v>
      </c>
      <c r="L215" s="23">
        <v>6500970</v>
      </c>
      <c r="M215" t="s">
        <v>7359</v>
      </c>
      <c r="N215" t="s">
        <v>7360</v>
      </c>
      <c r="O215">
        <v>0</v>
      </c>
      <c r="P215">
        <v>11947</v>
      </c>
      <c r="Q215">
        <v>416086</v>
      </c>
      <c r="R215">
        <v>0</v>
      </c>
      <c r="S215">
        <v>20230204</v>
      </c>
      <c r="T215">
        <v>0</v>
      </c>
      <c r="U215" t="s">
        <v>7362</v>
      </c>
      <c r="V215" t="s">
        <v>7360</v>
      </c>
      <c r="W215" t="s">
        <v>7360</v>
      </c>
      <c r="X215" t="s">
        <v>7360</v>
      </c>
      <c r="Y215" t="s">
        <v>7360</v>
      </c>
      <c r="Z215" t="s">
        <v>7360</v>
      </c>
      <c r="AA215" t="s">
        <v>7362</v>
      </c>
      <c r="AB215" t="s">
        <v>7360</v>
      </c>
      <c r="AC215" t="s">
        <v>7360</v>
      </c>
      <c r="AD215" t="s">
        <v>7360</v>
      </c>
      <c r="AE215" t="s">
        <v>7360</v>
      </c>
      <c r="AF215" t="s">
        <v>1684</v>
      </c>
      <c r="AG215">
        <v>0</v>
      </c>
      <c r="AH215">
        <v>0</v>
      </c>
      <c r="AI215">
        <v>0</v>
      </c>
      <c r="AJ215">
        <v>0</v>
      </c>
      <c r="AK215">
        <v>0</v>
      </c>
      <c r="AL215" t="s">
        <v>7360</v>
      </c>
      <c r="AM215">
        <v>0</v>
      </c>
      <c r="AN215" s="20">
        <v>44961</v>
      </c>
      <c r="AO215" s="20">
        <v>44961</v>
      </c>
      <c r="AP215" s="20">
        <v>44961</v>
      </c>
      <c r="AQ215">
        <v>0</v>
      </c>
      <c r="AR215">
        <v>0</v>
      </c>
      <c r="AS215">
        <v>0</v>
      </c>
      <c r="AT215">
        <v>0</v>
      </c>
      <c r="AU215">
        <v>0</v>
      </c>
      <c r="AV215" t="s">
        <v>7360</v>
      </c>
      <c r="AW215">
        <v>0</v>
      </c>
      <c r="AX215" t="s">
        <v>7360</v>
      </c>
      <c r="AY215" t="s">
        <v>7373</v>
      </c>
      <c r="BA215">
        <v>0</v>
      </c>
      <c r="BB215" s="20">
        <v>44961</v>
      </c>
      <c r="BC215">
        <v>0</v>
      </c>
      <c r="BD215" t="s">
        <v>7360</v>
      </c>
      <c r="BF215" s="20">
        <v>44961</v>
      </c>
      <c r="BG215">
        <v>0</v>
      </c>
      <c r="BH215" t="s">
        <v>1684</v>
      </c>
      <c r="BJ215" t="s">
        <v>7362</v>
      </c>
      <c r="BK215">
        <v>0</v>
      </c>
      <c r="BL215">
        <v>0</v>
      </c>
      <c r="BM215">
        <v>0</v>
      </c>
      <c r="BN215">
        <v>0</v>
      </c>
      <c r="BO215">
        <v>169</v>
      </c>
      <c r="BP215">
        <v>11</v>
      </c>
      <c r="BQ215">
        <v>1</v>
      </c>
      <c r="BR215" t="s">
        <v>7364</v>
      </c>
      <c r="BS215" t="s">
        <v>7382</v>
      </c>
      <c r="BT215" t="s">
        <v>7360</v>
      </c>
      <c r="BU215" t="s">
        <v>7360</v>
      </c>
      <c r="BV215" t="s">
        <v>7360</v>
      </c>
      <c r="BX215">
        <v>0</v>
      </c>
      <c r="BY215">
        <v>0</v>
      </c>
      <c r="BZ215" t="s">
        <v>7360</v>
      </c>
      <c r="CA215" t="s">
        <v>7360</v>
      </c>
      <c r="CB215">
        <v>3380666</v>
      </c>
      <c r="CC215" s="21">
        <v>44961.795624999999</v>
      </c>
      <c r="CE215" t="s">
        <v>7366</v>
      </c>
      <c r="CF215">
        <v>0</v>
      </c>
      <c r="CG215">
        <v>702002</v>
      </c>
      <c r="CH215">
        <v>702002</v>
      </c>
      <c r="CI215" s="21">
        <v>44961.798611111109</v>
      </c>
      <c r="CJ215" t="s">
        <v>7367</v>
      </c>
      <c r="CK215" t="s">
        <v>7367</v>
      </c>
      <c r="CL215" t="s">
        <v>7368</v>
      </c>
      <c r="CM215" t="s">
        <v>7368</v>
      </c>
      <c r="CS215" t="s">
        <v>7361</v>
      </c>
      <c r="CT215" t="s">
        <v>7362</v>
      </c>
      <c r="CU215" t="s">
        <v>7362</v>
      </c>
      <c r="CV215" t="s">
        <v>7362</v>
      </c>
      <c r="CW215" t="s">
        <v>7362</v>
      </c>
      <c r="CX215">
        <v>6500970</v>
      </c>
      <c r="DA215">
        <v>0</v>
      </c>
    </row>
    <row r="216" spans="1:105" x14ac:dyDescent="0.3">
      <c r="A216">
        <v>1357</v>
      </c>
      <c r="B216" t="s">
        <v>7405</v>
      </c>
      <c r="C216">
        <v>238</v>
      </c>
      <c r="D216" s="20">
        <v>44961</v>
      </c>
      <c r="E216" t="s">
        <v>7356</v>
      </c>
      <c r="F216" t="s">
        <v>5707</v>
      </c>
      <c r="G216" t="s">
        <v>7357</v>
      </c>
      <c r="H216">
        <v>1</v>
      </c>
      <c r="I216" t="s">
        <v>7358</v>
      </c>
      <c r="J216">
        <v>1</v>
      </c>
      <c r="K216" s="20">
        <v>44961</v>
      </c>
      <c r="L216" s="23">
        <v>1200001</v>
      </c>
      <c r="M216" t="s">
        <v>7359</v>
      </c>
      <c r="N216" t="s">
        <v>7360</v>
      </c>
      <c r="O216">
        <v>0</v>
      </c>
      <c r="P216">
        <v>11954</v>
      </c>
      <c r="Q216">
        <v>416090</v>
      </c>
      <c r="R216">
        <v>0</v>
      </c>
      <c r="S216">
        <v>20230204</v>
      </c>
      <c r="T216">
        <v>0</v>
      </c>
      <c r="U216" t="s">
        <v>7361</v>
      </c>
      <c r="V216" t="s">
        <v>7360</v>
      </c>
      <c r="W216" t="s">
        <v>7360</v>
      </c>
      <c r="X216" t="s">
        <v>7360</v>
      </c>
      <c r="Y216" t="s">
        <v>7360</v>
      </c>
      <c r="Z216" t="s">
        <v>7360</v>
      </c>
      <c r="AA216" t="s">
        <v>7362</v>
      </c>
      <c r="AB216" t="s">
        <v>7360</v>
      </c>
      <c r="AC216" t="s">
        <v>7360</v>
      </c>
      <c r="AD216" t="s">
        <v>7360</v>
      </c>
      <c r="AE216" t="s">
        <v>7360</v>
      </c>
      <c r="AF216" t="s">
        <v>1684</v>
      </c>
      <c r="AG216">
        <v>0</v>
      </c>
      <c r="AH216">
        <v>0</v>
      </c>
      <c r="AI216">
        <v>0</v>
      </c>
      <c r="AJ216">
        <v>0</v>
      </c>
      <c r="AK216">
        <v>0</v>
      </c>
      <c r="AL216" t="s">
        <v>7360</v>
      </c>
      <c r="AM216">
        <v>0</v>
      </c>
      <c r="AN216" s="20">
        <v>44961</v>
      </c>
      <c r="AO216" s="20">
        <v>44961</v>
      </c>
      <c r="AP216" s="20">
        <v>44961</v>
      </c>
      <c r="AQ216">
        <v>0</v>
      </c>
      <c r="AR216">
        <v>0</v>
      </c>
      <c r="AS216">
        <v>0</v>
      </c>
      <c r="AT216">
        <v>0</v>
      </c>
      <c r="AU216">
        <v>0</v>
      </c>
      <c r="AV216" t="s">
        <v>7360</v>
      </c>
      <c r="AW216">
        <v>0</v>
      </c>
      <c r="AX216" t="s">
        <v>7360</v>
      </c>
      <c r="AY216" t="s">
        <v>7363</v>
      </c>
      <c r="BA216">
        <v>0</v>
      </c>
      <c r="BB216" s="20">
        <v>44961</v>
      </c>
      <c r="BC216">
        <v>0</v>
      </c>
      <c r="BD216" t="s">
        <v>7360</v>
      </c>
      <c r="BF216" s="20">
        <v>44961</v>
      </c>
      <c r="BG216">
        <v>0</v>
      </c>
      <c r="BH216" t="s">
        <v>1684</v>
      </c>
      <c r="BJ216" t="s">
        <v>7362</v>
      </c>
      <c r="BK216">
        <v>0</v>
      </c>
      <c r="BL216">
        <v>0</v>
      </c>
      <c r="BM216">
        <v>0</v>
      </c>
      <c r="BN216">
        <v>0</v>
      </c>
      <c r="BO216">
        <v>169</v>
      </c>
      <c r="BP216">
        <v>11</v>
      </c>
      <c r="BQ216">
        <v>1</v>
      </c>
      <c r="BR216" t="s">
        <v>7364</v>
      </c>
      <c r="BS216" t="s">
        <v>7382</v>
      </c>
      <c r="BT216" t="s">
        <v>7360</v>
      </c>
      <c r="BU216" t="s">
        <v>7360</v>
      </c>
      <c r="BV216" t="s">
        <v>7360</v>
      </c>
      <c r="BX216">
        <v>0</v>
      </c>
      <c r="BY216">
        <v>0</v>
      </c>
      <c r="BZ216" t="s">
        <v>7360</v>
      </c>
      <c r="CA216" t="s">
        <v>7360</v>
      </c>
      <c r="CB216">
        <v>3380666</v>
      </c>
      <c r="CC216" s="21">
        <v>44961.803472222222</v>
      </c>
      <c r="CE216" t="s">
        <v>7366</v>
      </c>
      <c r="CF216">
        <v>0</v>
      </c>
      <c r="CG216">
        <v>702002</v>
      </c>
      <c r="CH216">
        <v>702002</v>
      </c>
      <c r="CI216" s="21">
        <v>44961.805613425924</v>
      </c>
      <c r="CJ216" t="s">
        <v>7367</v>
      </c>
      <c r="CK216" t="s">
        <v>7367</v>
      </c>
      <c r="CL216" t="s">
        <v>7368</v>
      </c>
      <c r="CM216" t="s">
        <v>7368</v>
      </c>
      <c r="CS216" t="s">
        <v>7361</v>
      </c>
      <c r="CT216" t="s">
        <v>7362</v>
      </c>
      <c r="CU216" t="s">
        <v>7362</v>
      </c>
      <c r="CV216" t="s">
        <v>7362</v>
      </c>
      <c r="CW216" t="s">
        <v>7362</v>
      </c>
      <c r="CX216">
        <v>1200001</v>
      </c>
      <c r="DA216">
        <v>0</v>
      </c>
    </row>
    <row r="217" spans="1:105" x14ac:dyDescent="0.3">
      <c r="A217">
        <v>1372</v>
      </c>
      <c r="B217" t="s">
        <v>7369</v>
      </c>
      <c r="C217">
        <v>239</v>
      </c>
      <c r="D217" s="20">
        <v>44961</v>
      </c>
      <c r="E217" t="s">
        <v>7356</v>
      </c>
      <c r="F217" t="s">
        <v>5712</v>
      </c>
      <c r="G217" t="s">
        <v>7357</v>
      </c>
      <c r="H217">
        <v>1</v>
      </c>
      <c r="I217" t="s">
        <v>7358</v>
      </c>
      <c r="J217">
        <v>1</v>
      </c>
      <c r="K217" s="20">
        <v>44961</v>
      </c>
      <c r="L217" s="23">
        <v>1809432</v>
      </c>
      <c r="M217" t="s">
        <v>7359</v>
      </c>
      <c r="N217" t="s">
        <v>7360</v>
      </c>
      <c r="O217">
        <v>0</v>
      </c>
      <c r="P217">
        <v>12021</v>
      </c>
      <c r="Q217">
        <v>418004</v>
      </c>
      <c r="R217">
        <v>0</v>
      </c>
      <c r="S217">
        <v>20230204</v>
      </c>
      <c r="T217">
        <v>0</v>
      </c>
      <c r="U217" t="s">
        <v>7361</v>
      </c>
      <c r="V217" t="s">
        <v>7360</v>
      </c>
      <c r="W217" t="s">
        <v>7360</v>
      </c>
      <c r="X217" t="s">
        <v>7360</v>
      </c>
      <c r="Y217" t="s">
        <v>7360</v>
      </c>
      <c r="Z217" t="s">
        <v>7360</v>
      </c>
      <c r="AA217" t="s">
        <v>7362</v>
      </c>
      <c r="AB217" t="s">
        <v>7360</v>
      </c>
      <c r="AC217" t="s">
        <v>7360</v>
      </c>
      <c r="AD217" t="s">
        <v>7360</v>
      </c>
      <c r="AE217" t="s">
        <v>7360</v>
      </c>
      <c r="AF217" t="s">
        <v>1684</v>
      </c>
      <c r="AG217">
        <v>0</v>
      </c>
      <c r="AH217">
        <v>0</v>
      </c>
      <c r="AI217">
        <v>0</v>
      </c>
      <c r="AJ217">
        <v>0</v>
      </c>
      <c r="AK217">
        <v>0</v>
      </c>
      <c r="AL217" t="s">
        <v>7360</v>
      </c>
      <c r="AM217">
        <v>0</v>
      </c>
      <c r="AN217" s="20">
        <v>44961</v>
      </c>
      <c r="AO217" s="20">
        <v>44961</v>
      </c>
      <c r="AP217" s="20">
        <v>44961</v>
      </c>
      <c r="AQ217">
        <v>0</v>
      </c>
      <c r="AR217">
        <v>0</v>
      </c>
      <c r="AS217">
        <v>0</v>
      </c>
      <c r="AT217">
        <v>0</v>
      </c>
      <c r="AU217">
        <v>0</v>
      </c>
      <c r="AV217" t="s">
        <v>7360</v>
      </c>
      <c r="AW217">
        <v>0</v>
      </c>
      <c r="AX217" t="s">
        <v>7360</v>
      </c>
      <c r="AY217" t="s">
        <v>7363</v>
      </c>
      <c r="BA217">
        <v>0</v>
      </c>
      <c r="BB217" s="20">
        <v>44961</v>
      </c>
      <c r="BC217">
        <v>0</v>
      </c>
      <c r="BD217" t="s">
        <v>7360</v>
      </c>
      <c r="BF217" s="20">
        <v>44961</v>
      </c>
      <c r="BG217">
        <v>0</v>
      </c>
      <c r="BH217" t="s">
        <v>7363</v>
      </c>
      <c r="BJ217" t="s">
        <v>7362</v>
      </c>
      <c r="BK217">
        <v>0</v>
      </c>
      <c r="BL217">
        <v>0</v>
      </c>
      <c r="BM217">
        <v>0</v>
      </c>
      <c r="BN217">
        <v>0</v>
      </c>
      <c r="BO217">
        <v>169</v>
      </c>
      <c r="BP217">
        <v>11</v>
      </c>
      <c r="BQ217">
        <v>1</v>
      </c>
      <c r="BR217" t="s">
        <v>7364</v>
      </c>
      <c r="BS217" t="s">
        <v>7365</v>
      </c>
      <c r="BT217" t="s">
        <v>7360</v>
      </c>
      <c r="BU217" t="s">
        <v>7360</v>
      </c>
      <c r="BV217" t="s">
        <v>7360</v>
      </c>
      <c r="BX217">
        <v>0</v>
      </c>
      <c r="BY217">
        <v>0</v>
      </c>
      <c r="BZ217" t="s">
        <v>7360</v>
      </c>
      <c r="CA217" t="s">
        <v>7360</v>
      </c>
      <c r="CB217">
        <v>3380666</v>
      </c>
      <c r="CC217" s="21">
        <v>44961.811736111114</v>
      </c>
      <c r="CE217" t="s">
        <v>7366</v>
      </c>
      <c r="CF217">
        <v>0</v>
      </c>
      <c r="CG217">
        <v>702002</v>
      </c>
      <c r="CH217">
        <v>702002</v>
      </c>
      <c r="CI217" s="21">
        <v>44961.817986111113</v>
      </c>
      <c r="CJ217" t="s">
        <v>7367</v>
      </c>
      <c r="CK217" t="s">
        <v>7367</v>
      </c>
      <c r="CL217" t="s">
        <v>7368</v>
      </c>
      <c r="CM217" t="s">
        <v>7368</v>
      </c>
      <c r="CS217" t="s">
        <v>7361</v>
      </c>
      <c r="CT217" t="s">
        <v>7362</v>
      </c>
      <c r="CU217" t="s">
        <v>7362</v>
      </c>
      <c r="CV217" t="s">
        <v>7362</v>
      </c>
      <c r="CW217" t="s">
        <v>7362</v>
      </c>
      <c r="CX217">
        <v>1809432</v>
      </c>
      <c r="DA217">
        <v>0</v>
      </c>
    </row>
    <row r="218" spans="1:105" x14ac:dyDescent="0.3">
      <c r="A218">
        <v>1354</v>
      </c>
      <c r="B218" t="s">
        <v>7396</v>
      </c>
      <c r="C218">
        <v>240</v>
      </c>
      <c r="D218" s="20">
        <v>44961</v>
      </c>
      <c r="E218" t="s">
        <v>7372</v>
      </c>
      <c r="F218" t="s">
        <v>5718</v>
      </c>
      <c r="G218" t="s">
        <v>7370</v>
      </c>
      <c r="H218">
        <v>1</v>
      </c>
      <c r="I218" t="s">
        <v>7358</v>
      </c>
      <c r="J218">
        <v>1</v>
      </c>
      <c r="K218" s="20">
        <v>44961</v>
      </c>
      <c r="L218" s="23">
        <v>4068000</v>
      </c>
      <c r="M218" t="s">
        <v>7359</v>
      </c>
      <c r="N218" t="s">
        <v>7360</v>
      </c>
      <c r="O218">
        <v>0</v>
      </c>
      <c r="P218">
        <v>12040</v>
      </c>
      <c r="Q218">
        <v>418020</v>
      </c>
      <c r="R218">
        <v>0</v>
      </c>
      <c r="S218">
        <v>20230204</v>
      </c>
      <c r="T218">
        <v>0</v>
      </c>
      <c r="U218" t="s">
        <v>7362</v>
      </c>
      <c r="V218" t="s">
        <v>7360</v>
      </c>
      <c r="W218" t="s">
        <v>7360</v>
      </c>
      <c r="X218" t="s">
        <v>7360</v>
      </c>
      <c r="Y218" t="s">
        <v>7360</v>
      </c>
      <c r="Z218" t="s">
        <v>7360</v>
      </c>
      <c r="AA218" t="s">
        <v>7362</v>
      </c>
      <c r="AB218" t="s">
        <v>7360</v>
      </c>
      <c r="AC218" t="s">
        <v>7360</v>
      </c>
      <c r="AD218" t="s">
        <v>7360</v>
      </c>
      <c r="AE218" t="s">
        <v>7360</v>
      </c>
      <c r="AF218" t="s">
        <v>1684</v>
      </c>
      <c r="AG218">
        <v>0</v>
      </c>
      <c r="AH218">
        <v>0</v>
      </c>
      <c r="AI218">
        <v>0</v>
      </c>
      <c r="AJ218">
        <v>0</v>
      </c>
      <c r="AK218">
        <v>0</v>
      </c>
      <c r="AL218" t="s">
        <v>7360</v>
      </c>
      <c r="AM218">
        <v>0</v>
      </c>
      <c r="AN218" s="20">
        <v>44961</v>
      </c>
      <c r="AO218" s="20">
        <v>44961</v>
      </c>
      <c r="AP218" s="20">
        <v>44961</v>
      </c>
      <c r="AQ218">
        <v>0</v>
      </c>
      <c r="AR218">
        <v>0</v>
      </c>
      <c r="AS218">
        <v>0</v>
      </c>
      <c r="AT218">
        <v>0</v>
      </c>
      <c r="AU218">
        <v>0</v>
      </c>
      <c r="AV218" t="s">
        <v>7360</v>
      </c>
      <c r="AW218">
        <v>0</v>
      </c>
      <c r="AX218" t="s">
        <v>7360</v>
      </c>
      <c r="AY218" t="s">
        <v>7362</v>
      </c>
      <c r="BA218">
        <v>0</v>
      </c>
      <c r="BB218" s="20">
        <v>44961</v>
      </c>
      <c r="BC218">
        <v>0</v>
      </c>
      <c r="BD218" t="s">
        <v>7360</v>
      </c>
      <c r="BF218" s="20">
        <v>44961</v>
      </c>
      <c r="BG218">
        <v>0</v>
      </c>
      <c r="BH218" t="s">
        <v>7363</v>
      </c>
      <c r="BJ218" t="s">
        <v>7362</v>
      </c>
      <c r="BK218">
        <v>0</v>
      </c>
      <c r="BL218">
        <v>0</v>
      </c>
      <c r="BM218">
        <v>0</v>
      </c>
      <c r="BN218">
        <v>0</v>
      </c>
      <c r="BO218">
        <v>169</v>
      </c>
      <c r="BP218">
        <v>11</v>
      </c>
      <c r="BQ218">
        <v>1</v>
      </c>
      <c r="BR218" t="s">
        <v>7364</v>
      </c>
      <c r="BS218" t="s">
        <v>7365</v>
      </c>
      <c r="BT218" t="s">
        <v>7360</v>
      </c>
      <c r="BU218" t="s">
        <v>7360</v>
      </c>
      <c r="BV218" t="s">
        <v>7360</v>
      </c>
      <c r="BX218">
        <v>0</v>
      </c>
      <c r="BY218">
        <v>0</v>
      </c>
      <c r="BZ218" t="s">
        <v>7360</v>
      </c>
      <c r="CA218" t="s">
        <v>7360</v>
      </c>
      <c r="CB218">
        <v>3380666</v>
      </c>
      <c r="CC218" s="21">
        <v>44961.831388888888</v>
      </c>
      <c r="CE218" t="s">
        <v>7366</v>
      </c>
      <c r="CF218">
        <v>0</v>
      </c>
      <c r="CG218">
        <v>702002</v>
      </c>
      <c r="CH218">
        <v>702002</v>
      </c>
      <c r="CI218" s="21">
        <v>44961.83326388889</v>
      </c>
      <c r="CJ218" t="s">
        <v>7367</v>
      </c>
      <c r="CK218" t="s">
        <v>7367</v>
      </c>
      <c r="CL218" t="s">
        <v>7368</v>
      </c>
      <c r="CM218" t="s">
        <v>7368</v>
      </c>
      <c r="CS218" t="s">
        <v>7361</v>
      </c>
      <c r="CT218" t="s">
        <v>7362</v>
      </c>
      <c r="CU218" t="s">
        <v>7362</v>
      </c>
      <c r="CV218" t="s">
        <v>7362</v>
      </c>
      <c r="CW218" t="s">
        <v>7362</v>
      </c>
      <c r="CX218">
        <v>4068000</v>
      </c>
      <c r="DA218">
        <v>0</v>
      </c>
    </row>
    <row r="219" spans="1:105" x14ac:dyDescent="0.3">
      <c r="A219">
        <v>1354</v>
      </c>
      <c r="B219" t="s">
        <v>7396</v>
      </c>
      <c r="C219">
        <v>241</v>
      </c>
      <c r="D219" s="20">
        <v>44961</v>
      </c>
      <c r="E219" t="s">
        <v>7372</v>
      </c>
      <c r="F219" t="s">
        <v>5723</v>
      </c>
      <c r="G219" t="s">
        <v>7370</v>
      </c>
      <c r="H219">
        <v>1</v>
      </c>
      <c r="I219" t="s">
        <v>7358</v>
      </c>
      <c r="J219">
        <v>1</v>
      </c>
      <c r="K219" s="20">
        <v>44961</v>
      </c>
      <c r="L219" s="23">
        <v>4068000</v>
      </c>
      <c r="M219" t="s">
        <v>7359</v>
      </c>
      <c r="N219" t="s">
        <v>7360</v>
      </c>
      <c r="O219">
        <v>0</v>
      </c>
      <c r="P219">
        <v>12041</v>
      </c>
      <c r="Q219">
        <v>418021</v>
      </c>
      <c r="R219">
        <v>0</v>
      </c>
      <c r="S219">
        <v>20230204</v>
      </c>
      <c r="T219">
        <v>0</v>
      </c>
      <c r="U219" t="s">
        <v>7362</v>
      </c>
      <c r="V219" t="s">
        <v>7360</v>
      </c>
      <c r="W219" t="s">
        <v>7360</v>
      </c>
      <c r="X219" t="s">
        <v>7360</v>
      </c>
      <c r="Y219" t="s">
        <v>7360</v>
      </c>
      <c r="Z219" t="s">
        <v>7360</v>
      </c>
      <c r="AA219" t="s">
        <v>7362</v>
      </c>
      <c r="AB219" t="s">
        <v>7360</v>
      </c>
      <c r="AC219" t="s">
        <v>7360</v>
      </c>
      <c r="AD219" t="s">
        <v>7360</v>
      </c>
      <c r="AE219" t="s">
        <v>7360</v>
      </c>
      <c r="AF219" t="s">
        <v>1684</v>
      </c>
      <c r="AG219">
        <v>0</v>
      </c>
      <c r="AH219">
        <v>0</v>
      </c>
      <c r="AI219">
        <v>0</v>
      </c>
      <c r="AJ219">
        <v>0</v>
      </c>
      <c r="AK219">
        <v>0</v>
      </c>
      <c r="AL219" t="s">
        <v>7360</v>
      </c>
      <c r="AM219">
        <v>0</v>
      </c>
      <c r="AN219" s="20">
        <v>44961</v>
      </c>
      <c r="AO219" s="20">
        <v>44961</v>
      </c>
      <c r="AP219" s="20">
        <v>44961</v>
      </c>
      <c r="AQ219">
        <v>0</v>
      </c>
      <c r="AR219">
        <v>0</v>
      </c>
      <c r="AS219">
        <v>0</v>
      </c>
      <c r="AT219">
        <v>0</v>
      </c>
      <c r="AU219">
        <v>0</v>
      </c>
      <c r="AV219" t="s">
        <v>7360</v>
      </c>
      <c r="AW219">
        <v>0</v>
      </c>
      <c r="AX219" t="s">
        <v>7360</v>
      </c>
      <c r="AY219" t="s">
        <v>7362</v>
      </c>
      <c r="BA219">
        <v>0</v>
      </c>
      <c r="BB219" s="20">
        <v>44961</v>
      </c>
      <c r="BC219">
        <v>0</v>
      </c>
      <c r="BD219" t="s">
        <v>7360</v>
      </c>
      <c r="BF219" s="20">
        <v>44961</v>
      </c>
      <c r="BG219">
        <v>0</v>
      </c>
      <c r="BH219" t="s">
        <v>7363</v>
      </c>
      <c r="BJ219" t="s">
        <v>7362</v>
      </c>
      <c r="BK219">
        <v>0</v>
      </c>
      <c r="BL219">
        <v>0</v>
      </c>
      <c r="BM219">
        <v>0</v>
      </c>
      <c r="BN219">
        <v>0</v>
      </c>
      <c r="BO219">
        <v>169</v>
      </c>
      <c r="BP219">
        <v>11</v>
      </c>
      <c r="BQ219">
        <v>1</v>
      </c>
      <c r="BR219" t="s">
        <v>7364</v>
      </c>
      <c r="BS219" t="s">
        <v>7365</v>
      </c>
      <c r="BT219" t="s">
        <v>7360</v>
      </c>
      <c r="BU219" t="s">
        <v>7360</v>
      </c>
      <c r="BV219" t="s">
        <v>7360</v>
      </c>
      <c r="BX219">
        <v>0</v>
      </c>
      <c r="BY219">
        <v>0</v>
      </c>
      <c r="BZ219" t="s">
        <v>7360</v>
      </c>
      <c r="CA219" t="s">
        <v>7360</v>
      </c>
      <c r="CB219">
        <v>3380999</v>
      </c>
      <c r="CC219" s="21">
        <v>44961.839525462965</v>
      </c>
      <c r="CE219" t="s">
        <v>7366</v>
      </c>
      <c r="CF219">
        <v>0</v>
      </c>
      <c r="CG219">
        <v>702002</v>
      </c>
      <c r="CH219">
        <v>702002</v>
      </c>
      <c r="CI219" s="21">
        <v>44966.482870370368</v>
      </c>
      <c r="CJ219" t="s">
        <v>7367</v>
      </c>
      <c r="CK219" t="s">
        <v>7367</v>
      </c>
      <c r="CL219" t="s">
        <v>7368</v>
      </c>
      <c r="CM219" t="s">
        <v>7368</v>
      </c>
      <c r="CS219" t="s">
        <v>7361</v>
      </c>
      <c r="CT219" t="s">
        <v>7362</v>
      </c>
      <c r="CU219" t="s">
        <v>7362</v>
      </c>
      <c r="CV219" t="s">
        <v>7362</v>
      </c>
      <c r="CW219" t="s">
        <v>7362</v>
      </c>
      <c r="CX219">
        <v>4068000</v>
      </c>
      <c r="DA219">
        <v>0</v>
      </c>
    </row>
    <row r="220" spans="1:105" x14ac:dyDescent="0.3">
      <c r="A220">
        <v>1354</v>
      </c>
      <c r="B220" t="s">
        <v>7396</v>
      </c>
      <c r="C220">
        <v>242</v>
      </c>
      <c r="D220" s="20">
        <v>44961</v>
      </c>
      <c r="E220" t="s">
        <v>7372</v>
      </c>
      <c r="F220" t="s">
        <v>5728</v>
      </c>
      <c r="G220" t="s">
        <v>7370</v>
      </c>
      <c r="H220">
        <v>1</v>
      </c>
      <c r="I220" t="s">
        <v>7358</v>
      </c>
      <c r="J220">
        <v>1</v>
      </c>
      <c r="K220" s="20">
        <v>44961</v>
      </c>
      <c r="L220" s="23">
        <v>4068000</v>
      </c>
      <c r="M220" t="s">
        <v>7359</v>
      </c>
      <c r="N220" t="s">
        <v>7360</v>
      </c>
      <c r="O220">
        <v>0</v>
      </c>
      <c r="P220">
        <v>12043</v>
      </c>
      <c r="Q220">
        <v>418024</v>
      </c>
      <c r="R220">
        <v>0</v>
      </c>
      <c r="S220">
        <v>20230204</v>
      </c>
      <c r="T220">
        <v>0</v>
      </c>
      <c r="U220" t="s">
        <v>7362</v>
      </c>
      <c r="V220" t="s">
        <v>7360</v>
      </c>
      <c r="W220" t="s">
        <v>7360</v>
      </c>
      <c r="X220" t="s">
        <v>7360</v>
      </c>
      <c r="Y220" t="s">
        <v>7360</v>
      </c>
      <c r="Z220" t="s">
        <v>7360</v>
      </c>
      <c r="AA220" t="s">
        <v>7362</v>
      </c>
      <c r="AB220" t="s">
        <v>7360</v>
      </c>
      <c r="AC220" t="s">
        <v>7360</v>
      </c>
      <c r="AD220" t="s">
        <v>7360</v>
      </c>
      <c r="AE220" t="s">
        <v>7360</v>
      </c>
      <c r="AF220" t="s">
        <v>1684</v>
      </c>
      <c r="AG220">
        <v>0</v>
      </c>
      <c r="AH220">
        <v>0</v>
      </c>
      <c r="AI220">
        <v>0</v>
      </c>
      <c r="AJ220">
        <v>0</v>
      </c>
      <c r="AK220">
        <v>0</v>
      </c>
      <c r="AL220" t="s">
        <v>7360</v>
      </c>
      <c r="AM220">
        <v>0</v>
      </c>
      <c r="AN220" s="20">
        <v>44961</v>
      </c>
      <c r="AO220" s="20">
        <v>44961</v>
      </c>
      <c r="AP220" s="20">
        <v>44961</v>
      </c>
      <c r="AQ220">
        <v>0</v>
      </c>
      <c r="AR220">
        <v>0</v>
      </c>
      <c r="AS220">
        <v>0</v>
      </c>
      <c r="AT220">
        <v>0</v>
      </c>
      <c r="AU220">
        <v>0</v>
      </c>
      <c r="AV220" t="s">
        <v>7360</v>
      </c>
      <c r="AW220">
        <v>0</v>
      </c>
      <c r="AX220" t="s">
        <v>7360</v>
      </c>
      <c r="AY220" t="s">
        <v>7362</v>
      </c>
      <c r="BA220">
        <v>0</v>
      </c>
      <c r="BB220" s="20">
        <v>44961</v>
      </c>
      <c r="BC220">
        <v>0</v>
      </c>
      <c r="BD220" t="s">
        <v>7360</v>
      </c>
      <c r="BF220" s="20">
        <v>44961</v>
      </c>
      <c r="BG220">
        <v>0</v>
      </c>
      <c r="BH220" t="s">
        <v>7363</v>
      </c>
      <c r="BJ220" t="s">
        <v>7362</v>
      </c>
      <c r="BK220">
        <v>0</v>
      </c>
      <c r="BL220">
        <v>0</v>
      </c>
      <c r="BM220">
        <v>0</v>
      </c>
      <c r="BN220">
        <v>0</v>
      </c>
      <c r="BO220">
        <v>169</v>
      </c>
      <c r="BP220">
        <v>11</v>
      </c>
      <c r="BQ220">
        <v>1</v>
      </c>
      <c r="BR220" t="s">
        <v>7364</v>
      </c>
      <c r="BS220" t="s">
        <v>7365</v>
      </c>
      <c r="BT220" t="s">
        <v>7360</v>
      </c>
      <c r="BU220" t="s">
        <v>7360</v>
      </c>
      <c r="BV220" t="s">
        <v>7360</v>
      </c>
      <c r="BX220">
        <v>0</v>
      </c>
      <c r="BY220">
        <v>0</v>
      </c>
      <c r="BZ220" t="s">
        <v>7360</v>
      </c>
      <c r="CA220" t="s">
        <v>7360</v>
      </c>
      <c r="CB220">
        <v>3380666</v>
      </c>
      <c r="CC220" s="21">
        <v>44961.852534722224</v>
      </c>
      <c r="CE220" t="s">
        <v>7366</v>
      </c>
      <c r="CF220">
        <v>0</v>
      </c>
      <c r="CG220">
        <v>702002</v>
      </c>
      <c r="CH220">
        <v>702002</v>
      </c>
      <c r="CI220" s="21">
        <v>44961.855370370373</v>
      </c>
      <c r="CJ220" t="s">
        <v>7367</v>
      </c>
      <c r="CK220" t="s">
        <v>7367</v>
      </c>
      <c r="CL220" t="s">
        <v>7368</v>
      </c>
      <c r="CM220" t="s">
        <v>7368</v>
      </c>
      <c r="CS220" t="s">
        <v>7361</v>
      </c>
      <c r="CT220" t="s">
        <v>7362</v>
      </c>
      <c r="CU220" t="s">
        <v>7362</v>
      </c>
      <c r="CV220" t="s">
        <v>7362</v>
      </c>
      <c r="CW220" t="s">
        <v>7362</v>
      </c>
      <c r="CX220">
        <v>4068000</v>
      </c>
      <c r="DA220">
        <v>0</v>
      </c>
    </row>
    <row r="221" spans="1:105" x14ac:dyDescent="0.3">
      <c r="A221">
        <v>1354</v>
      </c>
      <c r="B221" t="s">
        <v>7396</v>
      </c>
      <c r="C221">
        <v>243</v>
      </c>
      <c r="D221" s="20">
        <v>44961</v>
      </c>
      <c r="E221" t="s">
        <v>7356</v>
      </c>
      <c r="F221" t="s">
        <v>5733</v>
      </c>
      <c r="G221" t="s">
        <v>7370</v>
      </c>
      <c r="H221">
        <v>1</v>
      </c>
      <c r="I221" t="s">
        <v>7358</v>
      </c>
      <c r="J221">
        <v>1</v>
      </c>
      <c r="K221" s="20">
        <v>44961</v>
      </c>
      <c r="L221" s="23">
        <v>4068000</v>
      </c>
      <c r="M221" t="s">
        <v>7359</v>
      </c>
      <c r="N221" t="s">
        <v>7360</v>
      </c>
      <c r="O221">
        <v>0</v>
      </c>
      <c r="P221">
        <v>12044</v>
      </c>
      <c r="Q221">
        <v>418025</v>
      </c>
      <c r="R221">
        <v>0</v>
      </c>
      <c r="S221">
        <v>20230204</v>
      </c>
      <c r="T221">
        <v>0</v>
      </c>
      <c r="U221" t="s">
        <v>7361</v>
      </c>
      <c r="V221" t="s">
        <v>7360</v>
      </c>
      <c r="W221" t="s">
        <v>7360</v>
      </c>
      <c r="X221" t="s">
        <v>7360</v>
      </c>
      <c r="Y221" t="s">
        <v>7360</v>
      </c>
      <c r="Z221" t="s">
        <v>7360</v>
      </c>
      <c r="AA221" t="s">
        <v>7362</v>
      </c>
      <c r="AB221" t="s">
        <v>7360</v>
      </c>
      <c r="AC221" t="s">
        <v>7360</v>
      </c>
      <c r="AD221" t="s">
        <v>7360</v>
      </c>
      <c r="AE221" t="s">
        <v>7360</v>
      </c>
      <c r="AF221" t="s">
        <v>1684</v>
      </c>
      <c r="AG221">
        <v>0</v>
      </c>
      <c r="AH221">
        <v>0</v>
      </c>
      <c r="AI221">
        <v>0</v>
      </c>
      <c r="AJ221">
        <v>0</v>
      </c>
      <c r="AK221">
        <v>0</v>
      </c>
      <c r="AL221" t="s">
        <v>7360</v>
      </c>
      <c r="AM221">
        <v>0</v>
      </c>
      <c r="AN221" s="20">
        <v>44961</v>
      </c>
      <c r="AO221" s="20">
        <v>44961</v>
      </c>
      <c r="AP221" s="20">
        <v>44961</v>
      </c>
      <c r="AQ221">
        <v>0</v>
      </c>
      <c r="AR221">
        <v>0</v>
      </c>
      <c r="AS221">
        <v>0</v>
      </c>
      <c r="AT221">
        <v>0</v>
      </c>
      <c r="AU221">
        <v>0</v>
      </c>
      <c r="AV221" t="s">
        <v>7360</v>
      </c>
      <c r="AW221">
        <v>0</v>
      </c>
      <c r="AX221" t="s">
        <v>7360</v>
      </c>
      <c r="AY221" t="s">
        <v>7363</v>
      </c>
      <c r="BA221">
        <v>0</v>
      </c>
      <c r="BB221" s="20">
        <v>44961</v>
      </c>
      <c r="BC221">
        <v>0</v>
      </c>
      <c r="BD221" t="s">
        <v>7360</v>
      </c>
      <c r="BF221" s="20">
        <v>44961</v>
      </c>
      <c r="BG221">
        <v>0</v>
      </c>
      <c r="BH221" t="s">
        <v>7363</v>
      </c>
      <c r="BJ221" t="s">
        <v>7362</v>
      </c>
      <c r="BK221">
        <v>0</v>
      </c>
      <c r="BL221">
        <v>0</v>
      </c>
      <c r="BM221">
        <v>0</v>
      </c>
      <c r="BN221">
        <v>0</v>
      </c>
      <c r="BO221">
        <v>169</v>
      </c>
      <c r="BP221">
        <v>11</v>
      </c>
      <c r="BQ221">
        <v>1</v>
      </c>
      <c r="BR221" t="s">
        <v>7364</v>
      </c>
      <c r="BS221" t="s">
        <v>7365</v>
      </c>
      <c r="BT221" t="s">
        <v>7360</v>
      </c>
      <c r="BU221" t="s">
        <v>7360</v>
      </c>
      <c r="BV221" t="s">
        <v>7360</v>
      </c>
      <c r="BX221">
        <v>0</v>
      </c>
      <c r="BY221">
        <v>0</v>
      </c>
      <c r="BZ221" t="s">
        <v>7360</v>
      </c>
      <c r="CA221" t="s">
        <v>7360</v>
      </c>
      <c r="CB221">
        <v>3380666</v>
      </c>
      <c r="CC221" s="21">
        <v>44961.861261574071</v>
      </c>
      <c r="CE221" t="s">
        <v>7366</v>
      </c>
      <c r="CF221">
        <v>0</v>
      </c>
      <c r="CG221">
        <v>702002</v>
      </c>
      <c r="CH221">
        <v>702002</v>
      </c>
      <c r="CI221" s="21">
        <v>44961.867789351854</v>
      </c>
      <c r="CJ221" t="s">
        <v>7367</v>
      </c>
      <c r="CK221" t="s">
        <v>7367</v>
      </c>
      <c r="CL221" t="s">
        <v>7368</v>
      </c>
      <c r="CM221" t="s">
        <v>7368</v>
      </c>
      <c r="CS221" t="s">
        <v>7361</v>
      </c>
      <c r="CT221" t="s">
        <v>7362</v>
      </c>
      <c r="CU221" t="s">
        <v>7362</v>
      </c>
      <c r="CV221" t="s">
        <v>7362</v>
      </c>
      <c r="CW221" t="s">
        <v>7362</v>
      </c>
      <c r="CX221">
        <v>4068000</v>
      </c>
      <c r="DA221">
        <v>0</v>
      </c>
    </row>
    <row r="222" spans="1:105" x14ac:dyDescent="0.3">
      <c r="A222">
        <v>1354</v>
      </c>
      <c r="B222" t="s">
        <v>7396</v>
      </c>
      <c r="C222">
        <v>244</v>
      </c>
      <c r="D222" s="20">
        <v>44961</v>
      </c>
      <c r="E222" t="s">
        <v>7372</v>
      </c>
      <c r="F222" t="s">
        <v>5738</v>
      </c>
      <c r="G222" t="s">
        <v>7370</v>
      </c>
      <c r="H222">
        <v>1</v>
      </c>
      <c r="I222" t="s">
        <v>7358</v>
      </c>
      <c r="J222">
        <v>1</v>
      </c>
      <c r="K222" s="20">
        <v>44961</v>
      </c>
      <c r="L222" s="23">
        <v>4068000</v>
      </c>
      <c r="M222" t="s">
        <v>7359</v>
      </c>
      <c r="N222" t="s">
        <v>7360</v>
      </c>
      <c r="O222">
        <v>0</v>
      </c>
      <c r="P222">
        <v>12026</v>
      </c>
      <c r="Q222">
        <v>418008</v>
      </c>
      <c r="R222">
        <v>0</v>
      </c>
      <c r="S222">
        <v>20230204</v>
      </c>
      <c r="T222">
        <v>0</v>
      </c>
      <c r="U222" t="s">
        <v>7362</v>
      </c>
      <c r="V222" t="s">
        <v>7360</v>
      </c>
      <c r="W222" t="s">
        <v>7360</v>
      </c>
      <c r="X222" t="s">
        <v>7360</v>
      </c>
      <c r="Y222" t="s">
        <v>7360</v>
      </c>
      <c r="Z222" t="s">
        <v>7360</v>
      </c>
      <c r="AA222" t="s">
        <v>7362</v>
      </c>
      <c r="AB222" t="s">
        <v>7360</v>
      </c>
      <c r="AC222" t="s">
        <v>7360</v>
      </c>
      <c r="AD222" t="s">
        <v>7360</v>
      </c>
      <c r="AE222" t="s">
        <v>7360</v>
      </c>
      <c r="AF222" t="s">
        <v>1684</v>
      </c>
      <c r="AG222">
        <v>0</v>
      </c>
      <c r="AH222">
        <v>0</v>
      </c>
      <c r="AI222">
        <v>0</v>
      </c>
      <c r="AJ222">
        <v>0</v>
      </c>
      <c r="AK222">
        <v>0</v>
      </c>
      <c r="AL222" t="s">
        <v>7360</v>
      </c>
      <c r="AM222">
        <v>0</v>
      </c>
      <c r="AN222" s="20">
        <v>44961</v>
      </c>
      <c r="AO222" s="20">
        <v>44961</v>
      </c>
      <c r="AP222" s="20">
        <v>44961</v>
      </c>
      <c r="AQ222">
        <v>0</v>
      </c>
      <c r="AR222">
        <v>0</v>
      </c>
      <c r="AS222">
        <v>0</v>
      </c>
      <c r="AT222">
        <v>0</v>
      </c>
      <c r="AU222">
        <v>0</v>
      </c>
      <c r="AV222" t="s">
        <v>7360</v>
      </c>
      <c r="AW222">
        <v>0</v>
      </c>
      <c r="AX222" t="s">
        <v>7360</v>
      </c>
      <c r="AY222" t="s">
        <v>7362</v>
      </c>
      <c r="BA222">
        <v>0</v>
      </c>
      <c r="BB222" s="20">
        <v>44961</v>
      </c>
      <c r="BC222">
        <v>0</v>
      </c>
      <c r="BD222" t="s">
        <v>7360</v>
      </c>
      <c r="BF222" s="20">
        <v>44961</v>
      </c>
      <c r="BG222">
        <v>0</v>
      </c>
      <c r="BH222" t="s">
        <v>7363</v>
      </c>
      <c r="BJ222" t="s">
        <v>7362</v>
      </c>
      <c r="BK222">
        <v>0</v>
      </c>
      <c r="BL222">
        <v>0</v>
      </c>
      <c r="BM222">
        <v>0</v>
      </c>
      <c r="BN222">
        <v>0</v>
      </c>
      <c r="BO222">
        <v>169</v>
      </c>
      <c r="BP222">
        <v>11</v>
      </c>
      <c r="BQ222">
        <v>1</v>
      </c>
      <c r="BR222" t="s">
        <v>7364</v>
      </c>
      <c r="BS222" t="s">
        <v>7365</v>
      </c>
      <c r="BT222" t="s">
        <v>7360</v>
      </c>
      <c r="BU222" t="s">
        <v>7360</v>
      </c>
      <c r="BV222" t="s">
        <v>7360</v>
      </c>
      <c r="BX222">
        <v>0</v>
      </c>
      <c r="BY222">
        <v>0</v>
      </c>
      <c r="BZ222" t="s">
        <v>7360</v>
      </c>
      <c r="CA222" t="s">
        <v>7360</v>
      </c>
      <c r="CB222">
        <v>3380666</v>
      </c>
      <c r="CC222" s="21">
        <v>44961.883692129632</v>
      </c>
      <c r="CE222" t="s">
        <v>7366</v>
      </c>
      <c r="CF222">
        <v>0</v>
      </c>
      <c r="CG222">
        <v>702002</v>
      </c>
      <c r="CH222">
        <v>702002</v>
      </c>
      <c r="CI222" s="21">
        <v>44961.888078703705</v>
      </c>
      <c r="CJ222" t="s">
        <v>7367</v>
      </c>
      <c r="CK222" t="s">
        <v>7367</v>
      </c>
      <c r="CL222" t="s">
        <v>7368</v>
      </c>
      <c r="CM222" t="s">
        <v>7368</v>
      </c>
      <c r="CS222" t="s">
        <v>7361</v>
      </c>
      <c r="CT222" t="s">
        <v>7362</v>
      </c>
      <c r="CU222" t="s">
        <v>7362</v>
      </c>
      <c r="CV222" t="s">
        <v>7362</v>
      </c>
      <c r="CW222" t="s">
        <v>7362</v>
      </c>
      <c r="CX222">
        <v>4068000</v>
      </c>
      <c r="DA222">
        <v>0</v>
      </c>
    </row>
    <row r="223" spans="1:105" x14ac:dyDescent="0.3">
      <c r="A223">
        <v>1354</v>
      </c>
      <c r="B223" t="s">
        <v>7396</v>
      </c>
      <c r="C223">
        <v>245</v>
      </c>
      <c r="D223" s="20">
        <v>44961</v>
      </c>
      <c r="E223" t="s">
        <v>7372</v>
      </c>
      <c r="F223" t="s">
        <v>5743</v>
      </c>
      <c r="G223" t="s">
        <v>7370</v>
      </c>
      <c r="H223">
        <v>1</v>
      </c>
      <c r="I223" t="s">
        <v>7358</v>
      </c>
      <c r="J223">
        <v>1</v>
      </c>
      <c r="K223" s="20">
        <v>44961</v>
      </c>
      <c r="L223" s="23">
        <v>4068000</v>
      </c>
      <c r="M223" t="s">
        <v>7359</v>
      </c>
      <c r="N223" t="s">
        <v>7360</v>
      </c>
      <c r="O223">
        <v>0</v>
      </c>
      <c r="P223">
        <v>12046</v>
      </c>
      <c r="Q223">
        <v>418027</v>
      </c>
      <c r="R223">
        <v>0</v>
      </c>
      <c r="S223">
        <v>20230204</v>
      </c>
      <c r="T223">
        <v>0</v>
      </c>
      <c r="U223" t="s">
        <v>7362</v>
      </c>
      <c r="V223" t="s">
        <v>7360</v>
      </c>
      <c r="W223" t="s">
        <v>7360</v>
      </c>
      <c r="X223" t="s">
        <v>7360</v>
      </c>
      <c r="Y223" t="s">
        <v>7360</v>
      </c>
      <c r="Z223" t="s">
        <v>7360</v>
      </c>
      <c r="AA223" t="s">
        <v>7362</v>
      </c>
      <c r="AB223" t="s">
        <v>7360</v>
      </c>
      <c r="AC223" t="s">
        <v>7360</v>
      </c>
      <c r="AD223" t="s">
        <v>7360</v>
      </c>
      <c r="AE223" t="s">
        <v>7360</v>
      </c>
      <c r="AF223" t="s">
        <v>1684</v>
      </c>
      <c r="AG223">
        <v>0</v>
      </c>
      <c r="AH223">
        <v>0</v>
      </c>
      <c r="AI223">
        <v>0</v>
      </c>
      <c r="AJ223">
        <v>0</v>
      </c>
      <c r="AK223">
        <v>0</v>
      </c>
      <c r="AL223" t="s">
        <v>7360</v>
      </c>
      <c r="AM223">
        <v>0</v>
      </c>
      <c r="AN223" s="20">
        <v>44961</v>
      </c>
      <c r="AO223" s="20">
        <v>44961</v>
      </c>
      <c r="AP223" s="20">
        <v>44961</v>
      </c>
      <c r="AQ223">
        <v>0</v>
      </c>
      <c r="AR223">
        <v>0</v>
      </c>
      <c r="AS223">
        <v>0</v>
      </c>
      <c r="AT223">
        <v>0</v>
      </c>
      <c r="AU223">
        <v>0</v>
      </c>
      <c r="AV223" t="s">
        <v>7360</v>
      </c>
      <c r="AW223">
        <v>0</v>
      </c>
      <c r="AX223" t="s">
        <v>7360</v>
      </c>
      <c r="AY223" t="s">
        <v>7362</v>
      </c>
      <c r="BA223">
        <v>0</v>
      </c>
      <c r="BB223" s="20">
        <v>44961</v>
      </c>
      <c r="BC223">
        <v>0</v>
      </c>
      <c r="BD223" t="s">
        <v>7360</v>
      </c>
      <c r="BF223" s="20">
        <v>44961</v>
      </c>
      <c r="BG223">
        <v>0</v>
      </c>
      <c r="BH223" t="s">
        <v>7363</v>
      </c>
      <c r="BJ223" t="s">
        <v>7362</v>
      </c>
      <c r="BK223">
        <v>0</v>
      </c>
      <c r="BL223">
        <v>0</v>
      </c>
      <c r="BM223">
        <v>0</v>
      </c>
      <c r="BN223">
        <v>0</v>
      </c>
      <c r="BO223">
        <v>169</v>
      </c>
      <c r="BP223">
        <v>11</v>
      </c>
      <c r="BQ223">
        <v>1</v>
      </c>
      <c r="BR223" t="s">
        <v>7364</v>
      </c>
      <c r="BS223" t="s">
        <v>7365</v>
      </c>
      <c r="BT223" t="s">
        <v>7360</v>
      </c>
      <c r="BU223" t="s">
        <v>7360</v>
      </c>
      <c r="BV223" t="s">
        <v>7360</v>
      </c>
      <c r="BX223">
        <v>0</v>
      </c>
      <c r="BY223">
        <v>0</v>
      </c>
      <c r="BZ223" t="s">
        <v>7360</v>
      </c>
      <c r="CA223" t="s">
        <v>7360</v>
      </c>
      <c r="CB223">
        <v>3380666</v>
      </c>
      <c r="CC223" s="21">
        <v>44961.894907407404</v>
      </c>
      <c r="CE223" t="s">
        <v>7366</v>
      </c>
      <c r="CF223">
        <v>0</v>
      </c>
      <c r="CG223">
        <v>702002</v>
      </c>
      <c r="CH223">
        <v>702002</v>
      </c>
      <c r="CI223" s="21">
        <v>44961.897662037038</v>
      </c>
      <c r="CJ223" t="s">
        <v>7367</v>
      </c>
      <c r="CK223" t="s">
        <v>7367</v>
      </c>
      <c r="CL223" t="s">
        <v>7368</v>
      </c>
      <c r="CM223" t="s">
        <v>7368</v>
      </c>
      <c r="CS223" t="s">
        <v>7361</v>
      </c>
      <c r="CT223" t="s">
        <v>7362</v>
      </c>
      <c r="CU223" t="s">
        <v>7362</v>
      </c>
      <c r="CV223" t="s">
        <v>7362</v>
      </c>
      <c r="CW223" t="s">
        <v>7362</v>
      </c>
      <c r="CX223">
        <v>4068000</v>
      </c>
      <c r="DA223">
        <v>0</v>
      </c>
    </row>
    <row r="224" spans="1:105" x14ac:dyDescent="0.3">
      <c r="A224">
        <v>1354</v>
      </c>
      <c r="B224" t="s">
        <v>7396</v>
      </c>
      <c r="C224">
        <v>360</v>
      </c>
      <c r="D224" s="20">
        <v>44973</v>
      </c>
      <c r="E224" t="s">
        <v>7356</v>
      </c>
      <c r="F224" t="s">
        <v>5749</v>
      </c>
      <c r="G224" t="s">
        <v>7357</v>
      </c>
      <c r="H224">
        <v>1</v>
      </c>
      <c r="I224" t="s">
        <v>7358</v>
      </c>
      <c r="J224">
        <v>1</v>
      </c>
      <c r="K224" s="20">
        <v>44973</v>
      </c>
      <c r="L224" s="23">
        <v>16779000</v>
      </c>
      <c r="M224" t="s">
        <v>7359</v>
      </c>
      <c r="N224" t="s">
        <v>7360</v>
      </c>
      <c r="O224">
        <v>0</v>
      </c>
      <c r="P224">
        <v>12308</v>
      </c>
      <c r="Q224">
        <v>432022</v>
      </c>
      <c r="R224">
        <v>0</v>
      </c>
      <c r="S224">
        <v>20230216</v>
      </c>
      <c r="T224">
        <v>0</v>
      </c>
      <c r="U224" t="s">
        <v>7361</v>
      </c>
      <c r="V224" t="s">
        <v>7360</v>
      </c>
      <c r="W224" t="s">
        <v>7360</v>
      </c>
      <c r="X224" t="s">
        <v>7360</v>
      </c>
      <c r="Y224" t="s">
        <v>7360</v>
      </c>
      <c r="Z224" t="s">
        <v>7360</v>
      </c>
      <c r="AA224" t="s">
        <v>7362</v>
      </c>
      <c r="AB224" t="s">
        <v>7360</v>
      </c>
      <c r="AC224" t="s">
        <v>7360</v>
      </c>
      <c r="AD224" t="s">
        <v>7360</v>
      </c>
      <c r="AE224" t="s">
        <v>7360</v>
      </c>
      <c r="AF224" t="s">
        <v>1684</v>
      </c>
      <c r="AG224">
        <v>0</v>
      </c>
      <c r="AH224">
        <v>0</v>
      </c>
      <c r="AI224">
        <v>0</v>
      </c>
      <c r="AJ224">
        <v>0</v>
      </c>
      <c r="AK224">
        <v>0</v>
      </c>
      <c r="AL224" t="s">
        <v>7360</v>
      </c>
      <c r="AM224">
        <v>0</v>
      </c>
      <c r="AN224" s="20">
        <v>44973</v>
      </c>
      <c r="AO224" s="20">
        <v>44973</v>
      </c>
      <c r="AP224" s="20">
        <v>44973</v>
      </c>
      <c r="AQ224">
        <v>0</v>
      </c>
      <c r="AR224">
        <v>0</v>
      </c>
      <c r="AS224">
        <v>0</v>
      </c>
      <c r="AT224">
        <v>0</v>
      </c>
      <c r="AU224">
        <v>0</v>
      </c>
      <c r="AV224" t="s">
        <v>7360</v>
      </c>
      <c r="AW224">
        <v>0</v>
      </c>
      <c r="AX224" t="s">
        <v>7360</v>
      </c>
      <c r="AY224" t="s">
        <v>7363</v>
      </c>
      <c r="BA224">
        <v>0</v>
      </c>
      <c r="BB224" s="20">
        <v>44973</v>
      </c>
      <c r="BC224">
        <v>0</v>
      </c>
      <c r="BD224" t="s">
        <v>7360</v>
      </c>
      <c r="BF224" s="20">
        <v>44973</v>
      </c>
      <c r="BG224">
        <v>0</v>
      </c>
      <c r="BH224" t="s">
        <v>7363</v>
      </c>
      <c r="BJ224" t="s">
        <v>7362</v>
      </c>
      <c r="BK224">
        <v>0</v>
      </c>
      <c r="BL224">
        <v>0</v>
      </c>
      <c r="BM224">
        <v>0</v>
      </c>
      <c r="BN224">
        <v>0</v>
      </c>
      <c r="BO224">
        <v>169</v>
      </c>
      <c r="BP224">
        <v>11</v>
      </c>
      <c r="BQ224">
        <v>1</v>
      </c>
      <c r="BR224" t="s">
        <v>7364</v>
      </c>
      <c r="BS224" t="s">
        <v>7382</v>
      </c>
      <c r="BT224" t="s">
        <v>7360</v>
      </c>
      <c r="BU224" t="s">
        <v>7360</v>
      </c>
      <c r="BV224" t="s">
        <v>7360</v>
      </c>
      <c r="BX224">
        <v>0</v>
      </c>
      <c r="BY224">
        <v>0</v>
      </c>
      <c r="BZ224" t="s">
        <v>7360</v>
      </c>
      <c r="CA224" t="s">
        <v>7360</v>
      </c>
      <c r="CB224">
        <v>3380666</v>
      </c>
      <c r="CC224" s="21">
        <v>44966.828900462962</v>
      </c>
      <c r="CE224" t="s">
        <v>7366</v>
      </c>
      <c r="CF224">
        <v>0</v>
      </c>
      <c r="CG224">
        <v>702002</v>
      </c>
      <c r="CH224">
        <v>702002</v>
      </c>
      <c r="CI224" s="21">
        <v>44966.852592592593</v>
      </c>
      <c r="CJ224" t="s">
        <v>7367</v>
      </c>
      <c r="CK224" t="s">
        <v>7367</v>
      </c>
      <c r="CL224" t="s">
        <v>7368</v>
      </c>
      <c r="CM224" t="s">
        <v>7368</v>
      </c>
      <c r="CS224" t="s">
        <v>7361</v>
      </c>
      <c r="CT224" t="s">
        <v>7362</v>
      </c>
      <c r="CU224" t="s">
        <v>7362</v>
      </c>
      <c r="CV224" t="s">
        <v>7362</v>
      </c>
      <c r="CW224" t="s">
        <v>7362</v>
      </c>
      <c r="CX224" t="s">
        <v>7426</v>
      </c>
      <c r="DA224">
        <v>0</v>
      </c>
    </row>
    <row r="225" spans="1:105" x14ac:dyDescent="0.3">
      <c r="A225">
        <v>1357</v>
      </c>
      <c r="B225" t="s">
        <v>7405</v>
      </c>
      <c r="C225">
        <v>248</v>
      </c>
      <c r="D225" s="20">
        <v>44964</v>
      </c>
      <c r="E225" t="s">
        <v>7356</v>
      </c>
      <c r="F225" t="s">
        <v>5754</v>
      </c>
      <c r="G225" t="s">
        <v>7357</v>
      </c>
      <c r="H225">
        <v>1</v>
      </c>
      <c r="I225" t="s">
        <v>7358</v>
      </c>
      <c r="J225">
        <v>1</v>
      </c>
      <c r="K225" s="20">
        <v>44964</v>
      </c>
      <c r="L225" s="23">
        <v>468000</v>
      </c>
      <c r="M225" t="s">
        <v>7359</v>
      </c>
      <c r="N225" t="s">
        <v>7360</v>
      </c>
      <c r="O225">
        <v>0</v>
      </c>
      <c r="P225">
        <v>12156</v>
      </c>
      <c r="Q225">
        <v>420023</v>
      </c>
      <c r="R225">
        <v>0</v>
      </c>
      <c r="S225">
        <v>20230207</v>
      </c>
      <c r="T225">
        <v>0</v>
      </c>
      <c r="U225" t="s">
        <v>7361</v>
      </c>
      <c r="V225" t="s">
        <v>7360</v>
      </c>
      <c r="W225" t="s">
        <v>7360</v>
      </c>
      <c r="X225" t="s">
        <v>7360</v>
      </c>
      <c r="Y225" t="s">
        <v>7360</v>
      </c>
      <c r="Z225" t="s">
        <v>7360</v>
      </c>
      <c r="AA225" t="s">
        <v>7362</v>
      </c>
      <c r="AB225" t="s">
        <v>7360</v>
      </c>
      <c r="AC225" t="s">
        <v>7360</v>
      </c>
      <c r="AD225" t="s">
        <v>7360</v>
      </c>
      <c r="AE225" t="s">
        <v>7360</v>
      </c>
      <c r="AF225" t="s">
        <v>1684</v>
      </c>
      <c r="AG225">
        <v>0</v>
      </c>
      <c r="AH225">
        <v>0</v>
      </c>
      <c r="AI225">
        <v>0</v>
      </c>
      <c r="AJ225">
        <v>0</v>
      </c>
      <c r="AK225">
        <v>0</v>
      </c>
      <c r="AL225" t="s">
        <v>7360</v>
      </c>
      <c r="AM225">
        <v>0</v>
      </c>
      <c r="AN225" s="20">
        <v>44964</v>
      </c>
      <c r="AO225" s="20">
        <v>44964</v>
      </c>
      <c r="AP225" s="20">
        <v>44964</v>
      </c>
      <c r="AQ225">
        <v>0</v>
      </c>
      <c r="AR225">
        <v>0</v>
      </c>
      <c r="AS225">
        <v>0</v>
      </c>
      <c r="AT225">
        <v>0</v>
      </c>
      <c r="AU225">
        <v>0</v>
      </c>
      <c r="AV225" t="s">
        <v>7360</v>
      </c>
      <c r="AW225">
        <v>0</v>
      </c>
      <c r="AX225" t="s">
        <v>7360</v>
      </c>
      <c r="AY225" t="s">
        <v>7363</v>
      </c>
      <c r="BA225">
        <v>0</v>
      </c>
      <c r="BB225" s="20">
        <v>44964</v>
      </c>
      <c r="BC225">
        <v>0</v>
      </c>
      <c r="BD225" t="s">
        <v>7360</v>
      </c>
      <c r="BF225" s="20">
        <v>44964</v>
      </c>
      <c r="BG225">
        <v>0</v>
      </c>
      <c r="BH225" t="s">
        <v>1684</v>
      </c>
      <c r="BJ225" t="s">
        <v>7362</v>
      </c>
      <c r="BK225">
        <v>0</v>
      </c>
      <c r="BL225">
        <v>0</v>
      </c>
      <c r="BM225">
        <v>0</v>
      </c>
      <c r="BN225">
        <v>0</v>
      </c>
      <c r="BO225">
        <v>169</v>
      </c>
      <c r="BP225">
        <v>11</v>
      </c>
      <c r="BQ225">
        <v>1</v>
      </c>
      <c r="BR225" t="s">
        <v>7364</v>
      </c>
      <c r="BS225" t="s">
        <v>7382</v>
      </c>
      <c r="BT225" t="s">
        <v>7360</v>
      </c>
      <c r="BU225" t="s">
        <v>7360</v>
      </c>
      <c r="BV225" t="s">
        <v>7360</v>
      </c>
      <c r="BX225">
        <v>0</v>
      </c>
      <c r="BY225">
        <v>0</v>
      </c>
      <c r="BZ225" t="s">
        <v>7360</v>
      </c>
      <c r="CA225" t="s">
        <v>7360</v>
      </c>
      <c r="CB225">
        <v>3380666</v>
      </c>
      <c r="CC225" s="21">
        <v>44964.452303240738</v>
      </c>
      <c r="CE225" t="s">
        <v>7366</v>
      </c>
      <c r="CF225">
        <v>0</v>
      </c>
      <c r="CG225">
        <v>702002</v>
      </c>
      <c r="CH225">
        <v>702002</v>
      </c>
      <c r="CI225" s="21">
        <v>44965.437337962961</v>
      </c>
      <c r="CJ225" t="s">
        <v>7367</v>
      </c>
      <c r="CK225" t="s">
        <v>7367</v>
      </c>
      <c r="CL225" t="s">
        <v>7368</v>
      </c>
      <c r="CM225" t="s">
        <v>7368</v>
      </c>
      <c r="CS225" t="s">
        <v>7361</v>
      </c>
      <c r="CT225" t="s">
        <v>7362</v>
      </c>
      <c r="CU225" t="s">
        <v>7362</v>
      </c>
      <c r="CV225" t="s">
        <v>7362</v>
      </c>
      <c r="CW225" t="s">
        <v>7362</v>
      </c>
      <c r="CX225">
        <v>468000</v>
      </c>
      <c r="DA225">
        <v>0</v>
      </c>
    </row>
    <row r="226" spans="1:105" x14ac:dyDescent="0.3">
      <c r="A226">
        <v>1354</v>
      </c>
      <c r="B226" t="s">
        <v>7396</v>
      </c>
      <c r="C226">
        <v>249</v>
      </c>
      <c r="D226" s="20">
        <v>44964</v>
      </c>
      <c r="E226" t="s">
        <v>7356</v>
      </c>
      <c r="F226" t="s">
        <v>5759</v>
      </c>
      <c r="G226" t="s">
        <v>7370</v>
      </c>
      <c r="H226">
        <v>1</v>
      </c>
      <c r="I226" t="s">
        <v>7358</v>
      </c>
      <c r="J226">
        <v>1</v>
      </c>
      <c r="K226" s="20">
        <v>44964</v>
      </c>
      <c r="L226" s="23">
        <v>3150000</v>
      </c>
      <c r="M226" t="s">
        <v>7359</v>
      </c>
      <c r="N226" t="s">
        <v>7360</v>
      </c>
      <c r="O226">
        <v>0</v>
      </c>
      <c r="P226">
        <v>12148</v>
      </c>
      <c r="Q226">
        <v>420016</v>
      </c>
      <c r="R226">
        <v>0</v>
      </c>
      <c r="S226">
        <v>20230207</v>
      </c>
      <c r="T226">
        <v>0</v>
      </c>
      <c r="U226" t="s">
        <v>7361</v>
      </c>
      <c r="V226" t="s">
        <v>7360</v>
      </c>
      <c r="W226" t="s">
        <v>7360</v>
      </c>
      <c r="X226" t="s">
        <v>7360</v>
      </c>
      <c r="Y226" t="s">
        <v>7360</v>
      </c>
      <c r="Z226" t="s">
        <v>7360</v>
      </c>
      <c r="AA226" t="s">
        <v>7362</v>
      </c>
      <c r="AB226" t="s">
        <v>7360</v>
      </c>
      <c r="AC226" t="s">
        <v>7360</v>
      </c>
      <c r="AD226" t="s">
        <v>7360</v>
      </c>
      <c r="AE226" t="s">
        <v>7360</v>
      </c>
      <c r="AF226" t="s">
        <v>1684</v>
      </c>
      <c r="AG226">
        <v>0</v>
      </c>
      <c r="AH226">
        <v>0</v>
      </c>
      <c r="AI226">
        <v>0</v>
      </c>
      <c r="AJ226">
        <v>0</v>
      </c>
      <c r="AK226">
        <v>0</v>
      </c>
      <c r="AL226" t="s">
        <v>7360</v>
      </c>
      <c r="AM226">
        <v>0</v>
      </c>
      <c r="AN226" s="20">
        <v>44964</v>
      </c>
      <c r="AO226" s="20">
        <v>44964</v>
      </c>
      <c r="AP226" s="20">
        <v>44964</v>
      </c>
      <c r="AQ226">
        <v>0</v>
      </c>
      <c r="AR226">
        <v>0</v>
      </c>
      <c r="AS226">
        <v>0</v>
      </c>
      <c r="AT226">
        <v>0</v>
      </c>
      <c r="AU226">
        <v>0</v>
      </c>
      <c r="AV226" t="s">
        <v>7360</v>
      </c>
      <c r="AW226">
        <v>0</v>
      </c>
      <c r="AX226" t="s">
        <v>7360</v>
      </c>
      <c r="AY226" t="s">
        <v>7363</v>
      </c>
      <c r="BA226">
        <v>0</v>
      </c>
      <c r="BB226" s="20">
        <v>44964</v>
      </c>
      <c r="BC226">
        <v>0</v>
      </c>
      <c r="BD226" t="s">
        <v>7360</v>
      </c>
      <c r="BF226" s="20">
        <v>44964</v>
      </c>
      <c r="BG226">
        <v>0</v>
      </c>
      <c r="BH226" t="s">
        <v>7363</v>
      </c>
      <c r="BJ226" t="s">
        <v>7362</v>
      </c>
      <c r="BK226">
        <v>169</v>
      </c>
      <c r="BL226">
        <v>11</v>
      </c>
      <c r="BM226">
        <v>1</v>
      </c>
      <c r="BN226" t="s">
        <v>7364</v>
      </c>
      <c r="BO226">
        <v>169</v>
      </c>
      <c r="BP226">
        <v>11</v>
      </c>
      <c r="BQ226">
        <v>1</v>
      </c>
      <c r="BR226" t="s">
        <v>7364</v>
      </c>
      <c r="BS226" t="s">
        <v>132</v>
      </c>
      <c r="BT226" t="s">
        <v>7360</v>
      </c>
      <c r="BU226" t="s">
        <v>7360</v>
      </c>
      <c r="BV226" t="s">
        <v>7360</v>
      </c>
      <c r="BX226" t="s">
        <v>7391</v>
      </c>
      <c r="BY226">
        <v>74</v>
      </c>
      <c r="BZ226" t="s">
        <v>7360</v>
      </c>
      <c r="CA226" t="s">
        <v>7360</v>
      </c>
      <c r="CB226">
        <v>5558210</v>
      </c>
      <c r="CC226" s="21">
        <v>44964.488749999997</v>
      </c>
      <c r="CE226" t="s">
        <v>7392</v>
      </c>
      <c r="CF226">
        <v>1100101</v>
      </c>
      <c r="CG226">
        <v>53575</v>
      </c>
      <c r="CH226">
        <v>53575</v>
      </c>
      <c r="CI226" s="21">
        <v>44964.49015046296</v>
      </c>
      <c r="CJ226" t="s">
        <v>7393</v>
      </c>
      <c r="CK226" t="s">
        <v>7393</v>
      </c>
      <c r="CL226" t="s">
        <v>7394</v>
      </c>
      <c r="CM226" t="s">
        <v>7394</v>
      </c>
      <c r="CS226" t="s">
        <v>7361</v>
      </c>
      <c r="CT226" t="s">
        <v>7362</v>
      </c>
      <c r="CU226" t="s">
        <v>7362</v>
      </c>
      <c r="CV226" t="s">
        <v>7362</v>
      </c>
      <c r="CW226" t="s">
        <v>7362</v>
      </c>
      <c r="CX226">
        <v>3150000</v>
      </c>
      <c r="DA226">
        <v>0</v>
      </c>
    </row>
    <row r="227" spans="1:105" x14ac:dyDescent="0.3">
      <c r="A227">
        <v>1356</v>
      </c>
      <c r="B227" t="s">
        <v>7402</v>
      </c>
      <c r="C227">
        <v>250</v>
      </c>
      <c r="D227" s="20">
        <v>44964</v>
      </c>
      <c r="E227" t="s">
        <v>7356</v>
      </c>
      <c r="F227" t="s">
        <v>5765</v>
      </c>
      <c r="G227" t="s">
        <v>7370</v>
      </c>
      <c r="H227">
        <v>1</v>
      </c>
      <c r="I227" t="s">
        <v>7358</v>
      </c>
      <c r="J227">
        <v>1</v>
      </c>
      <c r="K227" s="20">
        <v>44964</v>
      </c>
      <c r="L227" s="23">
        <v>2000000</v>
      </c>
      <c r="M227" t="s">
        <v>7359</v>
      </c>
      <c r="N227" t="s">
        <v>7360</v>
      </c>
      <c r="O227">
        <v>0</v>
      </c>
      <c r="P227">
        <v>12142</v>
      </c>
      <c r="Q227">
        <v>420012</v>
      </c>
      <c r="R227">
        <v>0</v>
      </c>
      <c r="S227">
        <v>20230207</v>
      </c>
      <c r="T227">
        <v>0</v>
      </c>
      <c r="U227" t="s">
        <v>7361</v>
      </c>
      <c r="V227" t="s">
        <v>7360</v>
      </c>
      <c r="W227" t="s">
        <v>7360</v>
      </c>
      <c r="X227" t="s">
        <v>7360</v>
      </c>
      <c r="Y227" t="s">
        <v>7360</v>
      </c>
      <c r="Z227" t="s">
        <v>7360</v>
      </c>
      <c r="AA227" t="s">
        <v>7362</v>
      </c>
      <c r="AB227" t="s">
        <v>7360</v>
      </c>
      <c r="AC227" t="s">
        <v>7360</v>
      </c>
      <c r="AD227" t="s">
        <v>7360</v>
      </c>
      <c r="AE227" t="s">
        <v>7360</v>
      </c>
      <c r="AF227" t="s">
        <v>1684</v>
      </c>
      <c r="AG227">
        <v>0</v>
      </c>
      <c r="AH227">
        <v>0</v>
      </c>
      <c r="AI227">
        <v>0</v>
      </c>
      <c r="AJ227">
        <v>0</v>
      </c>
      <c r="AK227">
        <v>0</v>
      </c>
      <c r="AL227" t="s">
        <v>7360</v>
      </c>
      <c r="AM227">
        <v>0</v>
      </c>
      <c r="AN227" s="20">
        <v>44964</v>
      </c>
      <c r="AO227" s="20">
        <v>44964</v>
      </c>
      <c r="AP227" s="20">
        <v>44964</v>
      </c>
      <c r="AQ227">
        <v>0</v>
      </c>
      <c r="AR227">
        <v>0</v>
      </c>
      <c r="AS227">
        <v>0</v>
      </c>
      <c r="AT227">
        <v>0</v>
      </c>
      <c r="AU227">
        <v>0</v>
      </c>
      <c r="AV227" t="s">
        <v>7360</v>
      </c>
      <c r="AW227">
        <v>0</v>
      </c>
      <c r="AX227" t="s">
        <v>7360</v>
      </c>
      <c r="AY227" t="s">
        <v>7363</v>
      </c>
      <c r="BA227">
        <v>0</v>
      </c>
      <c r="BB227" s="20">
        <v>44964</v>
      </c>
      <c r="BC227">
        <v>0</v>
      </c>
      <c r="BD227" t="s">
        <v>7360</v>
      </c>
      <c r="BF227" s="20">
        <v>44964</v>
      </c>
      <c r="BG227">
        <v>0</v>
      </c>
      <c r="BH227" t="s">
        <v>1729</v>
      </c>
      <c r="BJ227" t="s">
        <v>7362</v>
      </c>
      <c r="BK227">
        <v>169</v>
      </c>
      <c r="BL227">
        <v>11</v>
      </c>
      <c r="BM227">
        <v>1</v>
      </c>
      <c r="BN227" t="s">
        <v>7364</v>
      </c>
      <c r="BO227">
        <v>169</v>
      </c>
      <c r="BP227">
        <v>11</v>
      </c>
      <c r="BQ227">
        <v>1</v>
      </c>
      <c r="BR227" t="s">
        <v>7364</v>
      </c>
      <c r="BS227" t="s">
        <v>7427</v>
      </c>
      <c r="BT227" t="s">
        <v>7360</v>
      </c>
      <c r="BU227" t="s">
        <v>7360</v>
      </c>
      <c r="BV227" t="s">
        <v>7360</v>
      </c>
      <c r="BX227" t="s">
        <v>7391</v>
      </c>
      <c r="BY227">
        <v>74</v>
      </c>
      <c r="BZ227" t="s">
        <v>7360</v>
      </c>
      <c r="CA227" t="s">
        <v>7360</v>
      </c>
      <c r="CB227">
        <v>5558210</v>
      </c>
      <c r="CC227" s="21">
        <v>44964.496111111112</v>
      </c>
      <c r="CE227" t="s">
        <v>7392</v>
      </c>
      <c r="CF227">
        <v>1100101</v>
      </c>
      <c r="CG227">
        <v>53575</v>
      </c>
      <c r="CH227">
        <v>53575</v>
      </c>
      <c r="CI227" s="21">
        <v>44964.497939814813</v>
      </c>
      <c r="CJ227" t="s">
        <v>7393</v>
      </c>
      <c r="CK227" t="s">
        <v>7393</v>
      </c>
      <c r="CL227" t="s">
        <v>7394</v>
      </c>
      <c r="CM227" t="s">
        <v>7394</v>
      </c>
      <c r="CS227" t="s">
        <v>7361</v>
      </c>
      <c r="CT227" t="s">
        <v>7362</v>
      </c>
      <c r="CU227" t="s">
        <v>7362</v>
      </c>
      <c r="CV227" t="s">
        <v>7362</v>
      </c>
      <c r="CW227" t="s">
        <v>7362</v>
      </c>
      <c r="CX227">
        <v>2000000</v>
      </c>
      <c r="DA227">
        <v>0</v>
      </c>
    </row>
    <row r="228" spans="1:105" x14ac:dyDescent="0.3">
      <c r="A228">
        <v>1354</v>
      </c>
      <c r="B228" t="s">
        <v>7396</v>
      </c>
      <c r="C228">
        <v>251</v>
      </c>
      <c r="D228" s="20">
        <v>44964</v>
      </c>
      <c r="E228" t="s">
        <v>7356</v>
      </c>
      <c r="F228" t="s">
        <v>5770</v>
      </c>
      <c r="G228" t="s">
        <v>7370</v>
      </c>
      <c r="H228">
        <v>1</v>
      </c>
      <c r="I228" t="s">
        <v>7358</v>
      </c>
      <c r="J228">
        <v>1</v>
      </c>
      <c r="K228" s="20">
        <v>44964</v>
      </c>
      <c r="L228" s="23">
        <v>3510000</v>
      </c>
      <c r="M228" t="s">
        <v>7359</v>
      </c>
      <c r="N228" t="s">
        <v>7360</v>
      </c>
      <c r="O228">
        <v>0</v>
      </c>
      <c r="P228">
        <v>12158</v>
      </c>
      <c r="Q228">
        <v>420025</v>
      </c>
      <c r="R228">
        <v>0</v>
      </c>
      <c r="S228">
        <v>20230207</v>
      </c>
      <c r="T228">
        <v>0</v>
      </c>
      <c r="U228" t="s">
        <v>7361</v>
      </c>
      <c r="V228" t="s">
        <v>7360</v>
      </c>
      <c r="W228" t="s">
        <v>7360</v>
      </c>
      <c r="X228" t="s">
        <v>7360</v>
      </c>
      <c r="Y228" t="s">
        <v>7360</v>
      </c>
      <c r="Z228" t="s">
        <v>7360</v>
      </c>
      <c r="AA228" t="s">
        <v>7362</v>
      </c>
      <c r="AB228" t="s">
        <v>7360</v>
      </c>
      <c r="AC228" t="s">
        <v>7360</v>
      </c>
      <c r="AD228" t="s">
        <v>7360</v>
      </c>
      <c r="AE228" t="s">
        <v>7360</v>
      </c>
      <c r="AF228" t="s">
        <v>1684</v>
      </c>
      <c r="AG228">
        <v>0</v>
      </c>
      <c r="AH228">
        <v>0</v>
      </c>
      <c r="AI228">
        <v>0</v>
      </c>
      <c r="AJ228">
        <v>0</v>
      </c>
      <c r="AK228">
        <v>0</v>
      </c>
      <c r="AL228" t="s">
        <v>7360</v>
      </c>
      <c r="AM228">
        <v>0</v>
      </c>
      <c r="AN228" s="20">
        <v>44964</v>
      </c>
      <c r="AO228" s="20">
        <v>44964</v>
      </c>
      <c r="AP228" s="20">
        <v>44964</v>
      </c>
      <c r="AQ228">
        <v>0</v>
      </c>
      <c r="AR228">
        <v>0</v>
      </c>
      <c r="AS228">
        <v>0</v>
      </c>
      <c r="AT228">
        <v>0</v>
      </c>
      <c r="AU228">
        <v>0</v>
      </c>
      <c r="AV228" t="s">
        <v>7360</v>
      </c>
      <c r="AW228">
        <v>0</v>
      </c>
      <c r="AX228" t="s">
        <v>7360</v>
      </c>
      <c r="AY228" t="s">
        <v>7363</v>
      </c>
      <c r="BA228">
        <v>0</v>
      </c>
      <c r="BB228" s="20">
        <v>44964</v>
      </c>
      <c r="BC228">
        <v>0</v>
      </c>
      <c r="BD228" t="s">
        <v>7360</v>
      </c>
      <c r="BF228" s="20">
        <v>44964</v>
      </c>
      <c r="BG228">
        <v>0</v>
      </c>
      <c r="BH228" t="s">
        <v>7363</v>
      </c>
      <c r="BJ228" t="s">
        <v>7362</v>
      </c>
      <c r="BK228">
        <v>169</v>
      </c>
      <c r="BL228">
        <v>11</v>
      </c>
      <c r="BM228">
        <v>1</v>
      </c>
      <c r="BN228" t="s">
        <v>7364</v>
      </c>
      <c r="BO228">
        <v>169</v>
      </c>
      <c r="BP228">
        <v>11</v>
      </c>
      <c r="BQ228">
        <v>1</v>
      </c>
      <c r="BR228" t="s">
        <v>7364</v>
      </c>
      <c r="BS228" t="s">
        <v>132</v>
      </c>
      <c r="BT228" t="s">
        <v>7360</v>
      </c>
      <c r="BU228" t="s">
        <v>7360</v>
      </c>
      <c r="BV228" t="s">
        <v>7360</v>
      </c>
      <c r="BX228" t="s">
        <v>7391</v>
      </c>
      <c r="BY228">
        <v>74</v>
      </c>
      <c r="BZ228" t="s">
        <v>7360</v>
      </c>
      <c r="CA228" t="s">
        <v>7360</v>
      </c>
      <c r="CB228">
        <v>5558210</v>
      </c>
      <c r="CC228" s="21">
        <v>44964.503472222219</v>
      </c>
      <c r="CE228" t="s">
        <v>7392</v>
      </c>
      <c r="CF228">
        <v>1100101</v>
      </c>
      <c r="CG228">
        <v>53575</v>
      </c>
      <c r="CH228">
        <v>53575</v>
      </c>
      <c r="CI228" s="21">
        <v>44964.506481481483</v>
      </c>
      <c r="CJ228" t="s">
        <v>7393</v>
      </c>
      <c r="CK228" t="s">
        <v>7393</v>
      </c>
      <c r="CL228" t="s">
        <v>7394</v>
      </c>
      <c r="CM228" t="s">
        <v>7394</v>
      </c>
      <c r="CS228" t="s">
        <v>7361</v>
      </c>
      <c r="CT228" t="s">
        <v>7362</v>
      </c>
      <c r="CU228" t="s">
        <v>7362</v>
      </c>
      <c r="CV228" t="s">
        <v>7362</v>
      </c>
      <c r="CW228" t="s">
        <v>7362</v>
      </c>
      <c r="CX228">
        <v>3510000</v>
      </c>
      <c r="DA228">
        <v>0</v>
      </c>
    </row>
    <row r="229" spans="1:105" x14ac:dyDescent="0.3">
      <c r="A229">
        <v>1356</v>
      </c>
      <c r="B229" t="s">
        <v>7402</v>
      </c>
      <c r="C229">
        <v>252</v>
      </c>
      <c r="D229" s="20">
        <v>44964</v>
      </c>
      <c r="E229" t="s">
        <v>7356</v>
      </c>
      <c r="F229" t="s">
        <v>5775</v>
      </c>
      <c r="G229" t="s">
        <v>7370</v>
      </c>
      <c r="H229">
        <v>1</v>
      </c>
      <c r="I229" t="s">
        <v>7358</v>
      </c>
      <c r="J229">
        <v>1</v>
      </c>
      <c r="K229" s="20">
        <v>44964</v>
      </c>
      <c r="L229" s="23">
        <v>5720000</v>
      </c>
      <c r="M229" t="s">
        <v>7359</v>
      </c>
      <c r="N229" t="s">
        <v>7360</v>
      </c>
      <c r="O229">
        <v>0</v>
      </c>
      <c r="P229">
        <v>12144</v>
      </c>
      <c r="Q229">
        <v>420014</v>
      </c>
      <c r="R229">
        <v>0</v>
      </c>
      <c r="S229">
        <v>20230207</v>
      </c>
      <c r="T229">
        <v>0</v>
      </c>
      <c r="U229" t="s">
        <v>7361</v>
      </c>
      <c r="V229" t="s">
        <v>7360</v>
      </c>
      <c r="W229" t="s">
        <v>7360</v>
      </c>
      <c r="X229" t="s">
        <v>7360</v>
      </c>
      <c r="Y229" t="s">
        <v>7360</v>
      </c>
      <c r="Z229" t="s">
        <v>7360</v>
      </c>
      <c r="AA229" t="s">
        <v>7362</v>
      </c>
      <c r="AB229" t="s">
        <v>7360</v>
      </c>
      <c r="AC229" t="s">
        <v>7360</v>
      </c>
      <c r="AD229" t="s">
        <v>7360</v>
      </c>
      <c r="AE229" t="s">
        <v>7360</v>
      </c>
      <c r="AF229" t="s">
        <v>1684</v>
      </c>
      <c r="AG229">
        <v>0</v>
      </c>
      <c r="AH229">
        <v>0</v>
      </c>
      <c r="AI229">
        <v>0</v>
      </c>
      <c r="AJ229">
        <v>0</v>
      </c>
      <c r="AK229">
        <v>0</v>
      </c>
      <c r="AL229" t="s">
        <v>7360</v>
      </c>
      <c r="AM229">
        <v>0</v>
      </c>
      <c r="AN229" s="20">
        <v>44964</v>
      </c>
      <c r="AO229" s="20">
        <v>44964</v>
      </c>
      <c r="AP229" s="20">
        <v>44964</v>
      </c>
      <c r="AQ229">
        <v>0</v>
      </c>
      <c r="AR229">
        <v>0</v>
      </c>
      <c r="AS229">
        <v>0</v>
      </c>
      <c r="AT229">
        <v>0</v>
      </c>
      <c r="AU229">
        <v>0</v>
      </c>
      <c r="AV229" t="s">
        <v>7360</v>
      </c>
      <c r="AW229">
        <v>0</v>
      </c>
      <c r="AX229" t="s">
        <v>7360</v>
      </c>
      <c r="AY229" t="s">
        <v>7363</v>
      </c>
      <c r="BA229">
        <v>0</v>
      </c>
      <c r="BB229" s="20">
        <v>44964</v>
      </c>
      <c r="BC229">
        <v>0</v>
      </c>
      <c r="BD229" t="s">
        <v>7360</v>
      </c>
      <c r="BF229" s="20">
        <v>44964</v>
      </c>
      <c r="BG229">
        <v>0</v>
      </c>
      <c r="BH229" t="s">
        <v>1729</v>
      </c>
      <c r="BJ229" t="s">
        <v>7362</v>
      </c>
      <c r="BK229">
        <v>169</v>
      </c>
      <c r="BL229">
        <v>11</v>
      </c>
      <c r="BM229">
        <v>1</v>
      </c>
      <c r="BN229" t="s">
        <v>7364</v>
      </c>
      <c r="BO229">
        <v>169</v>
      </c>
      <c r="BP229">
        <v>11</v>
      </c>
      <c r="BQ229">
        <v>1</v>
      </c>
      <c r="BR229" t="s">
        <v>7364</v>
      </c>
      <c r="BS229" t="s">
        <v>7427</v>
      </c>
      <c r="BT229" t="s">
        <v>7360</v>
      </c>
      <c r="BU229" t="s">
        <v>7360</v>
      </c>
      <c r="BV229" t="s">
        <v>7360</v>
      </c>
      <c r="BX229" t="s">
        <v>7391</v>
      </c>
      <c r="BY229">
        <v>74</v>
      </c>
      <c r="BZ229" t="s">
        <v>7360</v>
      </c>
      <c r="CA229" t="s">
        <v>7360</v>
      </c>
      <c r="CB229">
        <v>5558210</v>
      </c>
      <c r="CC229" s="21">
        <v>44964.515798611108</v>
      </c>
      <c r="CE229" t="s">
        <v>7392</v>
      </c>
      <c r="CF229">
        <v>1100101</v>
      </c>
      <c r="CG229">
        <v>53575</v>
      </c>
      <c r="CH229">
        <v>53575</v>
      </c>
      <c r="CI229" s="21">
        <v>44964.516655092593</v>
      </c>
      <c r="CJ229" t="s">
        <v>7393</v>
      </c>
      <c r="CK229" t="s">
        <v>7393</v>
      </c>
      <c r="CL229" t="s">
        <v>7394</v>
      </c>
      <c r="CM229" t="s">
        <v>7394</v>
      </c>
      <c r="CS229" t="s">
        <v>7361</v>
      </c>
      <c r="CT229" t="s">
        <v>7362</v>
      </c>
      <c r="CU229" t="s">
        <v>7362</v>
      </c>
      <c r="CV229" t="s">
        <v>7362</v>
      </c>
      <c r="CW229" t="s">
        <v>7362</v>
      </c>
      <c r="CX229">
        <v>5720000</v>
      </c>
      <c r="DA229">
        <v>0</v>
      </c>
    </row>
    <row r="230" spans="1:105" x14ac:dyDescent="0.3">
      <c r="A230">
        <v>1354</v>
      </c>
      <c r="B230" t="s">
        <v>7396</v>
      </c>
      <c r="C230">
        <v>253</v>
      </c>
      <c r="D230" s="20">
        <v>44964</v>
      </c>
      <c r="E230" t="s">
        <v>7356</v>
      </c>
      <c r="F230" t="s">
        <v>5781</v>
      </c>
      <c r="G230" t="s">
        <v>7370</v>
      </c>
      <c r="H230">
        <v>1</v>
      </c>
      <c r="I230" t="s">
        <v>7358</v>
      </c>
      <c r="J230">
        <v>1</v>
      </c>
      <c r="K230" s="20">
        <v>44964</v>
      </c>
      <c r="L230" s="23">
        <v>3600000</v>
      </c>
      <c r="M230" t="s">
        <v>7359</v>
      </c>
      <c r="N230" t="s">
        <v>7360</v>
      </c>
      <c r="O230">
        <v>0</v>
      </c>
      <c r="P230">
        <v>12161</v>
      </c>
      <c r="Q230">
        <v>420027</v>
      </c>
      <c r="R230">
        <v>0</v>
      </c>
      <c r="S230">
        <v>20230207</v>
      </c>
      <c r="T230">
        <v>0</v>
      </c>
      <c r="U230" t="s">
        <v>7361</v>
      </c>
      <c r="V230" t="s">
        <v>7360</v>
      </c>
      <c r="W230" t="s">
        <v>7360</v>
      </c>
      <c r="X230" t="s">
        <v>7360</v>
      </c>
      <c r="Y230" t="s">
        <v>7360</v>
      </c>
      <c r="Z230" t="s">
        <v>7360</v>
      </c>
      <c r="AA230" t="s">
        <v>7362</v>
      </c>
      <c r="AB230" t="s">
        <v>7360</v>
      </c>
      <c r="AC230" t="s">
        <v>7360</v>
      </c>
      <c r="AD230" t="s">
        <v>7360</v>
      </c>
      <c r="AE230" t="s">
        <v>7360</v>
      </c>
      <c r="AF230" t="s">
        <v>1684</v>
      </c>
      <c r="AG230">
        <v>0</v>
      </c>
      <c r="AH230">
        <v>0</v>
      </c>
      <c r="AI230">
        <v>0</v>
      </c>
      <c r="AJ230">
        <v>0</v>
      </c>
      <c r="AK230">
        <v>0</v>
      </c>
      <c r="AL230" t="s">
        <v>7360</v>
      </c>
      <c r="AM230">
        <v>0</v>
      </c>
      <c r="AN230" s="20">
        <v>44964</v>
      </c>
      <c r="AO230" s="20">
        <v>44964</v>
      </c>
      <c r="AP230" s="20">
        <v>44964</v>
      </c>
      <c r="AQ230">
        <v>0</v>
      </c>
      <c r="AR230">
        <v>0</v>
      </c>
      <c r="AS230">
        <v>0</v>
      </c>
      <c r="AT230">
        <v>0</v>
      </c>
      <c r="AU230">
        <v>0</v>
      </c>
      <c r="AV230" t="s">
        <v>7360</v>
      </c>
      <c r="AW230">
        <v>0</v>
      </c>
      <c r="AX230" t="s">
        <v>7360</v>
      </c>
      <c r="AY230" t="s">
        <v>7363</v>
      </c>
      <c r="BA230">
        <v>0</v>
      </c>
      <c r="BB230" s="20">
        <v>44964</v>
      </c>
      <c r="BC230">
        <v>0</v>
      </c>
      <c r="BD230" t="s">
        <v>7360</v>
      </c>
      <c r="BF230" s="20">
        <v>44964</v>
      </c>
      <c r="BG230">
        <v>0</v>
      </c>
      <c r="BH230" t="s">
        <v>7363</v>
      </c>
      <c r="BJ230" t="s">
        <v>7362</v>
      </c>
      <c r="BK230">
        <v>169</v>
      </c>
      <c r="BL230">
        <v>11</v>
      </c>
      <c r="BM230">
        <v>1</v>
      </c>
      <c r="BN230" t="s">
        <v>7364</v>
      </c>
      <c r="BO230">
        <v>0</v>
      </c>
      <c r="BP230">
        <v>0</v>
      </c>
      <c r="BQ230">
        <v>0</v>
      </c>
      <c r="BR230">
        <v>0</v>
      </c>
      <c r="BS230" t="s">
        <v>132</v>
      </c>
      <c r="BT230" t="s">
        <v>7360</v>
      </c>
      <c r="BU230" t="s">
        <v>7360</v>
      </c>
      <c r="BV230" t="s">
        <v>7360</v>
      </c>
      <c r="BX230" t="s">
        <v>7391</v>
      </c>
      <c r="BY230">
        <v>74</v>
      </c>
      <c r="BZ230" t="s">
        <v>7360</v>
      </c>
      <c r="CA230" t="s">
        <v>7360</v>
      </c>
      <c r="CB230">
        <v>5558210</v>
      </c>
      <c r="CC230" s="21">
        <v>44964.523831018516</v>
      </c>
      <c r="CE230" t="s">
        <v>7392</v>
      </c>
      <c r="CF230">
        <v>1100101</v>
      </c>
      <c r="CG230">
        <v>53575</v>
      </c>
      <c r="CH230">
        <v>53575</v>
      </c>
      <c r="CI230" s="21">
        <v>44964.526192129626</v>
      </c>
      <c r="CJ230" t="s">
        <v>7393</v>
      </c>
      <c r="CK230" t="s">
        <v>7393</v>
      </c>
      <c r="CL230" t="s">
        <v>7394</v>
      </c>
      <c r="CM230" t="s">
        <v>7394</v>
      </c>
      <c r="CS230" t="s">
        <v>7361</v>
      </c>
      <c r="CT230" t="s">
        <v>7362</v>
      </c>
      <c r="CU230" t="s">
        <v>7362</v>
      </c>
      <c r="CV230" t="s">
        <v>7362</v>
      </c>
      <c r="CW230" t="s">
        <v>7362</v>
      </c>
      <c r="CX230">
        <v>3600000</v>
      </c>
      <c r="DA230">
        <v>0</v>
      </c>
    </row>
    <row r="231" spans="1:105" x14ac:dyDescent="0.3">
      <c r="A231">
        <v>1362</v>
      </c>
      <c r="B231" t="s">
        <v>7371</v>
      </c>
      <c r="C231">
        <v>66</v>
      </c>
      <c r="D231" s="20">
        <v>44949</v>
      </c>
      <c r="E231" t="s">
        <v>7356</v>
      </c>
      <c r="F231" t="s">
        <v>5786</v>
      </c>
      <c r="G231" t="s">
        <v>7357</v>
      </c>
      <c r="H231">
        <v>2</v>
      </c>
      <c r="I231" t="s">
        <v>7428</v>
      </c>
      <c r="J231" t="s">
        <v>7429</v>
      </c>
      <c r="K231" s="20">
        <v>44949</v>
      </c>
      <c r="L231" s="23">
        <f>3750*4631.64</f>
        <v>17368650</v>
      </c>
      <c r="M231" t="s">
        <v>7359</v>
      </c>
      <c r="N231" t="s">
        <v>7360</v>
      </c>
      <c r="O231">
        <v>0</v>
      </c>
      <c r="P231">
        <v>11726</v>
      </c>
      <c r="Q231">
        <v>414034</v>
      </c>
      <c r="R231">
        <v>0</v>
      </c>
      <c r="S231">
        <v>20230123</v>
      </c>
      <c r="T231">
        <v>0</v>
      </c>
      <c r="U231" t="s">
        <v>7361</v>
      </c>
      <c r="V231" t="s">
        <v>7360</v>
      </c>
      <c r="W231" t="s">
        <v>7360</v>
      </c>
      <c r="X231" t="s">
        <v>7360</v>
      </c>
      <c r="Y231" t="s">
        <v>7360</v>
      </c>
      <c r="Z231" t="s">
        <v>7360</v>
      </c>
      <c r="AA231" t="s">
        <v>7362</v>
      </c>
      <c r="AB231" t="s">
        <v>7360</v>
      </c>
      <c r="AC231" t="s">
        <v>7360</v>
      </c>
      <c r="AD231" t="s">
        <v>7360</v>
      </c>
      <c r="AE231" t="s">
        <v>7360</v>
      </c>
      <c r="AF231" t="s">
        <v>1684</v>
      </c>
      <c r="AG231">
        <v>0</v>
      </c>
      <c r="AH231">
        <v>0</v>
      </c>
      <c r="AI231">
        <v>0</v>
      </c>
      <c r="AJ231">
        <v>0</v>
      </c>
      <c r="AK231">
        <v>0</v>
      </c>
      <c r="AL231" t="s">
        <v>7360</v>
      </c>
      <c r="AM231">
        <v>0</v>
      </c>
      <c r="AN231" s="20">
        <v>44949</v>
      </c>
      <c r="AO231" s="20">
        <v>44949</v>
      </c>
      <c r="AP231" s="20">
        <v>44949</v>
      </c>
      <c r="AQ231">
        <v>0</v>
      </c>
      <c r="AR231">
        <v>0</v>
      </c>
      <c r="AS231">
        <v>0</v>
      </c>
      <c r="AT231">
        <v>0</v>
      </c>
      <c r="AU231">
        <v>0</v>
      </c>
      <c r="AV231" t="s">
        <v>7360</v>
      </c>
      <c r="AW231">
        <v>0</v>
      </c>
      <c r="AX231" t="s">
        <v>7360</v>
      </c>
      <c r="AY231" t="s">
        <v>7363</v>
      </c>
      <c r="BA231">
        <v>0</v>
      </c>
      <c r="BB231" s="20">
        <v>44949</v>
      </c>
      <c r="BC231">
        <v>0</v>
      </c>
      <c r="BD231" t="s">
        <v>7360</v>
      </c>
      <c r="BF231" s="20">
        <v>44949</v>
      </c>
      <c r="BG231">
        <v>0</v>
      </c>
      <c r="BH231" t="s">
        <v>7363</v>
      </c>
      <c r="BJ231" t="s">
        <v>7362</v>
      </c>
      <c r="BK231">
        <v>169</v>
      </c>
      <c r="BL231">
        <v>11</v>
      </c>
      <c r="BM231">
        <v>1</v>
      </c>
      <c r="BN231" t="s">
        <v>7364</v>
      </c>
      <c r="BO231">
        <v>169</v>
      </c>
      <c r="BP231">
        <v>11</v>
      </c>
      <c r="BQ231">
        <v>1</v>
      </c>
      <c r="BR231" t="s">
        <v>7364</v>
      </c>
      <c r="BS231" t="s">
        <v>132</v>
      </c>
      <c r="BT231" t="s">
        <v>7360</v>
      </c>
      <c r="BU231" t="s">
        <v>7360</v>
      </c>
      <c r="BV231" t="s">
        <v>7360</v>
      </c>
      <c r="BX231" t="s">
        <v>7391</v>
      </c>
      <c r="BY231">
        <v>74</v>
      </c>
      <c r="BZ231" t="s">
        <v>7360</v>
      </c>
      <c r="CA231" t="s">
        <v>7360</v>
      </c>
      <c r="CB231">
        <v>3380666</v>
      </c>
      <c r="CC231" s="21">
        <v>44972.407372685186</v>
      </c>
      <c r="CE231" t="s">
        <v>7392</v>
      </c>
      <c r="CF231">
        <v>1100101</v>
      </c>
      <c r="CG231">
        <v>51669</v>
      </c>
      <c r="CH231">
        <v>51669</v>
      </c>
      <c r="CI231" s="21">
        <v>44972.412349537037</v>
      </c>
      <c r="CJ231" t="s">
        <v>7406</v>
      </c>
      <c r="CK231" t="s">
        <v>7406</v>
      </c>
      <c r="CL231" t="s">
        <v>7407</v>
      </c>
      <c r="CM231" t="s">
        <v>7407</v>
      </c>
      <c r="CS231" t="s">
        <v>7361</v>
      </c>
      <c r="CT231" t="s">
        <v>7362</v>
      </c>
      <c r="CU231" t="s">
        <v>7362</v>
      </c>
      <c r="CV231" t="s">
        <v>7362</v>
      </c>
      <c r="CW231" t="s">
        <v>7362</v>
      </c>
      <c r="CX231">
        <v>16065000</v>
      </c>
      <c r="DA231">
        <v>0</v>
      </c>
    </row>
    <row r="232" spans="1:105" x14ac:dyDescent="0.3">
      <c r="A232">
        <v>1357</v>
      </c>
      <c r="B232" t="s">
        <v>7405</v>
      </c>
      <c r="C232">
        <v>779</v>
      </c>
      <c r="D232" s="20">
        <v>45012</v>
      </c>
      <c r="E232" t="s">
        <v>7372</v>
      </c>
      <c r="F232" t="s">
        <v>5791</v>
      </c>
      <c r="G232" t="s">
        <v>7357</v>
      </c>
      <c r="H232">
        <v>1</v>
      </c>
      <c r="I232" t="s">
        <v>7358</v>
      </c>
      <c r="J232">
        <v>1</v>
      </c>
      <c r="K232" s="20">
        <v>45012</v>
      </c>
      <c r="L232" s="23">
        <v>17583142</v>
      </c>
      <c r="M232" t="s">
        <v>7359</v>
      </c>
      <c r="N232" t="s">
        <v>7360</v>
      </c>
      <c r="O232">
        <v>0</v>
      </c>
      <c r="P232">
        <v>13419</v>
      </c>
      <c r="Q232">
        <v>460012</v>
      </c>
      <c r="R232">
        <v>0</v>
      </c>
      <c r="S232">
        <v>20230327</v>
      </c>
      <c r="T232">
        <v>0</v>
      </c>
      <c r="U232" t="s">
        <v>7362</v>
      </c>
      <c r="V232" t="s">
        <v>7360</v>
      </c>
      <c r="W232" t="s">
        <v>7360</v>
      </c>
      <c r="X232" t="s">
        <v>7360</v>
      </c>
      <c r="Y232" t="s">
        <v>7360</v>
      </c>
      <c r="Z232" t="s">
        <v>7360</v>
      </c>
      <c r="AA232" t="s">
        <v>7362</v>
      </c>
      <c r="AB232" t="s">
        <v>7360</v>
      </c>
      <c r="AC232" t="s">
        <v>7360</v>
      </c>
      <c r="AD232" t="s">
        <v>7360</v>
      </c>
      <c r="AE232" t="s">
        <v>7360</v>
      </c>
      <c r="AF232" t="s">
        <v>1684</v>
      </c>
      <c r="AG232">
        <v>0</v>
      </c>
      <c r="AH232">
        <v>0</v>
      </c>
      <c r="AI232">
        <v>0</v>
      </c>
      <c r="AJ232">
        <v>0</v>
      </c>
      <c r="AK232">
        <v>0</v>
      </c>
      <c r="AL232" t="s">
        <v>7360</v>
      </c>
      <c r="AM232">
        <v>0</v>
      </c>
      <c r="AN232" s="20">
        <v>45012</v>
      </c>
      <c r="AO232" s="20">
        <v>45012</v>
      </c>
      <c r="AP232" s="20">
        <v>45012</v>
      </c>
      <c r="AQ232">
        <v>0</v>
      </c>
      <c r="AR232">
        <v>0</v>
      </c>
      <c r="AS232">
        <v>0</v>
      </c>
      <c r="AT232">
        <v>0</v>
      </c>
      <c r="AU232">
        <v>0</v>
      </c>
      <c r="AV232" t="s">
        <v>7360</v>
      </c>
      <c r="AW232">
        <v>0</v>
      </c>
      <c r="AX232" t="s">
        <v>7360</v>
      </c>
      <c r="AY232" t="s">
        <v>7373</v>
      </c>
      <c r="BA232">
        <v>0</v>
      </c>
      <c r="BB232" s="20">
        <v>45012</v>
      </c>
      <c r="BC232">
        <v>0</v>
      </c>
      <c r="BD232" t="s">
        <v>7360</v>
      </c>
      <c r="BF232" s="20">
        <v>45012</v>
      </c>
      <c r="BG232">
        <v>0</v>
      </c>
      <c r="BH232" t="s">
        <v>1684</v>
      </c>
      <c r="BJ232" t="s">
        <v>7362</v>
      </c>
      <c r="BK232">
        <v>169</v>
      </c>
      <c r="BL232">
        <v>11</v>
      </c>
      <c r="BM232">
        <v>1</v>
      </c>
      <c r="BN232" t="s">
        <v>7364</v>
      </c>
      <c r="BO232">
        <v>0</v>
      </c>
      <c r="BP232">
        <v>0</v>
      </c>
      <c r="BQ232">
        <v>0</v>
      </c>
      <c r="BR232">
        <v>0</v>
      </c>
      <c r="BS232" t="s">
        <v>132</v>
      </c>
      <c r="BT232" t="s">
        <v>7360</v>
      </c>
      <c r="BU232" t="s">
        <v>7360</v>
      </c>
      <c r="BV232" t="s">
        <v>7360</v>
      </c>
      <c r="BX232" t="s">
        <v>7391</v>
      </c>
      <c r="BY232">
        <v>74</v>
      </c>
      <c r="BZ232" t="s">
        <v>7360</v>
      </c>
      <c r="CA232" t="s">
        <v>7360</v>
      </c>
      <c r="CB232">
        <v>5558210</v>
      </c>
      <c r="CC232" s="21">
        <v>44973.604826388888</v>
      </c>
      <c r="CE232" t="s">
        <v>7392</v>
      </c>
      <c r="CF232">
        <v>1100101</v>
      </c>
      <c r="CG232">
        <v>53575</v>
      </c>
      <c r="CH232">
        <v>53575</v>
      </c>
      <c r="CI232" s="21">
        <v>44973.607094907406</v>
      </c>
      <c r="CJ232" t="s">
        <v>7393</v>
      </c>
      <c r="CK232" t="s">
        <v>7393</v>
      </c>
      <c r="CL232" t="s">
        <v>7394</v>
      </c>
      <c r="CM232" t="s">
        <v>7394</v>
      </c>
      <c r="CS232" t="s">
        <v>7361</v>
      </c>
      <c r="CT232" t="s">
        <v>7362</v>
      </c>
      <c r="CU232" t="s">
        <v>7362</v>
      </c>
      <c r="CV232" t="s">
        <v>7362</v>
      </c>
      <c r="CW232" t="s">
        <v>7362</v>
      </c>
      <c r="CX232">
        <v>16779000</v>
      </c>
      <c r="DA232">
        <v>0</v>
      </c>
    </row>
    <row r="233" spans="1:105" x14ac:dyDescent="0.3">
      <c r="A233">
        <v>1354</v>
      </c>
      <c r="B233" t="s">
        <v>7396</v>
      </c>
      <c r="C233">
        <v>256</v>
      </c>
      <c r="D233" s="20">
        <v>44964</v>
      </c>
      <c r="E233" t="s">
        <v>7356</v>
      </c>
      <c r="F233" t="s">
        <v>5797</v>
      </c>
      <c r="G233" t="s">
        <v>7370</v>
      </c>
      <c r="H233">
        <v>1</v>
      </c>
      <c r="I233" t="s">
        <v>7358</v>
      </c>
      <c r="J233">
        <v>1</v>
      </c>
      <c r="K233" s="20">
        <v>44964</v>
      </c>
      <c r="L233" s="23">
        <v>1350000</v>
      </c>
      <c r="M233" t="s">
        <v>7359</v>
      </c>
      <c r="N233" t="s">
        <v>7360</v>
      </c>
      <c r="O233">
        <v>0</v>
      </c>
      <c r="P233">
        <v>12134</v>
      </c>
      <c r="Q233">
        <v>420004</v>
      </c>
      <c r="R233">
        <v>0</v>
      </c>
      <c r="S233">
        <v>20230207</v>
      </c>
      <c r="T233">
        <v>0</v>
      </c>
      <c r="U233" t="s">
        <v>7361</v>
      </c>
      <c r="V233" t="s">
        <v>7360</v>
      </c>
      <c r="W233" t="s">
        <v>7360</v>
      </c>
      <c r="X233" t="s">
        <v>7360</v>
      </c>
      <c r="Y233" t="s">
        <v>7360</v>
      </c>
      <c r="Z233" t="s">
        <v>7360</v>
      </c>
      <c r="AA233" t="s">
        <v>7362</v>
      </c>
      <c r="AB233" t="s">
        <v>7360</v>
      </c>
      <c r="AC233" t="s">
        <v>7360</v>
      </c>
      <c r="AD233" t="s">
        <v>7360</v>
      </c>
      <c r="AE233" t="s">
        <v>7360</v>
      </c>
      <c r="AF233" t="s">
        <v>1684</v>
      </c>
      <c r="AG233">
        <v>0</v>
      </c>
      <c r="AH233">
        <v>0</v>
      </c>
      <c r="AI233">
        <v>0</v>
      </c>
      <c r="AJ233">
        <v>0</v>
      </c>
      <c r="AK233">
        <v>0</v>
      </c>
      <c r="AL233" t="s">
        <v>7360</v>
      </c>
      <c r="AM233">
        <v>0</v>
      </c>
      <c r="AN233" s="20">
        <v>44964</v>
      </c>
      <c r="AO233" s="20">
        <v>44964</v>
      </c>
      <c r="AP233" s="20">
        <v>44964</v>
      </c>
      <c r="AQ233">
        <v>0</v>
      </c>
      <c r="AR233">
        <v>0</v>
      </c>
      <c r="AS233">
        <v>0</v>
      </c>
      <c r="AT233">
        <v>0</v>
      </c>
      <c r="AU233">
        <v>0</v>
      </c>
      <c r="AV233" t="s">
        <v>7360</v>
      </c>
      <c r="AW233">
        <v>0</v>
      </c>
      <c r="AX233" t="s">
        <v>7360</v>
      </c>
      <c r="AY233" t="s">
        <v>7363</v>
      </c>
      <c r="BA233">
        <v>0</v>
      </c>
      <c r="BB233" s="20">
        <v>44964</v>
      </c>
      <c r="BC233">
        <v>0</v>
      </c>
      <c r="BD233" t="s">
        <v>7360</v>
      </c>
      <c r="BF233" s="20">
        <v>44964</v>
      </c>
      <c r="BG233">
        <v>0</v>
      </c>
      <c r="BH233" t="s">
        <v>7363</v>
      </c>
      <c r="BJ233" t="s">
        <v>7362</v>
      </c>
      <c r="BK233">
        <v>169</v>
      </c>
      <c r="BL233">
        <v>11</v>
      </c>
      <c r="BM233">
        <v>1</v>
      </c>
      <c r="BN233" t="s">
        <v>7364</v>
      </c>
      <c r="BO233">
        <v>169</v>
      </c>
      <c r="BP233">
        <v>11</v>
      </c>
      <c r="BQ233">
        <v>1</v>
      </c>
      <c r="BR233" t="s">
        <v>7364</v>
      </c>
      <c r="BS233" t="s">
        <v>132</v>
      </c>
      <c r="BT233" t="s">
        <v>7360</v>
      </c>
      <c r="BU233" t="s">
        <v>7360</v>
      </c>
      <c r="BV233" t="s">
        <v>7360</v>
      </c>
      <c r="BX233" t="s">
        <v>7391</v>
      </c>
      <c r="BY233">
        <v>74</v>
      </c>
      <c r="BZ233" t="s">
        <v>7360</v>
      </c>
      <c r="CA233" t="s">
        <v>7360</v>
      </c>
      <c r="CB233" t="s">
        <v>7360</v>
      </c>
      <c r="CC233" s="21">
        <v>44964.603194444448</v>
      </c>
      <c r="CE233" t="s">
        <v>7392</v>
      </c>
      <c r="CF233">
        <v>1100101</v>
      </c>
      <c r="CG233">
        <v>53575</v>
      </c>
      <c r="CH233">
        <v>53575</v>
      </c>
      <c r="CI233" s="21">
        <v>44964.604155092595</v>
      </c>
      <c r="CJ233" t="s">
        <v>7393</v>
      </c>
      <c r="CK233" t="s">
        <v>7393</v>
      </c>
      <c r="CL233" t="s">
        <v>7394</v>
      </c>
      <c r="CM233" t="s">
        <v>7394</v>
      </c>
      <c r="CS233" t="s">
        <v>7361</v>
      </c>
      <c r="CT233" t="s">
        <v>7362</v>
      </c>
      <c r="CU233" t="s">
        <v>7362</v>
      </c>
      <c r="CV233" t="s">
        <v>7362</v>
      </c>
      <c r="CW233" t="s">
        <v>7362</v>
      </c>
      <c r="CX233">
        <v>1350000</v>
      </c>
      <c r="DA233">
        <v>0</v>
      </c>
    </row>
    <row r="234" spans="1:105" x14ac:dyDescent="0.3">
      <c r="A234">
        <v>1365</v>
      </c>
      <c r="B234" t="s">
        <v>7384</v>
      </c>
      <c r="C234">
        <v>257</v>
      </c>
      <c r="D234" s="20">
        <v>44964</v>
      </c>
      <c r="E234" t="s">
        <v>7356</v>
      </c>
      <c r="F234" t="s">
        <v>5802</v>
      </c>
      <c r="G234" t="s">
        <v>7370</v>
      </c>
      <c r="H234">
        <v>1</v>
      </c>
      <c r="I234" t="s">
        <v>7358</v>
      </c>
      <c r="J234">
        <v>1</v>
      </c>
      <c r="K234" s="20">
        <v>44964</v>
      </c>
      <c r="L234" s="23">
        <v>1676829</v>
      </c>
      <c r="M234" t="s">
        <v>7359</v>
      </c>
      <c r="N234" t="s">
        <v>7360</v>
      </c>
      <c r="O234">
        <v>0</v>
      </c>
      <c r="P234">
        <v>12177</v>
      </c>
      <c r="Q234">
        <v>421004</v>
      </c>
      <c r="R234">
        <v>0</v>
      </c>
      <c r="S234">
        <v>20230207</v>
      </c>
      <c r="T234">
        <v>0</v>
      </c>
      <c r="U234" t="s">
        <v>7361</v>
      </c>
      <c r="V234" t="s">
        <v>7360</v>
      </c>
      <c r="W234" t="s">
        <v>7360</v>
      </c>
      <c r="X234" t="s">
        <v>7360</v>
      </c>
      <c r="Y234" t="s">
        <v>7360</v>
      </c>
      <c r="Z234" t="s">
        <v>7360</v>
      </c>
      <c r="AA234" t="s">
        <v>7362</v>
      </c>
      <c r="AB234" t="s">
        <v>7360</v>
      </c>
      <c r="AC234" t="s">
        <v>7360</v>
      </c>
      <c r="AD234" t="s">
        <v>7360</v>
      </c>
      <c r="AE234" t="s">
        <v>7360</v>
      </c>
      <c r="AF234" t="s">
        <v>1684</v>
      </c>
      <c r="AG234">
        <v>0</v>
      </c>
      <c r="AH234">
        <v>0</v>
      </c>
      <c r="AI234">
        <v>0</v>
      </c>
      <c r="AJ234">
        <v>0</v>
      </c>
      <c r="AK234">
        <v>0</v>
      </c>
      <c r="AL234" t="s">
        <v>7360</v>
      </c>
      <c r="AM234">
        <v>0</v>
      </c>
      <c r="AN234" s="20">
        <v>44964</v>
      </c>
      <c r="AO234" s="20">
        <v>44964</v>
      </c>
      <c r="AP234" s="20">
        <v>44964</v>
      </c>
      <c r="AQ234">
        <v>0</v>
      </c>
      <c r="AR234">
        <v>0</v>
      </c>
      <c r="AS234">
        <v>0</v>
      </c>
      <c r="AT234">
        <v>0</v>
      </c>
      <c r="AU234">
        <v>0</v>
      </c>
      <c r="AV234" t="s">
        <v>7360</v>
      </c>
      <c r="AW234">
        <v>0</v>
      </c>
      <c r="AX234" t="s">
        <v>7360</v>
      </c>
      <c r="AY234" t="s">
        <v>7363</v>
      </c>
      <c r="BA234">
        <v>0</v>
      </c>
      <c r="BB234" s="20">
        <v>44964</v>
      </c>
      <c r="BC234">
        <v>0</v>
      </c>
      <c r="BD234" t="s">
        <v>7360</v>
      </c>
      <c r="BF234" s="20">
        <v>44964</v>
      </c>
      <c r="BG234">
        <v>0</v>
      </c>
      <c r="BH234" t="s">
        <v>7363</v>
      </c>
      <c r="BJ234" t="s">
        <v>7362</v>
      </c>
      <c r="BK234">
        <v>169</v>
      </c>
      <c r="BL234">
        <v>11</v>
      </c>
      <c r="BM234">
        <v>1</v>
      </c>
      <c r="BN234" t="s">
        <v>7364</v>
      </c>
      <c r="BO234">
        <v>169</v>
      </c>
      <c r="BP234">
        <v>11</v>
      </c>
      <c r="BQ234">
        <v>1</v>
      </c>
      <c r="BR234" t="s">
        <v>7364</v>
      </c>
      <c r="BS234" t="s">
        <v>7385</v>
      </c>
      <c r="BT234" t="s">
        <v>7360</v>
      </c>
      <c r="BU234" t="s">
        <v>7360</v>
      </c>
      <c r="BV234" t="s">
        <v>7360</v>
      </c>
      <c r="BX234" t="s">
        <v>7391</v>
      </c>
      <c r="BY234">
        <v>74</v>
      </c>
      <c r="BZ234" t="s">
        <v>7360</v>
      </c>
      <c r="CA234" t="s">
        <v>7360</v>
      </c>
      <c r="CB234">
        <v>5558210</v>
      </c>
      <c r="CC234" s="21">
        <v>44964.617858796293</v>
      </c>
      <c r="CE234" t="s">
        <v>7392</v>
      </c>
      <c r="CF234">
        <v>1100101</v>
      </c>
      <c r="CG234">
        <v>53575</v>
      </c>
      <c r="CH234">
        <v>53575</v>
      </c>
      <c r="CI234" s="21">
        <v>44964.62060185185</v>
      </c>
      <c r="CJ234" t="s">
        <v>7393</v>
      </c>
      <c r="CK234" t="s">
        <v>7393</v>
      </c>
      <c r="CL234" t="s">
        <v>7394</v>
      </c>
      <c r="CM234" t="s">
        <v>7394</v>
      </c>
      <c r="CS234" t="s">
        <v>7361</v>
      </c>
      <c r="CT234" t="s">
        <v>7362</v>
      </c>
      <c r="CU234" t="s">
        <v>7362</v>
      </c>
      <c r="CV234" t="s">
        <v>7362</v>
      </c>
      <c r="CW234" t="s">
        <v>7362</v>
      </c>
      <c r="CX234">
        <v>1676829</v>
      </c>
      <c r="DA234">
        <v>0</v>
      </c>
    </row>
    <row r="235" spans="1:105" x14ac:dyDescent="0.3">
      <c r="A235">
        <v>1357</v>
      </c>
      <c r="B235" t="s">
        <v>7405</v>
      </c>
      <c r="C235">
        <v>258</v>
      </c>
      <c r="D235" s="20">
        <v>44964</v>
      </c>
      <c r="E235" t="s">
        <v>7372</v>
      </c>
      <c r="F235" t="s">
        <v>5807</v>
      </c>
      <c r="G235" t="s">
        <v>7357</v>
      </c>
      <c r="H235">
        <v>1</v>
      </c>
      <c r="I235" t="s">
        <v>7358</v>
      </c>
      <c r="J235">
        <v>1</v>
      </c>
      <c r="K235" s="20">
        <v>44964</v>
      </c>
      <c r="L235" s="23">
        <v>2257135</v>
      </c>
      <c r="M235" t="s">
        <v>7359</v>
      </c>
      <c r="N235" t="s">
        <v>7360</v>
      </c>
      <c r="O235">
        <v>0</v>
      </c>
      <c r="P235">
        <v>12136</v>
      </c>
      <c r="Q235">
        <v>420005</v>
      </c>
      <c r="R235">
        <v>0</v>
      </c>
      <c r="S235">
        <v>20230207</v>
      </c>
      <c r="T235">
        <v>0</v>
      </c>
      <c r="U235" t="s">
        <v>7362</v>
      </c>
      <c r="V235" t="s">
        <v>7360</v>
      </c>
      <c r="W235" t="s">
        <v>7360</v>
      </c>
      <c r="X235" t="s">
        <v>7360</v>
      </c>
      <c r="Y235" t="s">
        <v>7360</v>
      </c>
      <c r="Z235" t="s">
        <v>7360</v>
      </c>
      <c r="AA235" t="s">
        <v>7362</v>
      </c>
      <c r="AB235" t="s">
        <v>7360</v>
      </c>
      <c r="AC235" t="s">
        <v>7360</v>
      </c>
      <c r="AD235" t="s">
        <v>7360</v>
      </c>
      <c r="AE235" t="s">
        <v>7360</v>
      </c>
      <c r="AF235" t="s">
        <v>1684</v>
      </c>
      <c r="AG235">
        <v>0</v>
      </c>
      <c r="AH235">
        <v>0</v>
      </c>
      <c r="AI235">
        <v>0</v>
      </c>
      <c r="AJ235">
        <v>0</v>
      </c>
      <c r="AK235">
        <v>0</v>
      </c>
      <c r="AL235" t="s">
        <v>7360</v>
      </c>
      <c r="AM235">
        <v>0</v>
      </c>
      <c r="AN235" s="20">
        <v>44964</v>
      </c>
      <c r="AO235" s="20">
        <v>44964</v>
      </c>
      <c r="AP235" s="20">
        <v>44964</v>
      </c>
      <c r="AQ235">
        <v>0</v>
      </c>
      <c r="AR235">
        <v>0</v>
      </c>
      <c r="AS235">
        <v>0</v>
      </c>
      <c r="AT235">
        <v>0</v>
      </c>
      <c r="AU235">
        <v>0</v>
      </c>
      <c r="AV235" t="s">
        <v>7360</v>
      </c>
      <c r="AW235">
        <v>0</v>
      </c>
      <c r="AX235" t="s">
        <v>7360</v>
      </c>
      <c r="AY235" t="s">
        <v>7373</v>
      </c>
      <c r="BA235">
        <v>0</v>
      </c>
      <c r="BB235" s="20">
        <v>44964</v>
      </c>
      <c r="BC235">
        <v>0</v>
      </c>
      <c r="BD235" t="s">
        <v>7360</v>
      </c>
      <c r="BF235" s="20">
        <v>44964</v>
      </c>
      <c r="BG235">
        <v>0</v>
      </c>
      <c r="BH235" t="s">
        <v>1684</v>
      </c>
      <c r="BJ235" t="s">
        <v>7362</v>
      </c>
      <c r="BK235">
        <v>0</v>
      </c>
      <c r="BL235">
        <v>0</v>
      </c>
      <c r="BM235">
        <v>0</v>
      </c>
      <c r="BN235">
        <v>0</v>
      </c>
      <c r="BO235">
        <v>169</v>
      </c>
      <c r="BP235">
        <v>11</v>
      </c>
      <c r="BQ235">
        <v>1</v>
      </c>
      <c r="BR235" t="s">
        <v>7364</v>
      </c>
      <c r="BS235" t="s">
        <v>7382</v>
      </c>
      <c r="BT235" t="s">
        <v>7360</v>
      </c>
      <c r="BU235" t="s">
        <v>7360</v>
      </c>
      <c r="BV235" t="s">
        <v>7360</v>
      </c>
      <c r="BX235">
        <v>0</v>
      </c>
      <c r="BY235">
        <v>0</v>
      </c>
      <c r="BZ235" t="s">
        <v>7360</v>
      </c>
      <c r="CA235" t="s">
        <v>7360</v>
      </c>
      <c r="CB235">
        <v>3380666</v>
      </c>
      <c r="CC235" s="21">
        <v>44964.625775462962</v>
      </c>
      <c r="CE235" t="s">
        <v>7366</v>
      </c>
      <c r="CF235">
        <v>0</v>
      </c>
      <c r="CG235">
        <v>702002</v>
      </c>
      <c r="CH235">
        <v>702002</v>
      </c>
      <c r="CI235" s="21">
        <v>44964.63077546296</v>
      </c>
      <c r="CJ235" t="s">
        <v>7367</v>
      </c>
      <c r="CK235" t="s">
        <v>7367</v>
      </c>
      <c r="CL235" t="s">
        <v>7368</v>
      </c>
      <c r="CM235" t="s">
        <v>7368</v>
      </c>
      <c r="CS235" t="s">
        <v>7361</v>
      </c>
      <c r="CT235" t="s">
        <v>7362</v>
      </c>
      <c r="CU235" t="s">
        <v>7362</v>
      </c>
      <c r="CV235" t="s">
        <v>7362</v>
      </c>
      <c r="CW235" t="s">
        <v>7362</v>
      </c>
      <c r="CX235">
        <v>2257135</v>
      </c>
      <c r="DA235">
        <v>0</v>
      </c>
    </row>
    <row r="236" spans="1:105" x14ac:dyDescent="0.3">
      <c r="A236">
        <v>1375</v>
      </c>
      <c r="B236" t="s">
        <v>7399</v>
      </c>
      <c r="C236">
        <v>259</v>
      </c>
      <c r="D236" s="20">
        <v>44964</v>
      </c>
      <c r="E236" t="s">
        <v>7356</v>
      </c>
      <c r="F236" t="s">
        <v>5813</v>
      </c>
      <c r="G236" t="s">
        <v>7357</v>
      </c>
      <c r="H236">
        <v>1</v>
      </c>
      <c r="I236" t="s">
        <v>7358</v>
      </c>
      <c r="J236">
        <v>1</v>
      </c>
      <c r="K236" s="20">
        <v>44964</v>
      </c>
      <c r="L236" s="23">
        <v>7020000</v>
      </c>
      <c r="M236" t="s">
        <v>7359</v>
      </c>
      <c r="N236" t="s">
        <v>7360</v>
      </c>
      <c r="O236">
        <v>0</v>
      </c>
      <c r="P236">
        <v>12143</v>
      </c>
      <c r="Q236">
        <v>420013</v>
      </c>
      <c r="R236">
        <v>0</v>
      </c>
      <c r="S236">
        <v>20230207</v>
      </c>
      <c r="T236">
        <v>0</v>
      </c>
      <c r="U236" t="s">
        <v>7361</v>
      </c>
      <c r="V236" t="s">
        <v>7360</v>
      </c>
      <c r="W236" t="s">
        <v>7360</v>
      </c>
      <c r="X236" t="s">
        <v>7360</v>
      </c>
      <c r="Y236" t="s">
        <v>7360</v>
      </c>
      <c r="Z236" t="s">
        <v>7360</v>
      </c>
      <c r="AA236" t="s">
        <v>7362</v>
      </c>
      <c r="AB236" t="s">
        <v>7360</v>
      </c>
      <c r="AC236" t="s">
        <v>7360</v>
      </c>
      <c r="AD236" t="s">
        <v>7360</v>
      </c>
      <c r="AE236" t="s">
        <v>7360</v>
      </c>
      <c r="AF236" t="s">
        <v>1684</v>
      </c>
      <c r="AG236">
        <v>0</v>
      </c>
      <c r="AH236">
        <v>0</v>
      </c>
      <c r="AI236">
        <v>0</v>
      </c>
      <c r="AJ236">
        <v>0</v>
      </c>
      <c r="AK236">
        <v>0</v>
      </c>
      <c r="AL236" t="s">
        <v>7360</v>
      </c>
      <c r="AM236">
        <v>0</v>
      </c>
      <c r="AN236" s="20">
        <v>44964</v>
      </c>
      <c r="AO236" s="20">
        <v>44964</v>
      </c>
      <c r="AP236" s="20">
        <v>44964</v>
      </c>
      <c r="AQ236">
        <v>0</v>
      </c>
      <c r="AR236">
        <v>0</v>
      </c>
      <c r="AS236">
        <v>0</v>
      </c>
      <c r="AT236">
        <v>0</v>
      </c>
      <c r="AU236">
        <v>0</v>
      </c>
      <c r="AV236" t="s">
        <v>7360</v>
      </c>
      <c r="AW236">
        <v>0</v>
      </c>
      <c r="AX236" t="s">
        <v>7360</v>
      </c>
      <c r="AY236" t="s">
        <v>7363</v>
      </c>
      <c r="BA236">
        <v>0</v>
      </c>
      <c r="BB236" s="20">
        <v>44964</v>
      </c>
      <c r="BC236">
        <v>0</v>
      </c>
      <c r="BD236" t="s">
        <v>7360</v>
      </c>
      <c r="BF236" s="20">
        <v>44964</v>
      </c>
      <c r="BG236">
        <v>0</v>
      </c>
      <c r="BH236" t="s">
        <v>7363</v>
      </c>
      <c r="BJ236" t="s">
        <v>7362</v>
      </c>
      <c r="BK236">
        <v>169</v>
      </c>
      <c r="BL236">
        <v>11</v>
      </c>
      <c r="BM236">
        <v>1</v>
      </c>
      <c r="BN236" t="s">
        <v>7364</v>
      </c>
      <c r="BO236">
        <v>0</v>
      </c>
      <c r="BP236">
        <v>0</v>
      </c>
      <c r="BQ236">
        <v>0</v>
      </c>
      <c r="BR236">
        <v>0</v>
      </c>
      <c r="BS236" t="s">
        <v>7430</v>
      </c>
      <c r="BT236" t="s">
        <v>7360</v>
      </c>
      <c r="BU236" t="s">
        <v>7360</v>
      </c>
      <c r="BV236" t="s">
        <v>7360</v>
      </c>
      <c r="BX236" t="s">
        <v>7391</v>
      </c>
      <c r="BY236">
        <v>74</v>
      </c>
      <c r="BZ236" t="s">
        <v>7360</v>
      </c>
      <c r="CA236" t="s">
        <v>7360</v>
      </c>
      <c r="CB236">
        <v>5558210</v>
      </c>
      <c r="CC236" s="21">
        <v>44964.625983796293</v>
      </c>
      <c r="CE236" t="s">
        <v>7392</v>
      </c>
      <c r="CF236">
        <v>1100101</v>
      </c>
      <c r="CG236">
        <v>53575</v>
      </c>
      <c r="CH236">
        <v>53575</v>
      </c>
      <c r="CI236" s="21">
        <v>44964.62771990741</v>
      </c>
      <c r="CJ236" t="s">
        <v>7393</v>
      </c>
      <c r="CK236" t="s">
        <v>7393</v>
      </c>
      <c r="CL236" t="s">
        <v>7394</v>
      </c>
      <c r="CM236" t="s">
        <v>7394</v>
      </c>
      <c r="CS236" t="s">
        <v>7361</v>
      </c>
      <c r="CT236" t="s">
        <v>7362</v>
      </c>
      <c r="CU236" t="s">
        <v>7362</v>
      </c>
      <c r="CV236" t="s">
        <v>7362</v>
      </c>
      <c r="CW236" t="s">
        <v>7362</v>
      </c>
      <c r="CX236">
        <v>7020000</v>
      </c>
      <c r="DA236">
        <v>0</v>
      </c>
    </row>
    <row r="237" spans="1:105" x14ac:dyDescent="0.3">
      <c r="A237">
        <v>1354</v>
      </c>
      <c r="B237" t="s">
        <v>7396</v>
      </c>
      <c r="C237">
        <v>260</v>
      </c>
      <c r="D237" s="20">
        <v>44964</v>
      </c>
      <c r="E237" t="s">
        <v>7372</v>
      </c>
      <c r="F237" t="s">
        <v>5818</v>
      </c>
      <c r="G237" t="s">
        <v>7357</v>
      </c>
      <c r="H237">
        <v>1</v>
      </c>
      <c r="I237" t="s">
        <v>7358</v>
      </c>
      <c r="J237">
        <v>1</v>
      </c>
      <c r="K237" s="20">
        <v>44964</v>
      </c>
      <c r="L237" s="23">
        <v>8925000</v>
      </c>
      <c r="M237" t="s">
        <v>7359</v>
      </c>
      <c r="N237" t="s">
        <v>7360</v>
      </c>
      <c r="O237">
        <v>0</v>
      </c>
      <c r="P237">
        <v>12085</v>
      </c>
      <c r="Q237">
        <v>419027</v>
      </c>
      <c r="R237">
        <v>0</v>
      </c>
      <c r="S237">
        <v>20230207</v>
      </c>
      <c r="T237">
        <v>0</v>
      </c>
      <c r="U237" t="s">
        <v>7362</v>
      </c>
      <c r="V237" t="s">
        <v>7360</v>
      </c>
      <c r="W237" t="s">
        <v>7360</v>
      </c>
      <c r="X237" t="s">
        <v>7360</v>
      </c>
      <c r="Y237" t="s">
        <v>7360</v>
      </c>
      <c r="Z237" t="s">
        <v>7360</v>
      </c>
      <c r="AA237" t="s">
        <v>7362</v>
      </c>
      <c r="AB237" t="s">
        <v>7360</v>
      </c>
      <c r="AC237" t="s">
        <v>7360</v>
      </c>
      <c r="AD237" t="s">
        <v>7360</v>
      </c>
      <c r="AE237" t="s">
        <v>7360</v>
      </c>
      <c r="AF237" t="s">
        <v>1684</v>
      </c>
      <c r="AG237">
        <v>0</v>
      </c>
      <c r="AH237">
        <v>0</v>
      </c>
      <c r="AI237">
        <v>0</v>
      </c>
      <c r="AJ237">
        <v>0</v>
      </c>
      <c r="AK237">
        <v>0</v>
      </c>
      <c r="AL237" t="s">
        <v>7360</v>
      </c>
      <c r="AM237">
        <v>0</v>
      </c>
      <c r="AN237" s="20">
        <v>44964</v>
      </c>
      <c r="AO237" s="20">
        <v>44964</v>
      </c>
      <c r="AP237" s="20">
        <v>44964</v>
      </c>
      <c r="AQ237">
        <v>0</v>
      </c>
      <c r="AR237">
        <v>0</v>
      </c>
      <c r="AS237">
        <v>0</v>
      </c>
      <c r="AT237">
        <v>0</v>
      </c>
      <c r="AU237">
        <v>0</v>
      </c>
      <c r="AV237" t="s">
        <v>7360</v>
      </c>
      <c r="AW237">
        <v>0</v>
      </c>
      <c r="AX237" t="s">
        <v>7360</v>
      </c>
      <c r="AY237" t="s">
        <v>7362</v>
      </c>
      <c r="BA237">
        <v>0</v>
      </c>
      <c r="BB237" s="20">
        <v>44964</v>
      </c>
      <c r="BC237">
        <v>0</v>
      </c>
      <c r="BD237" t="s">
        <v>7360</v>
      </c>
      <c r="BF237" s="20">
        <v>44964</v>
      </c>
      <c r="BG237">
        <v>0</v>
      </c>
      <c r="BH237" t="s">
        <v>7363</v>
      </c>
      <c r="BJ237" t="s">
        <v>7362</v>
      </c>
      <c r="BK237">
        <v>169</v>
      </c>
      <c r="BL237">
        <v>11</v>
      </c>
      <c r="BM237">
        <v>1</v>
      </c>
      <c r="BN237" t="s">
        <v>7364</v>
      </c>
      <c r="BO237">
        <v>169</v>
      </c>
      <c r="BP237">
        <v>11</v>
      </c>
      <c r="BQ237">
        <v>1</v>
      </c>
      <c r="BR237" t="s">
        <v>7364</v>
      </c>
      <c r="BS237" t="s">
        <v>7388</v>
      </c>
      <c r="BT237" t="s">
        <v>7360</v>
      </c>
      <c r="BU237" t="s">
        <v>7360</v>
      </c>
      <c r="BV237" t="s">
        <v>7360</v>
      </c>
      <c r="BX237" t="s">
        <v>7391</v>
      </c>
      <c r="BY237">
        <v>74</v>
      </c>
      <c r="BZ237" t="s">
        <v>7360</v>
      </c>
      <c r="CA237" t="s">
        <v>7360</v>
      </c>
      <c r="CB237">
        <v>5558210</v>
      </c>
      <c r="CC237" s="21">
        <v>44964.633229166669</v>
      </c>
      <c r="CE237" t="s">
        <v>7392</v>
      </c>
      <c r="CF237">
        <v>1100101</v>
      </c>
      <c r="CG237">
        <v>53575</v>
      </c>
      <c r="CH237">
        <v>53575</v>
      </c>
      <c r="CI237" s="21">
        <v>44964.634421296294</v>
      </c>
      <c r="CJ237" t="s">
        <v>7393</v>
      </c>
      <c r="CK237" t="s">
        <v>7393</v>
      </c>
      <c r="CL237" t="s">
        <v>7394</v>
      </c>
      <c r="CM237" t="s">
        <v>7394</v>
      </c>
      <c r="CS237" t="s">
        <v>7361</v>
      </c>
      <c r="CT237" t="s">
        <v>7362</v>
      </c>
      <c r="CU237" t="s">
        <v>7362</v>
      </c>
      <c r="CV237" t="s">
        <v>7362</v>
      </c>
      <c r="CW237" t="s">
        <v>7362</v>
      </c>
      <c r="CX237">
        <v>8925000</v>
      </c>
      <c r="DA237">
        <v>0</v>
      </c>
    </row>
    <row r="238" spans="1:105" x14ac:dyDescent="0.3">
      <c r="A238">
        <v>1362</v>
      </c>
      <c r="B238" t="s">
        <v>7371</v>
      </c>
      <c r="C238">
        <v>261</v>
      </c>
      <c r="D238" s="20">
        <v>44964</v>
      </c>
      <c r="E238" t="s">
        <v>7356</v>
      </c>
      <c r="F238" t="s">
        <v>5823</v>
      </c>
      <c r="G238" t="s">
        <v>7357</v>
      </c>
      <c r="H238">
        <v>1</v>
      </c>
      <c r="I238" t="s">
        <v>7358</v>
      </c>
      <c r="J238">
        <v>1</v>
      </c>
      <c r="K238" s="20">
        <v>44964</v>
      </c>
      <c r="L238" s="23">
        <v>10767389</v>
      </c>
      <c r="M238" t="s">
        <v>7359</v>
      </c>
      <c r="N238" t="s">
        <v>7360</v>
      </c>
      <c r="O238">
        <v>0</v>
      </c>
      <c r="P238">
        <v>12113</v>
      </c>
      <c r="Q238">
        <v>419038</v>
      </c>
      <c r="R238">
        <v>0</v>
      </c>
      <c r="S238">
        <v>20230207</v>
      </c>
      <c r="T238">
        <v>0</v>
      </c>
      <c r="U238" t="s">
        <v>7361</v>
      </c>
      <c r="V238" t="s">
        <v>7360</v>
      </c>
      <c r="W238" t="s">
        <v>7360</v>
      </c>
      <c r="X238" t="s">
        <v>7360</v>
      </c>
      <c r="Y238" t="s">
        <v>7360</v>
      </c>
      <c r="Z238" t="s">
        <v>7360</v>
      </c>
      <c r="AA238" t="s">
        <v>7362</v>
      </c>
      <c r="AB238" t="s">
        <v>7360</v>
      </c>
      <c r="AC238" t="s">
        <v>7360</v>
      </c>
      <c r="AD238" t="s">
        <v>7360</v>
      </c>
      <c r="AE238" t="s">
        <v>7360</v>
      </c>
      <c r="AF238" t="s">
        <v>1684</v>
      </c>
      <c r="AG238">
        <v>0</v>
      </c>
      <c r="AH238">
        <v>0</v>
      </c>
      <c r="AI238">
        <v>0</v>
      </c>
      <c r="AJ238">
        <v>0</v>
      </c>
      <c r="AK238">
        <v>0</v>
      </c>
      <c r="AL238" t="s">
        <v>7360</v>
      </c>
      <c r="AM238">
        <v>0</v>
      </c>
      <c r="AN238" s="20">
        <v>44964</v>
      </c>
      <c r="AO238" s="20">
        <v>44964</v>
      </c>
      <c r="AP238" s="20">
        <v>44964</v>
      </c>
      <c r="AQ238">
        <v>0</v>
      </c>
      <c r="AR238">
        <v>0</v>
      </c>
      <c r="AS238">
        <v>0</v>
      </c>
      <c r="AT238">
        <v>0</v>
      </c>
      <c r="AU238">
        <v>0</v>
      </c>
      <c r="AV238" t="s">
        <v>7360</v>
      </c>
      <c r="AW238">
        <v>0</v>
      </c>
      <c r="AX238" t="s">
        <v>7360</v>
      </c>
      <c r="AY238" t="s">
        <v>7363</v>
      </c>
      <c r="BA238">
        <v>0</v>
      </c>
      <c r="BB238" s="20">
        <v>44964</v>
      </c>
      <c r="BC238">
        <v>0</v>
      </c>
      <c r="BD238" t="s">
        <v>7360</v>
      </c>
      <c r="BF238" s="20">
        <v>44964</v>
      </c>
      <c r="BG238">
        <v>0</v>
      </c>
      <c r="BH238" t="s">
        <v>7363</v>
      </c>
      <c r="BJ238" t="s">
        <v>7362</v>
      </c>
      <c r="BK238">
        <v>0</v>
      </c>
      <c r="BL238">
        <v>0</v>
      </c>
      <c r="BM238">
        <v>0</v>
      </c>
      <c r="BN238">
        <v>0</v>
      </c>
      <c r="BO238">
        <v>169</v>
      </c>
      <c r="BP238">
        <v>11</v>
      </c>
      <c r="BQ238">
        <v>1</v>
      </c>
      <c r="BR238" t="s">
        <v>7364</v>
      </c>
      <c r="BS238" t="s">
        <v>7374</v>
      </c>
      <c r="BT238" t="s">
        <v>7360</v>
      </c>
      <c r="BU238" t="s">
        <v>7360</v>
      </c>
      <c r="BV238" t="s">
        <v>7360</v>
      </c>
      <c r="BX238">
        <v>0</v>
      </c>
      <c r="BY238">
        <v>0</v>
      </c>
      <c r="BZ238" t="s">
        <v>7360</v>
      </c>
      <c r="CA238" t="s">
        <v>7360</v>
      </c>
      <c r="CB238">
        <v>3380666</v>
      </c>
      <c r="CC238" s="21">
        <v>44964.635150462964</v>
      </c>
      <c r="CE238" t="s">
        <v>7366</v>
      </c>
      <c r="CF238">
        <v>0</v>
      </c>
      <c r="CG238">
        <v>702002</v>
      </c>
      <c r="CH238">
        <v>702002</v>
      </c>
      <c r="CI238" s="21">
        <v>44964.638368055559</v>
      </c>
      <c r="CJ238" t="s">
        <v>7367</v>
      </c>
      <c r="CK238" t="s">
        <v>7367</v>
      </c>
      <c r="CL238" t="s">
        <v>7368</v>
      </c>
      <c r="CM238" t="s">
        <v>7368</v>
      </c>
      <c r="CS238" t="s">
        <v>7361</v>
      </c>
      <c r="CT238" t="s">
        <v>7362</v>
      </c>
      <c r="CU238" t="s">
        <v>7362</v>
      </c>
      <c r="CV238" t="s">
        <v>7362</v>
      </c>
      <c r="CW238" t="s">
        <v>7362</v>
      </c>
      <c r="CX238">
        <v>10767389</v>
      </c>
      <c r="DA238">
        <v>0</v>
      </c>
    </row>
    <row r="239" spans="1:105" x14ac:dyDescent="0.3">
      <c r="A239">
        <v>1362</v>
      </c>
      <c r="B239" t="s">
        <v>7371</v>
      </c>
      <c r="C239">
        <v>179</v>
      </c>
      <c r="D239" s="20">
        <v>44952</v>
      </c>
      <c r="E239" t="s">
        <v>7356</v>
      </c>
      <c r="F239" t="s">
        <v>5829</v>
      </c>
      <c r="G239" t="s">
        <v>7357</v>
      </c>
      <c r="H239">
        <v>1</v>
      </c>
      <c r="I239" t="s">
        <v>7358</v>
      </c>
      <c r="J239">
        <v>1</v>
      </c>
      <c r="K239" s="20">
        <v>44953</v>
      </c>
      <c r="L239" s="23">
        <v>17688391</v>
      </c>
      <c r="M239" t="s">
        <v>7359</v>
      </c>
      <c r="N239" t="s">
        <v>7360</v>
      </c>
      <c r="O239">
        <v>0</v>
      </c>
      <c r="P239">
        <v>11924</v>
      </c>
      <c r="Q239">
        <v>416082</v>
      </c>
      <c r="R239">
        <v>0</v>
      </c>
      <c r="S239">
        <v>20230126</v>
      </c>
      <c r="T239">
        <v>0</v>
      </c>
      <c r="U239" t="s">
        <v>7361</v>
      </c>
      <c r="V239" t="s">
        <v>7360</v>
      </c>
      <c r="W239" t="s">
        <v>7360</v>
      </c>
      <c r="X239" t="s">
        <v>7360</v>
      </c>
      <c r="Y239" t="s">
        <v>7360</v>
      </c>
      <c r="Z239" t="s">
        <v>7360</v>
      </c>
      <c r="AA239" t="s">
        <v>7362</v>
      </c>
      <c r="AB239" t="s">
        <v>7360</v>
      </c>
      <c r="AC239" t="s">
        <v>7360</v>
      </c>
      <c r="AD239" t="s">
        <v>7360</v>
      </c>
      <c r="AE239" t="s">
        <v>7360</v>
      </c>
      <c r="AF239" t="s">
        <v>1684</v>
      </c>
      <c r="AG239">
        <v>0</v>
      </c>
      <c r="AH239">
        <v>0</v>
      </c>
      <c r="AI239">
        <v>0</v>
      </c>
      <c r="AJ239">
        <v>0</v>
      </c>
      <c r="AK239">
        <v>0</v>
      </c>
      <c r="AL239" t="s">
        <v>7360</v>
      </c>
      <c r="AM239">
        <v>0</v>
      </c>
      <c r="AN239" s="20">
        <v>44953</v>
      </c>
      <c r="AO239" s="20">
        <v>44953</v>
      </c>
      <c r="AP239" s="20">
        <v>44953</v>
      </c>
      <c r="AQ239">
        <v>0</v>
      </c>
      <c r="AR239">
        <v>0</v>
      </c>
      <c r="AS239">
        <v>0</v>
      </c>
      <c r="AT239">
        <v>0</v>
      </c>
      <c r="AU239">
        <v>0</v>
      </c>
      <c r="AV239" t="s">
        <v>7360</v>
      </c>
      <c r="AW239">
        <v>0</v>
      </c>
      <c r="AX239" t="s">
        <v>7360</v>
      </c>
      <c r="AY239" t="s">
        <v>7363</v>
      </c>
      <c r="BA239">
        <v>0</v>
      </c>
      <c r="BB239" s="20">
        <v>44953</v>
      </c>
      <c r="BC239">
        <v>0</v>
      </c>
      <c r="BD239" t="s">
        <v>7360</v>
      </c>
      <c r="BF239" s="20">
        <v>44953</v>
      </c>
      <c r="BG239">
        <v>0</v>
      </c>
      <c r="BH239" t="s">
        <v>7363</v>
      </c>
      <c r="BJ239" t="s">
        <v>7362</v>
      </c>
      <c r="BK239">
        <v>169</v>
      </c>
      <c r="BL239">
        <v>11</v>
      </c>
      <c r="BM239">
        <v>1</v>
      </c>
      <c r="BN239" t="s">
        <v>7364</v>
      </c>
      <c r="BO239">
        <v>0</v>
      </c>
      <c r="BP239">
        <v>0</v>
      </c>
      <c r="BQ239">
        <v>0</v>
      </c>
      <c r="BR239">
        <v>0</v>
      </c>
      <c r="BS239" t="s">
        <v>132</v>
      </c>
      <c r="BT239" t="s">
        <v>7360</v>
      </c>
      <c r="BU239" t="s">
        <v>7360</v>
      </c>
      <c r="BV239" t="s">
        <v>7360</v>
      </c>
      <c r="BX239" t="s">
        <v>7391</v>
      </c>
      <c r="BY239">
        <v>74</v>
      </c>
      <c r="BZ239" t="s">
        <v>7360</v>
      </c>
      <c r="CA239" t="s">
        <v>7360</v>
      </c>
      <c r="CB239">
        <v>5558210</v>
      </c>
      <c r="CC239" s="21">
        <v>44973.619259259256</v>
      </c>
      <c r="CE239" t="s">
        <v>7392</v>
      </c>
      <c r="CF239">
        <v>1100101</v>
      </c>
      <c r="CG239">
        <v>53575</v>
      </c>
      <c r="CH239">
        <v>53575</v>
      </c>
      <c r="CI239" s="21">
        <v>44973.623796296299</v>
      </c>
      <c r="CJ239" t="s">
        <v>7393</v>
      </c>
      <c r="CK239" t="s">
        <v>7393</v>
      </c>
      <c r="CL239" t="s">
        <v>7394</v>
      </c>
      <c r="CM239" t="s">
        <v>7394</v>
      </c>
      <c r="CS239" t="s">
        <v>7361</v>
      </c>
      <c r="CT239" t="s">
        <v>7362</v>
      </c>
      <c r="CU239" t="s">
        <v>7362</v>
      </c>
      <c r="CV239" t="s">
        <v>7362</v>
      </c>
      <c r="CW239" t="s">
        <v>7362</v>
      </c>
      <c r="CX239">
        <v>16779000</v>
      </c>
      <c r="DA239">
        <v>0</v>
      </c>
    </row>
    <row r="240" spans="1:105" x14ac:dyDescent="0.3">
      <c r="A240">
        <v>1354</v>
      </c>
      <c r="B240" t="s">
        <v>7396</v>
      </c>
      <c r="C240">
        <v>776</v>
      </c>
      <c r="D240" s="20">
        <v>45012</v>
      </c>
      <c r="E240" t="s">
        <v>7372</v>
      </c>
      <c r="F240" t="s">
        <v>5834</v>
      </c>
      <c r="G240" t="s">
        <v>7370</v>
      </c>
      <c r="H240">
        <v>1</v>
      </c>
      <c r="I240" t="s">
        <v>7358</v>
      </c>
      <c r="J240">
        <v>1</v>
      </c>
      <c r="K240" s="20">
        <v>45012</v>
      </c>
      <c r="L240" s="23">
        <v>18000000</v>
      </c>
      <c r="M240" t="s">
        <v>7359</v>
      </c>
      <c r="N240" t="s">
        <v>7360</v>
      </c>
      <c r="O240">
        <v>0</v>
      </c>
      <c r="P240">
        <v>13381</v>
      </c>
      <c r="Q240">
        <v>459012</v>
      </c>
      <c r="R240">
        <v>0</v>
      </c>
      <c r="S240">
        <v>20230327</v>
      </c>
      <c r="T240">
        <v>0</v>
      </c>
      <c r="U240" t="s">
        <v>7362</v>
      </c>
      <c r="V240" t="s">
        <v>7360</v>
      </c>
      <c r="W240" t="s">
        <v>7360</v>
      </c>
      <c r="X240" t="s">
        <v>7360</v>
      </c>
      <c r="Y240" t="s">
        <v>7360</v>
      </c>
      <c r="Z240" t="s">
        <v>7360</v>
      </c>
      <c r="AA240" t="s">
        <v>7362</v>
      </c>
      <c r="AB240" t="s">
        <v>7360</v>
      </c>
      <c r="AC240" t="s">
        <v>7360</v>
      </c>
      <c r="AD240" t="s">
        <v>7360</v>
      </c>
      <c r="AE240" t="s">
        <v>7360</v>
      </c>
      <c r="AF240" t="s">
        <v>1684</v>
      </c>
      <c r="AG240">
        <v>0</v>
      </c>
      <c r="AH240">
        <v>0</v>
      </c>
      <c r="AI240">
        <v>0</v>
      </c>
      <c r="AJ240">
        <v>0</v>
      </c>
      <c r="AK240">
        <v>0</v>
      </c>
      <c r="AL240" t="s">
        <v>7360</v>
      </c>
      <c r="AM240">
        <v>0</v>
      </c>
      <c r="AN240" s="20">
        <v>45012</v>
      </c>
      <c r="AO240" s="20">
        <v>45012</v>
      </c>
      <c r="AP240" s="20">
        <v>45012</v>
      </c>
      <c r="AQ240">
        <v>0</v>
      </c>
      <c r="AR240">
        <v>0</v>
      </c>
      <c r="AS240">
        <v>0</v>
      </c>
      <c r="AT240">
        <v>0</v>
      </c>
      <c r="AU240">
        <v>0</v>
      </c>
      <c r="AV240" t="s">
        <v>7360</v>
      </c>
      <c r="AW240">
        <v>0</v>
      </c>
      <c r="AX240" t="s">
        <v>7360</v>
      </c>
      <c r="AY240" t="s">
        <v>7362</v>
      </c>
      <c r="BA240">
        <v>0</v>
      </c>
      <c r="BB240" s="20">
        <v>45012</v>
      </c>
      <c r="BC240">
        <v>0</v>
      </c>
      <c r="BD240" t="s">
        <v>7360</v>
      </c>
      <c r="BF240" s="20">
        <v>45012</v>
      </c>
      <c r="BG240">
        <v>0</v>
      </c>
      <c r="BH240" t="s">
        <v>7363</v>
      </c>
      <c r="BJ240" t="s">
        <v>7362</v>
      </c>
      <c r="BK240">
        <v>0</v>
      </c>
      <c r="BL240">
        <v>0</v>
      </c>
      <c r="BM240">
        <v>0</v>
      </c>
      <c r="BN240">
        <v>0</v>
      </c>
      <c r="BO240">
        <v>169</v>
      </c>
      <c r="BP240">
        <v>11</v>
      </c>
      <c r="BQ240">
        <v>1</v>
      </c>
      <c r="BR240" t="s">
        <v>7364</v>
      </c>
      <c r="BS240" t="s">
        <v>7374</v>
      </c>
      <c r="BT240" t="s">
        <v>7360</v>
      </c>
      <c r="BU240" t="s">
        <v>7360</v>
      </c>
      <c r="BV240" t="s">
        <v>7360</v>
      </c>
      <c r="BX240">
        <v>0</v>
      </c>
      <c r="BY240">
        <v>0</v>
      </c>
      <c r="BZ240" t="s">
        <v>7360</v>
      </c>
      <c r="CA240" t="s">
        <v>7360</v>
      </c>
      <c r="CB240">
        <v>3380666</v>
      </c>
      <c r="CC240" s="21">
        <v>44973.66778935185</v>
      </c>
      <c r="CE240" t="s">
        <v>7366</v>
      </c>
      <c r="CF240">
        <v>0</v>
      </c>
      <c r="CG240">
        <v>702002</v>
      </c>
      <c r="CH240">
        <v>702002</v>
      </c>
      <c r="CI240" s="21">
        <v>44973.670347222222</v>
      </c>
      <c r="CJ240" t="s">
        <v>7367</v>
      </c>
      <c r="CK240" t="s">
        <v>7367</v>
      </c>
      <c r="CL240" t="s">
        <v>7368</v>
      </c>
      <c r="CM240" t="s">
        <v>7368</v>
      </c>
      <c r="CS240" t="s">
        <v>7361</v>
      </c>
      <c r="CT240" t="s">
        <v>7362</v>
      </c>
      <c r="CU240" t="s">
        <v>7362</v>
      </c>
      <c r="CV240" t="s">
        <v>7362</v>
      </c>
      <c r="CW240" t="s">
        <v>7362</v>
      </c>
      <c r="CX240">
        <v>24420690</v>
      </c>
      <c r="DA240">
        <v>0</v>
      </c>
    </row>
    <row r="241" spans="1:105" x14ac:dyDescent="0.3">
      <c r="A241">
        <v>1362</v>
      </c>
      <c r="B241" t="s">
        <v>7371</v>
      </c>
      <c r="C241">
        <v>264</v>
      </c>
      <c r="D241" s="20">
        <v>44964</v>
      </c>
      <c r="E241" t="s">
        <v>7356</v>
      </c>
      <c r="F241" t="s">
        <v>5839</v>
      </c>
      <c r="G241" t="s">
        <v>7357</v>
      </c>
      <c r="H241">
        <v>1</v>
      </c>
      <c r="I241" t="s">
        <v>7358</v>
      </c>
      <c r="J241">
        <v>1</v>
      </c>
      <c r="K241" s="20">
        <v>44964</v>
      </c>
      <c r="L241" s="23">
        <v>2274422</v>
      </c>
      <c r="M241" t="s">
        <v>7359</v>
      </c>
      <c r="N241" t="s">
        <v>7360</v>
      </c>
      <c r="O241">
        <v>0</v>
      </c>
      <c r="P241">
        <v>12160</v>
      </c>
      <c r="Q241">
        <v>420026</v>
      </c>
      <c r="R241">
        <v>0</v>
      </c>
      <c r="S241">
        <v>20230207</v>
      </c>
      <c r="T241">
        <v>0</v>
      </c>
      <c r="U241" t="s">
        <v>7361</v>
      </c>
      <c r="V241" t="s">
        <v>7360</v>
      </c>
      <c r="W241" t="s">
        <v>7360</v>
      </c>
      <c r="X241" t="s">
        <v>7360</v>
      </c>
      <c r="Y241" t="s">
        <v>7360</v>
      </c>
      <c r="Z241" t="s">
        <v>7360</v>
      </c>
      <c r="AA241" t="s">
        <v>7362</v>
      </c>
      <c r="AB241" t="s">
        <v>7360</v>
      </c>
      <c r="AC241" t="s">
        <v>7360</v>
      </c>
      <c r="AD241" t="s">
        <v>7360</v>
      </c>
      <c r="AE241" t="s">
        <v>7360</v>
      </c>
      <c r="AF241" t="s">
        <v>1684</v>
      </c>
      <c r="AG241">
        <v>0</v>
      </c>
      <c r="AH241">
        <v>0</v>
      </c>
      <c r="AI241">
        <v>0</v>
      </c>
      <c r="AJ241">
        <v>0</v>
      </c>
      <c r="AK241">
        <v>0</v>
      </c>
      <c r="AL241" t="s">
        <v>7360</v>
      </c>
      <c r="AM241">
        <v>0</v>
      </c>
      <c r="AN241" s="20">
        <v>44964</v>
      </c>
      <c r="AO241" s="20">
        <v>44964</v>
      </c>
      <c r="AP241" s="20">
        <v>44964</v>
      </c>
      <c r="AQ241">
        <v>0</v>
      </c>
      <c r="AR241">
        <v>0</v>
      </c>
      <c r="AS241">
        <v>0</v>
      </c>
      <c r="AT241">
        <v>0</v>
      </c>
      <c r="AU241">
        <v>0</v>
      </c>
      <c r="AV241" t="s">
        <v>7360</v>
      </c>
      <c r="AW241">
        <v>0</v>
      </c>
      <c r="AX241" t="s">
        <v>7360</v>
      </c>
      <c r="AY241" t="s">
        <v>7363</v>
      </c>
      <c r="BA241">
        <v>0</v>
      </c>
      <c r="BB241" s="20">
        <v>44964</v>
      </c>
      <c r="BC241">
        <v>0</v>
      </c>
      <c r="BD241" t="s">
        <v>7360</v>
      </c>
      <c r="BF241" s="20">
        <v>44964</v>
      </c>
      <c r="BG241">
        <v>0</v>
      </c>
      <c r="BH241" t="s">
        <v>7363</v>
      </c>
      <c r="BJ241" t="s">
        <v>7362</v>
      </c>
      <c r="BK241">
        <v>0</v>
      </c>
      <c r="BL241">
        <v>0</v>
      </c>
      <c r="BM241">
        <v>0</v>
      </c>
      <c r="BN241">
        <v>0</v>
      </c>
      <c r="BO241">
        <v>169</v>
      </c>
      <c r="BP241">
        <v>11</v>
      </c>
      <c r="BQ241">
        <v>1</v>
      </c>
      <c r="BR241" t="s">
        <v>7364</v>
      </c>
      <c r="BS241" t="s">
        <v>7374</v>
      </c>
      <c r="BT241" t="s">
        <v>7360</v>
      </c>
      <c r="BU241" t="s">
        <v>7360</v>
      </c>
      <c r="BV241" t="s">
        <v>7360</v>
      </c>
      <c r="BX241">
        <v>0</v>
      </c>
      <c r="BY241">
        <v>0</v>
      </c>
      <c r="BZ241" t="s">
        <v>7360</v>
      </c>
      <c r="CA241" t="s">
        <v>7360</v>
      </c>
      <c r="CB241">
        <v>3380666</v>
      </c>
      <c r="CC241" s="21">
        <v>44964.678217592591</v>
      </c>
      <c r="CE241" t="s">
        <v>7366</v>
      </c>
      <c r="CF241">
        <v>0</v>
      </c>
      <c r="CG241">
        <v>702002</v>
      </c>
      <c r="CH241">
        <v>702002</v>
      </c>
      <c r="CI241" s="21">
        <v>44964.682488425926</v>
      </c>
      <c r="CJ241" t="s">
        <v>7367</v>
      </c>
      <c r="CK241" t="s">
        <v>7367</v>
      </c>
      <c r="CL241" t="s">
        <v>7368</v>
      </c>
      <c r="CM241" t="s">
        <v>7368</v>
      </c>
      <c r="CS241" t="s">
        <v>7361</v>
      </c>
      <c r="CT241" t="s">
        <v>7362</v>
      </c>
      <c r="CU241" t="s">
        <v>7362</v>
      </c>
      <c r="CV241" t="s">
        <v>7362</v>
      </c>
      <c r="CW241" t="s">
        <v>7362</v>
      </c>
      <c r="CX241">
        <v>2274422</v>
      </c>
      <c r="DA241">
        <v>0</v>
      </c>
    </row>
    <row r="242" spans="1:105" x14ac:dyDescent="0.3">
      <c r="A242">
        <v>1362</v>
      </c>
      <c r="B242" t="s">
        <v>7371</v>
      </c>
      <c r="C242">
        <v>265</v>
      </c>
      <c r="D242" s="20">
        <v>44964</v>
      </c>
      <c r="E242" t="s">
        <v>7356</v>
      </c>
      <c r="F242" t="s">
        <v>5845</v>
      </c>
      <c r="G242" t="s">
        <v>7357</v>
      </c>
      <c r="H242">
        <v>1</v>
      </c>
      <c r="I242" t="s">
        <v>7358</v>
      </c>
      <c r="J242">
        <v>1</v>
      </c>
      <c r="K242" s="20">
        <v>44964</v>
      </c>
      <c r="L242" s="23">
        <v>3500000</v>
      </c>
      <c r="M242" t="s">
        <v>7359</v>
      </c>
      <c r="N242" t="s">
        <v>7360</v>
      </c>
      <c r="O242">
        <v>0</v>
      </c>
      <c r="P242">
        <v>12152</v>
      </c>
      <c r="Q242">
        <v>420020</v>
      </c>
      <c r="R242">
        <v>0</v>
      </c>
      <c r="S242">
        <v>20230207</v>
      </c>
      <c r="T242">
        <v>0</v>
      </c>
      <c r="U242" t="s">
        <v>7361</v>
      </c>
      <c r="V242" t="s">
        <v>7360</v>
      </c>
      <c r="W242" t="s">
        <v>7360</v>
      </c>
      <c r="X242" t="s">
        <v>7360</v>
      </c>
      <c r="Y242" t="s">
        <v>7360</v>
      </c>
      <c r="Z242" t="s">
        <v>7360</v>
      </c>
      <c r="AA242" t="s">
        <v>7362</v>
      </c>
      <c r="AB242" t="s">
        <v>7360</v>
      </c>
      <c r="AC242" t="s">
        <v>7360</v>
      </c>
      <c r="AD242" t="s">
        <v>7360</v>
      </c>
      <c r="AE242" t="s">
        <v>7360</v>
      </c>
      <c r="AF242" t="s">
        <v>1684</v>
      </c>
      <c r="AG242">
        <v>0</v>
      </c>
      <c r="AH242">
        <v>0</v>
      </c>
      <c r="AI242">
        <v>0</v>
      </c>
      <c r="AJ242">
        <v>0</v>
      </c>
      <c r="AK242">
        <v>0</v>
      </c>
      <c r="AL242" t="s">
        <v>7360</v>
      </c>
      <c r="AM242">
        <v>0</v>
      </c>
      <c r="AN242" s="20">
        <v>44964</v>
      </c>
      <c r="AO242" s="20">
        <v>44964</v>
      </c>
      <c r="AP242" s="20">
        <v>44964</v>
      </c>
      <c r="AQ242">
        <v>0</v>
      </c>
      <c r="AR242">
        <v>0</v>
      </c>
      <c r="AS242">
        <v>0</v>
      </c>
      <c r="AT242">
        <v>0</v>
      </c>
      <c r="AU242">
        <v>0</v>
      </c>
      <c r="AV242" t="s">
        <v>7360</v>
      </c>
      <c r="AW242">
        <v>0</v>
      </c>
      <c r="AX242" t="s">
        <v>7360</v>
      </c>
      <c r="AY242" t="s">
        <v>7363</v>
      </c>
      <c r="BA242">
        <v>0</v>
      </c>
      <c r="BB242" s="20">
        <v>44964</v>
      </c>
      <c r="BC242">
        <v>0</v>
      </c>
      <c r="BD242" t="s">
        <v>7360</v>
      </c>
      <c r="BF242" s="20">
        <v>44964</v>
      </c>
      <c r="BG242">
        <v>0</v>
      </c>
      <c r="BH242" t="s">
        <v>7363</v>
      </c>
      <c r="BJ242" t="s">
        <v>7362</v>
      </c>
      <c r="BK242">
        <v>0</v>
      </c>
      <c r="BL242">
        <v>0</v>
      </c>
      <c r="BM242">
        <v>0</v>
      </c>
      <c r="BN242">
        <v>0</v>
      </c>
      <c r="BO242">
        <v>169</v>
      </c>
      <c r="BP242">
        <v>11</v>
      </c>
      <c r="BQ242">
        <v>1</v>
      </c>
      <c r="BR242" t="s">
        <v>7364</v>
      </c>
      <c r="BS242" t="s">
        <v>7374</v>
      </c>
      <c r="BT242" t="s">
        <v>7360</v>
      </c>
      <c r="BU242" t="s">
        <v>7360</v>
      </c>
      <c r="BV242" t="s">
        <v>7360</v>
      </c>
      <c r="BX242">
        <v>0</v>
      </c>
      <c r="BY242">
        <v>0</v>
      </c>
      <c r="BZ242" t="s">
        <v>7360</v>
      </c>
      <c r="CA242" t="s">
        <v>7360</v>
      </c>
      <c r="CB242">
        <v>3380666</v>
      </c>
      <c r="CC242" s="21">
        <v>44964.700312499997</v>
      </c>
      <c r="CE242" t="s">
        <v>7366</v>
      </c>
      <c r="CF242">
        <v>0</v>
      </c>
      <c r="CG242">
        <v>702002</v>
      </c>
      <c r="CH242">
        <v>702002</v>
      </c>
      <c r="CI242" s="21">
        <v>44964.701469907406</v>
      </c>
      <c r="CJ242" t="s">
        <v>7367</v>
      </c>
      <c r="CK242" t="s">
        <v>7367</v>
      </c>
      <c r="CL242" t="s">
        <v>7368</v>
      </c>
      <c r="CM242" t="s">
        <v>7368</v>
      </c>
      <c r="CS242" t="s">
        <v>7361</v>
      </c>
      <c r="CT242" t="s">
        <v>7362</v>
      </c>
      <c r="CU242" t="s">
        <v>7362</v>
      </c>
      <c r="CV242" t="s">
        <v>7362</v>
      </c>
      <c r="CW242" t="s">
        <v>7362</v>
      </c>
      <c r="CX242">
        <v>3500000</v>
      </c>
      <c r="DA242">
        <v>0</v>
      </c>
    </row>
    <row r="243" spans="1:105" x14ac:dyDescent="0.3">
      <c r="A243">
        <v>1362</v>
      </c>
      <c r="B243" t="s">
        <v>7371</v>
      </c>
      <c r="C243">
        <v>266</v>
      </c>
      <c r="D243" s="20">
        <v>44964</v>
      </c>
      <c r="E243" t="s">
        <v>7356</v>
      </c>
      <c r="F243" t="s">
        <v>5850</v>
      </c>
      <c r="G243" t="s">
        <v>7357</v>
      </c>
      <c r="H243">
        <v>1</v>
      </c>
      <c r="I243" t="s">
        <v>7358</v>
      </c>
      <c r="J243">
        <v>1</v>
      </c>
      <c r="K243" s="20">
        <v>44964</v>
      </c>
      <c r="L243" s="23">
        <v>59500</v>
      </c>
      <c r="M243" t="s">
        <v>7359</v>
      </c>
      <c r="N243" t="s">
        <v>7360</v>
      </c>
      <c r="O243">
        <v>0</v>
      </c>
      <c r="P243">
        <v>12063</v>
      </c>
      <c r="Q243">
        <v>419014</v>
      </c>
      <c r="R243">
        <v>0</v>
      </c>
      <c r="S243">
        <v>20230207</v>
      </c>
      <c r="T243">
        <v>0</v>
      </c>
      <c r="U243" t="s">
        <v>7361</v>
      </c>
      <c r="V243" t="s">
        <v>7360</v>
      </c>
      <c r="W243" t="s">
        <v>7360</v>
      </c>
      <c r="X243" t="s">
        <v>7360</v>
      </c>
      <c r="Y243" t="s">
        <v>7360</v>
      </c>
      <c r="Z243" t="s">
        <v>7360</v>
      </c>
      <c r="AA243" t="s">
        <v>7362</v>
      </c>
      <c r="AB243" t="s">
        <v>7360</v>
      </c>
      <c r="AC243" t="s">
        <v>7360</v>
      </c>
      <c r="AD243" t="s">
        <v>7360</v>
      </c>
      <c r="AE243" t="s">
        <v>7360</v>
      </c>
      <c r="AF243" t="s">
        <v>1684</v>
      </c>
      <c r="AG243">
        <v>0</v>
      </c>
      <c r="AH243">
        <v>0</v>
      </c>
      <c r="AI243">
        <v>0</v>
      </c>
      <c r="AJ243">
        <v>0</v>
      </c>
      <c r="AK243">
        <v>0</v>
      </c>
      <c r="AL243" t="s">
        <v>7360</v>
      </c>
      <c r="AM243">
        <v>0</v>
      </c>
      <c r="AN243" s="20">
        <v>44964</v>
      </c>
      <c r="AO243" s="20">
        <v>44964</v>
      </c>
      <c r="AP243" s="20">
        <v>44964</v>
      </c>
      <c r="AQ243">
        <v>0</v>
      </c>
      <c r="AR243">
        <v>0</v>
      </c>
      <c r="AS243">
        <v>0</v>
      </c>
      <c r="AT243">
        <v>0</v>
      </c>
      <c r="AU243">
        <v>0</v>
      </c>
      <c r="AV243" t="s">
        <v>7360</v>
      </c>
      <c r="AW243">
        <v>0</v>
      </c>
      <c r="AX243" t="s">
        <v>7360</v>
      </c>
      <c r="AY243" t="s">
        <v>7363</v>
      </c>
      <c r="BA243">
        <v>0</v>
      </c>
      <c r="BB243" s="20">
        <v>44964</v>
      </c>
      <c r="BC243">
        <v>0</v>
      </c>
      <c r="BD243" t="s">
        <v>7360</v>
      </c>
      <c r="BF243" s="20">
        <v>44964</v>
      </c>
      <c r="BG243">
        <v>0</v>
      </c>
      <c r="BH243" t="s">
        <v>7363</v>
      </c>
      <c r="BJ243" t="s">
        <v>7362</v>
      </c>
      <c r="BK243">
        <v>0</v>
      </c>
      <c r="BL243">
        <v>0</v>
      </c>
      <c r="BM243">
        <v>0</v>
      </c>
      <c r="BN243">
        <v>0</v>
      </c>
      <c r="BO243">
        <v>169</v>
      </c>
      <c r="BP243">
        <v>11</v>
      </c>
      <c r="BQ243">
        <v>1</v>
      </c>
      <c r="BR243" t="s">
        <v>7364</v>
      </c>
      <c r="BS243" t="s">
        <v>7374</v>
      </c>
      <c r="BT243" t="s">
        <v>7360</v>
      </c>
      <c r="BU243" t="s">
        <v>7360</v>
      </c>
      <c r="BV243" t="s">
        <v>7360</v>
      </c>
      <c r="BX243">
        <v>0</v>
      </c>
      <c r="BY243">
        <v>0</v>
      </c>
      <c r="BZ243" t="s">
        <v>7360</v>
      </c>
      <c r="CA243" t="s">
        <v>7360</v>
      </c>
      <c r="CB243">
        <v>3380666</v>
      </c>
      <c r="CC243" s="21">
        <v>44964.706261574072</v>
      </c>
      <c r="CE243" t="s">
        <v>7366</v>
      </c>
      <c r="CF243">
        <v>0</v>
      </c>
      <c r="CG243">
        <v>702002</v>
      </c>
      <c r="CH243">
        <v>702002</v>
      </c>
      <c r="CI243" s="21">
        <v>44964.708715277775</v>
      </c>
      <c r="CJ243" t="s">
        <v>7367</v>
      </c>
      <c r="CK243" t="s">
        <v>7367</v>
      </c>
      <c r="CL243" t="s">
        <v>7368</v>
      </c>
      <c r="CM243" t="s">
        <v>7368</v>
      </c>
      <c r="CS243" t="s">
        <v>7361</v>
      </c>
      <c r="CT243" t="s">
        <v>7362</v>
      </c>
      <c r="CU243" t="s">
        <v>7362</v>
      </c>
      <c r="CV243" t="s">
        <v>7362</v>
      </c>
      <c r="CW243" t="s">
        <v>7362</v>
      </c>
      <c r="CX243">
        <v>59500</v>
      </c>
      <c r="DA243">
        <v>0</v>
      </c>
    </row>
    <row r="244" spans="1:105" x14ac:dyDescent="0.3">
      <c r="A244">
        <v>1351</v>
      </c>
      <c r="B244" t="s">
        <v>7420</v>
      </c>
      <c r="C244">
        <v>267</v>
      </c>
      <c r="D244" s="20">
        <v>44964</v>
      </c>
      <c r="E244" t="s">
        <v>7356</v>
      </c>
      <c r="F244" t="s">
        <v>5855</v>
      </c>
      <c r="G244" t="s">
        <v>7381</v>
      </c>
      <c r="H244">
        <v>1</v>
      </c>
      <c r="I244" t="s">
        <v>7358</v>
      </c>
      <c r="J244">
        <v>1</v>
      </c>
      <c r="K244" s="20">
        <v>44985</v>
      </c>
      <c r="L244" s="23">
        <v>1610280</v>
      </c>
      <c r="M244" t="s">
        <v>7359</v>
      </c>
      <c r="N244" t="s">
        <v>7360</v>
      </c>
      <c r="O244">
        <v>0</v>
      </c>
      <c r="P244">
        <v>12120</v>
      </c>
      <c r="Q244">
        <v>420009</v>
      </c>
      <c r="R244">
        <v>0</v>
      </c>
      <c r="S244">
        <v>20230207</v>
      </c>
      <c r="T244">
        <v>0</v>
      </c>
      <c r="U244" t="s">
        <v>7361</v>
      </c>
      <c r="V244" t="s">
        <v>7360</v>
      </c>
      <c r="W244" t="s">
        <v>7360</v>
      </c>
      <c r="X244" t="s">
        <v>7360</v>
      </c>
      <c r="Y244" t="s">
        <v>7360</v>
      </c>
      <c r="Z244" t="s">
        <v>7360</v>
      </c>
      <c r="AA244" t="s">
        <v>7362</v>
      </c>
      <c r="AB244" t="s">
        <v>7360</v>
      </c>
      <c r="AC244" t="s">
        <v>7360</v>
      </c>
      <c r="AD244" t="s">
        <v>7360</v>
      </c>
      <c r="AE244" t="s">
        <v>7360</v>
      </c>
      <c r="AF244" t="s">
        <v>1684</v>
      </c>
      <c r="AG244">
        <v>0</v>
      </c>
      <c r="AH244">
        <v>0</v>
      </c>
      <c r="AI244">
        <v>0</v>
      </c>
      <c r="AJ244">
        <v>0</v>
      </c>
      <c r="AK244">
        <v>0</v>
      </c>
      <c r="AL244" t="s">
        <v>7360</v>
      </c>
      <c r="AM244">
        <v>0</v>
      </c>
      <c r="AN244" s="20">
        <v>44965</v>
      </c>
      <c r="AO244" s="20">
        <v>44965</v>
      </c>
      <c r="AP244" s="20">
        <v>44965</v>
      </c>
      <c r="AQ244">
        <v>0</v>
      </c>
      <c r="AR244">
        <v>0</v>
      </c>
      <c r="AS244">
        <v>0</v>
      </c>
      <c r="AT244">
        <v>0</v>
      </c>
      <c r="AU244">
        <v>0</v>
      </c>
      <c r="AV244" t="s">
        <v>7360</v>
      </c>
      <c r="AW244">
        <v>0</v>
      </c>
      <c r="AX244" t="s">
        <v>7360</v>
      </c>
      <c r="AY244" t="s">
        <v>7363</v>
      </c>
      <c r="BA244">
        <v>0</v>
      </c>
      <c r="BB244" s="20">
        <v>44965</v>
      </c>
      <c r="BC244">
        <v>0</v>
      </c>
      <c r="BD244" t="s">
        <v>7360</v>
      </c>
      <c r="BF244" s="20">
        <v>44965</v>
      </c>
      <c r="BG244">
        <v>0</v>
      </c>
      <c r="BH244" t="s">
        <v>1729</v>
      </c>
      <c r="BJ244" t="s">
        <v>7362</v>
      </c>
      <c r="BK244">
        <v>169</v>
      </c>
      <c r="BL244">
        <v>11</v>
      </c>
      <c r="BM244">
        <v>1</v>
      </c>
      <c r="BN244" t="s">
        <v>7364</v>
      </c>
      <c r="BO244">
        <v>0</v>
      </c>
      <c r="BP244">
        <v>0</v>
      </c>
      <c r="BQ244">
        <v>0</v>
      </c>
      <c r="BR244">
        <v>0</v>
      </c>
      <c r="BS244" t="s">
        <v>7431</v>
      </c>
      <c r="BT244" t="s">
        <v>7360</v>
      </c>
      <c r="BU244" t="s">
        <v>7360</v>
      </c>
      <c r="BV244" t="s">
        <v>7360</v>
      </c>
      <c r="BX244" t="s">
        <v>7391</v>
      </c>
      <c r="BY244">
        <v>74</v>
      </c>
      <c r="BZ244" t="s">
        <v>7360</v>
      </c>
      <c r="CA244" t="s">
        <v>7360</v>
      </c>
      <c r="CB244">
        <v>5558210</v>
      </c>
      <c r="CC244" s="21">
        <v>44965.37605324074</v>
      </c>
      <c r="CE244" t="s">
        <v>7392</v>
      </c>
      <c r="CF244">
        <v>1100101</v>
      </c>
      <c r="CG244">
        <v>53575</v>
      </c>
      <c r="CH244">
        <v>53575</v>
      </c>
      <c r="CI244" s="21">
        <v>44985.514236111114</v>
      </c>
      <c r="CJ244" t="s">
        <v>7393</v>
      </c>
      <c r="CK244" t="s">
        <v>7393</v>
      </c>
      <c r="CL244" t="s">
        <v>7394</v>
      </c>
      <c r="CM244" t="s">
        <v>7394</v>
      </c>
      <c r="CS244" t="s">
        <v>7361</v>
      </c>
      <c r="CT244" t="s">
        <v>7362</v>
      </c>
      <c r="CU244" t="s">
        <v>7362</v>
      </c>
      <c r="CV244" t="s">
        <v>7362</v>
      </c>
      <c r="CW244" t="s">
        <v>7362</v>
      </c>
      <c r="CX244">
        <v>1610280</v>
      </c>
      <c r="DA244">
        <v>0</v>
      </c>
    </row>
    <row r="245" spans="1:105" x14ac:dyDescent="0.3">
      <c r="A245">
        <v>1366</v>
      </c>
      <c r="B245" t="s">
        <v>7380</v>
      </c>
      <c r="C245">
        <v>268</v>
      </c>
      <c r="D245" s="20">
        <v>44964</v>
      </c>
      <c r="E245" t="s">
        <v>7356</v>
      </c>
      <c r="F245" t="s">
        <v>5861</v>
      </c>
      <c r="G245" t="s">
        <v>7357</v>
      </c>
      <c r="H245">
        <v>1</v>
      </c>
      <c r="I245" t="s">
        <v>7358</v>
      </c>
      <c r="J245">
        <v>1</v>
      </c>
      <c r="K245" s="20">
        <v>44965</v>
      </c>
      <c r="L245" s="23">
        <v>3797307</v>
      </c>
      <c r="M245" t="s">
        <v>7359</v>
      </c>
      <c r="N245" t="s">
        <v>7360</v>
      </c>
      <c r="O245">
        <v>0</v>
      </c>
      <c r="P245">
        <v>12028</v>
      </c>
      <c r="Q245">
        <v>418012</v>
      </c>
      <c r="R245">
        <v>0</v>
      </c>
      <c r="S245">
        <v>20230207</v>
      </c>
      <c r="T245">
        <v>0</v>
      </c>
      <c r="U245" t="s">
        <v>7361</v>
      </c>
      <c r="V245" t="s">
        <v>7360</v>
      </c>
      <c r="W245" t="s">
        <v>7360</v>
      </c>
      <c r="X245" t="s">
        <v>7360</v>
      </c>
      <c r="Y245" t="s">
        <v>7360</v>
      </c>
      <c r="Z245" t="s">
        <v>7360</v>
      </c>
      <c r="AA245" t="s">
        <v>7362</v>
      </c>
      <c r="AB245" t="s">
        <v>7360</v>
      </c>
      <c r="AC245" t="s">
        <v>7360</v>
      </c>
      <c r="AD245" t="s">
        <v>7360</v>
      </c>
      <c r="AE245" t="s">
        <v>7360</v>
      </c>
      <c r="AF245" t="s">
        <v>1684</v>
      </c>
      <c r="AG245">
        <v>0</v>
      </c>
      <c r="AH245">
        <v>0</v>
      </c>
      <c r="AI245">
        <v>0</v>
      </c>
      <c r="AJ245">
        <v>0</v>
      </c>
      <c r="AK245">
        <v>0</v>
      </c>
      <c r="AL245" t="s">
        <v>7360</v>
      </c>
      <c r="AM245">
        <v>0</v>
      </c>
      <c r="AN245" s="20">
        <v>44965</v>
      </c>
      <c r="AO245" s="20">
        <v>44965</v>
      </c>
      <c r="AP245" s="20">
        <v>44965</v>
      </c>
      <c r="AQ245">
        <v>0</v>
      </c>
      <c r="AR245">
        <v>0</v>
      </c>
      <c r="AS245">
        <v>0</v>
      </c>
      <c r="AT245">
        <v>0</v>
      </c>
      <c r="AU245">
        <v>0</v>
      </c>
      <c r="AV245" t="s">
        <v>7360</v>
      </c>
      <c r="AW245">
        <v>0</v>
      </c>
      <c r="AX245" t="s">
        <v>7360</v>
      </c>
      <c r="AY245" t="s">
        <v>7363</v>
      </c>
      <c r="BA245">
        <v>0</v>
      </c>
      <c r="BB245" s="20">
        <v>44965</v>
      </c>
      <c r="BC245">
        <v>0</v>
      </c>
      <c r="BD245" t="s">
        <v>7360</v>
      </c>
      <c r="BF245" s="20">
        <v>44965</v>
      </c>
      <c r="BG245">
        <v>0</v>
      </c>
      <c r="BH245" t="s">
        <v>7363</v>
      </c>
      <c r="BJ245" t="s">
        <v>7362</v>
      </c>
      <c r="BK245">
        <v>169</v>
      </c>
      <c r="BL245">
        <v>11</v>
      </c>
      <c r="BM245">
        <v>1</v>
      </c>
      <c r="BN245" t="s">
        <v>7364</v>
      </c>
      <c r="BO245">
        <v>0</v>
      </c>
      <c r="BP245">
        <v>0</v>
      </c>
      <c r="BQ245">
        <v>0</v>
      </c>
      <c r="BR245">
        <v>0</v>
      </c>
      <c r="BS245" t="s">
        <v>7385</v>
      </c>
      <c r="BT245" t="s">
        <v>7360</v>
      </c>
      <c r="BU245" t="s">
        <v>7360</v>
      </c>
      <c r="BV245" t="s">
        <v>7360</v>
      </c>
      <c r="BX245" t="s">
        <v>7391</v>
      </c>
      <c r="BY245">
        <v>74</v>
      </c>
      <c r="BZ245" t="s">
        <v>7360</v>
      </c>
      <c r="CA245" t="s">
        <v>7360</v>
      </c>
      <c r="CB245">
        <v>5558210</v>
      </c>
      <c r="CC245" s="21">
        <v>44965.385196759256</v>
      </c>
      <c r="CE245" t="s">
        <v>7392</v>
      </c>
      <c r="CF245">
        <v>1100101</v>
      </c>
      <c r="CG245">
        <v>53575</v>
      </c>
      <c r="CH245">
        <v>53575</v>
      </c>
      <c r="CI245" s="21">
        <v>44971.401319444441</v>
      </c>
      <c r="CJ245" t="s">
        <v>7393</v>
      </c>
      <c r="CK245" t="s">
        <v>7393</v>
      </c>
      <c r="CL245" t="s">
        <v>7394</v>
      </c>
      <c r="CM245" t="s">
        <v>7394</v>
      </c>
      <c r="CS245" t="s">
        <v>7361</v>
      </c>
      <c r="CT245" t="s">
        <v>7362</v>
      </c>
      <c r="CU245" t="s">
        <v>7362</v>
      </c>
      <c r="CV245" t="s">
        <v>7362</v>
      </c>
      <c r="CW245" t="s">
        <v>7362</v>
      </c>
      <c r="CX245">
        <v>3797307</v>
      </c>
      <c r="DA245">
        <v>0</v>
      </c>
    </row>
    <row r="246" spans="1:105" x14ac:dyDescent="0.3">
      <c r="A246">
        <v>1357</v>
      </c>
      <c r="B246" t="s">
        <v>7405</v>
      </c>
      <c r="C246">
        <v>291</v>
      </c>
      <c r="D246" s="20">
        <v>44966</v>
      </c>
      <c r="E246" t="s">
        <v>7372</v>
      </c>
      <c r="F246" t="s">
        <v>5866</v>
      </c>
      <c r="G246" t="s">
        <v>7357</v>
      </c>
      <c r="H246">
        <v>1</v>
      </c>
      <c r="I246" t="s">
        <v>7358</v>
      </c>
      <c r="J246">
        <v>1</v>
      </c>
      <c r="K246" s="20">
        <v>44966</v>
      </c>
      <c r="L246" s="23">
        <v>18676116.879999999</v>
      </c>
      <c r="M246" t="s">
        <v>7359</v>
      </c>
      <c r="N246" t="s">
        <v>7360</v>
      </c>
      <c r="O246">
        <v>0</v>
      </c>
      <c r="P246">
        <v>12082</v>
      </c>
      <c r="Q246">
        <v>419025</v>
      </c>
      <c r="R246">
        <v>0</v>
      </c>
      <c r="S246">
        <v>20230209</v>
      </c>
      <c r="T246">
        <v>0</v>
      </c>
      <c r="U246" t="s">
        <v>7362</v>
      </c>
      <c r="V246" t="s">
        <v>7360</v>
      </c>
      <c r="W246" t="s">
        <v>7360</v>
      </c>
      <c r="X246" t="s">
        <v>7360</v>
      </c>
      <c r="Y246" t="s">
        <v>7360</v>
      </c>
      <c r="Z246" t="s">
        <v>7360</v>
      </c>
      <c r="AA246" t="s">
        <v>7362</v>
      </c>
      <c r="AB246" t="s">
        <v>7360</v>
      </c>
      <c r="AC246" t="s">
        <v>7360</v>
      </c>
      <c r="AD246" t="s">
        <v>7360</v>
      </c>
      <c r="AE246" t="s">
        <v>7360</v>
      </c>
      <c r="AF246" t="s">
        <v>1684</v>
      </c>
      <c r="AG246">
        <v>0</v>
      </c>
      <c r="AH246">
        <v>0</v>
      </c>
      <c r="AI246">
        <v>0</v>
      </c>
      <c r="AJ246">
        <v>0</v>
      </c>
      <c r="AK246">
        <v>0</v>
      </c>
      <c r="AL246" t="s">
        <v>7360</v>
      </c>
      <c r="AM246">
        <v>0</v>
      </c>
      <c r="AN246" s="20">
        <v>44966</v>
      </c>
      <c r="AO246" s="20">
        <v>44966</v>
      </c>
      <c r="AP246" s="20">
        <v>44966</v>
      </c>
      <c r="AQ246">
        <v>0</v>
      </c>
      <c r="AR246">
        <v>0</v>
      </c>
      <c r="AS246">
        <v>0</v>
      </c>
      <c r="AT246">
        <v>0</v>
      </c>
      <c r="AU246">
        <v>0</v>
      </c>
      <c r="AV246" t="s">
        <v>7360</v>
      </c>
      <c r="AW246">
        <v>0</v>
      </c>
      <c r="AX246" t="s">
        <v>7360</v>
      </c>
      <c r="AY246" t="s">
        <v>7373</v>
      </c>
      <c r="BA246">
        <v>0</v>
      </c>
      <c r="BB246" s="20">
        <v>44966</v>
      </c>
      <c r="BC246">
        <v>0</v>
      </c>
      <c r="BD246" t="s">
        <v>7360</v>
      </c>
      <c r="BF246" s="20">
        <v>44966</v>
      </c>
      <c r="BG246">
        <v>0</v>
      </c>
      <c r="BH246" t="s">
        <v>1684</v>
      </c>
      <c r="BJ246" t="s">
        <v>7362</v>
      </c>
      <c r="BK246">
        <v>0</v>
      </c>
      <c r="BL246">
        <v>0</v>
      </c>
      <c r="BM246">
        <v>0</v>
      </c>
      <c r="BN246">
        <v>0</v>
      </c>
      <c r="BO246">
        <v>169</v>
      </c>
      <c r="BP246">
        <v>11</v>
      </c>
      <c r="BQ246">
        <v>1</v>
      </c>
      <c r="BR246" t="s">
        <v>7364</v>
      </c>
      <c r="BS246" t="s">
        <v>7374</v>
      </c>
      <c r="BT246" t="s">
        <v>7360</v>
      </c>
      <c r="BU246" t="s">
        <v>7360</v>
      </c>
      <c r="BV246" t="s">
        <v>7360</v>
      </c>
      <c r="BX246">
        <v>0</v>
      </c>
      <c r="BY246">
        <v>0</v>
      </c>
      <c r="BZ246" t="s">
        <v>7360</v>
      </c>
      <c r="CA246" t="s">
        <v>7360</v>
      </c>
      <c r="CB246">
        <v>3380666</v>
      </c>
      <c r="CC246" s="21">
        <v>44973.703703703701</v>
      </c>
      <c r="CE246" t="s">
        <v>7366</v>
      </c>
      <c r="CF246">
        <v>0</v>
      </c>
      <c r="CG246">
        <v>702002</v>
      </c>
      <c r="CH246">
        <v>702002</v>
      </c>
      <c r="CI246" s="21">
        <v>44973.705428240741</v>
      </c>
      <c r="CJ246" t="s">
        <v>7367</v>
      </c>
      <c r="CK246" t="s">
        <v>7367</v>
      </c>
      <c r="CL246" t="s">
        <v>7368</v>
      </c>
      <c r="CM246" t="s">
        <v>7368</v>
      </c>
      <c r="CS246" t="s">
        <v>7361</v>
      </c>
      <c r="CT246" t="s">
        <v>7362</v>
      </c>
      <c r="CU246" t="s">
        <v>7362</v>
      </c>
      <c r="CV246" t="s">
        <v>7362</v>
      </c>
      <c r="CW246" t="s">
        <v>7362</v>
      </c>
      <c r="CX246">
        <v>19026786</v>
      </c>
      <c r="DA246">
        <v>0</v>
      </c>
    </row>
    <row r="247" spans="1:105" x14ac:dyDescent="0.3">
      <c r="A247">
        <v>1357</v>
      </c>
      <c r="B247" t="s">
        <v>7405</v>
      </c>
      <c r="C247">
        <v>270</v>
      </c>
      <c r="D247" s="20">
        <v>44965</v>
      </c>
      <c r="E247" t="s">
        <v>7356</v>
      </c>
      <c r="F247" t="s">
        <v>5871</v>
      </c>
      <c r="G247" t="s">
        <v>7357</v>
      </c>
      <c r="H247">
        <v>1</v>
      </c>
      <c r="I247" t="s">
        <v>7358</v>
      </c>
      <c r="J247">
        <v>1</v>
      </c>
      <c r="K247" s="20">
        <v>44965</v>
      </c>
      <c r="L247" s="23">
        <v>312000</v>
      </c>
      <c r="M247" t="s">
        <v>7359</v>
      </c>
      <c r="N247" t="s">
        <v>7360</v>
      </c>
      <c r="O247">
        <v>0</v>
      </c>
      <c r="P247">
        <v>12162</v>
      </c>
      <c r="Q247">
        <v>420028</v>
      </c>
      <c r="R247">
        <v>0</v>
      </c>
      <c r="S247">
        <v>20230208</v>
      </c>
      <c r="T247">
        <v>0</v>
      </c>
      <c r="U247" t="s">
        <v>7361</v>
      </c>
      <c r="V247" t="s">
        <v>7360</v>
      </c>
      <c r="W247" t="s">
        <v>7360</v>
      </c>
      <c r="X247" t="s">
        <v>7360</v>
      </c>
      <c r="Y247" t="s">
        <v>7360</v>
      </c>
      <c r="Z247" t="s">
        <v>7360</v>
      </c>
      <c r="AA247" t="s">
        <v>7362</v>
      </c>
      <c r="AB247" t="s">
        <v>7360</v>
      </c>
      <c r="AC247" t="s">
        <v>7360</v>
      </c>
      <c r="AD247" t="s">
        <v>7360</v>
      </c>
      <c r="AE247" t="s">
        <v>7360</v>
      </c>
      <c r="AF247" t="s">
        <v>1684</v>
      </c>
      <c r="AG247">
        <v>0</v>
      </c>
      <c r="AH247">
        <v>0</v>
      </c>
      <c r="AI247">
        <v>0</v>
      </c>
      <c r="AJ247">
        <v>0</v>
      </c>
      <c r="AK247">
        <v>0</v>
      </c>
      <c r="AL247" t="s">
        <v>7360</v>
      </c>
      <c r="AM247">
        <v>0</v>
      </c>
      <c r="AN247" s="20">
        <v>44965</v>
      </c>
      <c r="AO247" s="20">
        <v>44965</v>
      </c>
      <c r="AP247" s="20">
        <v>44965</v>
      </c>
      <c r="AQ247">
        <v>0</v>
      </c>
      <c r="AR247">
        <v>0</v>
      </c>
      <c r="AS247">
        <v>0</v>
      </c>
      <c r="AT247">
        <v>0</v>
      </c>
      <c r="AU247">
        <v>0</v>
      </c>
      <c r="AV247" t="s">
        <v>7360</v>
      </c>
      <c r="AW247">
        <v>0</v>
      </c>
      <c r="AX247" t="s">
        <v>7360</v>
      </c>
      <c r="AY247" t="s">
        <v>7363</v>
      </c>
      <c r="BA247">
        <v>0</v>
      </c>
      <c r="BB247" s="20">
        <v>44965</v>
      </c>
      <c r="BC247">
        <v>0</v>
      </c>
      <c r="BD247" t="s">
        <v>7360</v>
      </c>
      <c r="BF247" s="20">
        <v>44965</v>
      </c>
      <c r="BG247">
        <v>0</v>
      </c>
      <c r="BH247" t="s">
        <v>1684</v>
      </c>
      <c r="BJ247" t="s">
        <v>7362</v>
      </c>
      <c r="BK247">
        <v>0</v>
      </c>
      <c r="BL247">
        <v>0</v>
      </c>
      <c r="BM247">
        <v>0</v>
      </c>
      <c r="BN247">
        <v>0</v>
      </c>
      <c r="BO247">
        <v>169</v>
      </c>
      <c r="BP247">
        <v>11</v>
      </c>
      <c r="BQ247">
        <v>1</v>
      </c>
      <c r="BR247" t="s">
        <v>7364</v>
      </c>
      <c r="BS247" t="s">
        <v>7382</v>
      </c>
      <c r="BT247" t="s">
        <v>7360</v>
      </c>
      <c r="BU247" t="s">
        <v>7360</v>
      </c>
      <c r="BV247" t="s">
        <v>7360</v>
      </c>
      <c r="BX247">
        <v>0</v>
      </c>
      <c r="BY247">
        <v>0</v>
      </c>
      <c r="BZ247" t="s">
        <v>7360</v>
      </c>
      <c r="CA247" t="s">
        <v>7360</v>
      </c>
      <c r="CB247">
        <v>3380666</v>
      </c>
      <c r="CC247" s="21">
        <v>44965.44085648148</v>
      </c>
      <c r="CE247" t="s">
        <v>7366</v>
      </c>
      <c r="CF247">
        <v>0</v>
      </c>
      <c r="CG247">
        <v>702002</v>
      </c>
      <c r="CH247">
        <v>702002</v>
      </c>
      <c r="CI247" s="21">
        <v>44965.442048611112</v>
      </c>
      <c r="CJ247" t="s">
        <v>7367</v>
      </c>
      <c r="CK247" t="s">
        <v>7367</v>
      </c>
      <c r="CL247" t="s">
        <v>7368</v>
      </c>
      <c r="CM247" t="s">
        <v>7368</v>
      </c>
      <c r="CS247" t="s">
        <v>7361</v>
      </c>
      <c r="CT247" t="s">
        <v>7362</v>
      </c>
      <c r="CU247" t="s">
        <v>7362</v>
      </c>
      <c r="CV247" t="s">
        <v>7362</v>
      </c>
      <c r="CW247" t="s">
        <v>7362</v>
      </c>
      <c r="CX247">
        <v>312000</v>
      </c>
      <c r="DA247">
        <v>0</v>
      </c>
    </row>
    <row r="248" spans="1:105" x14ac:dyDescent="0.3">
      <c r="A248">
        <v>1364</v>
      </c>
      <c r="B248" t="s">
        <v>7355</v>
      </c>
      <c r="C248">
        <v>271</v>
      </c>
      <c r="D248" s="20">
        <v>44965</v>
      </c>
      <c r="E248" t="s">
        <v>7356</v>
      </c>
      <c r="F248" t="s">
        <v>5877</v>
      </c>
      <c r="G248" t="s">
        <v>7357</v>
      </c>
      <c r="H248">
        <v>1</v>
      </c>
      <c r="I248" t="s">
        <v>7358</v>
      </c>
      <c r="J248">
        <v>1</v>
      </c>
      <c r="K248" s="20">
        <v>44965</v>
      </c>
      <c r="L248" s="23">
        <v>676000</v>
      </c>
      <c r="M248" t="s">
        <v>7359</v>
      </c>
      <c r="N248" t="s">
        <v>7360</v>
      </c>
      <c r="O248">
        <v>0</v>
      </c>
      <c r="P248">
        <v>12153</v>
      </c>
      <c r="Q248">
        <v>420021</v>
      </c>
      <c r="R248">
        <v>0</v>
      </c>
      <c r="S248">
        <v>20230208</v>
      </c>
      <c r="T248">
        <v>0</v>
      </c>
      <c r="U248" t="s">
        <v>7361</v>
      </c>
      <c r="V248" t="s">
        <v>7360</v>
      </c>
      <c r="W248" t="s">
        <v>7360</v>
      </c>
      <c r="X248" t="s">
        <v>7360</v>
      </c>
      <c r="Y248" t="s">
        <v>7360</v>
      </c>
      <c r="Z248" t="s">
        <v>7360</v>
      </c>
      <c r="AA248" t="s">
        <v>7362</v>
      </c>
      <c r="AB248" t="s">
        <v>7360</v>
      </c>
      <c r="AC248" t="s">
        <v>7360</v>
      </c>
      <c r="AD248" t="s">
        <v>7360</v>
      </c>
      <c r="AE248" t="s">
        <v>7360</v>
      </c>
      <c r="AF248" t="s">
        <v>1684</v>
      </c>
      <c r="AG248">
        <v>0</v>
      </c>
      <c r="AH248">
        <v>0</v>
      </c>
      <c r="AI248">
        <v>0</v>
      </c>
      <c r="AJ248">
        <v>0</v>
      </c>
      <c r="AK248">
        <v>0</v>
      </c>
      <c r="AL248" t="s">
        <v>7360</v>
      </c>
      <c r="AM248">
        <v>0</v>
      </c>
      <c r="AN248" s="20">
        <v>44965</v>
      </c>
      <c r="AO248" s="20">
        <v>44965</v>
      </c>
      <c r="AP248" s="20">
        <v>44965</v>
      </c>
      <c r="AQ248">
        <v>0</v>
      </c>
      <c r="AR248">
        <v>0</v>
      </c>
      <c r="AS248">
        <v>0</v>
      </c>
      <c r="AT248">
        <v>0</v>
      </c>
      <c r="AU248">
        <v>0</v>
      </c>
      <c r="AV248" t="s">
        <v>7360</v>
      </c>
      <c r="AW248">
        <v>0</v>
      </c>
      <c r="AX248" t="s">
        <v>7360</v>
      </c>
      <c r="AY248" t="s">
        <v>7363</v>
      </c>
      <c r="BA248">
        <v>0</v>
      </c>
      <c r="BB248" s="20">
        <v>44965</v>
      </c>
      <c r="BC248">
        <v>0</v>
      </c>
      <c r="BD248" t="s">
        <v>7360</v>
      </c>
      <c r="BF248" s="20">
        <v>44965</v>
      </c>
      <c r="BG248">
        <v>0</v>
      </c>
      <c r="BH248" t="s">
        <v>7363</v>
      </c>
      <c r="BJ248" t="s">
        <v>7362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 t="s">
        <v>7365</v>
      </c>
      <c r="BT248" t="s">
        <v>7360</v>
      </c>
      <c r="BU248" t="s">
        <v>7360</v>
      </c>
      <c r="BV248" t="s">
        <v>7360</v>
      </c>
      <c r="BX248">
        <v>0</v>
      </c>
      <c r="BY248">
        <v>0</v>
      </c>
      <c r="BZ248" t="s">
        <v>7360</v>
      </c>
      <c r="CA248" t="s">
        <v>7360</v>
      </c>
      <c r="CB248">
        <v>5558210</v>
      </c>
      <c r="CC248" s="21">
        <v>44965.443356481483</v>
      </c>
      <c r="CE248" t="s">
        <v>7366</v>
      </c>
      <c r="CF248">
        <v>0</v>
      </c>
      <c r="CG248">
        <v>53575</v>
      </c>
      <c r="CH248">
        <v>53575</v>
      </c>
      <c r="CI248" s="21">
        <v>44965.446446759262</v>
      </c>
      <c r="CJ248" t="s">
        <v>7393</v>
      </c>
      <c r="CK248" t="s">
        <v>7393</v>
      </c>
      <c r="CL248" t="s">
        <v>7394</v>
      </c>
      <c r="CM248" t="s">
        <v>7394</v>
      </c>
      <c r="CS248" t="s">
        <v>7361</v>
      </c>
      <c r="CT248" t="s">
        <v>7362</v>
      </c>
      <c r="CU248" t="s">
        <v>7362</v>
      </c>
      <c r="CV248" t="s">
        <v>7362</v>
      </c>
      <c r="CW248" t="s">
        <v>7362</v>
      </c>
      <c r="CX248">
        <v>676000</v>
      </c>
      <c r="DA248">
        <v>0</v>
      </c>
    </row>
    <row r="249" spans="1:105" x14ac:dyDescent="0.3">
      <c r="A249">
        <v>1364</v>
      </c>
      <c r="B249" t="s">
        <v>7355</v>
      </c>
      <c r="C249">
        <v>272</v>
      </c>
      <c r="D249" s="20">
        <v>44965</v>
      </c>
      <c r="E249" t="s">
        <v>7356</v>
      </c>
      <c r="F249" t="s">
        <v>5882</v>
      </c>
      <c r="G249" t="s">
        <v>7357</v>
      </c>
      <c r="H249">
        <v>1</v>
      </c>
      <c r="I249" t="s">
        <v>7358</v>
      </c>
      <c r="J249">
        <v>1</v>
      </c>
      <c r="K249" s="20">
        <v>44965</v>
      </c>
      <c r="L249" s="23">
        <v>676000</v>
      </c>
      <c r="M249" t="s">
        <v>7359</v>
      </c>
      <c r="N249" t="s">
        <v>7360</v>
      </c>
      <c r="O249">
        <v>0</v>
      </c>
      <c r="P249">
        <v>12155</v>
      </c>
      <c r="Q249">
        <v>420022</v>
      </c>
      <c r="R249">
        <v>0</v>
      </c>
      <c r="S249">
        <v>20230208</v>
      </c>
      <c r="T249">
        <v>0</v>
      </c>
      <c r="U249" t="s">
        <v>7361</v>
      </c>
      <c r="V249" t="s">
        <v>7360</v>
      </c>
      <c r="W249" t="s">
        <v>7360</v>
      </c>
      <c r="X249" t="s">
        <v>7360</v>
      </c>
      <c r="Y249" t="s">
        <v>7360</v>
      </c>
      <c r="Z249" t="s">
        <v>7360</v>
      </c>
      <c r="AA249" t="s">
        <v>7362</v>
      </c>
      <c r="AB249" t="s">
        <v>7360</v>
      </c>
      <c r="AC249" t="s">
        <v>7360</v>
      </c>
      <c r="AD249" t="s">
        <v>7360</v>
      </c>
      <c r="AE249" t="s">
        <v>7360</v>
      </c>
      <c r="AF249" t="s">
        <v>1684</v>
      </c>
      <c r="AG249">
        <v>0</v>
      </c>
      <c r="AH249">
        <v>0</v>
      </c>
      <c r="AI249">
        <v>0</v>
      </c>
      <c r="AJ249">
        <v>0</v>
      </c>
      <c r="AK249">
        <v>0</v>
      </c>
      <c r="AL249" t="s">
        <v>7360</v>
      </c>
      <c r="AM249">
        <v>0</v>
      </c>
      <c r="AN249" s="20">
        <v>44965</v>
      </c>
      <c r="AO249" s="20">
        <v>44965</v>
      </c>
      <c r="AP249" s="20">
        <v>44965</v>
      </c>
      <c r="AQ249">
        <v>0</v>
      </c>
      <c r="AR249">
        <v>0</v>
      </c>
      <c r="AS249">
        <v>0</v>
      </c>
      <c r="AT249">
        <v>0</v>
      </c>
      <c r="AU249">
        <v>0</v>
      </c>
      <c r="AV249" t="s">
        <v>7360</v>
      </c>
      <c r="AW249">
        <v>0</v>
      </c>
      <c r="AX249" t="s">
        <v>7360</v>
      </c>
      <c r="AY249" t="s">
        <v>7363</v>
      </c>
      <c r="BA249">
        <v>0</v>
      </c>
      <c r="BB249" s="20">
        <v>44965</v>
      </c>
      <c r="BC249">
        <v>0</v>
      </c>
      <c r="BD249" t="s">
        <v>7360</v>
      </c>
      <c r="BF249" s="20">
        <v>44965</v>
      </c>
      <c r="BG249">
        <v>0</v>
      </c>
      <c r="BH249" t="s">
        <v>7363</v>
      </c>
      <c r="BJ249" t="s">
        <v>7362</v>
      </c>
      <c r="BK249">
        <v>169</v>
      </c>
      <c r="BL249">
        <v>11</v>
      </c>
      <c r="BM249">
        <v>1</v>
      </c>
      <c r="BN249" t="s">
        <v>7364</v>
      </c>
      <c r="BO249">
        <v>0</v>
      </c>
      <c r="BP249">
        <v>0</v>
      </c>
      <c r="BQ249">
        <v>0</v>
      </c>
      <c r="BR249">
        <v>0</v>
      </c>
      <c r="BS249" t="s">
        <v>7365</v>
      </c>
      <c r="BT249" t="s">
        <v>7360</v>
      </c>
      <c r="BU249" t="s">
        <v>7360</v>
      </c>
      <c r="BV249" t="s">
        <v>7360</v>
      </c>
      <c r="BX249" t="s">
        <v>7391</v>
      </c>
      <c r="BY249">
        <v>74</v>
      </c>
      <c r="BZ249" t="s">
        <v>7360</v>
      </c>
      <c r="CA249" t="s">
        <v>7360</v>
      </c>
      <c r="CB249">
        <v>5558210</v>
      </c>
      <c r="CC249" s="21">
        <v>44965.454293981478</v>
      </c>
      <c r="CE249" t="s">
        <v>7392</v>
      </c>
      <c r="CF249">
        <v>1100101</v>
      </c>
      <c r="CG249">
        <v>53575</v>
      </c>
      <c r="CH249">
        <v>53575</v>
      </c>
      <c r="CI249" s="21">
        <v>44965.457476851851</v>
      </c>
      <c r="CJ249" t="s">
        <v>7393</v>
      </c>
      <c r="CK249" t="s">
        <v>7393</v>
      </c>
      <c r="CL249" t="s">
        <v>7394</v>
      </c>
      <c r="CM249" t="s">
        <v>7394</v>
      </c>
      <c r="CS249" t="s">
        <v>7361</v>
      </c>
      <c r="CT249" t="s">
        <v>7362</v>
      </c>
      <c r="CU249" t="s">
        <v>7362</v>
      </c>
      <c r="CV249" t="s">
        <v>7362</v>
      </c>
      <c r="CW249" t="s">
        <v>7362</v>
      </c>
      <c r="CX249">
        <v>676000</v>
      </c>
      <c r="DA249">
        <v>0</v>
      </c>
    </row>
    <row r="250" spans="1:105" x14ac:dyDescent="0.3">
      <c r="A250">
        <v>1357</v>
      </c>
      <c r="B250" t="s">
        <v>7405</v>
      </c>
      <c r="C250">
        <v>273</v>
      </c>
      <c r="D250" s="20">
        <v>44965</v>
      </c>
      <c r="E250" t="s">
        <v>7356</v>
      </c>
      <c r="F250" t="s">
        <v>5887</v>
      </c>
      <c r="G250" t="s">
        <v>7357</v>
      </c>
      <c r="H250">
        <v>1</v>
      </c>
      <c r="I250" t="s">
        <v>7358</v>
      </c>
      <c r="J250">
        <v>1</v>
      </c>
      <c r="K250" s="20">
        <v>44965</v>
      </c>
      <c r="L250" s="23">
        <v>601920</v>
      </c>
      <c r="M250" t="s">
        <v>7359</v>
      </c>
      <c r="N250" t="s">
        <v>7360</v>
      </c>
      <c r="O250">
        <v>0</v>
      </c>
      <c r="P250">
        <v>12216</v>
      </c>
      <c r="Q250">
        <v>422005</v>
      </c>
      <c r="R250">
        <v>0</v>
      </c>
      <c r="S250">
        <v>20230208</v>
      </c>
      <c r="T250">
        <v>0</v>
      </c>
      <c r="U250" t="s">
        <v>7361</v>
      </c>
      <c r="V250" t="s">
        <v>7360</v>
      </c>
      <c r="W250" t="s">
        <v>7360</v>
      </c>
      <c r="X250" t="s">
        <v>7360</v>
      </c>
      <c r="Y250" t="s">
        <v>7360</v>
      </c>
      <c r="Z250" t="s">
        <v>7360</v>
      </c>
      <c r="AA250" t="s">
        <v>7362</v>
      </c>
      <c r="AB250" t="s">
        <v>7360</v>
      </c>
      <c r="AC250" t="s">
        <v>7360</v>
      </c>
      <c r="AD250" t="s">
        <v>7360</v>
      </c>
      <c r="AE250" t="s">
        <v>7360</v>
      </c>
      <c r="AF250" t="s">
        <v>1684</v>
      </c>
      <c r="AG250">
        <v>0</v>
      </c>
      <c r="AH250">
        <v>0</v>
      </c>
      <c r="AI250">
        <v>0</v>
      </c>
      <c r="AJ250">
        <v>0</v>
      </c>
      <c r="AK250">
        <v>0</v>
      </c>
      <c r="AL250" t="s">
        <v>7360</v>
      </c>
      <c r="AM250">
        <v>0</v>
      </c>
      <c r="AN250" s="20">
        <v>44965</v>
      </c>
      <c r="AO250" s="20">
        <v>44965</v>
      </c>
      <c r="AP250" s="20">
        <v>44965</v>
      </c>
      <c r="AQ250">
        <v>0</v>
      </c>
      <c r="AR250">
        <v>0</v>
      </c>
      <c r="AS250">
        <v>0</v>
      </c>
      <c r="AT250">
        <v>0</v>
      </c>
      <c r="AU250">
        <v>0</v>
      </c>
      <c r="AV250" t="s">
        <v>7360</v>
      </c>
      <c r="AW250">
        <v>0</v>
      </c>
      <c r="AX250" t="s">
        <v>7360</v>
      </c>
      <c r="AY250" t="s">
        <v>7363</v>
      </c>
      <c r="BA250">
        <v>0</v>
      </c>
      <c r="BB250" s="20">
        <v>44965</v>
      </c>
      <c r="BC250">
        <v>0</v>
      </c>
      <c r="BD250" t="s">
        <v>7360</v>
      </c>
      <c r="BF250" s="20">
        <v>44965</v>
      </c>
      <c r="BG250">
        <v>0</v>
      </c>
      <c r="BH250" t="s">
        <v>1684</v>
      </c>
      <c r="BJ250" t="s">
        <v>7362</v>
      </c>
      <c r="BK250">
        <v>0</v>
      </c>
      <c r="BL250">
        <v>0</v>
      </c>
      <c r="BM250">
        <v>0</v>
      </c>
      <c r="BN250">
        <v>0</v>
      </c>
      <c r="BO250">
        <v>169</v>
      </c>
      <c r="BP250">
        <v>11</v>
      </c>
      <c r="BQ250">
        <v>1</v>
      </c>
      <c r="BR250" t="s">
        <v>7364</v>
      </c>
      <c r="BS250" t="s">
        <v>7382</v>
      </c>
      <c r="BT250" t="s">
        <v>7360</v>
      </c>
      <c r="BU250" t="s">
        <v>7360</v>
      </c>
      <c r="BV250" t="s">
        <v>7360</v>
      </c>
      <c r="BX250">
        <v>0</v>
      </c>
      <c r="BY250">
        <v>0</v>
      </c>
      <c r="BZ250" t="s">
        <v>7360</v>
      </c>
      <c r="CA250" t="s">
        <v>7360</v>
      </c>
      <c r="CB250">
        <v>3380666</v>
      </c>
      <c r="CC250" s="21">
        <v>44965.466805555552</v>
      </c>
      <c r="CE250" t="s">
        <v>7366</v>
      </c>
      <c r="CF250">
        <v>0</v>
      </c>
      <c r="CG250">
        <v>702002</v>
      </c>
      <c r="CH250">
        <v>702002</v>
      </c>
      <c r="CI250" s="21">
        <v>44965.468414351853</v>
      </c>
      <c r="CJ250" t="s">
        <v>7367</v>
      </c>
      <c r="CK250" t="s">
        <v>7367</v>
      </c>
      <c r="CL250" t="s">
        <v>7368</v>
      </c>
      <c r="CM250" t="s">
        <v>7368</v>
      </c>
      <c r="CS250" t="s">
        <v>7361</v>
      </c>
      <c r="CT250" t="s">
        <v>7362</v>
      </c>
      <c r="CU250" t="s">
        <v>7362</v>
      </c>
      <c r="CV250" t="s">
        <v>7362</v>
      </c>
      <c r="CW250" t="s">
        <v>7362</v>
      </c>
      <c r="CX250">
        <v>601920</v>
      </c>
      <c r="DA250">
        <v>0</v>
      </c>
    </row>
    <row r="251" spans="1:105" x14ac:dyDescent="0.3">
      <c r="A251">
        <v>1364</v>
      </c>
      <c r="B251" t="s">
        <v>7355</v>
      </c>
      <c r="C251">
        <v>274</v>
      </c>
      <c r="D251" s="20">
        <v>44965</v>
      </c>
      <c r="E251" t="s">
        <v>7356</v>
      </c>
      <c r="F251" t="s">
        <v>5893</v>
      </c>
      <c r="G251" t="s">
        <v>7357</v>
      </c>
      <c r="H251">
        <v>1</v>
      </c>
      <c r="I251" t="s">
        <v>7358</v>
      </c>
      <c r="J251">
        <v>1</v>
      </c>
      <c r="K251" s="20">
        <v>44965</v>
      </c>
      <c r="L251" s="23">
        <v>5375145</v>
      </c>
      <c r="M251" t="s">
        <v>7359</v>
      </c>
      <c r="N251" t="s">
        <v>7360</v>
      </c>
      <c r="O251">
        <v>0</v>
      </c>
      <c r="P251">
        <v>12187</v>
      </c>
      <c r="Q251">
        <v>422007</v>
      </c>
      <c r="R251">
        <v>0</v>
      </c>
      <c r="S251">
        <v>20230208</v>
      </c>
      <c r="T251">
        <v>0</v>
      </c>
      <c r="U251" t="s">
        <v>7361</v>
      </c>
      <c r="V251" t="s">
        <v>7360</v>
      </c>
      <c r="W251" t="s">
        <v>7360</v>
      </c>
      <c r="X251" t="s">
        <v>7360</v>
      </c>
      <c r="Y251" t="s">
        <v>7360</v>
      </c>
      <c r="Z251" t="s">
        <v>7360</v>
      </c>
      <c r="AA251" t="s">
        <v>7362</v>
      </c>
      <c r="AB251" t="s">
        <v>7360</v>
      </c>
      <c r="AC251" t="s">
        <v>7360</v>
      </c>
      <c r="AD251" t="s">
        <v>7360</v>
      </c>
      <c r="AE251" t="s">
        <v>7360</v>
      </c>
      <c r="AF251" t="s">
        <v>1684</v>
      </c>
      <c r="AG251">
        <v>0</v>
      </c>
      <c r="AH251">
        <v>0</v>
      </c>
      <c r="AI251">
        <v>0</v>
      </c>
      <c r="AJ251">
        <v>0</v>
      </c>
      <c r="AK251">
        <v>0</v>
      </c>
      <c r="AL251" t="s">
        <v>7360</v>
      </c>
      <c r="AM251">
        <v>0</v>
      </c>
      <c r="AN251" s="20">
        <v>44965</v>
      </c>
      <c r="AO251" s="20">
        <v>44965</v>
      </c>
      <c r="AP251" s="20">
        <v>44965</v>
      </c>
      <c r="AQ251">
        <v>0</v>
      </c>
      <c r="AR251">
        <v>0</v>
      </c>
      <c r="AS251">
        <v>0</v>
      </c>
      <c r="AT251">
        <v>0</v>
      </c>
      <c r="AU251">
        <v>0</v>
      </c>
      <c r="AV251" t="s">
        <v>7360</v>
      </c>
      <c r="AW251">
        <v>0</v>
      </c>
      <c r="AX251" t="s">
        <v>7360</v>
      </c>
      <c r="AY251" t="s">
        <v>7363</v>
      </c>
      <c r="BA251">
        <v>0</v>
      </c>
      <c r="BB251" s="20">
        <v>44965</v>
      </c>
      <c r="BC251">
        <v>0</v>
      </c>
      <c r="BD251" t="s">
        <v>7360</v>
      </c>
      <c r="BF251" s="20">
        <v>44965</v>
      </c>
      <c r="BG251">
        <v>0</v>
      </c>
      <c r="BH251" t="s">
        <v>7363</v>
      </c>
      <c r="BJ251" t="s">
        <v>7362</v>
      </c>
      <c r="BK251">
        <v>169</v>
      </c>
      <c r="BL251">
        <v>11</v>
      </c>
      <c r="BM251">
        <v>1</v>
      </c>
      <c r="BN251" t="s">
        <v>7364</v>
      </c>
      <c r="BO251">
        <v>0</v>
      </c>
      <c r="BP251">
        <v>0</v>
      </c>
      <c r="BQ251">
        <v>0</v>
      </c>
      <c r="BR251">
        <v>0</v>
      </c>
      <c r="BS251" t="s">
        <v>7365</v>
      </c>
      <c r="BT251" t="s">
        <v>7360</v>
      </c>
      <c r="BU251" t="s">
        <v>7360</v>
      </c>
      <c r="BV251" t="s">
        <v>7360</v>
      </c>
      <c r="BX251" t="s">
        <v>7391</v>
      </c>
      <c r="BY251">
        <v>74</v>
      </c>
      <c r="BZ251" t="s">
        <v>7360</v>
      </c>
      <c r="CA251" t="s">
        <v>7360</v>
      </c>
      <c r="CB251">
        <v>5558210</v>
      </c>
      <c r="CC251" s="21">
        <v>44965.475300925929</v>
      </c>
      <c r="CE251" t="s">
        <v>7392</v>
      </c>
      <c r="CF251">
        <v>1100101</v>
      </c>
      <c r="CG251">
        <v>53575</v>
      </c>
      <c r="CH251">
        <v>702002</v>
      </c>
      <c r="CI251" s="21">
        <v>44970.60832175926</v>
      </c>
      <c r="CJ251" t="s">
        <v>7393</v>
      </c>
      <c r="CK251" t="s">
        <v>7367</v>
      </c>
      <c r="CL251" t="s">
        <v>7394</v>
      </c>
      <c r="CM251" t="s">
        <v>7368</v>
      </c>
      <c r="CS251" t="s">
        <v>7361</v>
      </c>
      <c r="CT251" t="s">
        <v>7362</v>
      </c>
      <c r="CU251" t="s">
        <v>7362</v>
      </c>
      <c r="CV251" t="s">
        <v>7362</v>
      </c>
      <c r="CW251" t="s">
        <v>7362</v>
      </c>
      <c r="CX251">
        <v>5375145</v>
      </c>
      <c r="DA251">
        <v>0</v>
      </c>
    </row>
    <row r="252" spans="1:105" x14ac:dyDescent="0.3">
      <c r="A252">
        <v>1366</v>
      </c>
      <c r="B252" t="s">
        <v>7380</v>
      </c>
      <c r="C252">
        <v>275</v>
      </c>
      <c r="D252" s="20">
        <v>44965</v>
      </c>
      <c r="E252" t="s">
        <v>7356</v>
      </c>
      <c r="F252" t="s">
        <v>5898</v>
      </c>
      <c r="G252" t="s">
        <v>7370</v>
      </c>
      <c r="H252">
        <v>1</v>
      </c>
      <c r="I252" t="s">
        <v>7358</v>
      </c>
      <c r="J252">
        <v>1</v>
      </c>
      <c r="K252" s="20">
        <v>44965</v>
      </c>
      <c r="L252" s="23">
        <v>300000</v>
      </c>
      <c r="M252" t="s">
        <v>7359</v>
      </c>
      <c r="N252" t="s">
        <v>7360</v>
      </c>
      <c r="O252">
        <v>0</v>
      </c>
      <c r="P252">
        <v>12186</v>
      </c>
      <c r="Q252">
        <v>421009</v>
      </c>
      <c r="R252">
        <v>0</v>
      </c>
      <c r="S252">
        <v>20230208</v>
      </c>
      <c r="T252">
        <v>0</v>
      </c>
      <c r="U252" t="s">
        <v>7361</v>
      </c>
      <c r="V252" t="s">
        <v>7360</v>
      </c>
      <c r="W252" t="s">
        <v>7360</v>
      </c>
      <c r="X252" t="s">
        <v>7360</v>
      </c>
      <c r="Y252" t="s">
        <v>7360</v>
      </c>
      <c r="Z252" t="s">
        <v>7360</v>
      </c>
      <c r="AA252" t="s">
        <v>7362</v>
      </c>
      <c r="AB252" t="s">
        <v>7360</v>
      </c>
      <c r="AC252" t="s">
        <v>7360</v>
      </c>
      <c r="AD252" t="s">
        <v>7360</v>
      </c>
      <c r="AE252" t="s">
        <v>7360</v>
      </c>
      <c r="AF252" t="s">
        <v>1684</v>
      </c>
      <c r="AG252">
        <v>0</v>
      </c>
      <c r="AH252">
        <v>0</v>
      </c>
      <c r="AI252">
        <v>0</v>
      </c>
      <c r="AJ252">
        <v>0</v>
      </c>
      <c r="AK252">
        <v>0</v>
      </c>
      <c r="AL252" t="s">
        <v>7360</v>
      </c>
      <c r="AM252">
        <v>0</v>
      </c>
      <c r="AN252" s="20">
        <v>44965</v>
      </c>
      <c r="AO252" s="20">
        <v>44965</v>
      </c>
      <c r="AP252" s="20">
        <v>44965</v>
      </c>
      <c r="AQ252">
        <v>0</v>
      </c>
      <c r="AR252">
        <v>0</v>
      </c>
      <c r="AS252">
        <v>0</v>
      </c>
      <c r="AT252">
        <v>0</v>
      </c>
      <c r="AU252">
        <v>0</v>
      </c>
      <c r="AV252" t="s">
        <v>7360</v>
      </c>
      <c r="AW252">
        <v>0</v>
      </c>
      <c r="AX252" t="s">
        <v>7360</v>
      </c>
      <c r="AY252" t="s">
        <v>7363</v>
      </c>
      <c r="BA252">
        <v>0</v>
      </c>
      <c r="BB252" s="20">
        <v>44965</v>
      </c>
      <c r="BC252">
        <v>0</v>
      </c>
      <c r="BD252" t="s">
        <v>7360</v>
      </c>
      <c r="BF252" s="20">
        <v>44965</v>
      </c>
      <c r="BG252">
        <v>0</v>
      </c>
      <c r="BH252" t="s">
        <v>7363</v>
      </c>
      <c r="BJ252" t="s">
        <v>7362</v>
      </c>
      <c r="BK252">
        <v>0</v>
      </c>
      <c r="BL252">
        <v>0</v>
      </c>
      <c r="BM252">
        <v>0</v>
      </c>
      <c r="BN252">
        <v>0</v>
      </c>
      <c r="BO252">
        <v>169</v>
      </c>
      <c r="BP252">
        <v>11</v>
      </c>
      <c r="BQ252">
        <v>1</v>
      </c>
      <c r="BR252" t="s">
        <v>7364</v>
      </c>
      <c r="BS252" t="s">
        <v>7365</v>
      </c>
      <c r="BT252" t="s">
        <v>7360</v>
      </c>
      <c r="BU252" t="s">
        <v>7360</v>
      </c>
      <c r="BV252" t="s">
        <v>7360</v>
      </c>
      <c r="BX252">
        <v>0</v>
      </c>
      <c r="BY252">
        <v>0</v>
      </c>
      <c r="BZ252" t="s">
        <v>7360</v>
      </c>
      <c r="CA252" t="s">
        <v>7360</v>
      </c>
      <c r="CB252">
        <v>3380666</v>
      </c>
      <c r="CC252" s="21">
        <v>44965.601921296293</v>
      </c>
      <c r="CE252" t="s">
        <v>7366</v>
      </c>
      <c r="CF252">
        <v>0</v>
      </c>
      <c r="CG252">
        <v>702002</v>
      </c>
      <c r="CH252">
        <v>702002</v>
      </c>
      <c r="CI252" s="21">
        <v>44977.689513888887</v>
      </c>
      <c r="CJ252" t="s">
        <v>7367</v>
      </c>
      <c r="CK252" t="s">
        <v>7367</v>
      </c>
      <c r="CL252" t="s">
        <v>7368</v>
      </c>
      <c r="CM252" t="s">
        <v>7368</v>
      </c>
      <c r="CS252" t="s">
        <v>7361</v>
      </c>
      <c r="CT252" t="s">
        <v>7362</v>
      </c>
      <c r="CU252" t="s">
        <v>7362</v>
      </c>
      <c r="CV252" t="s">
        <v>7362</v>
      </c>
      <c r="CW252" t="s">
        <v>7362</v>
      </c>
      <c r="CX252">
        <v>300000</v>
      </c>
      <c r="DA252">
        <v>0</v>
      </c>
    </row>
    <row r="253" spans="1:105" x14ac:dyDescent="0.3">
      <c r="A253">
        <v>1366</v>
      </c>
      <c r="B253" t="s">
        <v>7380</v>
      </c>
      <c r="C253">
        <v>276</v>
      </c>
      <c r="D253" s="20">
        <v>44966</v>
      </c>
      <c r="E253" t="s">
        <v>7356</v>
      </c>
      <c r="F253" t="s">
        <v>5903</v>
      </c>
      <c r="G253" t="s">
        <v>7357</v>
      </c>
      <c r="H253">
        <v>1</v>
      </c>
      <c r="I253" t="s">
        <v>7358</v>
      </c>
      <c r="J253">
        <v>1</v>
      </c>
      <c r="K253" s="20">
        <v>44966</v>
      </c>
      <c r="L253" s="23">
        <v>1000000</v>
      </c>
      <c r="M253" t="s">
        <v>7359</v>
      </c>
      <c r="N253" t="s">
        <v>7360</v>
      </c>
      <c r="O253">
        <v>0</v>
      </c>
      <c r="P253">
        <v>12157</v>
      </c>
      <c r="Q253">
        <v>420024</v>
      </c>
      <c r="R253">
        <v>0</v>
      </c>
      <c r="S253">
        <v>20230209</v>
      </c>
      <c r="T253">
        <v>0</v>
      </c>
      <c r="U253" t="s">
        <v>7361</v>
      </c>
      <c r="V253" t="s">
        <v>7360</v>
      </c>
      <c r="W253" t="s">
        <v>7360</v>
      </c>
      <c r="X253" t="s">
        <v>7360</v>
      </c>
      <c r="Y253" t="s">
        <v>7360</v>
      </c>
      <c r="Z253" t="s">
        <v>7360</v>
      </c>
      <c r="AA253" t="s">
        <v>7362</v>
      </c>
      <c r="AB253" t="s">
        <v>7360</v>
      </c>
      <c r="AC253" t="s">
        <v>7360</v>
      </c>
      <c r="AD253" t="s">
        <v>7360</v>
      </c>
      <c r="AE253" t="s">
        <v>7360</v>
      </c>
      <c r="AF253" t="s">
        <v>1684</v>
      </c>
      <c r="AG253">
        <v>0</v>
      </c>
      <c r="AH253">
        <v>0</v>
      </c>
      <c r="AI253">
        <v>0</v>
      </c>
      <c r="AJ253">
        <v>0</v>
      </c>
      <c r="AK253">
        <v>0</v>
      </c>
      <c r="AL253" t="s">
        <v>7360</v>
      </c>
      <c r="AM253">
        <v>0</v>
      </c>
      <c r="AN253" s="20">
        <v>44966</v>
      </c>
      <c r="AO253" s="20">
        <v>44966</v>
      </c>
      <c r="AP253" s="20">
        <v>44966</v>
      </c>
      <c r="AQ253">
        <v>0</v>
      </c>
      <c r="AR253">
        <v>0</v>
      </c>
      <c r="AS253">
        <v>0</v>
      </c>
      <c r="AT253">
        <v>0</v>
      </c>
      <c r="AU253">
        <v>0</v>
      </c>
      <c r="AV253" t="s">
        <v>7360</v>
      </c>
      <c r="AW253">
        <v>0</v>
      </c>
      <c r="AX253" t="s">
        <v>7360</v>
      </c>
      <c r="AY253" t="s">
        <v>7363</v>
      </c>
      <c r="BA253">
        <v>0</v>
      </c>
      <c r="BB253" s="20">
        <v>44966</v>
      </c>
      <c r="BC253">
        <v>0</v>
      </c>
      <c r="BD253" t="s">
        <v>7360</v>
      </c>
      <c r="BF253" s="20">
        <v>44966</v>
      </c>
      <c r="BG253">
        <v>0</v>
      </c>
      <c r="BH253" t="s">
        <v>7363</v>
      </c>
      <c r="BJ253" t="s">
        <v>7362</v>
      </c>
      <c r="BK253">
        <v>0</v>
      </c>
      <c r="BL253">
        <v>0</v>
      </c>
      <c r="BM253">
        <v>0</v>
      </c>
      <c r="BN253">
        <v>0</v>
      </c>
      <c r="BO253">
        <v>169</v>
      </c>
      <c r="BP253">
        <v>11</v>
      </c>
      <c r="BQ253">
        <v>1</v>
      </c>
      <c r="BR253" t="s">
        <v>7364</v>
      </c>
      <c r="BS253" t="s">
        <v>7365</v>
      </c>
      <c r="BT253" t="s">
        <v>7360</v>
      </c>
      <c r="BU253" t="s">
        <v>7360</v>
      </c>
      <c r="BV253" t="s">
        <v>7360</v>
      </c>
      <c r="BX253">
        <v>0</v>
      </c>
      <c r="BY253">
        <v>0</v>
      </c>
      <c r="BZ253" t="s">
        <v>7360</v>
      </c>
      <c r="CA253" t="s">
        <v>7360</v>
      </c>
      <c r="CB253">
        <v>3360866</v>
      </c>
      <c r="CC253" s="21">
        <v>44966.401030092595</v>
      </c>
      <c r="CE253" t="s">
        <v>7366</v>
      </c>
      <c r="CF253">
        <v>0</v>
      </c>
      <c r="CG253">
        <v>702002</v>
      </c>
      <c r="CH253">
        <v>702002</v>
      </c>
      <c r="CI253" s="21">
        <v>44966.403217592589</v>
      </c>
      <c r="CJ253" t="s">
        <v>7367</v>
      </c>
      <c r="CK253" t="s">
        <v>7367</v>
      </c>
      <c r="CL253" t="s">
        <v>7368</v>
      </c>
      <c r="CM253" t="s">
        <v>7368</v>
      </c>
      <c r="CS253" t="s">
        <v>7361</v>
      </c>
      <c r="CT253" t="s">
        <v>7362</v>
      </c>
      <c r="CU253" t="s">
        <v>7362</v>
      </c>
      <c r="CV253" t="s">
        <v>7362</v>
      </c>
      <c r="CW253" t="s">
        <v>7362</v>
      </c>
      <c r="CX253">
        <v>1000000</v>
      </c>
      <c r="DA253">
        <v>0</v>
      </c>
    </row>
    <row r="254" spans="1:105" x14ac:dyDescent="0.3">
      <c r="A254">
        <v>1354</v>
      </c>
      <c r="B254" t="s">
        <v>7396</v>
      </c>
      <c r="C254">
        <v>277</v>
      </c>
      <c r="D254" s="20">
        <v>44966</v>
      </c>
      <c r="E254" t="s">
        <v>7356</v>
      </c>
      <c r="F254" t="s">
        <v>5909</v>
      </c>
      <c r="G254" t="s">
        <v>7370</v>
      </c>
      <c r="H254">
        <v>1</v>
      </c>
      <c r="I254" t="s">
        <v>7358</v>
      </c>
      <c r="J254">
        <v>1</v>
      </c>
      <c r="K254" s="20">
        <v>44966</v>
      </c>
      <c r="L254" s="23">
        <v>1500000</v>
      </c>
      <c r="M254" t="s">
        <v>7359</v>
      </c>
      <c r="N254" t="s">
        <v>7360</v>
      </c>
      <c r="O254">
        <v>0</v>
      </c>
      <c r="P254">
        <v>12184</v>
      </c>
      <c r="Q254">
        <v>421008</v>
      </c>
      <c r="R254">
        <v>0</v>
      </c>
      <c r="S254">
        <v>20230209</v>
      </c>
      <c r="T254">
        <v>0</v>
      </c>
      <c r="U254" t="s">
        <v>7361</v>
      </c>
      <c r="V254" t="s">
        <v>7360</v>
      </c>
      <c r="W254" t="s">
        <v>7360</v>
      </c>
      <c r="X254" t="s">
        <v>7360</v>
      </c>
      <c r="Y254" t="s">
        <v>7360</v>
      </c>
      <c r="Z254" t="s">
        <v>7360</v>
      </c>
      <c r="AA254" t="s">
        <v>7362</v>
      </c>
      <c r="AB254" t="s">
        <v>7360</v>
      </c>
      <c r="AC254" t="s">
        <v>7360</v>
      </c>
      <c r="AD254" t="s">
        <v>7360</v>
      </c>
      <c r="AE254" t="s">
        <v>7360</v>
      </c>
      <c r="AF254" t="s">
        <v>1684</v>
      </c>
      <c r="AG254">
        <v>0</v>
      </c>
      <c r="AH254">
        <v>0</v>
      </c>
      <c r="AI254">
        <v>0</v>
      </c>
      <c r="AJ254">
        <v>0</v>
      </c>
      <c r="AK254">
        <v>0</v>
      </c>
      <c r="AL254" t="s">
        <v>7360</v>
      </c>
      <c r="AM254">
        <v>0</v>
      </c>
      <c r="AN254" s="20">
        <v>44966</v>
      </c>
      <c r="AO254" s="20">
        <v>44966</v>
      </c>
      <c r="AP254" s="20">
        <v>44966</v>
      </c>
      <c r="AQ254">
        <v>0</v>
      </c>
      <c r="AR254">
        <v>0</v>
      </c>
      <c r="AS254">
        <v>0</v>
      </c>
      <c r="AT254">
        <v>0</v>
      </c>
      <c r="AU254">
        <v>0</v>
      </c>
      <c r="AV254" t="s">
        <v>7360</v>
      </c>
      <c r="AW254">
        <v>0</v>
      </c>
      <c r="AX254" t="s">
        <v>7360</v>
      </c>
      <c r="AY254" t="s">
        <v>7363</v>
      </c>
      <c r="BA254">
        <v>0</v>
      </c>
      <c r="BB254" s="20">
        <v>44966</v>
      </c>
      <c r="BC254">
        <v>0</v>
      </c>
      <c r="BD254" t="s">
        <v>7360</v>
      </c>
      <c r="BF254" s="20">
        <v>44966</v>
      </c>
      <c r="BG254">
        <v>0</v>
      </c>
      <c r="BH254" t="s">
        <v>7363</v>
      </c>
      <c r="BJ254" t="s">
        <v>7362</v>
      </c>
      <c r="BK254">
        <v>0</v>
      </c>
      <c r="BL254">
        <v>0</v>
      </c>
      <c r="BM254">
        <v>0</v>
      </c>
      <c r="BN254">
        <v>0</v>
      </c>
      <c r="BO254">
        <v>169</v>
      </c>
      <c r="BP254">
        <v>11</v>
      </c>
      <c r="BQ254">
        <v>1</v>
      </c>
      <c r="BR254" t="s">
        <v>7364</v>
      </c>
      <c r="BS254" t="s">
        <v>7365</v>
      </c>
      <c r="BT254" t="s">
        <v>7360</v>
      </c>
      <c r="BU254" t="s">
        <v>7360</v>
      </c>
      <c r="BV254" t="s">
        <v>7360</v>
      </c>
      <c r="BX254">
        <v>0</v>
      </c>
      <c r="BY254">
        <v>0</v>
      </c>
      <c r="BZ254" t="s">
        <v>7360</v>
      </c>
      <c r="CA254" t="s">
        <v>7360</v>
      </c>
      <c r="CB254">
        <v>3380666</v>
      </c>
      <c r="CC254" s="21">
        <v>44966.457152777781</v>
      </c>
      <c r="CE254" t="s">
        <v>7366</v>
      </c>
      <c r="CF254">
        <v>0</v>
      </c>
      <c r="CG254">
        <v>702002</v>
      </c>
      <c r="CH254">
        <v>702002</v>
      </c>
      <c r="CI254" s="21">
        <v>44966.459097222221</v>
      </c>
      <c r="CJ254" t="s">
        <v>7367</v>
      </c>
      <c r="CK254" t="s">
        <v>7367</v>
      </c>
      <c r="CL254" t="s">
        <v>7368</v>
      </c>
      <c r="CM254" t="s">
        <v>7368</v>
      </c>
      <c r="CS254" t="s">
        <v>7361</v>
      </c>
      <c r="CT254" t="s">
        <v>7362</v>
      </c>
      <c r="CU254" t="s">
        <v>7362</v>
      </c>
      <c r="CV254" t="s">
        <v>7362</v>
      </c>
      <c r="CW254" t="s">
        <v>7362</v>
      </c>
      <c r="CX254">
        <v>1500000</v>
      </c>
      <c r="DA254">
        <v>0</v>
      </c>
    </row>
    <row r="255" spans="1:105" x14ac:dyDescent="0.3">
      <c r="A255">
        <v>1354</v>
      </c>
      <c r="B255" t="s">
        <v>7396</v>
      </c>
      <c r="C255">
        <v>278</v>
      </c>
      <c r="D255" s="20">
        <v>44966</v>
      </c>
      <c r="E255" t="s">
        <v>7372</v>
      </c>
      <c r="F255" t="s">
        <v>5913</v>
      </c>
      <c r="G255" t="s">
        <v>7370</v>
      </c>
      <c r="H255">
        <v>1</v>
      </c>
      <c r="I255" t="s">
        <v>7358</v>
      </c>
      <c r="J255">
        <v>1</v>
      </c>
      <c r="K255" s="20">
        <v>44966</v>
      </c>
      <c r="L255" s="23">
        <v>4068000</v>
      </c>
      <c r="M255" t="s">
        <v>7359</v>
      </c>
      <c r="N255" t="s">
        <v>7360</v>
      </c>
      <c r="O255">
        <v>0</v>
      </c>
      <c r="P255">
        <v>12145</v>
      </c>
      <c r="Q255">
        <v>420015</v>
      </c>
      <c r="R255">
        <v>0</v>
      </c>
      <c r="S255">
        <v>20230209</v>
      </c>
      <c r="T255">
        <v>0</v>
      </c>
      <c r="U255" t="s">
        <v>7362</v>
      </c>
      <c r="V255" t="s">
        <v>7360</v>
      </c>
      <c r="W255" t="s">
        <v>7360</v>
      </c>
      <c r="X255" t="s">
        <v>7360</v>
      </c>
      <c r="Y255" t="s">
        <v>7360</v>
      </c>
      <c r="Z255" t="s">
        <v>7360</v>
      </c>
      <c r="AA255" t="s">
        <v>7362</v>
      </c>
      <c r="AB255" t="s">
        <v>7360</v>
      </c>
      <c r="AC255" t="s">
        <v>7360</v>
      </c>
      <c r="AD255" t="s">
        <v>7360</v>
      </c>
      <c r="AE255" t="s">
        <v>7360</v>
      </c>
      <c r="AF255" t="s">
        <v>1684</v>
      </c>
      <c r="AG255">
        <v>0</v>
      </c>
      <c r="AH255">
        <v>0</v>
      </c>
      <c r="AI255">
        <v>0</v>
      </c>
      <c r="AJ255">
        <v>0</v>
      </c>
      <c r="AK255">
        <v>0</v>
      </c>
      <c r="AL255" t="s">
        <v>7360</v>
      </c>
      <c r="AM255">
        <v>0</v>
      </c>
      <c r="AN255" s="20">
        <v>44966</v>
      </c>
      <c r="AO255" s="20">
        <v>44966</v>
      </c>
      <c r="AP255" s="20">
        <v>44966</v>
      </c>
      <c r="AQ255">
        <v>0</v>
      </c>
      <c r="AR255">
        <v>0</v>
      </c>
      <c r="AS255">
        <v>0</v>
      </c>
      <c r="AT255">
        <v>0</v>
      </c>
      <c r="AU255">
        <v>0</v>
      </c>
      <c r="AV255" t="s">
        <v>7360</v>
      </c>
      <c r="AW255">
        <v>0</v>
      </c>
      <c r="AX255" t="s">
        <v>7360</v>
      </c>
      <c r="AY255" t="s">
        <v>7362</v>
      </c>
      <c r="BA255">
        <v>0</v>
      </c>
      <c r="BB255" s="20">
        <v>44966</v>
      </c>
      <c r="BC255">
        <v>0</v>
      </c>
      <c r="BD255" t="s">
        <v>7360</v>
      </c>
      <c r="BF255" s="20">
        <v>44966</v>
      </c>
      <c r="BG255">
        <v>0</v>
      </c>
      <c r="BH255" t="s">
        <v>7363</v>
      </c>
      <c r="BJ255" t="s">
        <v>7362</v>
      </c>
      <c r="BK255">
        <v>0</v>
      </c>
      <c r="BL255">
        <v>0</v>
      </c>
      <c r="BM255">
        <v>0</v>
      </c>
      <c r="BN255">
        <v>0</v>
      </c>
      <c r="BO255">
        <v>169</v>
      </c>
      <c r="BP255">
        <v>11</v>
      </c>
      <c r="BQ255">
        <v>1</v>
      </c>
      <c r="BR255" t="s">
        <v>7364</v>
      </c>
      <c r="BS255" t="s">
        <v>7365</v>
      </c>
      <c r="BT255" t="s">
        <v>7360</v>
      </c>
      <c r="BU255" t="s">
        <v>7360</v>
      </c>
      <c r="BV255" t="s">
        <v>7360</v>
      </c>
      <c r="BX255">
        <v>0</v>
      </c>
      <c r="BY255">
        <v>0</v>
      </c>
      <c r="BZ255" t="s">
        <v>7360</v>
      </c>
      <c r="CA255" t="s">
        <v>7360</v>
      </c>
      <c r="CB255">
        <v>3380666</v>
      </c>
      <c r="CC255" s="21">
        <v>44966.4924537037</v>
      </c>
      <c r="CE255" t="s">
        <v>7366</v>
      </c>
      <c r="CF255">
        <v>0</v>
      </c>
      <c r="CG255">
        <v>702002</v>
      </c>
      <c r="CH255">
        <v>702002</v>
      </c>
      <c r="CI255" s="21">
        <v>44966.493645833332</v>
      </c>
      <c r="CJ255" t="s">
        <v>7367</v>
      </c>
      <c r="CK255" t="s">
        <v>7367</v>
      </c>
      <c r="CL255" t="s">
        <v>7368</v>
      </c>
      <c r="CM255" t="s">
        <v>7368</v>
      </c>
      <c r="CS255" t="s">
        <v>7361</v>
      </c>
      <c r="CT255" t="s">
        <v>7362</v>
      </c>
      <c r="CU255" t="s">
        <v>7362</v>
      </c>
      <c r="CV255" t="s">
        <v>7362</v>
      </c>
      <c r="CW255" t="s">
        <v>7362</v>
      </c>
      <c r="CX255">
        <v>4068000</v>
      </c>
      <c r="DA255">
        <v>0</v>
      </c>
    </row>
    <row r="256" spans="1:105" x14ac:dyDescent="0.3">
      <c r="A256">
        <v>1373</v>
      </c>
      <c r="B256" t="s">
        <v>7383</v>
      </c>
      <c r="C256">
        <v>279</v>
      </c>
      <c r="D256" s="20">
        <v>44965</v>
      </c>
      <c r="E256" t="s">
        <v>7356</v>
      </c>
      <c r="F256" t="s">
        <v>5918</v>
      </c>
      <c r="G256" t="s">
        <v>7357</v>
      </c>
      <c r="H256">
        <v>1</v>
      </c>
      <c r="I256" t="s">
        <v>7358</v>
      </c>
      <c r="J256">
        <v>1</v>
      </c>
      <c r="K256" s="20">
        <v>44966</v>
      </c>
      <c r="L256" s="23">
        <v>898167</v>
      </c>
      <c r="M256" t="s">
        <v>7359</v>
      </c>
      <c r="N256" t="s">
        <v>7360</v>
      </c>
      <c r="O256">
        <v>0</v>
      </c>
      <c r="P256">
        <v>12182</v>
      </c>
      <c r="Q256">
        <v>421007</v>
      </c>
      <c r="R256">
        <v>0</v>
      </c>
      <c r="S256">
        <v>20230208</v>
      </c>
      <c r="T256">
        <v>0</v>
      </c>
      <c r="U256" t="s">
        <v>7361</v>
      </c>
      <c r="V256" t="s">
        <v>7360</v>
      </c>
      <c r="W256" t="s">
        <v>7360</v>
      </c>
      <c r="X256" t="s">
        <v>7360</v>
      </c>
      <c r="Y256" t="s">
        <v>7360</v>
      </c>
      <c r="Z256" t="s">
        <v>7360</v>
      </c>
      <c r="AA256" t="s">
        <v>7362</v>
      </c>
      <c r="AB256" t="s">
        <v>7360</v>
      </c>
      <c r="AC256" t="s">
        <v>7360</v>
      </c>
      <c r="AD256" t="s">
        <v>7360</v>
      </c>
      <c r="AE256" t="s">
        <v>7360</v>
      </c>
      <c r="AF256" t="s">
        <v>1684</v>
      </c>
      <c r="AG256">
        <v>0</v>
      </c>
      <c r="AH256">
        <v>0</v>
      </c>
      <c r="AI256">
        <v>0</v>
      </c>
      <c r="AJ256">
        <v>0</v>
      </c>
      <c r="AK256">
        <v>0</v>
      </c>
      <c r="AL256" t="s">
        <v>7360</v>
      </c>
      <c r="AM256">
        <v>0</v>
      </c>
      <c r="AN256" s="20">
        <v>44966</v>
      </c>
      <c r="AO256" s="20">
        <v>44966</v>
      </c>
      <c r="AP256" s="20">
        <v>44966</v>
      </c>
      <c r="AQ256">
        <v>0</v>
      </c>
      <c r="AR256">
        <v>0</v>
      </c>
      <c r="AS256">
        <v>0</v>
      </c>
      <c r="AT256">
        <v>0</v>
      </c>
      <c r="AU256">
        <v>0</v>
      </c>
      <c r="AV256" t="s">
        <v>7360</v>
      </c>
      <c r="AW256">
        <v>0</v>
      </c>
      <c r="AX256" t="s">
        <v>7360</v>
      </c>
      <c r="AY256" t="s">
        <v>7363</v>
      </c>
      <c r="BA256">
        <v>0</v>
      </c>
      <c r="BB256" s="20">
        <v>44966</v>
      </c>
      <c r="BC256">
        <v>0</v>
      </c>
      <c r="BD256" t="s">
        <v>7360</v>
      </c>
      <c r="BF256" s="20">
        <v>44966</v>
      </c>
      <c r="BG256">
        <v>0</v>
      </c>
      <c r="BH256" t="s">
        <v>7363</v>
      </c>
      <c r="BJ256" t="s">
        <v>7362</v>
      </c>
      <c r="BK256">
        <v>169</v>
      </c>
      <c r="BL256">
        <v>11</v>
      </c>
      <c r="BM256">
        <v>1</v>
      </c>
      <c r="BN256" t="s">
        <v>7364</v>
      </c>
      <c r="BO256">
        <v>169</v>
      </c>
      <c r="BP256">
        <v>11</v>
      </c>
      <c r="BQ256">
        <v>1</v>
      </c>
      <c r="BR256" t="s">
        <v>7364</v>
      </c>
      <c r="BS256" t="s">
        <v>7387</v>
      </c>
      <c r="BT256" t="s">
        <v>7360</v>
      </c>
      <c r="BU256" t="s">
        <v>7360</v>
      </c>
      <c r="BV256" t="s">
        <v>7360</v>
      </c>
      <c r="BX256" t="s">
        <v>7391</v>
      </c>
      <c r="BY256">
        <v>74</v>
      </c>
      <c r="BZ256" t="s">
        <v>7360</v>
      </c>
      <c r="CA256" t="s">
        <v>7360</v>
      </c>
      <c r="CB256">
        <v>5558210</v>
      </c>
      <c r="CC256" s="21">
        <v>44966.531921296293</v>
      </c>
      <c r="CE256" t="s">
        <v>7392</v>
      </c>
      <c r="CF256">
        <v>1100101</v>
      </c>
      <c r="CG256">
        <v>53575</v>
      </c>
      <c r="CH256">
        <v>53575</v>
      </c>
      <c r="CI256" s="21">
        <v>44966.533321759256</v>
      </c>
      <c r="CJ256" t="s">
        <v>7393</v>
      </c>
      <c r="CK256" t="s">
        <v>7393</v>
      </c>
      <c r="CL256" t="s">
        <v>7394</v>
      </c>
      <c r="CM256" t="s">
        <v>7394</v>
      </c>
      <c r="CS256" t="s">
        <v>7361</v>
      </c>
      <c r="CT256" t="s">
        <v>7362</v>
      </c>
      <c r="CU256" t="s">
        <v>7362</v>
      </c>
      <c r="CV256" t="s">
        <v>7362</v>
      </c>
      <c r="CW256" t="s">
        <v>7362</v>
      </c>
      <c r="CX256">
        <v>898167</v>
      </c>
      <c r="DA256">
        <v>0</v>
      </c>
    </row>
    <row r="257" spans="1:106" x14ac:dyDescent="0.3">
      <c r="A257">
        <v>1362</v>
      </c>
      <c r="B257" t="s">
        <v>7371</v>
      </c>
      <c r="C257">
        <v>280</v>
      </c>
      <c r="D257" s="20">
        <v>44965</v>
      </c>
      <c r="E257" t="s">
        <v>7372</v>
      </c>
      <c r="F257" t="s">
        <v>5924</v>
      </c>
      <c r="G257" t="s">
        <v>7357</v>
      </c>
      <c r="H257">
        <v>1</v>
      </c>
      <c r="I257" t="s">
        <v>7358</v>
      </c>
      <c r="J257">
        <v>1</v>
      </c>
      <c r="K257" s="20">
        <v>44966</v>
      </c>
      <c r="L257" s="23">
        <v>1736415</v>
      </c>
      <c r="M257" t="s">
        <v>7359</v>
      </c>
      <c r="N257" t="s">
        <v>7360</v>
      </c>
      <c r="O257">
        <v>0</v>
      </c>
      <c r="P257">
        <v>12202</v>
      </c>
      <c r="Q257">
        <v>422002</v>
      </c>
      <c r="R257">
        <v>0</v>
      </c>
      <c r="S257">
        <v>20230208</v>
      </c>
      <c r="T257">
        <v>0</v>
      </c>
      <c r="U257" t="s">
        <v>7362</v>
      </c>
      <c r="V257" t="s">
        <v>7360</v>
      </c>
      <c r="W257" t="s">
        <v>7360</v>
      </c>
      <c r="X257" t="s">
        <v>7360</v>
      </c>
      <c r="Y257" t="s">
        <v>7360</v>
      </c>
      <c r="Z257" t="s">
        <v>7360</v>
      </c>
      <c r="AA257" t="s">
        <v>7362</v>
      </c>
      <c r="AB257" t="s">
        <v>7360</v>
      </c>
      <c r="AC257" t="s">
        <v>7360</v>
      </c>
      <c r="AD257" t="s">
        <v>7360</v>
      </c>
      <c r="AE257" t="s">
        <v>7360</v>
      </c>
      <c r="AF257" t="s">
        <v>1684</v>
      </c>
      <c r="AG257">
        <v>0</v>
      </c>
      <c r="AH257">
        <v>0</v>
      </c>
      <c r="AI257">
        <v>0</v>
      </c>
      <c r="AJ257">
        <v>0</v>
      </c>
      <c r="AK257">
        <v>0</v>
      </c>
      <c r="AL257" t="s">
        <v>7360</v>
      </c>
      <c r="AM257">
        <v>0</v>
      </c>
      <c r="AN257" s="20">
        <v>44966</v>
      </c>
      <c r="AO257" s="20">
        <v>44966</v>
      </c>
      <c r="AP257" s="20">
        <v>44966</v>
      </c>
      <c r="AQ257">
        <v>0</v>
      </c>
      <c r="AR257">
        <v>0</v>
      </c>
      <c r="AS257">
        <v>0</v>
      </c>
      <c r="AT257">
        <v>0</v>
      </c>
      <c r="AU257">
        <v>0</v>
      </c>
      <c r="AV257" t="s">
        <v>7360</v>
      </c>
      <c r="AW257">
        <v>0</v>
      </c>
      <c r="AX257" t="s">
        <v>7360</v>
      </c>
      <c r="AY257" t="s">
        <v>7362</v>
      </c>
      <c r="BA257">
        <v>0</v>
      </c>
      <c r="BB257" s="20">
        <v>44966</v>
      </c>
      <c r="BC257">
        <v>0</v>
      </c>
      <c r="BD257" t="s">
        <v>7360</v>
      </c>
      <c r="BF257" s="20">
        <v>44966</v>
      </c>
      <c r="BG257">
        <v>0</v>
      </c>
      <c r="BH257" t="s">
        <v>7363</v>
      </c>
      <c r="BJ257" t="s">
        <v>7362</v>
      </c>
      <c r="BK257">
        <v>169</v>
      </c>
      <c r="BL257">
        <v>11</v>
      </c>
      <c r="BM257">
        <v>1</v>
      </c>
      <c r="BN257" t="s">
        <v>7364</v>
      </c>
      <c r="BO257">
        <v>0</v>
      </c>
      <c r="BP257">
        <v>0</v>
      </c>
      <c r="BQ257">
        <v>0</v>
      </c>
      <c r="BR257">
        <v>0</v>
      </c>
      <c r="BS257" t="s">
        <v>7400</v>
      </c>
      <c r="BT257" t="s">
        <v>7360</v>
      </c>
      <c r="BU257" t="s">
        <v>7360</v>
      </c>
      <c r="BV257" t="s">
        <v>7360</v>
      </c>
      <c r="BX257" t="s">
        <v>7391</v>
      </c>
      <c r="BY257">
        <v>74</v>
      </c>
      <c r="BZ257" t="s">
        <v>7360</v>
      </c>
      <c r="CA257" t="s">
        <v>7360</v>
      </c>
      <c r="CB257">
        <v>5558210</v>
      </c>
      <c r="CC257" s="20">
        <v>44965</v>
      </c>
      <c r="CE257" t="s">
        <v>7392</v>
      </c>
      <c r="CF257">
        <v>1100101</v>
      </c>
      <c r="CG257">
        <v>53575</v>
      </c>
      <c r="CH257">
        <v>53575</v>
      </c>
      <c r="CI257" s="21">
        <v>44966.591168981482</v>
      </c>
      <c r="CJ257" t="s">
        <v>7393</v>
      </c>
      <c r="CK257" t="s">
        <v>7393</v>
      </c>
      <c r="CL257" t="s">
        <v>7394</v>
      </c>
      <c r="CM257" t="s">
        <v>7394</v>
      </c>
      <c r="CS257" t="s">
        <v>7361</v>
      </c>
      <c r="CT257" t="s">
        <v>7362</v>
      </c>
      <c r="CU257" t="s">
        <v>7362</v>
      </c>
      <c r="CV257" t="s">
        <v>7362</v>
      </c>
      <c r="CW257" t="s">
        <v>7362</v>
      </c>
      <c r="CX257">
        <v>1736415</v>
      </c>
      <c r="DA257">
        <v>0</v>
      </c>
    </row>
    <row r="258" spans="1:106" x14ac:dyDescent="0.3">
      <c r="A258">
        <v>1354</v>
      </c>
      <c r="B258" t="s">
        <v>7396</v>
      </c>
      <c r="C258">
        <v>281</v>
      </c>
      <c r="D258" s="20">
        <v>44965</v>
      </c>
      <c r="E258" t="s">
        <v>7372</v>
      </c>
      <c r="F258" t="s">
        <v>5929</v>
      </c>
      <c r="G258" t="s">
        <v>7370</v>
      </c>
      <c r="H258">
        <v>1</v>
      </c>
      <c r="I258" t="s">
        <v>7358</v>
      </c>
      <c r="J258">
        <v>1</v>
      </c>
      <c r="K258" s="20">
        <v>44966</v>
      </c>
      <c r="L258" s="23">
        <v>3240000</v>
      </c>
      <c r="M258" t="s">
        <v>7359</v>
      </c>
      <c r="N258" t="s">
        <v>7360</v>
      </c>
      <c r="O258">
        <v>0</v>
      </c>
      <c r="P258">
        <v>12215</v>
      </c>
      <c r="Q258">
        <v>422003</v>
      </c>
      <c r="R258">
        <v>0</v>
      </c>
      <c r="S258">
        <v>20230208</v>
      </c>
      <c r="T258">
        <v>0</v>
      </c>
      <c r="U258" t="s">
        <v>7362</v>
      </c>
      <c r="V258" t="s">
        <v>7360</v>
      </c>
      <c r="W258" t="s">
        <v>7360</v>
      </c>
      <c r="X258" t="s">
        <v>7360</v>
      </c>
      <c r="Y258" t="s">
        <v>7360</v>
      </c>
      <c r="Z258" t="s">
        <v>7360</v>
      </c>
      <c r="AA258" t="s">
        <v>7362</v>
      </c>
      <c r="AB258" t="s">
        <v>7360</v>
      </c>
      <c r="AC258" t="s">
        <v>7360</v>
      </c>
      <c r="AD258" t="s">
        <v>7360</v>
      </c>
      <c r="AE258" t="s">
        <v>7360</v>
      </c>
      <c r="AF258" t="s">
        <v>1684</v>
      </c>
      <c r="AG258">
        <v>0</v>
      </c>
      <c r="AH258">
        <v>0</v>
      </c>
      <c r="AI258">
        <v>0</v>
      </c>
      <c r="AJ258">
        <v>0</v>
      </c>
      <c r="AK258">
        <v>0</v>
      </c>
      <c r="AL258" t="s">
        <v>7360</v>
      </c>
      <c r="AM258">
        <v>0</v>
      </c>
      <c r="AN258" s="20">
        <v>44966</v>
      </c>
      <c r="AO258" s="20">
        <v>44966</v>
      </c>
      <c r="AP258" s="20">
        <v>44966</v>
      </c>
      <c r="AQ258">
        <v>0</v>
      </c>
      <c r="AR258">
        <v>0</v>
      </c>
      <c r="AS258">
        <v>0</v>
      </c>
      <c r="AT258">
        <v>0</v>
      </c>
      <c r="AU258">
        <v>0</v>
      </c>
      <c r="AV258" t="s">
        <v>7360</v>
      </c>
      <c r="AW258">
        <v>0</v>
      </c>
      <c r="AX258" t="s">
        <v>7360</v>
      </c>
      <c r="AY258" t="s">
        <v>7362</v>
      </c>
      <c r="BA258">
        <v>0</v>
      </c>
      <c r="BB258" s="20">
        <v>44966</v>
      </c>
      <c r="BC258">
        <v>0</v>
      </c>
      <c r="BD258" t="s">
        <v>7360</v>
      </c>
      <c r="BF258" s="20">
        <v>44966</v>
      </c>
      <c r="BG258">
        <v>0</v>
      </c>
      <c r="BH258" t="s">
        <v>7363</v>
      </c>
      <c r="BJ258" t="s">
        <v>7362</v>
      </c>
      <c r="BK258">
        <v>169</v>
      </c>
      <c r="BL258">
        <v>11</v>
      </c>
      <c r="BM258">
        <v>1</v>
      </c>
      <c r="BN258" t="s">
        <v>7364</v>
      </c>
      <c r="BO258">
        <v>0</v>
      </c>
      <c r="BP258">
        <v>0</v>
      </c>
      <c r="BQ258">
        <v>0</v>
      </c>
      <c r="BR258">
        <v>0</v>
      </c>
      <c r="BS258" t="s">
        <v>7411</v>
      </c>
      <c r="BT258" t="s">
        <v>7360</v>
      </c>
      <c r="BU258" t="s">
        <v>7360</v>
      </c>
      <c r="BV258" t="s">
        <v>7360</v>
      </c>
      <c r="BX258" t="s">
        <v>7391</v>
      </c>
      <c r="BY258">
        <v>80</v>
      </c>
      <c r="BZ258">
        <v>0</v>
      </c>
      <c r="CA258">
        <v>0</v>
      </c>
      <c r="CB258">
        <v>5558210</v>
      </c>
      <c r="CC258" s="21">
        <v>44966.597615740742</v>
      </c>
      <c r="CE258" t="s">
        <v>7412</v>
      </c>
      <c r="CF258">
        <v>1108001</v>
      </c>
      <c r="CG258">
        <v>53575</v>
      </c>
      <c r="CH258">
        <v>53575</v>
      </c>
      <c r="CI258" s="21">
        <v>44966.601365740738</v>
      </c>
      <c r="CJ258" t="s">
        <v>7393</v>
      </c>
      <c r="CK258" t="s">
        <v>7393</v>
      </c>
      <c r="CL258" t="s">
        <v>7394</v>
      </c>
      <c r="CM258" t="s">
        <v>7394</v>
      </c>
      <c r="CS258" t="s">
        <v>7361</v>
      </c>
      <c r="CT258" t="s">
        <v>7362</v>
      </c>
      <c r="CU258" t="s">
        <v>7362</v>
      </c>
      <c r="CV258" t="s">
        <v>7362</v>
      </c>
      <c r="CW258" t="s">
        <v>7362</v>
      </c>
      <c r="CX258">
        <v>3240000</v>
      </c>
      <c r="DA258">
        <v>0</v>
      </c>
    </row>
    <row r="259" spans="1:106" x14ac:dyDescent="0.3">
      <c r="A259">
        <v>1354</v>
      </c>
      <c r="B259" t="s">
        <v>7396</v>
      </c>
      <c r="C259">
        <v>282</v>
      </c>
      <c r="D259" s="20">
        <v>44966</v>
      </c>
      <c r="E259" t="s">
        <v>7356</v>
      </c>
      <c r="F259" t="s">
        <v>5934</v>
      </c>
      <c r="G259" t="s">
        <v>7370</v>
      </c>
      <c r="H259">
        <v>1</v>
      </c>
      <c r="I259" t="s">
        <v>7358</v>
      </c>
      <c r="J259">
        <v>1</v>
      </c>
      <c r="K259" s="20">
        <v>44966</v>
      </c>
      <c r="L259" s="23">
        <v>2200000</v>
      </c>
      <c r="M259" t="s">
        <v>7359</v>
      </c>
      <c r="N259" t="s">
        <v>7360</v>
      </c>
      <c r="O259">
        <v>0</v>
      </c>
      <c r="P259">
        <v>12226</v>
      </c>
      <c r="Q259">
        <v>422017</v>
      </c>
      <c r="R259">
        <v>0</v>
      </c>
      <c r="S259">
        <v>20230209</v>
      </c>
      <c r="T259">
        <v>0</v>
      </c>
      <c r="U259" t="s">
        <v>7361</v>
      </c>
      <c r="V259" t="s">
        <v>7360</v>
      </c>
      <c r="W259" t="s">
        <v>7360</v>
      </c>
      <c r="X259" t="s">
        <v>7360</v>
      </c>
      <c r="Y259" t="s">
        <v>7360</v>
      </c>
      <c r="Z259" t="s">
        <v>7360</v>
      </c>
      <c r="AA259" t="s">
        <v>7362</v>
      </c>
      <c r="AB259" t="s">
        <v>7360</v>
      </c>
      <c r="AC259" t="s">
        <v>7360</v>
      </c>
      <c r="AD259" t="s">
        <v>7360</v>
      </c>
      <c r="AE259" t="s">
        <v>7360</v>
      </c>
      <c r="AF259" t="s">
        <v>1684</v>
      </c>
      <c r="AG259">
        <v>0</v>
      </c>
      <c r="AH259">
        <v>0</v>
      </c>
      <c r="AI259">
        <v>0</v>
      </c>
      <c r="AJ259">
        <v>0</v>
      </c>
      <c r="AK259">
        <v>0</v>
      </c>
      <c r="AL259" t="s">
        <v>7360</v>
      </c>
      <c r="AM259">
        <v>0</v>
      </c>
      <c r="AN259" s="20">
        <v>44966</v>
      </c>
      <c r="AO259" s="20">
        <v>44966</v>
      </c>
      <c r="AP259" s="20">
        <v>44966</v>
      </c>
      <c r="AQ259">
        <v>0</v>
      </c>
      <c r="AR259">
        <v>0</v>
      </c>
      <c r="AS259">
        <v>0</v>
      </c>
      <c r="AT259">
        <v>0</v>
      </c>
      <c r="AU259">
        <v>0</v>
      </c>
      <c r="AV259" t="s">
        <v>7360</v>
      </c>
      <c r="AW259">
        <v>0</v>
      </c>
      <c r="AX259" t="s">
        <v>7360</v>
      </c>
      <c r="AY259" t="s">
        <v>7363</v>
      </c>
      <c r="BA259">
        <v>0</v>
      </c>
      <c r="BB259" s="20">
        <v>44966</v>
      </c>
      <c r="BC259">
        <v>0</v>
      </c>
      <c r="BD259" t="s">
        <v>7360</v>
      </c>
      <c r="BF259" s="20">
        <v>44966</v>
      </c>
      <c r="BG259">
        <v>0</v>
      </c>
      <c r="BH259" t="s">
        <v>7363</v>
      </c>
      <c r="BJ259" t="s">
        <v>7362</v>
      </c>
      <c r="BK259">
        <v>169</v>
      </c>
      <c r="BL259">
        <v>11</v>
      </c>
      <c r="BM259">
        <v>1</v>
      </c>
      <c r="BN259" t="s">
        <v>7364</v>
      </c>
      <c r="BO259">
        <v>0</v>
      </c>
      <c r="BP259">
        <v>0</v>
      </c>
      <c r="BQ259">
        <v>0</v>
      </c>
      <c r="BR259">
        <v>0</v>
      </c>
      <c r="BS259" t="s">
        <v>132</v>
      </c>
      <c r="BT259" t="s">
        <v>7360</v>
      </c>
      <c r="BU259" t="s">
        <v>7360</v>
      </c>
      <c r="BV259" t="s">
        <v>7360</v>
      </c>
      <c r="BX259" t="s">
        <v>7391</v>
      </c>
      <c r="BY259">
        <v>74</v>
      </c>
      <c r="BZ259" t="s">
        <v>7360</v>
      </c>
      <c r="CA259" t="s">
        <v>7360</v>
      </c>
      <c r="CB259">
        <v>5558210</v>
      </c>
      <c r="CC259" s="20">
        <v>44965</v>
      </c>
      <c r="CE259" t="s">
        <v>7392</v>
      </c>
      <c r="CF259">
        <v>1100101</v>
      </c>
      <c r="CG259">
        <v>53575</v>
      </c>
      <c r="CH259">
        <v>53575</v>
      </c>
      <c r="CI259" s="21">
        <v>44966.607118055559</v>
      </c>
      <c r="CJ259" t="s">
        <v>7393</v>
      </c>
      <c r="CK259" t="s">
        <v>7393</v>
      </c>
      <c r="CL259" t="s">
        <v>7394</v>
      </c>
      <c r="CM259" t="s">
        <v>7394</v>
      </c>
      <c r="CS259" t="s">
        <v>7361</v>
      </c>
      <c r="CT259" t="s">
        <v>7362</v>
      </c>
      <c r="CU259" t="s">
        <v>7362</v>
      </c>
      <c r="CV259" t="s">
        <v>7362</v>
      </c>
      <c r="CW259" t="s">
        <v>7362</v>
      </c>
      <c r="CX259">
        <v>2200000</v>
      </c>
      <c r="DA259">
        <v>0</v>
      </c>
    </row>
    <row r="260" spans="1:106" x14ac:dyDescent="0.3">
      <c r="A260">
        <v>1354</v>
      </c>
      <c r="B260" t="s">
        <v>7396</v>
      </c>
      <c r="C260">
        <v>283</v>
      </c>
      <c r="D260" s="20">
        <v>44966</v>
      </c>
      <c r="E260" t="s">
        <v>7356</v>
      </c>
      <c r="F260" t="s">
        <v>5940</v>
      </c>
      <c r="G260" t="s">
        <v>7370</v>
      </c>
      <c r="H260">
        <v>1</v>
      </c>
      <c r="I260" t="s">
        <v>7358</v>
      </c>
      <c r="J260">
        <v>1</v>
      </c>
      <c r="K260" s="20">
        <v>44966</v>
      </c>
      <c r="L260" s="23">
        <v>3600000</v>
      </c>
      <c r="M260" t="s">
        <v>7359</v>
      </c>
      <c r="N260" t="s">
        <v>7360</v>
      </c>
      <c r="O260">
        <v>0</v>
      </c>
      <c r="P260">
        <v>12228</v>
      </c>
      <c r="Q260">
        <v>422018</v>
      </c>
      <c r="R260">
        <v>0</v>
      </c>
      <c r="S260">
        <v>20230209</v>
      </c>
      <c r="T260">
        <v>0</v>
      </c>
      <c r="U260" t="s">
        <v>7361</v>
      </c>
      <c r="V260" t="s">
        <v>7360</v>
      </c>
      <c r="W260" t="s">
        <v>7360</v>
      </c>
      <c r="X260" t="s">
        <v>7360</v>
      </c>
      <c r="Y260" t="s">
        <v>7360</v>
      </c>
      <c r="Z260" t="s">
        <v>7360</v>
      </c>
      <c r="AA260" t="s">
        <v>7362</v>
      </c>
      <c r="AB260" t="s">
        <v>7360</v>
      </c>
      <c r="AC260" t="s">
        <v>7360</v>
      </c>
      <c r="AD260" t="s">
        <v>7360</v>
      </c>
      <c r="AE260" t="s">
        <v>7360</v>
      </c>
      <c r="AF260" t="s">
        <v>1684</v>
      </c>
      <c r="AG260">
        <v>0</v>
      </c>
      <c r="AH260">
        <v>0</v>
      </c>
      <c r="AI260">
        <v>0</v>
      </c>
      <c r="AJ260">
        <v>0</v>
      </c>
      <c r="AK260">
        <v>0</v>
      </c>
      <c r="AL260" t="s">
        <v>7360</v>
      </c>
      <c r="AM260">
        <v>0</v>
      </c>
      <c r="AN260" s="20">
        <v>44966</v>
      </c>
      <c r="AO260" s="20">
        <v>44966</v>
      </c>
      <c r="AP260" s="20">
        <v>44966</v>
      </c>
      <c r="AQ260">
        <v>0</v>
      </c>
      <c r="AR260">
        <v>0</v>
      </c>
      <c r="AS260">
        <v>0</v>
      </c>
      <c r="AT260">
        <v>0</v>
      </c>
      <c r="AU260">
        <v>0</v>
      </c>
      <c r="AV260" t="s">
        <v>7360</v>
      </c>
      <c r="AW260">
        <v>0</v>
      </c>
      <c r="AX260" t="s">
        <v>7360</v>
      </c>
      <c r="AY260" t="s">
        <v>7363</v>
      </c>
      <c r="BA260">
        <v>0</v>
      </c>
      <c r="BB260" s="20">
        <v>44966</v>
      </c>
      <c r="BC260">
        <v>0</v>
      </c>
      <c r="BD260" t="s">
        <v>7360</v>
      </c>
      <c r="BF260" s="20">
        <v>44966</v>
      </c>
      <c r="BG260">
        <v>0</v>
      </c>
      <c r="BH260" t="s">
        <v>7363</v>
      </c>
      <c r="BJ260" t="s">
        <v>7362</v>
      </c>
      <c r="BK260">
        <v>169</v>
      </c>
      <c r="BL260">
        <v>11</v>
      </c>
      <c r="BM260">
        <v>1</v>
      </c>
      <c r="BN260" t="s">
        <v>7364</v>
      </c>
      <c r="BO260">
        <v>0</v>
      </c>
      <c r="BP260">
        <v>0</v>
      </c>
      <c r="BQ260">
        <v>0</v>
      </c>
      <c r="BR260">
        <v>0</v>
      </c>
      <c r="BS260" t="s">
        <v>132</v>
      </c>
      <c r="BT260" t="s">
        <v>7360</v>
      </c>
      <c r="BU260" t="s">
        <v>7360</v>
      </c>
      <c r="BV260" t="s">
        <v>7360</v>
      </c>
      <c r="BX260" t="s">
        <v>7391</v>
      </c>
      <c r="BY260">
        <v>74</v>
      </c>
      <c r="BZ260" t="s">
        <v>7360</v>
      </c>
      <c r="CA260" t="s">
        <v>7360</v>
      </c>
      <c r="CB260">
        <v>5558210</v>
      </c>
      <c r="CC260" s="21">
        <v>44966.61377314815</v>
      </c>
      <c r="CE260" t="s">
        <v>7392</v>
      </c>
      <c r="CF260">
        <v>1100101</v>
      </c>
      <c r="CG260">
        <v>53575</v>
      </c>
      <c r="CH260">
        <v>53575</v>
      </c>
      <c r="CI260" s="21">
        <v>44966.618946759256</v>
      </c>
      <c r="CJ260" t="s">
        <v>7393</v>
      </c>
      <c r="CK260" t="s">
        <v>7393</v>
      </c>
      <c r="CL260" t="s">
        <v>7394</v>
      </c>
      <c r="CM260" t="s">
        <v>7394</v>
      </c>
      <c r="CS260" t="s">
        <v>7361</v>
      </c>
      <c r="CT260" t="s">
        <v>7362</v>
      </c>
      <c r="CU260" t="s">
        <v>7362</v>
      </c>
      <c r="CV260" t="s">
        <v>7362</v>
      </c>
      <c r="CW260" t="s">
        <v>7362</v>
      </c>
      <c r="CX260">
        <v>3600000</v>
      </c>
      <c r="DA260">
        <v>0</v>
      </c>
    </row>
    <row r="261" spans="1:106" x14ac:dyDescent="0.3">
      <c r="A261">
        <v>1354</v>
      </c>
      <c r="B261" t="s">
        <v>7396</v>
      </c>
      <c r="C261">
        <v>285</v>
      </c>
      <c r="D261" s="20">
        <v>44966</v>
      </c>
      <c r="E261" t="s">
        <v>7372</v>
      </c>
      <c r="F261" t="s">
        <v>5945</v>
      </c>
      <c r="G261" t="s">
        <v>7370</v>
      </c>
      <c r="H261">
        <v>1</v>
      </c>
      <c r="I261" t="s">
        <v>7358</v>
      </c>
      <c r="J261">
        <v>1</v>
      </c>
      <c r="K261" s="20">
        <v>44966</v>
      </c>
      <c r="L261" s="23">
        <v>4400000</v>
      </c>
      <c r="M261" t="s">
        <v>7359</v>
      </c>
      <c r="N261" t="s">
        <v>7360</v>
      </c>
      <c r="O261">
        <v>0</v>
      </c>
      <c r="P261">
        <v>12172</v>
      </c>
      <c r="Q261">
        <v>421001</v>
      </c>
      <c r="R261">
        <v>0</v>
      </c>
      <c r="S261">
        <v>20230209</v>
      </c>
      <c r="T261">
        <v>0</v>
      </c>
      <c r="U261" t="s">
        <v>7362</v>
      </c>
      <c r="V261" t="s">
        <v>7360</v>
      </c>
      <c r="W261" t="s">
        <v>7360</v>
      </c>
      <c r="X261" t="s">
        <v>7360</v>
      </c>
      <c r="Y261" t="s">
        <v>7360</v>
      </c>
      <c r="Z261" t="s">
        <v>7360</v>
      </c>
      <c r="AA261" t="s">
        <v>7362</v>
      </c>
      <c r="AB261" t="s">
        <v>7360</v>
      </c>
      <c r="AC261" t="s">
        <v>7360</v>
      </c>
      <c r="AD261" t="s">
        <v>7360</v>
      </c>
      <c r="AE261" t="s">
        <v>7360</v>
      </c>
      <c r="AF261" t="s">
        <v>1684</v>
      </c>
      <c r="AG261">
        <v>0</v>
      </c>
      <c r="AH261">
        <v>0</v>
      </c>
      <c r="AI261">
        <v>0</v>
      </c>
      <c r="AJ261">
        <v>0</v>
      </c>
      <c r="AK261">
        <v>0</v>
      </c>
      <c r="AL261" t="s">
        <v>7360</v>
      </c>
      <c r="AM261">
        <v>0</v>
      </c>
      <c r="AN261" s="20">
        <v>44966</v>
      </c>
      <c r="AO261" s="20">
        <v>44966</v>
      </c>
      <c r="AP261" s="20">
        <v>44966</v>
      </c>
      <c r="AQ261">
        <v>0</v>
      </c>
      <c r="AR261">
        <v>0</v>
      </c>
      <c r="AS261">
        <v>0</v>
      </c>
      <c r="AT261">
        <v>0</v>
      </c>
      <c r="AU261">
        <v>0</v>
      </c>
      <c r="AV261" t="s">
        <v>7360</v>
      </c>
      <c r="AW261">
        <v>0</v>
      </c>
      <c r="AX261" t="s">
        <v>7360</v>
      </c>
      <c r="AY261" t="s">
        <v>7362</v>
      </c>
      <c r="BA261">
        <v>0</v>
      </c>
      <c r="BB261" s="20">
        <v>44966</v>
      </c>
      <c r="BC261">
        <v>0</v>
      </c>
      <c r="BD261" t="s">
        <v>7360</v>
      </c>
      <c r="BF261" s="20">
        <v>44966</v>
      </c>
      <c r="BG261">
        <v>0</v>
      </c>
      <c r="BH261" t="s">
        <v>7363</v>
      </c>
      <c r="BJ261" t="s">
        <v>7362</v>
      </c>
      <c r="BK261">
        <v>0</v>
      </c>
      <c r="BL261">
        <v>0</v>
      </c>
      <c r="BM261">
        <v>0</v>
      </c>
      <c r="BN261">
        <v>0</v>
      </c>
      <c r="BO261">
        <v>169</v>
      </c>
      <c r="BP261">
        <v>11</v>
      </c>
      <c r="BQ261">
        <v>1</v>
      </c>
      <c r="BR261" t="s">
        <v>7364</v>
      </c>
      <c r="BS261" t="s">
        <v>7365</v>
      </c>
      <c r="BT261" t="s">
        <v>7360</v>
      </c>
      <c r="BU261" t="s">
        <v>7360</v>
      </c>
      <c r="BV261" t="s">
        <v>7360</v>
      </c>
      <c r="BX261">
        <v>0</v>
      </c>
      <c r="BY261">
        <v>0</v>
      </c>
      <c r="BZ261" t="s">
        <v>7360</v>
      </c>
      <c r="CA261" t="s">
        <v>7360</v>
      </c>
      <c r="CB261">
        <v>3380666</v>
      </c>
      <c r="CC261" s="21">
        <v>44966.763032407405</v>
      </c>
      <c r="CE261" t="s">
        <v>7366</v>
      </c>
      <c r="CF261">
        <v>0</v>
      </c>
      <c r="CG261">
        <v>702002</v>
      </c>
      <c r="CH261">
        <v>702002</v>
      </c>
      <c r="CI261" s="21">
        <v>44966.765162037038</v>
      </c>
      <c r="CJ261" t="s">
        <v>7367</v>
      </c>
      <c r="CK261" t="s">
        <v>7367</v>
      </c>
      <c r="CL261" t="s">
        <v>7368</v>
      </c>
      <c r="CM261" t="s">
        <v>7368</v>
      </c>
      <c r="CS261" t="s">
        <v>7361</v>
      </c>
      <c r="CT261" t="s">
        <v>7362</v>
      </c>
      <c r="CU261" t="s">
        <v>7362</v>
      </c>
      <c r="CV261" t="s">
        <v>7362</v>
      </c>
      <c r="CW261" t="s">
        <v>7362</v>
      </c>
      <c r="CX261">
        <v>4400000</v>
      </c>
      <c r="DA261">
        <v>0</v>
      </c>
    </row>
    <row r="262" spans="1:106" x14ac:dyDescent="0.3">
      <c r="A262">
        <v>1354</v>
      </c>
      <c r="B262" t="s">
        <v>7396</v>
      </c>
      <c r="C262">
        <v>286</v>
      </c>
      <c r="D262" s="20">
        <v>44966</v>
      </c>
      <c r="E262" t="s">
        <v>7372</v>
      </c>
      <c r="F262" t="s">
        <v>5950</v>
      </c>
      <c r="G262" t="s">
        <v>7370</v>
      </c>
      <c r="H262">
        <v>1</v>
      </c>
      <c r="I262" t="s">
        <v>7358</v>
      </c>
      <c r="J262">
        <v>1</v>
      </c>
      <c r="K262" s="20">
        <v>44966</v>
      </c>
      <c r="L262" s="23">
        <v>4068000</v>
      </c>
      <c r="M262" t="s">
        <v>7359</v>
      </c>
      <c r="N262" t="s">
        <v>7360</v>
      </c>
      <c r="O262">
        <v>0</v>
      </c>
      <c r="P262">
        <v>12147</v>
      </c>
      <c r="Q262">
        <v>420017</v>
      </c>
      <c r="R262">
        <v>0</v>
      </c>
      <c r="S262">
        <v>20230209</v>
      </c>
      <c r="T262">
        <v>0</v>
      </c>
      <c r="U262" t="s">
        <v>7362</v>
      </c>
      <c r="V262" t="s">
        <v>7360</v>
      </c>
      <c r="W262" t="s">
        <v>7360</v>
      </c>
      <c r="X262" t="s">
        <v>7360</v>
      </c>
      <c r="Y262" t="s">
        <v>7360</v>
      </c>
      <c r="Z262" t="s">
        <v>7360</v>
      </c>
      <c r="AA262" t="s">
        <v>7362</v>
      </c>
      <c r="AB262" t="s">
        <v>7360</v>
      </c>
      <c r="AC262" t="s">
        <v>7360</v>
      </c>
      <c r="AD262" t="s">
        <v>7360</v>
      </c>
      <c r="AE262" t="s">
        <v>7360</v>
      </c>
      <c r="AF262" t="s">
        <v>1684</v>
      </c>
      <c r="AG262">
        <v>0</v>
      </c>
      <c r="AH262">
        <v>0</v>
      </c>
      <c r="AI262">
        <v>0</v>
      </c>
      <c r="AJ262">
        <v>0</v>
      </c>
      <c r="AK262">
        <v>0</v>
      </c>
      <c r="AL262" t="s">
        <v>7360</v>
      </c>
      <c r="AM262">
        <v>0</v>
      </c>
      <c r="AN262" s="20">
        <v>44966</v>
      </c>
      <c r="AO262" s="20">
        <v>44966</v>
      </c>
      <c r="AP262" s="20">
        <v>44966</v>
      </c>
      <c r="AQ262">
        <v>0</v>
      </c>
      <c r="AR262">
        <v>0</v>
      </c>
      <c r="AS262">
        <v>0</v>
      </c>
      <c r="AT262">
        <v>0</v>
      </c>
      <c r="AU262">
        <v>0</v>
      </c>
      <c r="AV262" t="s">
        <v>7360</v>
      </c>
      <c r="AW262">
        <v>0</v>
      </c>
      <c r="AX262" t="s">
        <v>7360</v>
      </c>
      <c r="AY262" t="s">
        <v>7362</v>
      </c>
      <c r="BA262">
        <v>0</v>
      </c>
      <c r="BB262" s="20">
        <v>44966</v>
      </c>
      <c r="BC262">
        <v>0</v>
      </c>
      <c r="BD262" t="s">
        <v>7360</v>
      </c>
      <c r="BF262" s="20">
        <v>44966</v>
      </c>
      <c r="BG262">
        <v>0</v>
      </c>
      <c r="BH262" t="s">
        <v>7363</v>
      </c>
      <c r="BJ262" t="s">
        <v>7362</v>
      </c>
      <c r="BK262">
        <v>0</v>
      </c>
      <c r="BL262">
        <v>0</v>
      </c>
      <c r="BM262">
        <v>0</v>
      </c>
      <c r="BN262">
        <v>0</v>
      </c>
      <c r="BO262">
        <v>169</v>
      </c>
      <c r="BP262">
        <v>11</v>
      </c>
      <c r="BQ262">
        <v>1</v>
      </c>
      <c r="BR262" t="s">
        <v>7364</v>
      </c>
      <c r="BS262" t="s">
        <v>7365</v>
      </c>
      <c r="BT262" t="s">
        <v>7360</v>
      </c>
      <c r="BU262" t="s">
        <v>7360</v>
      </c>
      <c r="BV262" t="s">
        <v>7360</v>
      </c>
      <c r="BX262">
        <v>0</v>
      </c>
      <c r="BY262">
        <v>0</v>
      </c>
      <c r="BZ262" t="s">
        <v>7360</v>
      </c>
      <c r="CA262" t="s">
        <v>7360</v>
      </c>
      <c r="CB262">
        <v>3380666</v>
      </c>
      <c r="CC262" s="21">
        <v>44966.774050925924</v>
      </c>
      <c r="CE262" t="s">
        <v>7366</v>
      </c>
      <c r="CF262">
        <v>0</v>
      </c>
      <c r="CG262">
        <v>702002</v>
      </c>
      <c r="CH262">
        <v>702002</v>
      </c>
      <c r="CI262" s="21">
        <v>44966.776180555556</v>
      </c>
      <c r="CJ262" t="s">
        <v>7367</v>
      </c>
      <c r="CK262" t="s">
        <v>7367</v>
      </c>
      <c r="CL262" t="s">
        <v>7368</v>
      </c>
      <c r="CM262" t="s">
        <v>7368</v>
      </c>
      <c r="CS262" t="s">
        <v>7361</v>
      </c>
      <c r="CT262" t="s">
        <v>7362</v>
      </c>
      <c r="CU262" t="s">
        <v>7362</v>
      </c>
      <c r="CV262" t="s">
        <v>7362</v>
      </c>
      <c r="CW262" t="s">
        <v>7362</v>
      </c>
      <c r="CX262">
        <v>4068000</v>
      </c>
      <c r="DA262">
        <v>0</v>
      </c>
    </row>
    <row r="263" spans="1:106" x14ac:dyDescent="0.3">
      <c r="A263">
        <v>1366</v>
      </c>
      <c r="B263" t="s">
        <v>7380</v>
      </c>
      <c r="C263">
        <v>287</v>
      </c>
      <c r="D263" s="20">
        <v>44966</v>
      </c>
      <c r="E263" t="s">
        <v>7356</v>
      </c>
      <c r="F263" t="s">
        <v>5956</v>
      </c>
      <c r="G263" t="s">
        <v>7357</v>
      </c>
      <c r="H263">
        <v>1</v>
      </c>
      <c r="I263" t="s">
        <v>7358</v>
      </c>
      <c r="J263">
        <v>1</v>
      </c>
      <c r="K263" s="20">
        <v>44966</v>
      </c>
      <c r="L263" s="23">
        <v>2307360</v>
      </c>
      <c r="M263" t="s">
        <v>7359</v>
      </c>
      <c r="N263" t="s">
        <v>7360</v>
      </c>
      <c r="O263">
        <v>0</v>
      </c>
      <c r="P263">
        <v>12220</v>
      </c>
      <c r="Q263">
        <v>422010</v>
      </c>
      <c r="R263">
        <v>0</v>
      </c>
      <c r="S263">
        <v>20230209</v>
      </c>
      <c r="T263">
        <v>0</v>
      </c>
      <c r="U263" t="s">
        <v>7362</v>
      </c>
      <c r="V263" t="s">
        <v>7360</v>
      </c>
      <c r="W263" t="s">
        <v>7360</v>
      </c>
      <c r="X263" t="s">
        <v>7360</v>
      </c>
      <c r="Y263" t="s">
        <v>7360</v>
      </c>
      <c r="Z263" t="s">
        <v>7360</v>
      </c>
      <c r="AA263" t="s">
        <v>7362</v>
      </c>
      <c r="AB263" t="s">
        <v>7360</v>
      </c>
      <c r="AC263" t="s">
        <v>7360</v>
      </c>
      <c r="AD263" t="s">
        <v>7360</v>
      </c>
      <c r="AE263" t="s">
        <v>7360</v>
      </c>
      <c r="AF263" t="s">
        <v>1684</v>
      </c>
      <c r="AG263">
        <v>0</v>
      </c>
      <c r="AH263">
        <v>0</v>
      </c>
      <c r="AI263">
        <v>0</v>
      </c>
      <c r="AJ263">
        <v>0</v>
      </c>
      <c r="AK263">
        <v>0</v>
      </c>
      <c r="AL263" t="s">
        <v>7360</v>
      </c>
      <c r="AM263">
        <v>0</v>
      </c>
      <c r="AN263" s="20">
        <v>44966</v>
      </c>
      <c r="AO263" s="20">
        <v>44966</v>
      </c>
      <c r="AP263" s="20">
        <v>44966</v>
      </c>
      <c r="AQ263">
        <v>0</v>
      </c>
      <c r="AR263">
        <v>0</v>
      </c>
      <c r="AS263">
        <v>0</v>
      </c>
      <c r="AT263">
        <v>0</v>
      </c>
      <c r="AU263">
        <v>0</v>
      </c>
      <c r="AV263" t="s">
        <v>7360</v>
      </c>
      <c r="AW263">
        <v>0</v>
      </c>
      <c r="AX263" t="s">
        <v>7360</v>
      </c>
      <c r="AY263" t="s">
        <v>7362</v>
      </c>
      <c r="AZ263">
        <v>1383</v>
      </c>
      <c r="BA263">
        <v>510</v>
      </c>
      <c r="BB263" s="20">
        <v>44987</v>
      </c>
      <c r="BC263">
        <v>20230302</v>
      </c>
      <c r="BD263" t="s">
        <v>7432</v>
      </c>
      <c r="BF263" s="20">
        <v>44966</v>
      </c>
      <c r="BG263">
        <v>0</v>
      </c>
      <c r="BH263" t="s">
        <v>7363</v>
      </c>
      <c r="BJ263" t="s">
        <v>7362</v>
      </c>
      <c r="BK263">
        <v>0</v>
      </c>
      <c r="BL263">
        <v>0</v>
      </c>
      <c r="BM263">
        <v>0</v>
      </c>
      <c r="BN263">
        <v>0</v>
      </c>
      <c r="BO263">
        <v>169</v>
      </c>
      <c r="BP263">
        <v>11</v>
      </c>
      <c r="BQ263">
        <v>1</v>
      </c>
      <c r="BR263" t="s">
        <v>7364</v>
      </c>
      <c r="BS263" t="s">
        <v>7365</v>
      </c>
      <c r="BT263" t="s">
        <v>7360</v>
      </c>
      <c r="BU263" t="s">
        <v>7360</v>
      </c>
      <c r="BV263" t="s">
        <v>7360</v>
      </c>
      <c r="BX263">
        <v>0</v>
      </c>
      <c r="BY263">
        <v>0</v>
      </c>
      <c r="BZ263" t="s">
        <v>7360</v>
      </c>
      <c r="CA263" t="s">
        <v>7360</v>
      </c>
      <c r="CB263">
        <v>3380666</v>
      </c>
      <c r="CC263" s="21">
        <v>44966.783553240741</v>
      </c>
      <c r="CE263" t="s">
        <v>7366</v>
      </c>
      <c r="CF263">
        <v>0</v>
      </c>
      <c r="CG263">
        <v>702002</v>
      </c>
      <c r="CH263">
        <v>702002</v>
      </c>
      <c r="CI263" s="21">
        <v>44987.380011574074</v>
      </c>
      <c r="CJ263" t="s">
        <v>7367</v>
      </c>
      <c r="CK263" t="s">
        <v>7367</v>
      </c>
      <c r="CL263" t="s">
        <v>7368</v>
      </c>
      <c r="CM263" t="s">
        <v>7368</v>
      </c>
      <c r="CS263" t="s">
        <v>7361</v>
      </c>
      <c r="CT263" t="s">
        <v>7362</v>
      </c>
      <c r="CU263" t="s">
        <v>7362</v>
      </c>
      <c r="CV263" t="s">
        <v>7362</v>
      </c>
      <c r="CW263" t="s">
        <v>7362</v>
      </c>
      <c r="CX263">
        <v>2307360</v>
      </c>
      <c r="CY263" t="s">
        <v>1684</v>
      </c>
      <c r="DA263">
        <v>0</v>
      </c>
    </row>
    <row r="264" spans="1:106" x14ac:dyDescent="0.3">
      <c r="A264">
        <v>1359</v>
      </c>
      <c r="B264" t="s">
        <v>7425</v>
      </c>
      <c r="C264">
        <v>288</v>
      </c>
      <c r="D264" s="20">
        <v>44966</v>
      </c>
      <c r="E264" t="s">
        <v>7356</v>
      </c>
      <c r="F264" t="s">
        <v>5961</v>
      </c>
      <c r="G264" t="s">
        <v>7357</v>
      </c>
      <c r="H264">
        <v>1</v>
      </c>
      <c r="I264" t="s">
        <v>7358</v>
      </c>
      <c r="J264">
        <v>1</v>
      </c>
      <c r="K264" s="20">
        <v>44966</v>
      </c>
      <c r="L264" s="23">
        <v>757804</v>
      </c>
      <c r="M264" t="s">
        <v>7359</v>
      </c>
      <c r="N264" t="s">
        <v>7360</v>
      </c>
      <c r="O264">
        <v>0</v>
      </c>
      <c r="P264">
        <v>12139</v>
      </c>
      <c r="Q264">
        <v>420008</v>
      </c>
      <c r="R264">
        <v>0</v>
      </c>
      <c r="S264">
        <v>20230209</v>
      </c>
      <c r="T264">
        <v>0</v>
      </c>
      <c r="U264" t="s">
        <v>7361</v>
      </c>
      <c r="V264" t="s">
        <v>7360</v>
      </c>
      <c r="W264" t="s">
        <v>7360</v>
      </c>
      <c r="X264" t="s">
        <v>7360</v>
      </c>
      <c r="Y264" t="s">
        <v>7360</v>
      </c>
      <c r="Z264" t="s">
        <v>7360</v>
      </c>
      <c r="AA264" t="s">
        <v>7362</v>
      </c>
      <c r="AB264" t="s">
        <v>7360</v>
      </c>
      <c r="AC264" t="s">
        <v>7360</v>
      </c>
      <c r="AD264" t="s">
        <v>7360</v>
      </c>
      <c r="AE264" t="s">
        <v>7360</v>
      </c>
      <c r="AF264" t="s">
        <v>1684</v>
      </c>
      <c r="AG264">
        <v>0</v>
      </c>
      <c r="AH264">
        <v>0</v>
      </c>
      <c r="AI264">
        <v>0</v>
      </c>
      <c r="AJ264">
        <v>0</v>
      </c>
      <c r="AK264">
        <v>0</v>
      </c>
      <c r="AL264" t="s">
        <v>7360</v>
      </c>
      <c r="AM264">
        <v>0</v>
      </c>
      <c r="AN264" s="20">
        <v>44966</v>
      </c>
      <c r="AO264" s="20">
        <v>44966</v>
      </c>
      <c r="AP264" s="20">
        <v>44966</v>
      </c>
      <c r="AQ264">
        <v>0</v>
      </c>
      <c r="AR264">
        <v>0</v>
      </c>
      <c r="AS264">
        <v>0</v>
      </c>
      <c r="AT264">
        <v>0</v>
      </c>
      <c r="AU264">
        <v>0</v>
      </c>
      <c r="AV264" t="s">
        <v>7360</v>
      </c>
      <c r="AW264">
        <v>0</v>
      </c>
      <c r="AX264" t="s">
        <v>7360</v>
      </c>
      <c r="AY264" t="s">
        <v>7363</v>
      </c>
      <c r="BA264">
        <v>0</v>
      </c>
      <c r="BB264" s="20">
        <v>44966</v>
      </c>
      <c r="BC264">
        <v>0</v>
      </c>
      <c r="BD264" t="s">
        <v>7360</v>
      </c>
      <c r="BF264" s="20">
        <v>44966</v>
      </c>
      <c r="BG264">
        <v>0</v>
      </c>
      <c r="BH264" t="s">
        <v>7363</v>
      </c>
      <c r="BJ264" t="s">
        <v>7362</v>
      </c>
      <c r="BK264">
        <v>0</v>
      </c>
      <c r="BL264">
        <v>0</v>
      </c>
      <c r="BM264">
        <v>0</v>
      </c>
      <c r="BN264">
        <v>0</v>
      </c>
      <c r="BO264">
        <v>169</v>
      </c>
      <c r="BP264">
        <v>11</v>
      </c>
      <c r="BQ264">
        <v>1</v>
      </c>
      <c r="BR264" t="s">
        <v>7364</v>
      </c>
      <c r="BS264" t="s">
        <v>7386</v>
      </c>
      <c r="BT264" t="s">
        <v>7360</v>
      </c>
      <c r="BU264" t="s">
        <v>7360</v>
      </c>
      <c r="BV264" t="s">
        <v>7360</v>
      </c>
      <c r="BX264">
        <v>0</v>
      </c>
      <c r="BY264">
        <v>0</v>
      </c>
      <c r="BZ264" t="s">
        <v>7360</v>
      </c>
      <c r="CA264" t="s">
        <v>7360</v>
      </c>
      <c r="CB264">
        <v>3380666</v>
      </c>
      <c r="CC264" s="21">
        <v>44966.790844907409</v>
      </c>
      <c r="CE264" t="s">
        <v>7366</v>
      </c>
      <c r="CF264">
        <v>0</v>
      </c>
      <c r="CG264">
        <v>702002</v>
      </c>
      <c r="CH264">
        <v>702002</v>
      </c>
      <c r="CI264" s="21">
        <v>44966.800115740742</v>
      </c>
      <c r="CJ264" t="s">
        <v>7367</v>
      </c>
      <c r="CK264" t="s">
        <v>7367</v>
      </c>
      <c r="CL264" t="s">
        <v>7368</v>
      </c>
      <c r="CM264" t="s">
        <v>7368</v>
      </c>
      <c r="CS264" t="s">
        <v>7361</v>
      </c>
      <c r="CT264" t="s">
        <v>7362</v>
      </c>
      <c r="CU264" t="s">
        <v>7362</v>
      </c>
      <c r="CV264" t="s">
        <v>7362</v>
      </c>
      <c r="CW264" t="s">
        <v>7362</v>
      </c>
      <c r="CX264">
        <v>757804</v>
      </c>
      <c r="DA264">
        <v>0</v>
      </c>
    </row>
    <row r="265" spans="1:106" x14ac:dyDescent="0.3">
      <c r="A265">
        <v>1357</v>
      </c>
      <c r="B265" t="s">
        <v>7405</v>
      </c>
      <c r="C265">
        <v>289</v>
      </c>
      <c r="D265" s="20">
        <v>44966</v>
      </c>
      <c r="E265" t="s">
        <v>7372</v>
      </c>
      <c r="F265" t="s">
        <v>5966</v>
      </c>
      <c r="G265" t="s">
        <v>7357</v>
      </c>
      <c r="H265">
        <v>1</v>
      </c>
      <c r="I265" t="s">
        <v>7358</v>
      </c>
      <c r="J265">
        <v>1</v>
      </c>
      <c r="K265" s="20">
        <v>44966</v>
      </c>
      <c r="L265" s="23">
        <v>2268735</v>
      </c>
      <c r="M265" t="s">
        <v>7359</v>
      </c>
      <c r="N265" t="s">
        <v>7360</v>
      </c>
      <c r="O265">
        <v>0</v>
      </c>
      <c r="P265">
        <v>12191</v>
      </c>
      <c r="Q265">
        <v>421013</v>
      </c>
      <c r="R265">
        <v>0</v>
      </c>
      <c r="S265">
        <v>20230209</v>
      </c>
      <c r="T265">
        <v>0</v>
      </c>
      <c r="U265" t="s">
        <v>7362</v>
      </c>
      <c r="V265" t="s">
        <v>7360</v>
      </c>
      <c r="W265" t="s">
        <v>7360</v>
      </c>
      <c r="X265" t="s">
        <v>7360</v>
      </c>
      <c r="Y265" t="s">
        <v>7360</v>
      </c>
      <c r="Z265" t="s">
        <v>7360</v>
      </c>
      <c r="AA265" t="s">
        <v>7362</v>
      </c>
      <c r="AB265" t="s">
        <v>7360</v>
      </c>
      <c r="AC265" t="s">
        <v>7360</v>
      </c>
      <c r="AD265" t="s">
        <v>7360</v>
      </c>
      <c r="AE265" t="s">
        <v>7360</v>
      </c>
      <c r="AF265" t="s">
        <v>1684</v>
      </c>
      <c r="AG265">
        <v>0</v>
      </c>
      <c r="AH265">
        <v>0</v>
      </c>
      <c r="AI265">
        <v>0</v>
      </c>
      <c r="AJ265">
        <v>0</v>
      </c>
      <c r="AK265">
        <v>0</v>
      </c>
      <c r="AL265" t="s">
        <v>7360</v>
      </c>
      <c r="AM265">
        <v>0</v>
      </c>
      <c r="AN265" s="20">
        <v>44966</v>
      </c>
      <c r="AO265" s="20">
        <v>44966</v>
      </c>
      <c r="AP265" s="20">
        <v>44966</v>
      </c>
      <c r="AQ265">
        <v>0</v>
      </c>
      <c r="AR265">
        <v>0</v>
      </c>
      <c r="AS265">
        <v>0</v>
      </c>
      <c r="AT265">
        <v>0</v>
      </c>
      <c r="AU265">
        <v>0</v>
      </c>
      <c r="AV265" t="s">
        <v>7360</v>
      </c>
      <c r="AW265">
        <v>0</v>
      </c>
      <c r="AX265" t="s">
        <v>7360</v>
      </c>
      <c r="AY265" t="s">
        <v>7362</v>
      </c>
      <c r="BA265">
        <v>0</v>
      </c>
      <c r="BB265" s="20">
        <v>44966</v>
      </c>
      <c r="BC265">
        <v>0</v>
      </c>
      <c r="BD265" t="s">
        <v>7360</v>
      </c>
      <c r="BF265" s="20">
        <v>44966</v>
      </c>
      <c r="BG265">
        <v>0</v>
      </c>
      <c r="BH265" t="s">
        <v>1684</v>
      </c>
      <c r="BJ265" t="s">
        <v>7362</v>
      </c>
      <c r="BK265">
        <v>0</v>
      </c>
      <c r="BL265">
        <v>0</v>
      </c>
      <c r="BM265">
        <v>0</v>
      </c>
      <c r="BN265">
        <v>0</v>
      </c>
      <c r="BO265">
        <v>169</v>
      </c>
      <c r="BP265">
        <v>11</v>
      </c>
      <c r="BQ265">
        <v>1</v>
      </c>
      <c r="BR265" t="s">
        <v>7364</v>
      </c>
      <c r="BS265" t="s">
        <v>7382</v>
      </c>
      <c r="BT265" t="s">
        <v>7360</v>
      </c>
      <c r="BU265" t="s">
        <v>7360</v>
      </c>
      <c r="BV265" t="s">
        <v>7360</v>
      </c>
      <c r="BX265">
        <v>0</v>
      </c>
      <c r="BY265">
        <v>0</v>
      </c>
      <c r="BZ265" t="s">
        <v>7360</v>
      </c>
      <c r="CA265" t="s">
        <v>7360</v>
      </c>
      <c r="CB265">
        <v>3380666</v>
      </c>
      <c r="CC265" s="21">
        <v>44966.805439814816</v>
      </c>
      <c r="CE265" t="s">
        <v>7366</v>
      </c>
      <c r="CF265">
        <v>0</v>
      </c>
      <c r="CG265">
        <v>702002</v>
      </c>
      <c r="CH265">
        <v>702002</v>
      </c>
      <c r="CI265" s="21">
        <v>44966.808425925927</v>
      </c>
      <c r="CJ265" t="s">
        <v>7367</v>
      </c>
      <c r="CK265" t="s">
        <v>7367</v>
      </c>
      <c r="CL265" t="s">
        <v>7368</v>
      </c>
      <c r="CM265" t="s">
        <v>7368</v>
      </c>
      <c r="CS265" t="s">
        <v>7361</v>
      </c>
      <c r="CT265" t="s">
        <v>7362</v>
      </c>
      <c r="CU265" t="s">
        <v>7362</v>
      </c>
      <c r="CV265" t="s">
        <v>7362</v>
      </c>
      <c r="CW265" t="s">
        <v>7362</v>
      </c>
      <c r="CX265">
        <v>2268735</v>
      </c>
      <c r="DA265">
        <v>0</v>
      </c>
    </row>
    <row r="266" spans="1:106" x14ac:dyDescent="0.3">
      <c r="A266">
        <v>1366</v>
      </c>
      <c r="B266" t="s">
        <v>7380</v>
      </c>
      <c r="C266">
        <v>290</v>
      </c>
      <c r="D266" s="20">
        <v>44966</v>
      </c>
      <c r="E266" t="s">
        <v>7356</v>
      </c>
      <c r="F266" t="s">
        <v>5972</v>
      </c>
      <c r="G266" t="s">
        <v>7357</v>
      </c>
      <c r="H266">
        <v>1</v>
      </c>
      <c r="I266" t="s">
        <v>7358</v>
      </c>
      <c r="J266">
        <v>1</v>
      </c>
      <c r="K266" s="20">
        <v>44966</v>
      </c>
      <c r="L266" s="23">
        <v>222530</v>
      </c>
      <c r="M266" t="s">
        <v>7359</v>
      </c>
      <c r="N266" t="s">
        <v>7360</v>
      </c>
      <c r="O266">
        <v>0</v>
      </c>
      <c r="P266">
        <v>12279</v>
      </c>
      <c r="Q266">
        <v>432004</v>
      </c>
      <c r="R266">
        <v>0</v>
      </c>
      <c r="S266">
        <v>20230209</v>
      </c>
      <c r="T266">
        <v>0</v>
      </c>
      <c r="U266" t="s">
        <v>7361</v>
      </c>
      <c r="V266" t="s">
        <v>7360</v>
      </c>
      <c r="W266" t="s">
        <v>7360</v>
      </c>
      <c r="X266" t="s">
        <v>7360</v>
      </c>
      <c r="Y266" t="s">
        <v>7360</v>
      </c>
      <c r="Z266" t="s">
        <v>7360</v>
      </c>
      <c r="AA266" t="s">
        <v>7362</v>
      </c>
      <c r="AB266" t="s">
        <v>7360</v>
      </c>
      <c r="AC266" t="s">
        <v>7360</v>
      </c>
      <c r="AD266" t="s">
        <v>7360</v>
      </c>
      <c r="AE266" t="s">
        <v>7360</v>
      </c>
      <c r="AF266" t="s">
        <v>1684</v>
      </c>
      <c r="AG266">
        <v>0</v>
      </c>
      <c r="AH266">
        <v>0</v>
      </c>
      <c r="AI266">
        <v>0</v>
      </c>
      <c r="AJ266">
        <v>0</v>
      </c>
      <c r="AK266">
        <v>0</v>
      </c>
      <c r="AL266" t="s">
        <v>7360</v>
      </c>
      <c r="AM266">
        <v>0</v>
      </c>
      <c r="AN266" s="20">
        <v>44966</v>
      </c>
      <c r="AO266" s="20">
        <v>44966</v>
      </c>
      <c r="AP266" s="20">
        <v>44966</v>
      </c>
      <c r="AQ266">
        <v>0</v>
      </c>
      <c r="AR266">
        <v>0</v>
      </c>
      <c r="AS266">
        <v>0</v>
      </c>
      <c r="AT266">
        <v>0</v>
      </c>
      <c r="AU266">
        <v>0</v>
      </c>
      <c r="AV266" t="s">
        <v>7360</v>
      </c>
      <c r="AW266">
        <v>0</v>
      </c>
      <c r="AX266" t="s">
        <v>7360</v>
      </c>
      <c r="AY266" t="s">
        <v>7363</v>
      </c>
      <c r="BA266">
        <v>0</v>
      </c>
      <c r="BB266" s="20">
        <v>44966</v>
      </c>
      <c r="BC266">
        <v>0</v>
      </c>
      <c r="BD266" t="s">
        <v>7360</v>
      </c>
      <c r="BF266" s="20">
        <v>44966</v>
      </c>
      <c r="BG266">
        <v>0</v>
      </c>
      <c r="BH266" t="s">
        <v>7363</v>
      </c>
      <c r="BJ266" t="s">
        <v>7362</v>
      </c>
      <c r="BK266">
        <v>0</v>
      </c>
      <c r="BL266">
        <v>0</v>
      </c>
      <c r="BM266">
        <v>0</v>
      </c>
      <c r="BN266">
        <v>0</v>
      </c>
      <c r="BO266">
        <v>169</v>
      </c>
      <c r="BP266">
        <v>11</v>
      </c>
      <c r="BQ266">
        <v>1</v>
      </c>
      <c r="BR266" t="s">
        <v>7364</v>
      </c>
      <c r="BS266" t="s">
        <v>7365</v>
      </c>
      <c r="BT266" t="s">
        <v>7360</v>
      </c>
      <c r="BU266" t="s">
        <v>7360</v>
      </c>
      <c r="BV266" t="s">
        <v>7360</v>
      </c>
      <c r="BX266">
        <v>0</v>
      </c>
      <c r="BY266">
        <v>0</v>
      </c>
      <c r="BZ266" t="s">
        <v>7360</v>
      </c>
      <c r="CA266" t="s">
        <v>7360</v>
      </c>
      <c r="CB266">
        <v>3380666</v>
      </c>
      <c r="CC266" s="21">
        <v>44966.818402777775</v>
      </c>
      <c r="CE266" t="s">
        <v>7366</v>
      </c>
      <c r="CF266">
        <v>0</v>
      </c>
      <c r="CG266">
        <v>702002</v>
      </c>
      <c r="CH266">
        <v>702002</v>
      </c>
      <c r="CI266" s="21">
        <v>44966.82335648148</v>
      </c>
      <c r="CJ266" t="s">
        <v>7367</v>
      </c>
      <c r="CK266" t="s">
        <v>7367</v>
      </c>
      <c r="CL266" t="s">
        <v>7368</v>
      </c>
      <c r="CM266" t="s">
        <v>7368</v>
      </c>
      <c r="CS266" t="s">
        <v>7361</v>
      </c>
      <c r="CT266" t="s">
        <v>7362</v>
      </c>
      <c r="CU266" t="s">
        <v>7362</v>
      </c>
      <c r="CV266" t="s">
        <v>7362</v>
      </c>
      <c r="CW266" t="s">
        <v>7362</v>
      </c>
      <c r="CX266">
        <v>222530</v>
      </c>
      <c r="DA266">
        <v>0</v>
      </c>
    </row>
    <row r="267" spans="1:106" x14ac:dyDescent="0.3">
      <c r="A267">
        <v>1362</v>
      </c>
      <c r="B267" t="s">
        <v>7371</v>
      </c>
      <c r="C267">
        <v>371</v>
      </c>
      <c r="D267" s="20">
        <v>44973</v>
      </c>
      <c r="E267" t="s">
        <v>7356</v>
      </c>
      <c r="F267" t="s">
        <v>5977</v>
      </c>
      <c r="G267" t="s">
        <v>7357</v>
      </c>
      <c r="H267">
        <v>1</v>
      </c>
      <c r="I267" t="s">
        <v>7358</v>
      </c>
      <c r="J267">
        <v>1</v>
      </c>
      <c r="K267" s="20">
        <v>44973</v>
      </c>
      <c r="L267" s="23">
        <v>19026786</v>
      </c>
      <c r="M267" t="s">
        <v>7359</v>
      </c>
      <c r="N267" t="s">
        <v>7360</v>
      </c>
      <c r="O267">
        <v>0</v>
      </c>
      <c r="P267">
        <v>12093</v>
      </c>
      <c r="Q267">
        <v>419034</v>
      </c>
      <c r="R267">
        <v>0</v>
      </c>
      <c r="S267">
        <v>20230216</v>
      </c>
      <c r="T267">
        <v>0</v>
      </c>
      <c r="U267" t="s">
        <v>7361</v>
      </c>
      <c r="V267" t="s">
        <v>7360</v>
      </c>
      <c r="W267" t="s">
        <v>7360</v>
      </c>
      <c r="X267" t="s">
        <v>7360</v>
      </c>
      <c r="Y267" t="s">
        <v>7360</v>
      </c>
      <c r="Z267" t="s">
        <v>7360</v>
      </c>
      <c r="AA267" t="s">
        <v>7362</v>
      </c>
      <c r="AB267" t="s">
        <v>7360</v>
      </c>
      <c r="AC267" t="s">
        <v>7360</v>
      </c>
      <c r="AD267" t="s">
        <v>7360</v>
      </c>
      <c r="AE267" t="s">
        <v>7360</v>
      </c>
      <c r="AF267" t="s">
        <v>1684</v>
      </c>
      <c r="AG267">
        <v>0</v>
      </c>
      <c r="AH267">
        <v>0</v>
      </c>
      <c r="AI267">
        <v>0</v>
      </c>
      <c r="AJ267">
        <v>0</v>
      </c>
      <c r="AK267">
        <v>0</v>
      </c>
      <c r="AL267" t="s">
        <v>7360</v>
      </c>
      <c r="AM267">
        <v>0</v>
      </c>
      <c r="AN267" s="20">
        <v>44973</v>
      </c>
      <c r="AO267" s="20">
        <v>44973</v>
      </c>
      <c r="AP267" s="20">
        <v>44973</v>
      </c>
      <c r="AQ267">
        <v>0</v>
      </c>
      <c r="AR267">
        <v>0</v>
      </c>
      <c r="AS267">
        <v>0</v>
      </c>
      <c r="AT267">
        <v>0</v>
      </c>
      <c r="AU267">
        <v>0</v>
      </c>
      <c r="AV267" t="s">
        <v>7360</v>
      </c>
      <c r="AW267">
        <v>0</v>
      </c>
      <c r="AX267" t="s">
        <v>7360</v>
      </c>
      <c r="AY267" t="s">
        <v>7363</v>
      </c>
      <c r="BA267">
        <v>0</v>
      </c>
      <c r="BB267" s="20">
        <v>44973</v>
      </c>
      <c r="BC267">
        <v>0</v>
      </c>
      <c r="BD267" t="s">
        <v>7360</v>
      </c>
      <c r="BF267" s="20">
        <v>44973</v>
      </c>
      <c r="BG267">
        <v>0</v>
      </c>
      <c r="BH267" t="s">
        <v>7363</v>
      </c>
      <c r="BJ267" t="s">
        <v>7362</v>
      </c>
      <c r="BK267">
        <v>0</v>
      </c>
      <c r="BL267">
        <v>0</v>
      </c>
      <c r="BM267">
        <v>0</v>
      </c>
      <c r="BN267">
        <v>0</v>
      </c>
      <c r="BO267">
        <v>169</v>
      </c>
      <c r="BP267">
        <v>11</v>
      </c>
      <c r="BQ267">
        <v>1</v>
      </c>
      <c r="BR267" t="s">
        <v>7364</v>
      </c>
      <c r="BS267" t="s">
        <v>7386</v>
      </c>
      <c r="BT267" t="s">
        <v>7360</v>
      </c>
      <c r="BU267" t="s">
        <v>7360</v>
      </c>
      <c r="BV267" t="s">
        <v>7360</v>
      </c>
      <c r="BX267">
        <v>0</v>
      </c>
      <c r="BY267">
        <v>0</v>
      </c>
      <c r="BZ267" t="s">
        <v>7360</v>
      </c>
      <c r="CA267" t="s">
        <v>7360</v>
      </c>
      <c r="CB267">
        <v>3380666</v>
      </c>
      <c r="CC267" s="21">
        <v>44977.625474537039</v>
      </c>
      <c r="CE267" t="s">
        <v>7366</v>
      </c>
      <c r="CF267">
        <v>0</v>
      </c>
      <c r="CG267">
        <v>702002</v>
      </c>
      <c r="CH267">
        <v>702002</v>
      </c>
      <c r="CI267" s="21">
        <v>44985.407152777778</v>
      </c>
      <c r="CJ267" t="s">
        <v>7367</v>
      </c>
      <c r="CK267" t="s">
        <v>7367</v>
      </c>
      <c r="CL267" t="s">
        <v>7368</v>
      </c>
      <c r="CM267" t="s">
        <v>7368</v>
      </c>
      <c r="CS267" t="s">
        <v>7361</v>
      </c>
      <c r="CT267" t="s">
        <v>7362</v>
      </c>
      <c r="CU267" t="s">
        <v>7362</v>
      </c>
      <c r="CV267" t="s">
        <v>7362</v>
      </c>
      <c r="CW267" t="s">
        <v>7362</v>
      </c>
      <c r="CX267">
        <v>20230000</v>
      </c>
      <c r="DA267">
        <v>0</v>
      </c>
      <c r="DB267">
        <v>134007</v>
      </c>
    </row>
    <row r="268" spans="1:106" x14ac:dyDescent="0.3">
      <c r="A268">
        <v>1354</v>
      </c>
      <c r="B268" t="s">
        <v>7396</v>
      </c>
      <c r="C268">
        <v>292</v>
      </c>
      <c r="D268" s="20">
        <v>44966</v>
      </c>
      <c r="E268" t="s">
        <v>7372</v>
      </c>
      <c r="F268" t="s">
        <v>5981</v>
      </c>
      <c r="G268" t="s">
        <v>7357</v>
      </c>
      <c r="H268">
        <v>1</v>
      </c>
      <c r="I268" t="s">
        <v>7358</v>
      </c>
      <c r="J268">
        <v>1</v>
      </c>
      <c r="K268" s="20">
        <v>44966</v>
      </c>
      <c r="L268" s="23">
        <v>2712000</v>
      </c>
      <c r="M268" t="s">
        <v>7359</v>
      </c>
      <c r="N268" t="s">
        <v>7360</v>
      </c>
      <c r="O268">
        <v>0</v>
      </c>
      <c r="P268">
        <v>12311</v>
      </c>
      <c r="Q268">
        <v>432025</v>
      </c>
      <c r="R268">
        <v>0</v>
      </c>
      <c r="S268">
        <v>20230209</v>
      </c>
      <c r="T268">
        <v>0</v>
      </c>
      <c r="U268" t="s">
        <v>7362</v>
      </c>
      <c r="V268" t="s">
        <v>7360</v>
      </c>
      <c r="W268" t="s">
        <v>7360</v>
      </c>
      <c r="X268" t="s">
        <v>7360</v>
      </c>
      <c r="Y268" t="s">
        <v>7360</v>
      </c>
      <c r="Z268" t="s">
        <v>7360</v>
      </c>
      <c r="AA268" t="s">
        <v>7362</v>
      </c>
      <c r="AB268" t="s">
        <v>7360</v>
      </c>
      <c r="AC268" t="s">
        <v>7360</v>
      </c>
      <c r="AD268" t="s">
        <v>7360</v>
      </c>
      <c r="AE268" t="s">
        <v>7360</v>
      </c>
      <c r="AF268" t="s">
        <v>1684</v>
      </c>
      <c r="AG268">
        <v>0</v>
      </c>
      <c r="AH268">
        <v>0</v>
      </c>
      <c r="AI268">
        <v>0</v>
      </c>
      <c r="AJ268">
        <v>0</v>
      </c>
      <c r="AK268">
        <v>0</v>
      </c>
      <c r="AL268" t="s">
        <v>7360</v>
      </c>
      <c r="AM268">
        <v>0</v>
      </c>
      <c r="AN268" s="20">
        <v>44966</v>
      </c>
      <c r="AO268" s="20">
        <v>44966</v>
      </c>
      <c r="AP268" s="20">
        <v>44966</v>
      </c>
      <c r="AQ268">
        <v>0</v>
      </c>
      <c r="AR268">
        <v>0</v>
      </c>
      <c r="AS268">
        <v>0</v>
      </c>
      <c r="AT268">
        <v>0</v>
      </c>
      <c r="AU268">
        <v>0</v>
      </c>
      <c r="AV268" t="s">
        <v>7360</v>
      </c>
      <c r="AW268">
        <v>0</v>
      </c>
      <c r="AX268" t="s">
        <v>7360</v>
      </c>
      <c r="AY268" t="s">
        <v>7362</v>
      </c>
      <c r="BA268">
        <v>0</v>
      </c>
      <c r="BB268" s="20">
        <v>44966</v>
      </c>
      <c r="BC268">
        <v>0</v>
      </c>
      <c r="BD268" t="s">
        <v>7360</v>
      </c>
      <c r="BF268" s="20">
        <v>44966</v>
      </c>
      <c r="BG268">
        <v>0</v>
      </c>
      <c r="BH268" t="s">
        <v>7363</v>
      </c>
      <c r="BJ268" t="s">
        <v>7362</v>
      </c>
      <c r="BK268">
        <v>0</v>
      </c>
      <c r="BL268">
        <v>0</v>
      </c>
      <c r="BM268">
        <v>0</v>
      </c>
      <c r="BN268">
        <v>0</v>
      </c>
      <c r="BO268">
        <v>169</v>
      </c>
      <c r="BP268">
        <v>11</v>
      </c>
      <c r="BQ268">
        <v>1</v>
      </c>
      <c r="BR268" t="s">
        <v>7364</v>
      </c>
      <c r="BS268" t="s">
        <v>7365</v>
      </c>
      <c r="BT268" t="s">
        <v>7360</v>
      </c>
      <c r="BU268" t="s">
        <v>7360</v>
      </c>
      <c r="BV268" t="s">
        <v>7360</v>
      </c>
      <c r="BX268">
        <v>0</v>
      </c>
      <c r="BY268">
        <v>0</v>
      </c>
      <c r="BZ268" t="s">
        <v>7360</v>
      </c>
      <c r="CA268" t="s">
        <v>7360</v>
      </c>
      <c r="CB268">
        <v>3380666</v>
      </c>
      <c r="CC268" s="21">
        <v>44966.857164351852</v>
      </c>
      <c r="CE268" t="s">
        <v>7366</v>
      </c>
      <c r="CF268">
        <v>0</v>
      </c>
      <c r="CG268">
        <v>702002</v>
      </c>
      <c r="CH268">
        <v>702002</v>
      </c>
      <c r="CI268" s="21">
        <v>44966.858819444446</v>
      </c>
      <c r="CJ268" t="s">
        <v>7367</v>
      </c>
      <c r="CK268" t="s">
        <v>7367</v>
      </c>
      <c r="CL268" t="s">
        <v>7368</v>
      </c>
      <c r="CM268" t="s">
        <v>7368</v>
      </c>
      <c r="CS268" t="s">
        <v>7361</v>
      </c>
      <c r="CT268" t="s">
        <v>7362</v>
      </c>
      <c r="CU268" t="s">
        <v>7362</v>
      </c>
      <c r="CV268" t="s">
        <v>7362</v>
      </c>
      <c r="CW268" t="s">
        <v>7362</v>
      </c>
      <c r="CX268">
        <v>2712000</v>
      </c>
      <c r="DA268">
        <v>0</v>
      </c>
    </row>
    <row r="269" spans="1:106" x14ac:dyDescent="0.3">
      <c r="A269">
        <v>1356</v>
      </c>
      <c r="B269" t="s">
        <v>7402</v>
      </c>
      <c r="C269">
        <v>416</v>
      </c>
      <c r="D269" s="20">
        <v>44979</v>
      </c>
      <c r="E269" t="s">
        <v>7356</v>
      </c>
      <c r="F269" t="s">
        <v>5987</v>
      </c>
      <c r="G269" t="s">
        <v>7377</v>
      </c>
      <c r="H269">
        <v>1</v>
      </c>
      <c r="I269" t="s">
        <v>7358</v>
      </c>
      <c r="J269">
        <v>1</v>
      </c>
      <c r="K269" s="20">
        <v>44977</v>
      </c>
      <c r="L269" s="23">
        <v>20230000</v>
      </c>
      <c r="M269" t="s">
        <v>7403</v>
      </c>
      <c r="N269" t="s">
        <v>7360</v>
      </c>
      <c r="O269">
        <v>0</v>
      </c>
      <c r="P269">
        <v>12615</v>
      </c>
      <c r="Q269">
        <v>134007</v>
      </c>
      <c r="R269">
        <v>0</v>
      </c>
      <c r="S269">
        <v>20230222</v>
      </c>
      <c r="T269">
        <v>0</v>
      </c>
      <c r="U269" t="s">
        <v>7361</v>
      </c>
      <c r="V269" t="s">
        <v>7360</v>
      </c>
      <c r="W269" t="s">
        <v>7360</v>
      </c>
      <c r="X269" t="s">
        <v>7360</v>
      </c>
      <c r="Y269" t="s">
        <v>7360</v>
      </c>
      <c r="Z269" t="s">
        <v>7360</v>
      </c>
      <c r="AA269" t="s">
        <v>7362</v>
      </c>
      <c r="AB269" t="s">
        <v>7360</v>
      </c>
      <c r="AC269" t="s">
        <v>7360</v>
      </c>
      <c r="AD269" t="s">
        <v>7360</v>
      </c>
      <c r="AE269" t="s">
        <v>7360</v>
      </c>
      <c r="AF269" t="s">
        <v>1684</v>
      </c>
      <c r="AG269">
        <v>0</v>
      </c>
      <c r="AH269">
        <v>0</v>
      </c>
      <c r="AI269">
        <v>0</v>
      </c>
      <c r="AJ269">
        <v>0</v>
      </c>
      <c r="AK269">
        <v>0</v>
      </c>
      <c r="AL269" t="s">
        <v>7360</v>
      </c>
      <c r="AM269">
        <v>0</v>
      </c>
      <c r="AN269" s="20">
        <v>44977</v>
      </c>
      <c r="AO269" s="20">
        <v>44977</v>
      </c>
      <c r="AP269" s="20">
        <v>44977</v>
      </c>
      <c r="AQ269">
        <v>0</v>
      </c>
      <c r="AR269">
        <v>0</v>
      </c>
      <c r="AS269">
        <v>0</v>
      </c>
      <c r="AT269">
        <v>0</v>
      </c>
      <c r="AU269">
        <v>0</v>
      </c>
      <c r="AV269" t="s">
        <v>7360</v>
      </c>
      <c r="AW269">
        <v>0</v>
      </c>
      <c r="AX269" t="s">
        <v>7360</v>
      </c>
      <c r="AY269" t="s">
        <v>7363</v>
      </c>
      <c r="BA269">
        <v>0</v>
      </c>
      <c r="BB269" s="20">
        <v>44977</v>
      </c>
      <c r="BC269">
        <v>0</v>
      </c>
      <c r="BD269" t="s">
        <v>7360</v>
      </c>
      <c r="BE269">
        <v>161</v>
      </c>
      <c r="BF269" s="20">
        <v>44977</v>
      </c>
      <c r="BG269">
        <v>0</v>
      </c>
      <c r="BH269" t="s">
        <v>1729</v>
      </c>
      <c r="BJ269" t="s">
        <v>7362</v>
      </c>
      <c r="BK269">
        <v>0</v>
      </c>
      <c r="BL269">
        <v>0</v>
      </c>
      <c r="BM269">
        <v>0</v>
      </c>
      <c r="BN269">
        <v>0</v>
      </c>
      <c r="BO269">
        <v>169</v>
      </c>
      <c r="BP269">
        <v>11</v>
      </c>
      <c r="BQ269">
        <v>1</v>
      </c>
      <c r="BR269" t="s">
        <v>7364</v>
      </c>
      <c r="BS269" t="s">
        <v>7382</v>
      </c>
      <c r="BT269" t="s">
        <v>7360</v>
      </c>
      <c r="BU269" t="s">
        <v>7360</v>
      </c>
      <c r="BV269" t="s">
        <v>7360</v>
      </c>
      <c r="BX269">
        <v>0</v>
      </c>
      <c r="BY269">
        <v>0</v>
      </c>
      <c r="BZ269" t="s">
        <v>7360</v>
      </c>
      <c r="CA269" t="s">
        <v>7360</v>
      </c>
      <c r="CB269">
        <v>3380666</v>
      </c>
      <c r="CC269" s="21">
        <v>44978.421342592592</v>
      </c>
      <c r="CE269" t="s">
        <v>7366</v>
      </c>
      <c r="CF269">
        <v>0</v>
      </c>
      <c r="CG269">
        <v>702002</v>
      </c>
      <c r="CH269">
        <v>702002</v>
      </c>
      <c r="CI269" s="21">
        <v>44978.423703703702</v>
      </c>
      <c r="CJ269" t="s">
        <v>7367</v>
      </c>
      <c r="CK269" t="s">
        <v>7367</v>
      </c>
      <c r="CL269" t="s">
        <v>7368</v>
      </c>
      <c r="CM269" t="s">
        <v>7368</v>
      </c>
      <c r="CS269" t="s">
        <v>7361</v>
      </c>
      <c r="CT269" t="s">
        <v>7362</v>
      </c>
      <c r="CU269" t="s">
        <v>7362</v>
      </c>
      <c r="CV269" t="s">
        <v>7362</v>
      </c>
      <c r="CW269" t="s">
        <v>7362</v>
      </c>
      <c r="CX269">
        <v>29570013</v>
      </c>
      <c r="DA269">
        <v>0</v>
      </c>
    </row>
    <row r="270" spans="1:106" x14ac:dyDescent="0.3">
      <c r="A270">
        <v>1354</v>
      </c>
      <c r="B270" t="s">
        <v>7396</v>
      </c>
      <c r="C270">
        <v>295</v>
      </c>
      <c r="D270" s="20">
        <v>44967</v>
      </c>
      <c r="E270" t="s">
        <v>7356</v>
      </c>
      <c r="F270" t="s">
        <v>5992</v>
      </c>
      <c r="G270" t="s">
        <v>7370</v>
      </c>
      <c r="H270">
        <v>1</v>
      </c>
      <c r="I270" t="s">
        <v>7358</v>
      </c>
      <c r="J270">
        <v>1</v>
      </c>
      <c r="K270" s="20">
        <v>44967</v>
      </c>
      <c r="L270" s="23">
        <v>5495000</v>
      </c>
      <c r="M270" t="s">
        <v>7403</v>
      </c>
      <c r="N270" t="s">
        <v>7360</v>
      </c>
      <c r="O270">
        <v>0</v>
      </c>
      <c r="P270">
        <v>11867</v>
      </c>
      <c r="Q270">
        <v>132005</v>
      </c>
      <c r="R270">
        <v>0</v>
      </c>
      <c r="S270">
        <v>20230210</v>
      </c>
      <c r="T270">
        <v>0</v>
      </c>
      <c r="U270" t="s">
        <v>7361</v>
      </c>
      <c r="V270" t="s">
        <v>7360</v>
      </c>
      <c r="W270" t="s">
        <v>7360</v>
      </c>
      <c r="X270" t="s">
        <v>7360</v>
      </c>
      <c r="Y270" t="s">
        <v>7360</v>
      </c>
      <c r="Z270" t="s">
        <v>7360</v>
      </c>
      <c r="AA270" t="s">
        <v>7362</v>
      </c>
      <c r="AB270" t="s">
        <v>7360</v>
      </c>
      <c r="AC270" t="s">
        <v>7360</v>
      </c>
      <c r="AD270" t="s">
        <v>7360</v>
      </c>
      <c r="AE270" t="s">
        <v>7360</v>
      </c>
      <c r="AF270" t="s">
        <v>1684</v>
      </c>
      <c r="AG270">
        <v>0</v>
      </c>
      <c r="AH270">
        <v>0</v>
      </c>
      <c r="AI270">
        <v>0</v>
      </c>
      <c r="AJ270">
        <v>0</v>
      </c>
      <c r="AK270">
        <v>0</v>
      </c>
      <c r="AL270" t="s">
        <v>7360</v>
      </c>
      <c r="AM270">
        <v>0</v>
      </c>
      <c r="AN270" s="20">
        <v>44967</v>
      </c>
      <c r="AO270" s="20">
        <v>44967</v>
      </c>
      <c r="AP270" s="20">
        <v>44967</v>
      </c>
      <c r="AQ270">
        <v>0</v>
      </c>
      <c r="AR270">
        <v>0</v>
      </c>
      <c r="AS270">
        <v>0</v>
      </c>
      <c r="AT270">
        <v>0</v>
      </c>
      <c r="AU270">
        <v>0</v>
      </c>
      <c r="AV270" t="s">
        <v>7360</v>
      </c>
      <c r="AW270">
        <v>0</v>
      </c>
      <c r="AX270" t="s">
        <v>7360</v>
      </c>
      <c r="AY270" t="s">
        <v>7363</v>
      </c>
      <c r="BA270">
        <v>0</v>
      </c>
      <c r="BB270" s="20">
        <v>44967</v>
      </c>
      <c r="BC270">
        <v>0</v>
      </c>
      <c r="BD270" t="s">
        <v>7360</v>
      </c>
      <c r="BE270">
        <v>117</v>
      </c>
      <c r="BF270" s="20">
        <v>44967</v>
      </c>
      <c r="BG270">
        <v>0</v>
      </c>
      <c r="BH270" t="s">
        <v>7363</v>
      </c>
      <c r="BJ270" t="s">
        <v>7362</v>
      </c>
      <c r="BK270">
        <v>169</v>
      </c>
      <c r="BL270">
        <v>11</v>
      </c>
      <c r="BM270">
        <v>1</v>
      </c>
      <c r="BN270" t="s">
        <v>7364</v>
      </c>
      <c r="BO270">
        <v>0</v>
      </c>
      <c r="BP270">
        <v>0</v>
      </c>
      <c r="BQ270">
        <v>0</v>
      </c>
      <c r="BR270">
        <v>0</v>
      </c>
      <c r="BS270" t="s">
        <v>132</v>
      </c>
      <c r="BT270" t="s">
        <v>7360</v>
      </c>
      <c r="BU270" t="s">
        <v>7360</v>
      </c>
      <c r="BV270" t="s">
        <v>7360</v>
      </c>
      <c r="BX270" t="s">
        <v>7391</v>
      </c>
      <c r="BY270">
        <v>74</v>
      </c>
      <c r="BZ270" t="s">
        <v>7360</v>
      </c>
      <c r="CA270" t="s">
        <v>7360</v>
      </c>
      <c r="CB270">
        <v>5558210</v>
      </c>
      <c r="CC270" s="21">
        <v>44967.523680555554</v>
      </c>
      <c r="CE270" t="s">
        <v>7392</v>
      </c>
      <c r="CF270">
        <v>1100101</v>
      </c>
      <c r="CG270">
        <v>53575</v>
      </c>
      <c r="CH270">
        <v>53575</v>
      </c>
      <c r="CI270" s="21">
        <v>44967.530497685184</v>
      </c>
      <c r="CJ270" t="s">
        <v>7393</v>
      </c>
      <c r="CK270" t="s">
        <v>7393</v>
      </c>
      <c r="CL270" t="s">
        <v>7394</v>
      </c>
      <c r="CM270" t="s">
        <v>7394</v>
      </c>
      <c r="CS270" t="s">
        <v>7361</v>
      </c>
      <c r="CT270" t="s">
        <v>7362</v>
      </c>
      <c r="CU270" t="s">
        <v>7362</v>
      </c>
      <c r="CV270" t="s">
        <v>7362</v>
      </c>
      <c r="CW270" t="s">
        <v>7362</v>
      </c>
      <c r="CX270">
        <v>5495000</v>
      </c>
      <c r="DA270">
        <v>0</v>
      </c>
      <c r="DB270">
        <v>132005</v>
      </c>
    </row>
    <row r="271" spans="1:106" x14ac:dyDescent="0.3">
      <c r="A271">
        <v>1354</v>
      </c>
      <c r="B271" t="s">
        <v>7396</v>
      </c>
      <c r="C271">
        <v>296</v>
      </c>
      <c r="D271" s="20">
        <v>44967</v>
      </c>
      <c r="E271" t="s">
        <v>7356</v>
      </c>
      <c r="F271" t="s">
        <v>5997</v>
      </c>
      <c r="G271" t="s">
        <v>7370</v>
      </c>
      <c r="H271">
        <v>1</v>
      </c>
      <c r="I271" t="s">
        <v>7358</v>
      </c>
      <c r="J271">
        <v>1</v>
      </c>
      <c r="K271" s="20">
        <v>44967</v>
      </c>
      <c r="L271" s="23">
        <v>7600000</v>
      </c>
      <c r="M271" t="s">
        <v>7403</v>
      </c>
      <c r="N271" t="s">
        <v>7360</v>
      </c>
      <c r="O271">
        <v>0</v>
      </c>
      <c r="P271">
        <v>11883</v>
      </c>
      <c r="Q271">
        <v>132002</v>
      </c>
      <c r="R271">
        <v>0</v>
      </c>
      <c r="S271">
        <v>20230210</v>
      </c>
      <c r="T271">
        <v>0</v>
      </c>
      <c r="U271" t="s">
        <v>7361</v>
      </c>
      <c r="V271" t="s">
        <v>7360</v>
      </c>
      <c r="W271" t="s">
        <v>7360</v>
      </c>
      <c r="X271" t="s">
        <v>7360</v>
      </c>
      <c r="Y271" t="s">
        <v>7360</v>
      </c>
      <c r="Z271" t="s">
        <v>7360</v>
      </c>
      <c r="AA271" t="s">
        <v>7362</v>
      </c>
      <c r="AB271" t="s">
        <v>7360</v>
      </c>
      <c r="AC271" t="s">
        <v>7360</v>
      </c>
      <c r="AD271" t="s">
        <v>7360</v>
      </c>
      <c r="AE271" t="s">
        <v>7360</v>
      </c>
      <c r="AF271" t="s">
        <v>1684</v>
      </c>
      <c r="AG271">
        <v>0</v>
      </c>
      <c r="AH271">
        <v>0</v>
      </c>
      <c r="AI271">
        <v>0</v>
      </c>
      <c r="AJ271">
        <v>0</v>
      </c>
      <c r="AK271">
        <v>0</v>
      </c>
      <c r="AL271" t="s">
        <v>7360</v>
      </c>
      <c r="AM271">
        <v>0</v>
      </c>
      <c r="AN271" s="20">
        <v>44967</v>
      </c>
      <c r="AO271" s="20">
        <v>44967</v>
      </c>
      <c r="AP271" s="20">
        <v>44967</v>
      </c>
      <c r="AQ271">
        <v>0</v>
      </c>
      <c r="AR271">
        <v>0</v>
      </c>
      <c r="AS271">
        <v>0</v>
      </c>
      <c r="AT271">
        <v>0</v>
      </c>
      <c r="AU271">
        <v>0</v>
      </c>
      <c r="AV271" t="s">
        <v>7360</v>
      </c>
      <c r="AW271">
        <v>0</v>
      </c>
      <c r="AX271" t="s">
        <v>7360</v>
      </c>
      <c r="AY271" t="s">
        <v>7363</v>
      </c>
      <c r="BA271">
        <v>0</v>
      </c>
      <c r="BB271" s="20">
        <v>44967</v>
      </c>
      <c r="BC271">
        <v>0</v>
      </c>
      <c r="BD271" t="s">
        <v>7360</v>
      </c>
      <c r="BE271">
        <v>131</v>
      </c>
      <c r="BF271" s="20">
        <v>44967</v>
      </c>
      <c r="BG271">
        <v>0</v>
      </c>
      <c r="BH271" t="s">
        <v>7363</v>
      </c>
      <c r="BJ271" t="s">
        <v>7362</v>
      </c>
      <c r="BK271">
        <v>169</v>
      </c>
      <c r="BL271">
        <v>11</v>
      </c>
      <c r="BM271">
        <v>1</v>
      </c>
      <c r="BN271" t="s">
        <v>7364</v>
      </c>
      <c r="BO271">
        <v>169</v>
      </c>
      <c r="BP271">
        <v>11</v>
      </c>
      <c r="BQ271">
        <v>1</v>
      </c>
      <c r="BR271" t="s">
        <v>7364</v>
      </c>
      <c r="BS271" t="s">
        <v>132</v>
      </c>
      <c r="BT271" t="s">
        <v>7360</v>
      </c>
      <c r="BU271" t="s">
        <v>7360</v>
      </c>
      <c r="BV271" t="s">
        <v>7360</v>
      </c>
      <c r="BX271" t="s">
        <v>7391</v>
      </c>
      <c r="BY271">
        <v>74</v>
      </c>
      <c r="BZ271" t="s">
        <v>7360</v>
      </c>
      <c r="CA271" t="s">
        <v>7360</v>
      </c>
      <c r="CB271">
        <v>5558210</v>
      </c>
      <c r="CC271" s="21">
        <v>44967.603252314817</v>
      </c>
      <c r="CE271" t="s">
        <v>7392</v>
      </c>
      <c r="CF271">
        <v>1100101</v>
      </c>
      <c r="CG271">
        <v>53575</v>
      </c>
      <c r="CH271">
        <v>53575</v>
      </c>
      <c r="CI271" s="21">
        <v>44967.605590277781</v>
      </c>
      <c r="CJ271" t="s">
        <v>7393</v>
      </c>
      <c r="CK271" t="s">
        <v>7393</v>
      </c>
      <c r="CL271" t="s">
        <v>7394</v>
      </c>
      <c r="CM271" t="s">
        <v>7394</v>
      </c>
      <c r="CS271" t="s">
        <v>7361</v>
      </c>
      <c r="CT271" t="s">
        <v>7362</v>
      </c>
      <c r="CU271" t="s">
        <v>7362</v>
      </c>
      <c r="CV271" t="s">
        <v>7362</v>
      </c>
      <c r="CW271" t="s">
        <v>7362</v>
      </c>
      <c r="CX271">
        <v>7600000</v>
      </c>
      <c r="DA271">
        <v>0</v>
      </c>
      <c r="DB271">
        <v>132002</v>
      </c>
    </row>
    <row r="272" spans="1:106" x14ac:dyDescent="0.3">
      <c r="A272">
        <v>1354</v>
      </c>
      <c r="B272" t="s">
        <v>7396</v>
      </c>
      <c r="C272">
        <v>297</v>
      </c>
      <c r="D272" s="20">
        <v>44967</v>
      </c>
      <c r="E272" t="s">
        <v>7356</v>
      </c>
      <c r="F272" t="s">
        <v>5918</v>
      </c>
      <c r="G272" t="s">
        <v>7370</v>
      </c>
      <c r="H272">
        <v>1</v>
      </c>
      <c r="I272" t="s">
        <v>7358</v>
      </c>
      <c r="J272">
        <v>1</v>
      </c>
      <c r="K272" s="20">
        <v>44967</v>
      </c>
      <c r="L272" s="23">
        <v>7200000</v>
      </c>
      <c r="M272" t="s">
        <v>7403</v>
      </c>
      <c r="N272" t="s">
        <v>7360</v>
      </c>
      <c r="O272">
        <v>0</v>
      </c>
      <c r="P272">
        <v>11889</v>
      </c>
      <c r="Q272">
        <v>132003</v>
      </c>
      <c r="R272">
        <v>0</v>
      </c>
      <c r="S272">
        <v>20230210</v>
      </c>
      <c r="T272">
        <v>0</v>
      </c>
      <c r="U272" t="s">
        <v>7361</v>
      </c>
      <c r="V272" t="s">
        <v>7360</v>
      </c>
      <c r="W272" t="s">
        <v>7360</v>
      </c>
      <c r="X272" t="s">
        <v>7360</v>
      </c>
      <c r="Y272" t="s">
        <v>7360</v>
      </c>
      <c r="Z272" t="s">
        <v>7360</v>
      </c>
      <c r="AA272" t="s">
        <v>7362</v>
      </c>
      <c r="AB272" t="s">
        <v>7360</v>
      </c>
      <c r="AC272" t="s">
        <v>7360</v>
      </c>
      <c r="AD272" t="s">
        <v>7360</v>
      </c>
      <c r="AE272" t="s">
        <v>7360</v>
      </c>
      <c r="AF272" t="s">
        <v>1684</v>
      </c>
      <c r="AG272">
        <v>0</v>
      </c>
      <c r="AH272">
        <v>0</v>
      </c>
      <c r="AI272">
        <v>0</v>
      </c>
      <c r="AJ272">
        <v>0</v>
      </c>
      <c r="AK272">
        <v>0</v>
      </c>
      <c r="AL272" t="s">
        <v>7360</v>
      </c>
      <c r="AM272">
        <v>0</v>
      </c>
      <c r="AN272" s="20">
        <v>44967</v>
      </c>
      <c r="AO272" s="20">
        <v>44967</v>
      </c>
      <c r="AP272" s="20">
        <v>44967</v>
      </c>
      <c r="AQ272">
        <v>0</v>
      </c>
      <c r="AR272">
        <v>0</v>
      </c>
      <c r="AS272">
        <v>0</v>
      </c>
      <c r="AT272">
        <v>0</v>
      </c>
      <c r="AU272">
        <v>0</v>
      </c>
      <c r="AV272" t="s">
        <v>7360</v>
      </c>
      <c r="AW272">
        <v>0</v>
      </c>
      <c r="AX272" t="s">
        <v>7360</v>
      </c>
      <c r="AY272" t="s">
        <v>7363</v>
      </c>
      <c r="BA272">
        <v>0</v>
      </c>
      <c r="BB272" s="20">
        <v>44967</v>
      </c>
      <c r="BC272">
        <v>0</v>
      </c>
      <c r="BD272" t="s">
        <v>7360</v>
      </c>
      <c r="BE272">
        <v>123</v>
      </c>
      <c r="BF272" s="20">
        <v>44967</v>
      </c>
      <c r="BG272">
        <v>0</v>
      </c>
      <c r="BH272" t="s">
        <v>7363</v>
      </c>
      <c r="BJ272" t="s">
        <v>7362</v>
      </c>
      <c r="BK272">
        <v>169</v>
      </c>
      <c r="BL272">
        <v>11</v>
      </c>
      <c r="BM272">
        <v>1</v>
      </c>
      <c r="BN272" t="s">
        <v>7364</v>
      </c>
      <c r="BO272">
        <v>0</v>
      </c>
      <c r="BP272">
        <v>0</v>
      </c>
      <c r="BQ272">
        <v>0</v>
      </c>
      <c r="BR272">
        <v>0</v>
      </c>
      <c r="BS272" t="s">
        <v>132</v>
      </c>
      <c r="BT272" t="s">
        <v>7360</v>
      </c>
      <c r="BU272" t="s">
        <v>7360</v>
      </c>
      <c r="BV272" t="s">
        <v>7360</v>
      </c>
      <c r="BX272" t="s">
        <v>7391</v>
      </c>
      <c r="BY272">
        <v>74</v>
      </c>
      <c r="BZ272" t="s">
        <v>7360</v>
      </c>
      <c r="CA272" t="s">
        <v>7360</v>
      </c>
      <c r="CB272">
        <v>5558210</v>
      </c>
      <c r="CC272" s="21">
        <v>44967.61478009259</v>
      </c>
      <c r="CE272" t="s">
        <v>7392</v>
      </c>
      <c r="CF272">
        <v>1100101</v>
      </c>
      <c r="CG272">
        <v>53575</v>
      </c>
      <c r="CH272">
        <v>53575</v>
      </c>
      <c r="CI272" s="21">
        <v>44967.617418981485</v>
      </c>
      <c r="CJ272" t="s">
        <v>7393</v>
      </c>
      <c r="CK272" t="s">
        <v>7393</v>
      </c>
      <c r="CL272" t="s">
        <v>7394</v>
      </c>
      <c r="CM272" t="s">
        <v>7394</v>
      </c>
      <c r="CS272" t="s">
        <v>7361</v>
      </c>
      <c r="CT272" t="s">
        <v>7362</v>
      </c>
      <c r="CU272" t="s">
        <v>7362</v>
      </c>
      <c r="CV272" t="s">
        <v>7362</v>
      </c>
      <c r="CW272" t="s">
        <v>7362</v>
      </c>
      <c r="CX272">
        <v>7200000</v>
      </c>
      <c r="DA272">
        <v>0</v>
      </c>
      <c r="DB272">
        <v>132003</v>
      </c>
    </row>
    <row r="273" spans="1:106" x14ac:dyDescent="0.3">
      <c r="A273">
        <v>1354</v>
      </c>
      <c r="B273" t="s">
        <v>7396</v>
      </c>
      <c r="C273">
        <v>298</v>
      </c>
      <c r="D273" s="20">
        <v>44967</v>
      </c>
      <c r="E273" t="s">
        <v>7356</v>
      </c>
      <c r="F273" t="s">
        <v>5924</v>
      </c>
      <c r="G273" t="s">
        <v>7370</v>
      </c>
      <c r="H273">
        <v>1</v>
      </c>
      <c r="I273" t="s">
        <v>7358</v>
      </c>
      <c r="J273">
        <v>1</v>
      </c>
      <c r="K273" s="20">
        <v>44967</v>
      </c>
      <c r="L273" s="23">
        <v>6500000</v>
      </c>
      <c r="M273" t="s">
        <v>7403</v>
      </c>
      <c r="N273" t="s">
        <v>7360</v>
      </c>
      <c r="O273">
        <v>0</v>
      </c>
      <c r="P273">
        <v>11892</v>
      </c>
      <c r="Q273">
        <v>132006</v>
      </c>
      <c r="R273">
        <v>0</v>
      </c>
      <c r="S273">
        <v>20230210</v>
      </c>
      <c r="T273">
        <v>0</v>
      </c>
      <c r="U273" t="s">
        <v>7361</v>
      </c>
      <c r="V273" t="s">
        <v>7360</v>
      </c>
      <c r="W273" t="s">
        <v>7360</v>
      </c>
      <c r="X273" t="s">
        <v>7360</v>
      </c>
      <c r="Y273" t="s">
        <v>7360</v>
      </c>
      <c r="Z273" t="s">
        <v>7360</v>
      </c>
      <c r="AA273" t="s">
        <v>7362</v>
      </c>
      <c r="AB273" t="s">
        <v>7360</v>
      </c>
      <c r="AC273" t="s">
        <v>7360</v>
      </c>
      <c r="AD273" t="s">
        <v>7360</v>
      </c>
      <c r="AE273" t="s">
        <v>7360</v>
      </c>
      <c r="AF273" t="s">
        <v>1684</v>
      </c>
      <c r="AG273">
        <v>0</v>
      </c>
      <c r="AH273">
        <v>0</v>
      </c>
      <c r="AI273">
        <v>0</v>
      </c>
      <c r="AJ273">
        <v>0</v>
      </c>
      <c r="AK273">
        <v>0</v>
      </c>
      <c r="AL273" t="s">
        <v>7360</v>
      </c>
      <c r="AM273">
        <v>0</v>
      </c>
      <c r="AN273" s="20">
        <v>44967</v>
      </c>
      <c r="AO273" s="20">
        <v>44967</v>
      </c>
      <c r="AP273" s="20">
        <v>44967</v>
      </c>
      <c r="AQ273">
        <v>0</v>
      </c>
      <c r="AR273">
        <v>0</v>
      </c>
      <c r="AS273">
        <v>0</v>
      </c>
      <c r="AT273">
        <v>0</v>
      </c>
      <c r="AU273">
        <v>0</v>
      </c>
      <c r="AV273" t="s">
        <v>7360</v>
      </c>
      <c r="AW273">
        <v>0</v>
      </c>
      <c r="AX273" t="s">
        <v>7360</v>
      </c>
      <c r="AY273" t="s">
        <v>7363</v>
      </c>
      <c r="BA273">
        <v>0</v>
      </c>
      <c r="BB273" s="20">
        <v>44967</v>
      </c>
      <c r="BC273">
        <v>0</v>
      </c>
      <c r="BD273" t="s">
        <v>7360</v>
      </c>
      <c r="BE273">
        <v>125</v>
      </c>
      <c r="BF273" s="20">
        <v>44967</v>
      </c>
      <c r="BG273">
        <v>0</v>
      </c>
      <c r="BH273" t="s">
        <v>7363</v>
      </c>
      <c r="BJ273" t="s">
        <v>7362</v>
      </c>
      <c r="BK273">
        <v>169</v>
      </c>
      <c r="BL273">
        <v>11</v>
      </c>
      <c r="BM273">
        <v>1</v>
      </c>
      <c r="BN273" t="s">
        <v>7364</v>
      </c>
      <c r="BO273">
        <v>0</v>
      </c>
      <c r="BP273">
        <v>0</v>
      </c>
      <c r="BQ273">
        <v>0</v>
      </c>
      <c r="BR273">
        <v>0</v>
      </c>
      <c r="BS273" t="s">
        <v>132</v>
      </c>
      <c r="BT273" t="s">
        <v>7360</v>
      </c>
      <c r="BU273" t="s">
        <v>7360</v>
      </c>
      <c r="BV273" t="s">
        <v>7360</v>
      </c>
      <c r="BX273" t="s">
        <v>7391</v>
      </c>
      <c r="BY273">
        <v>74</v>
      </c>
      <c r="BZ273" t="s">
        <v>7360</v>
      </c>
      <c r="CA273" t="s">
        <v>7360</v>
      </c>
      <c r="CB273">
        <v>5558210</v>
      </c>
      <c r="CC273" s="21">
        <v>44967.622881944444</v>
      </c>
      <c r="CE273" t="s">
        <v>7392</v>
      </c>
      <c r="CF273">
        <v>1100101</v>
      </c>
      <c r="CG273">
        <v>53575</v>
      </c>
      <c r="CH273">
        <v>53575</v>
      </c>
      <c r="CI273" s="21">
        <v>44967.624039351853</v>
      </c>
      <c r="CJ273" t="s">
        <v>7393</v>
      </c>
      <c r="CK273" t="s">
        <v>7393</v>
      </c>
      <c r="CL273" t="s">
        <v>7394</v>
      </c>
      <c r="CM273" t="s">
        <v>7394</v>
      </c>
      <c r="CS273" t="s">
        <v>7361</v>
      </c>
      <c r="CT273" t="s">
        <v>7362</v>
      </c>
      <c r="CU273" t="s">
        <v>7362</v>
      </c>
      <c r="CV273" t="s">
        <v>7362</v>
      </c>
      <c r="CW273" t="s">
        <v>7362</v>
      </c>
      <c r="CX273">
        <v>6500000</v>
      </c>
      <c r="DA273">
        <v>0</v>
      </c>
      <c r="DB273">
        <v>132006</v>
      </c>
    </row>
    <row r="274" spans="1:106" x14ac:dyDescent="0.3">
      <c r="A274">
        <v>1354</v>
      </c>
      <c r="B274" t="s">
        <v>7396</v>
      </c>
      <c r="C274">
        <v>299</v>
      </c>
      <c r="D274" s="20">
        <v>44967</v>
      </c>
      <c r="E274" t="s">
        <v>7356</v>
      </c>
      <c r="F274" t="s">
        <v>5929</v>
      </c>
      <c r="G274" t="s">
        <v>7370</v>
      </c>
      <c r="H274">
        <v>1</v>
      </c>
      <c r="I274" t="s">
        <v>7358</v>
      </c>
      <c r="J274">
        <v>1</v>
      </c>
      <c r="K274" s="20">
        <v>44967</v>
      </c>
      <c r="L274" s="23">
        <v>1800000</v>
      </c>
      <c r="M274" t="s">
        <v>7403</v>
      </c>
      <c r="N274" t="s">
        <v>7360</v>
      </c>
      <c r="O274">
        <v>0</v>
      </c>
      <c r="P274">
        <v>11890</v>
      </c>
      <c r="Q274">
        <v>132004</v>
      </c>
      <c r="R274">
        <v>0</v>
      </c>
      <c r="S274">
        <v>20230210</v>
      </c>
      <c r="T274">
        <v>0</v>
      </c>
      <c r="U274" t="s">
        <v>7361</v>
      </c>
      <c r="V274" t="s">
        <v>7360</v>
      </c>
      <c r="W274" t="s">
        <v>7360</v>
      </c>
      <c r="X274" t="s">
        <v>7360</v>
      </c>
      <c r="Y274" t="s">
        <v>7360</v>
      </c>
      <c r="Z274" t="s">
        <v>7360</v>
      </c>
      <c r="AA274" t="s">
        <v>7362</v>
      </c>
      <c r="AB274" t="s">
        <v>7360</v>
      </c>
      <c r="AC274" t="s">
        <v>7360</v>
      </c>
      <c r="AD274" t="s">
        <v>7360</v>
      </c>
      <c r="AE274" t="s">
        <v>7360</v>
      </c>
      <c r="AF274" t="s">
        <v>1684</v>
      </c>
      <c r="AG274">
        <v>0</v>
      </c>
      <c r="AH274">
        <v>0</v>
      </c>
      <c r="AI274">
        <v>0</v>
      </c>
      <c r="AJ274">
        <v>0</v>
      </c>
      <c r="AK274">
        <v>0</v>
      </c>
      <c r="AL274" t="s">
        <v>7360</v>
      </c>
      <c r="AM274">
        <v>0</v>
      </c>
      <c r="AN274" s="20">
        <v>44967</v>
      </c>
      <c r="AO274" s="20">
        <v>44967</v>
      </c>
      <c r="AP274" s="20">
        <v>44967</v>
      </c>
      <c r="AQ274">
        <v>0</v>
      </c>
      <c r="AR274">
        <v>0</v>
      </c>
      <c r="AS274">
        <v>0</v>
      </c>
      <c r="AT274">
        <v>0</v>
      </c>
      <c r="AU274">
        <v>0</v>
      </c>
      <c r="AV274" t="s">
        <v>7360</v>
      </c>
      <c r="AW274">
        <v>0</v>
      </c>
      <c r="AX274" t="s">
        <v>7360</v>
      </c>
      <c r="AY274" t="s">
        <v>7363</v>
      </c>
      <c r="BA274">
        <v>0</v>
      </c>
      <c r="BB274" s="20">
        <v>44967</v>
      </c>
      <c r="BC274">
        <v>0</v>
      </c>
      <c r="BD274" t="s">
        <v>7360</v>
      </c>
      <c r="BE274">
        <v>120</v>
      </c>
      <c r="BF274" s="20">
        <v>44967</v>
      </c>
      <c r="BG274">
        <v>0</v>
      </c>
      <c r="BH274" t="s">
        <v>7363</v>
      </c>
      <c r="BJ274" t="s">
        <v>7362</v>
      </c>
      <c r="BK274">
        <v>169</v>
      </c>
      <c r="BL274">
        <v>11</v>
      </c>
      <c r="BM274">
        <v>1</v>
      </c>
      <c r="BN274" t="s">
        <v>7364</v>
      </c>
      <c r="BO274">
        <v>0</v>
      </c>
      <c r="BP274">
        <v>0</v>
      </c>
      <c r="BQ274">
        <v>0</v>
      </c>
      <c r="BR274">
        <v>0</v>
      </c>
      <c r="BS274" t="s">
        <v>132</v>
      </c>
      <c r="BT274" t="s">
        <v>7360</v>
      </c>
      <c r="BU274" t="s">
        <v>7360</v>
      </c>
      <c r="BV274" t="s">
        <v>7360</v>
      </c>
      <c r="BX274" t="s">
        <v>7391</v>
      </c>
      <c r="BY274">
        <v>74</v>
      </c>
      <c r="BZ274" t="s">
        <v>7360</v>
      </c>
      <c r="CA274" t="s">
        <v>7360</v>
      </c>
      <c r="CB274">
        <v>5558210</v>
      </c>
      <c r="CC274" s="21">
        <v>44967.628437500003</v>
      </c>
      <c r="CE274" t="s">
        <v>7392</v>
      </c>
      <c r="CF274">
        <v>1100101</v>
      </c>
      <c r="CG274">
        <v>53575</v>
      </c>
      <c r="CH274">
        <v>53575</v>
      </c>
      <c r="CI274" s="21">
        <v>44967.630428240744</v>
      </c>
      <c r="CJ274" t="s">
        <v>7393</v>
      </c>
      <c r="CK274" t="s">
        <v>7393</v>
      </c>
      <c r="CL274" t="s">
        <v>7394</v>
      </c>
      <c r="CM274" t="s">
        <v>7394</v>
      </c>
      <c r="CS274" t="s">
        <v>7361</v>
      </c>
      <c r="CT274" t="s">
        <v>7362</v>
      </c>
      <c r="CU274" t="s">
        <v>7362</v>
      </c>
      <c r="CV274" t="s">
        <v>7362</v>
      </c>
      <c r="CW274" t="s">
        <v>7362</v>
      </c>
      <c r="CX274">
        <v>1800000</v>
      </c>
      <c r="DA274">
        <v>0</v>
      </c>
      <c r="DB274">
        <v>132004</v>
      </c>
    </row>
    <row r="275" spans="1:106" x14ac:dyDescent="0.3">
      <c r="A275">
        <v>1356</v>
      </c>
      <c r="B275" t="s">
        <v>7402</v>
      </c>
      <c r="C275">
        <v>796</v>
      </c>
      <c r="D275" s="20">
        <v>45012</v>
      </c>
      <c r="E275" t="s">
        <v>7372</v>
      </c>
      <c r="F275" t="s">
        <v>5934</v>
      </c>
      <c r="G275" t="s">
        <v>7377</v>
      </c>
      <c r="H275">
        <v>1</v>
      </c>
      <c r="I275" t="s">
        <v>7358</v>
      </c>
      <c r="J275">
        <v>1</v>
      </c>
      <c r="K275" s="20">
        <v>45012</v>
      </c>
      <c r="L275" s="23">
        <v>20230000</v>
      </c>
      <c r="M275" t="s">
        <v>7403</v>
      </c>
      <c r="N275" t="s">
        <v>7360</v>
      </c>
      <c r="O275">
        <v>0</v>
      </c>
      <c r="P275">
        <v>13319</v>
      </c>
      <c r="Q275">
        <v>142003</v>
      </c>
      <c r="R275">
        <v>0</v>
      </c>
      <c r="S275">
        <v>20230327</v>
      </c>
      <c r="T275">
        <v>0</v>
      </c>
      <c r="U275" t="s">
        <v>7362</v>
      </c>
      <c r="V275" t="s">
        <v>7360</v>
      </c>
      <c r="W275" t="s">
        <v>7360</v>
      </c>
      <c r="X275" t="s">
        <v>7360</v>
      </c>
      <c r="Y275" t="s">
        <v>7360</v>
      </c>
      <c r="Z275" t="s">
        <v>7360</v>
      </c>
      <c r="AA275" t="s">
        <v>7362</v>
      </c>
      <c r="AB275" t="s">
        <v>7360</v>
      </c>
      <c r="AC275" t="s">
        <v>7360</v>
      </c>
      <c r="AD275" t="s">
        <v>7360</v>
      </c>
      <c r="AE275" t="s">
        <v>7360</v>
      </c>
      <c r="AF275" t="s">
        <v>1684</v>
      </c>
      <c r="AG275">
        <v>0</v>
      </c>
      <c r="AH275">
        <v>0</v>
      </c>
      <c r="AI275">
        <v>0</v>
      </c>
      <c r="AJ275">
        <v>0</v>
      </c>
      <c r="AK275">
        <v>0</v>
      </c>
      <c r="AL275" t="s">
        <v>7360</v>
      </c>
      <c r="AM275">
        <v>0</v>
      </c>
      <c r="AN275" s="20">
        <v>45012</v>
      </c>
      <c r="AO275" s="20">
        <v>45012</v>
      </c>
      <c r="AP275" s="20">
        <v>45012</v>
      </c>
      <c r="AQ275">
        <v>0</v>
      </c>
      <c r="AR275">
        <v>0</v>
      </c>
      <c r="AS275">
        <v>0</v>
      </c>
      <c r="AT275">
        <v>0</v>
      </c>
      <c r="AU275">
        <v>0</v>
      </c>
      <c r="AV275" t="s">
        <v>7360</v>
      </c>
      <c r="AW275">
        <v>0</v>
      </c>
      <c r="AX275" t="s">
        <v>7360</v>
      </c>
      <c r="AY275" t="s">
        <v>7362</v>
      </c>
      <c r="BA275">
        <v>0</v>
      </c>
      <c r="BB275" s="20">
        <v>45012</v>
      </c>
      <c r="BC275">
        <v>0</v>
      </c>
      <c r="BD275" t="s">
        <v>7360</v>
      </c>
      <c r="BE275">
        <v>161</v>
      </c>
      <c r="BF275" s="20">
        <v>45012</v>
      </c>
      <c r="BG275">
        <v>0</v>
      </c>
      <c r="BH275" t="s">
        <v>1729</v>
      </c>
      <c r="BJ275" t="s">
        <v>7362</v>
      </c>
      <c r="BK275">
        <v>169</v>
      </c>
      <c r="BL275">
        <v>11</v>
      </c>
      <c r="BM275">
        <v>1</v>
      </c>
      <c r="BN275" t="s">
        <v>7364</v>
      </c>
      <c r="BO275">
        <v>0</v>
      </c>
      <c r="BP275">
        <v>0</v>
      </c>
      <c r="BQ275">
        <v>0</v>
      </c>
      <c r="BR275">
        <v>0</v>
      </c>
      <c r="BS275" t="s">
        <v>132</v>
      </c>
      <c r="BT275" t="s">
        <v>7360</v>
      </c>
      <c r="BU275" t="s">
        <v>7360</v>
      </c>
      <c r="BV275" t="s">
        <v>7360</v>
      </c>
      <c r="BX275" t="s">
        <v>7391</v>
      </c>
      <c r="BY275">
        <v>74</v>
      </c>
      <c r="BZ275" t="s">
        <v>7360</v>
      </c>
      <c r="CA275" t="s">
        <v>7360</v>
      </c>
      <c r="CB275">
        <v>5558210</v>
      </c>
      <c r="CC275" s="21">
        <v>44979.365659722222</v>
      </c>
      <c r="CE275" t="s">
        <v>7392</v>
      </c>
      <c r="CF275">
        <v>1100101</v>
      </c>
      <c r="CG275">
        <v>53575</v>
      </c>
      <c r="CH275">
        <v>53575</v>
      </c>
      <c r="CI275" s="21">
        <v>44979.377060185187</v>
      </c>
      <c r="CJ275" t="s">
        <v>7393</v>
      </c>
      <c r="CK275" t="s">
        <v>7393</v>
      </c>
      <c r="CL275" t="s">
        <v>7394</v>
      </c>
      <c r="CM275" t="s">
        <v>7394</v>
      </c>
      <c r="CS275" t="s">
        <v>7361</v>
      </c>
      <c r="CT275" t="s">
        <v>7362</v>
      </c>
      <c r="CU275" t="s">
        <v>7362</v>
      </c>
      <c r="CV275" t="s">
        <v>7362</v>
      </c>
      <c r="CW275" t="s">
        <v>7362</v>
      </c>
      <c r="CX275">
        <v>24574526</v>
      </c>
      <c r="DA275">
        <v>0</v>
      </c>
    </row>
    <row r="276" spans="1:106" x14ac:dyDescent="0.3">
      <c r="A276">
        <v>1354</v>
      </c>
      <c r="B276" t="s">
        <v>7396</v>
      </c>
      <c r="C276">
        <v>301</v>
      </c>
      <c r="D276" s="20">
        <v>44967</v>
      </c>
      <c r="E276" t="s">
        <v>7356</v>
      </c>
      <c r="F276" t="s">
        <v>5940</v>
      </c>
      <c r="G276" t="s">
        <v>7370</v>
      </c>
      <c r="H276">
        <v>1</v>
      </c>
      <c r="I276" t="s">
        <v>7358</v>
      </c>
      <c r="J276">
        <v>1</v>
      </c>
      <c r="K276" s="20">
        <v>44970</v>
      </c>
      <c r="L276" s="23">
        <v>1950000</v>
      </c>
      <c r="M276" t="s">
        <v>7359</v>
      </c>
      <c r="N276" t="s">
        <v>7360</v>
      </c>
      <c r="O276">
        <v>0</v>
      </c>
      <c r="P276">
        <v>12230</v>
      </c>
      <c r="Q276">
        <v>422020</v>
      </c>
      <c r="R276">
        <v>0</v>
      </c>
      <c r="S276">
        <v>20230210</v>
      </c>
      <c r="T276">
        <v>0</v>
      </c>
      <c r="U276" t="s">
        <v>7361</v>
      </c>
      <c r="V276" t="s">
        <v>7360</v>
      </c>
      <c r="W276" t="s">
        <v>7360</v>
      </c>
      <c r="X276" t="s">
        <v>7360</v>
      </c>
      <c r="Y276" t="s">
        <v>7360</v>
      </c>
      <c r="Z276" t="s">
        <v>7360</v>
      </c>
      <c r="AA276" t="s">
        <v>7362</v>
      </c>
      <c r="AB276" t="s">
        <v>7360</v>
      </c>
      <c r="AC276" t="s">
        <v>7360</v>
      </c>
      <c r="AD276" t="s">
        <v>7360</v>
      </c>
      <c r="AE276" t="s">
        <v>7360</v>
      </c>
      <c r="AF276" t="s">
        <v>1684</v>
      </c>
      <c r="AG276">
        <v>0</v>
      </c>
      <c r="AH276">
        <v>0</v>
      </c>
      <c r="AI276">
        <v>0</v>
      </c>
      <c r="AJ276">
        <v>0</v>
      </c>
      <c r="AK276">
        <v>0</v>
      </c>
      <c r="AL276" t="s">
        <v>7360</v>
      </c>
      <c r="AM276">
        <v>0</v>
      </c>
      <c r="AN276" s="20">
        <v>44970</v>
      </c>
      <c r="AO276" s="20">
        <v>44970</v>
      </c>
      <c r="AP276" s="20">
        <v>44970</v>
      </c>
      <c r="AQ276">
        <v>0</v>
      </c>
      <c r="AR276">
        <v>0</v>
      </c>
      <c r="AS276">
        <v>0</v>
      </c>
      <c r="AT276">
        <v>0</v>
      </c>
      <c r="AU276">
        <v>0</v>
      </c>
      <c r="AV276" t="s">
        <v>7360</v>
      </c>
      <c r="AW276">
        <v>0</v>
      </c>
      <c r="AX276" t="s">
        <v>7360</v>
      </c>
      <c r="AY276" t="s">
        <v>7363</v>
      </c>
      <c r="BA276">
        <v>0</v>
      </c>
      <c r="BB276" s="20">
        <v>44970</v>
      </c>
      <c r="BC276">
        <v>0</v>
      </c>
      <c r="BD276" t="s">
        <v>7360</v>
      </c>
      <c r="BF276" s="20">
        <v>44970</v>
      </c>
      <c r="BG276">
        <v>0</v>
      </c>
      <c r="BH276" t="s">
        <v>7363</v>
      </c>
      <c r="BJ276" t="s">
        <v>7362</v>
      </c>
      <c r="BK276">
        <v>169</v>
      </c>
      <c r="BL276">
        <v>11</v>
      </c>
      <c r="BM276">
        <v>1</v>
      </c>
      <c r="BN276" t="s">
        <v>7364</v>
      </c>
      <c r="BO276">
        <v>169</v>
      </c>
      <c r="BP276">
        <v>11</v>
      </c>
      <c r="BQ276">
        <v>1</v>
      </c>
      <c r="BR276" t="s">
        <v>7364</v>
      </c>
      <c r="BS276" t="s">
        <v>132</v>
      </c>
      <c r="BT276" t="s">
        <v>7360</v>
      </c>
      <c r="BU276" t="s">
        <v>7360</v>
      </c>
      <c r="BV276" t="s">
        <v>7360</v>
      </c>
      <c r="BX276" t="s">
        <v>7391</v>
      </c>
      <c r="BY276">
        <v>74</v>
      </c>
      <c r="BZ276" t="s">
        <v>7360</v>
      </c>
      <c r="CA276" t="s">
        <v>7360</v>
      </c>
      <c r="CB276">
        <v>5558210</v>
      </c>
      <c r="CC276" s="21">
        <v>44970.496481481481</v>
      </c>
      <c r="CE276" t="s">
        <v>7392</v>
      </c>
      <c r="CF276">
        <v>1100101</v>
      </c>
      <c r="CG276">
        <v>53575</v>
      </c>
      <c r="CH276">
        <v>53575</v>
      </c>
      <c r="CI276" s="21">
        <v>44970.49800925926</v>
      </c>
      <c r="CJ276" t="s">
        <v>7393</v>
      </c>
      <c r="CK276" t="s">
        <v>7393</v>
      </c>
      <c r="CL276" t="s">
        <v>7394</v>
      </c>
      <c r="CM276" t="s">
        <v>7394</v>
      </c>
      <c r="CS276" t="s">
        <v>7361</v>
      </c>
      <c r="CT276" t="s">
        <v>7362</v>
      </c>
      <c r="CU276" t="s">
        <v>7362</v>
      </c>
      <c r="CV276" t="s">
        <v>7362</v>
      </c>
      <c r="CW276" t="s">
        <v>7362</v>
      </c>
      <c r="CX276">
        <v>1950000</v>
      </c>
      <c r="DA276">
        <v>0</v>
      </c>
    </row>
    <row r="277" spans="1:106" x14ac:dyDescent="0.3">
      <c r="A277">
        <v>1354</v>
      </c>
      <c r="B277" t="s">
        <v>7396</v>
      </c>
      <c r="C277">
        <v>302</v>
      </c>
      <c r="D277" s="20">
        <v>44967</v>
      </c>
      <c r="E277" t="s">
        <v>7356</v>
      </c>
      <c r="F277" t="s">
        <v>5945</v>
      </c>
      <c r="G277" t="s">
        <v>7370</v>
      </c>
      <c r="H277">
        <v>1</v>
      </c>
      <c r="I277" t="s">
        <v>7358</v>
      </c>
      <c r="J277">
        <v>1</v>
      </c>
      <c r="K277" s="20">
        <v>44970</v>
      </c>
      <c r="L277" s="23">
        <v>3600000</v>
      </c>
      <c r="M277" t="s">
        <v>7359</v>
      </c>
      <c r="N277" t="s">
        <v>7360</v>
      </c>
      <c r="O277">
        <v>0</v>
      </c>
      <c r="P277">
        <v>12236</v>
      </c>
      <c r="Q277">
        <v>422022</v>
      </c>
      <c r="R277">
        <v>0</v>
      </c>
      <c r="S277">
        <v>20230210</v>
      </c>
      <c r="T277">
        <v>0</v>
      </c>
      <c r="U277" t="s">
        <v>7361</v>
      </c>
      <c r="V277" t="s">
        <v>7360</v>
      </c>
      <c r="W277" t="s">
        <v>7360</v>
      </c>
      <c r="X277" t="s">
        <v>7360</v>
      </c>
      <c r="Y277" t="s">
        <v>7360</v>
      </c>
      <c r="Z277" t="s">
        <v>7360</v>
      </c>
      <c r="AA277" t="s">
        <v>7362</v>
      </c>
      <c r="AB277" t="s">
        <v>7360</v>
      </c>
      <c r="AC277" t="s">
        <v>7360</v>
      </c>
      <c r="AD277" t="s">
        <v>7360</v>
      </c>
      <c r="AE277" t="s">
        <v>7360</v>
      </c>
      <c r="AF277" t="s">
        <v>1684</v>
      </c>
      <c r="AG277">
        <v>0</v>
      </c>
      <c r="AH277">
        <v>0</v>
      </c>
      <c r="AI277">
        <v>0</v>
      </c>
      <c r="AJ277">
        <v>0</v>
      </c>
      <c r="AK277">
        <v>0</v>
      </c>
      <c r="AL277" t="s">
        <v>7360</v>
      </c>
      <c r="AM277">
        <v>0</v>
      </c>
      <c r="AN277" s="20">
        <v>44970</v>
      </c>
      <c r="AO277" s="20">
        <v>44970</v>
      </c>
      <c r="AP277" s="20">
        <v>44970</v>
      </c>
      <c r="AQ277">
        <v>0</v>
      </c>
      <c r="AR277">
        <v>0</v>
      </c>
      <c r="AS277">
        <v>0</v>
      </c>
      <c r="AT277">
        <v>0</v>
      </c>
      <c r="AU277">
        <v>0</v>
      </c>
      <c r="AV277" t="s">
        <v>7360</v>
      </c>
      <c r="AW277">
        <v>0</v>
      </c>
      <c r="AX277" t="s">
        <v>7360</v>
      </c>
      <c r="AY277" t="s">
        <v>7363</v>
      </c>
      <c r="BA277">
        <v>0</v>
      </c>
      <c r="BB277" s="20">
        <v>44970</v>
      </c>
      <c r="BC277">
        <v>0</v>
      </c>
      <c r="BD277" t="s">
        <v>7360</v>
      </c>
      <c r="BF277" s="20">
        <v>44970</v>
      </c>
      <c r="BG277">
        <v>0</v>
      </c>
      <c r="BH277" t="s">
        <v>7363</v>
      </c>
      <c r="BJ277" t="s">
        <v>7362</v>
      </c>
      <c r="BK277">
        <v>169</v>
      </c>
      <c r="BL277">
        <v>11</v>
      </c>
      <c r="BM277">
        <v>1</v>
      </c>
      <c r="BN277" t="s">
        <v>7364</v>
      </c>
      <c r="BO277">
        <v>169</v>
      </c>
      <c r="BP277">
        <v>11</v>
      </c>
      <c r="BQ277">
        <v>1</v>
      </c>
      <c r="BR277" t="s">
        <v>7364</v>
      </c>
      <c r="BS277" t="s">
        <v>132</v>
      </c>
      <c r="BT277" t="s">
        <v>7360</v>
      </c>
      <c r="BU277" t="s">
        <v>7360</v>
      </c>
      <c r="BV277" t="s">
        <v>7360</v>
      </c>
      <c r="BX277" t="s">
        <v>7391</v>
      </c>
      <c r="BY277">
        <v>74</v>
      </c>
      <c r="BZ277" t="s">
        <v>7360</v>
      </c>
      <c r="CA277" t="s">
        <v>7360</v>
      </c>
      <c r="CB277">
        <v>5558210</v>
      </c>
      <c r="CC277" s="21">
        <v>44970.503831018519</v>
      </c>
      <c r="CE277" t="s">
        <v>7392</v>
      </c>
      <c r="CF277">
        <v>1100101</v>
      </c>
      <c r="CG277">
        <v>53575</v>
      </c>
      <c r="CH277">
        <v>53575</v>
      </c>
      <c r="CI277" s="21">
        <v>44970.50513888889</v>
      </c>
      <c r="CJ277" t="s">
        <v>7393</v>
      </c>
      <c r="CK277" t="s">
        <v>7393</v>
      </c>
      <c r="CL277" t="s">
        <v>7394</v>
      </c>
      <c r="CM277" t="s">
        <v>7394</v>
      </c>
      <c r="CS277" t="s">
        <v>7361</v>
      </c>
      <c r="CT277" t="s">
        <v>7362</v>
      </c>
      <c r="CU277" t="s">
        <v>7362</v>
      </c>
      <c r="CV277" t="s">
        <v>7362</v>
      </c>
      <c r="CW277" t="s">
        <v>7362</v>
      </c>
      <c r="CX277">
        <v>3600000</v>
      </c>
      <c r="DA277">
        <v>0</v>
      </c>
    </row>
    <row r="278" spans="1:106" x14ac:dyDescent="0.3">
      <c r="A278">
        <v>1354</v>
      </c>
      <c r="B278" t="s">
        <v>7396</v>
      </c>
      <c r="C278">
        <v>303</v>
      </c>
      <c r="D278" s="20">
        <v>44967</v>
      </c>
      <c r="E278" t="s">
        <v>7356</v>
      </c>
      <c r="F278" t="s">
        <v>5950</v>
      </c>
      <c r="G278" t="s">
        <v>7370</v>
      </c>
      <c r="H278">
        <v>1</v>
      </c>
      <c r="I278" t="s">
        <v>7358</v>
      </c>
      <c r="J278">
        <v>1</v>
      </c>
      <c r="K278" s="20">
        <v>44970</v>
      </c>
      <c r="L278" s="23">
        <v>2600000</v>
      </c>
      <c r="M278" t="s">
        <v>7359</v>
      </c>
      <c r="N278" t="s">
        <v>7360</v>
      </c>
      <c r="O278">
        <v>0</v>
      </c>
      <c r="P278">
        <v>12238</v>
      </c>
      <c r="Q278">
        <v>422024</v>
      </c>
      <c r="R278">
        <v>0</v>
      </c>
      <c r="S278">
        <v>20230210</v>
      </c>
      <c r="T278">
        <v>0</v>
      </c>
      <c r="U278" t="s">
        <v>7361</v>
      </c>
      <c r="V278" t="s">
        <v>7360</v>
      </c>
      <c r="W278" t="s">
        <v>7360</v>
      </c>
      <c r="X278" t="s">
        <v>7360</v>
      </c>
      <c r="Y278" t="s">
        <v>7360</v>
      </c>
      <c r="Z278" t="s">
        <v>7360</v>
      </c>
      <c r="AA278" t="s">
        <v>7362</v>
      </c>
      <c r="AB278" t="s">
        <v>7360</v>
      </c>
      <c r="AC278" t="s">
        <v>7360</v>
      </c>
      <c r="AD278" t="s">
        <v>7360</v>
      </c>
      <c r="AE278" t="s">
        <v>7360</v>
      </c>
      <c r="AF278" t="s">
        <v>1684</v>
      </c>
      <c r="AG278">
        <v>0</v>
      </c>
      <c r="AH278">
        <v>0</v>
      </c>
      <c r="AI278">
        <v>0</v>
      </c>
      <c r="AJ278">
        <v>0</v>
      </c>
      <c r="AK278">
        <v>0</v>
      </c>
      <c r="AL278" t="s">
        <v>7360</v>
      </c>
      <c r="AM278">
        <v>0</v>
      </c>
      <c r="AN278" s="20">
        <v>44970</v>
      </c>
      <c r="AO278" s="20">
        <v>44970</v>
      </c>
      <c r="AP278" s="20">
        <v>44970</v>
      </c>
      <c r="AQ278">
        <v>0</v>
      </c>
      <c r="AR278">
        <v>0</v>
      </c>
      <c r="AS278">
        <v>0</v>
      </c>
      <c r="AT278">
        <v>0</v>
      </c>
      <c r="AU278">
        <v>0</v>
      </c>
      <c r="AV278" t="s">
        <v>7360</v>
      </c>
      <c r="AW278">
        <v>0</v>
      </c>
      <c r="AX278" t="s">
        <v>7360</v>
      </c>
      <c r="AY278" t="s">
        <v>7363</v>
      </c>
      <c r="BA278">
        <v>0</v>
      </c>
      <c r="BB278" s="20">
        <v>44970</v>
      </c>
      <c r="BC278">
        <v>0</v>
      </c>
      <c r="BD278" t="s">
        <v>7360</v>
      </c>
      <c r="BF278" s="20">
        <v>44970</v>
      </c>
      <c r="BG278">
        <v>0</v>
      </c>
      <c r="BH278" t="s">
        <v>7363</v>
      </c>
      <c r="BJ278" t="s">
        <v>7362</v>
      </c>
      <c r="BK278">
        <v>169</v>
      </c>
      <c r="BL278">
        <v>11</v>
      </c>
      <c r="BM278">
        <v>1</v>
      </c>
      <c r="BN278" t="s">
        <v>7364</v>
      </c>
      <c r="BO278">
        <v>169</v>
      </c>
      <c r="BP278">
        <v>11</v>
      </c>
      <c r="BQ278">
        <v>1</v>
      </c>
      <c r="BR278" t="s">
        <v>7364</v>
      </c>
      <c r="BS278" t="s">
        <v>132</v>
      </c>
      <c r="BT278" t="s">
        <v>7360</v>
      </c>
      <c r="BU278" t="s">
        <v>7360</v>
      </c>
      <c r="BV278" t="s">
        <v>7360</v>
      </c>
      <c r="BX278" t="s">
        <v>7391</v>
      </c>
      <c r="BY278">
        <v>74</v>
      </c>
      <c r="BZ278" t="s">
        <v>7360</v>
      </c>
      <c r="CA278" t="s">
        <v>7360</v>
      </c>
      <c r="CB278" t="s">
        <v>7360</v>
      </c>
      <c r="CC278" s="21">
        <v>44970.509756944448</v>
      </c>
      <c r="CE278" t="s">
        <v>7392</v>
      </c>
      <c r="CF278">
        <v>1100101</v>
      </c>
      <c r="CG278">
        <v>53575</v>
      </c>
      <c r="CH278">
        <v>53575</v>
      </c>
      <c r="CI278" s="21">
        <v>44970.514039351852</v>
      </c>
      <c r="CJ278" t="s">
        <v>7393</v>
      </c>
      <c r="CK278" t="s">
        <v>7393</v>
      </c>
      <c r="CL278" t="s">
        <v>7394</v>
      </c>
      <c r="CM278" t="s">
        <v>7394</v>
      </c>
      <c r="CS278" t="s">
        <v>7361</v>
      </c>
      <c r="CT278" t="s">
        <v>7362</v>
      </c>
      <c r="CU278" t="s">
        <v>7362</v>
      </c>
      <c r="CV278" t="s">
        <v>7362</v>
      </c>
      <c r="CW278" t="s">
        <v>7362</v>
      </c>
      <c r="CX278">
        <v>2600000</v>
      </c>
      <c r="DA278">
        <v>0</v>
      </c>
    </row>
    <row r="279" spans="1:106" x14ac:dyDescent="0.3">
      <c r="A279">
        <v>1354</v>
      </c>
      <c r="B279" t="s">
        <v>7396</v>
      </c>
      <c r="C279">
        <v>304</v>
      </c>
      <c r="D279" s="20">
        <v>44967</v>
      </c>
      <c r="E279" t="s">
        <v>7372</v>
      </c>
      <c r="F279" t="s">
        <v>5956</v>
      </c>
      <c r="G279" t="s">
        <v>7370</v>
      </c>
      <c r="H279">
        <v>1</v>
      </c>
      <c r="I279" t="s">
        <v>7358</v>
      </c>
      <c r="J279">
        <v>1</v>
      </c>
      <c r="K279" s="20">
        <v>44970</v>
      </c>
      <c r="L279" s="23">
        <v>1350000</v>
      </c>
      <c r="M279" t="s">
        <v>7359</v>
      </c>
      <c r="N279" t="s">
        <v>7360</v>
      </c>
      <c r="O279">
        <v>0</v>
      </c>
      <c r="P279">
        <v>12203</v>
      </c>
      <c r="Q279">
        <v>422009</v>
      </c>
      <c r="R279">
        <v>0</v>
      </c>
      <c r="S279">
        <v>20230210</v>
      </c>
      <c r="T279">
        <v>0</v>
      </c>
      <c r="U279" t="s">
        <v>7362</v>
      </c>
      <c r="V279" t="s">
        <v>7360</v>
      </c>
      <c r="W279" t="s">
        <v>7360</v>
      </c>
      <c r="X279" t="s">
        <v>7360</v>
      </c>
      <c r="Y279" t="s">
        <v>7360</v>
      </c>
      <c r="Z279" t="s">
        <v>7360</v>
      </c>
      <c r="AA279" t="s">
        <v>7362</v>
      </c>
      <c r="AB279" t="s">
        <v>7360</v>
      </c>
      <c r="AC279" t="s">
        <v>7360</v>
      </c>
      <c r="AD279" t="s">
        <v>7360</v>
      </c>
      <c r="AE279" t="s">
        <v>7360</v>
      </c>
      <c r="AF279" t="s">
        <v>1684</v>
      </c>
      <c r="AG279">
        <v>0</v>
      </c>
      <c r="AH279">
        <v>0</v>
      </c>
      <c r="AI279">
        <v>0</v>
      </c>
      <c r="AJ279">
        <v>0</v>
      </c>
      <c r="AK279">
        <v>0</v>
      </c>
      <c r="AL279" t="s">
        <v>7360</v>
      </c>
      <c r="AM279">
        <v>0</v>
      </c>
      <c r="AN279" s="20">
        <v>44970</v>
      </c>
      <c r="AO279" s="20">
        <v>44970</v>
      </c>
      <c r="AP279" s="20">
        <v>44970</v>
      </c>
      <c r="AQ279">
        <v>0</v>
      </c>
      <c r="AR279">
        <v>0</v>
      </c>
      <c r="AS279">
        <v>0</v>
      </c>
      <c r="AT279">
        <v>0</v>
      </c>
      <c r="AU279">
        <v>0</v>
      </c>
      <c r="AV279" t="s">
        <v>7360</v>
      </c>
      <c r="AW279">
        <v>0</v>
      </c>
      <c r="AX279" t="s">
        <v>7360</v>
      </c>
      <c r="AY279" t="s">
        <v>7362</v>
      </c>
      <c r="BA279">
        <v>0</v>
      </c>
      <c r="BB279" s="20">
        <v>44970</v>
      </c>
      <c r="BC279">
        <v>0</v>
      </c>
      <c r="BD279" t="s">
        <v>7360</v>
      </c>
      <c r="BF279" s="20">
        <v>44970</v>
      </c>
      <c r="BG279">
        <v>0</v>
      </c>
      <c r="BH279" t="s">
        <v>7363</v>
      </c>
      <c r="BJ279" t="s">
        <v>7362</v>
      </c>
      <c r="BK279">
        <v>169</v>
      </c>
      <c r="BL279">
        <v>11</v>
      </c>
      <c r="BM279">
        <v>1</v>
      </c>
      <c r="BN279" t="s">
        <v>7364</v>
      </c>
      <c r="BO279">
        <v>0</v>
      </c>
      <c r="BP279">
        <v>0</v>
      </c>
      <c r="BQ279">
        <v>0</v>
      </c>
      <c r="BR279">
        <v>0</v>
      </c>
      <c r="BS279" t="s">
        <v>132</v>
      </c>
      <c r="BT279" t="s">
        <v>7360</v>
      </c>
      <c r="BU279" t="s">
        <v>7360</v>
      </c>
      <c r="BV279" t="s">
        <v>7360</v>
      </c>
      <c r="BX279" t="s">
        <v>7391</v>
      </c>
      <c r="BY279">
        <v>74</v>
      </c>
      <c r="BZ279" t="s">
        <v>7360</v>
      </c>
      <c r="CA279" t="s">
        <v>7360</v>
      </c>
      <c r="CB279" t="s">
        <v>7360</v>
      </c>
      <c r="CC279" s="20">
        <v>44967</v>
      </c>
      <c r="CE279" t="s">
        <v>7392</v>
      </c>
      <c r="CF279">
        <v>1100101</v>
      </c>
      <c r="CG279">
        <v>53575</v>
      </c>
      <c r="CH279">
        <v>53575</v>
      </c>
      <c r="CI279" s="21">
        <v>44970.522280092591</v>
      </c>
      <c r="CJ279" t="s">
        <v>7393</v>
      </c>
      <c r="CK279" t="s">
        <v>7393</v>
      </c>
      <c r="CL279" t="s">
        <v>7394</v>
      </c>
      <c r="CM279" t="s">
        <v>7394</v>
      </c>
      <c r="CS279" t="s">
        <v>7361</v>
      </c>
      <c r="CT279" t="s">
        <v>7362</v>
      </c>
      <c r="CU279" t="s">
        <v>7362</v>
      </c>
      <c r="CV279" t="s">
        <v>7362</v>
      </c>
      <c r="CW279" t="s">
        <v>7362</v>
      </c>
      <c r="CX279">
        <v>1350000</v>
      </c>
      <c r="DA279">
        <v>0</v>
      </c>
    </row>
    <row r="280" spans="1:106" x14ac:dyDescent="0.3">
      <c r="A280">
        <v>1354</v>
      </c>
      <c r="B280" t="s">
        <v>7396</v>
      </c>
      <c r="C280">
        <v>305</v>
      </c>
      <c r="D280" s="20">
        <v>44967</v>
      </c>
      <c r="E280" t="s">
        <v>7356</v>
      </c>
      <c r="F280" t="s">
        <v>5961</v>
      </c>
      <c r="G280" t="s">
        <v>7370</v>
      </c>
      <c r="H280">
        <v>1</v>
      </c>
      <c r="I280" t="s">
        <v>7358</v>
      </c>
      <c r="J280">
        <v>1</v>
      </c>
      <c r="K280" s="20">
        <v>44970</v>
      </c>
      <c r="L280" s="23">
        <v>1350000</v>
      </c>
      <c r="M280" t="s">
        <v>7359</v>
      </c>
      <c r="N280" t="s">
        <v>7360</v>
      </c>
      <c r="O280">
        <v>0</v>
      </c>
      <c r="P280">
        <v>12221</v>
      </c>
      <c r="Q280">
        <v>422011</v>
      </c>
      <c r="R280">
        <v>0</v>
      </c>
      <c r="S280">
        <v>20230210</v>
      </c>
      <c r="T280">
        <v>0</v>
      </c>
      <c r="U280" t="s">
        <v>7361</v>
      </c>
      <c r="V280" t="s">
        <v>7360</v>
      </c>
      <c r="W280" t="s">
        <v>7360</v>
      </c>
      <c r="X280" t="s">
        <v>7360</v>
      </c>
      <c r="Y280" t="s">
        <v>7360</v>
      </c>
      <c r="Z280" t="s">
        <v>7360</v>
      </c>
      <c r="AA280" t="s">
        <v>7362</v>
      </c>
      <c r="AB280" t="s">
        <v>7360</v>
      </c>
      <c r="AC280" t="s">
        <v>7360</v>
      </c>
      <c r="AD280" t="s">
        <v>7360</v>
      </c>
      <c r="AE280" t="s">
        <v>7360</v>
      </c>
      <c r="AF280" t="s">
        <v>1684</v>
      </c>
      <c r="AG280">
        <v>0</v>
      </c>
      <c r="AH280">
        <v>0</v>
      </c>
      <c r="AI280">
        <v>0</v>
      </c>
      <c r="AJ280">
        <v>0</v>
      </c>
      <c r="AK280">
        <v>0</v>
      </c>
      <c r="AL280" t="s">
        <v>7360</v>
      </c>
      <c r="AM280">
        <v>0</v>
      </c>
      <c r="AN280" s="20">
        <v>44970</v>
      </c>
      <c r="AO280" s="20">
        <v>44970</v>
      </c>
      <c r="AP280" s="20">
        <v>44970</v>
      </c>
      <c r="AQ280">
        <v>0</v>
      </c>
      <c r="AR280">
        <v>0</v>
      </c>
      <c r="AS280">
        <v>0</v>
      </c>
      <c r="AT280">
        <v>0</v>
      </c>
      <c r="AU280">
        <v>0</v>
      </c>
      <c r="AV280" t="s">
        <v>7360</v>
      </c>
      <c r="AW280">
        <v>0</v>
      </c>
      <c r="AX280" t="s">
        <v>7360</v>
      </c>
      <c r="AY280" t="s">
        <v>7363</v>
      </c>
      <c r="BA280">
        <v>0</v>
      </c>
      <c r="BB280" s="20">
        <v>44970</v>
      </c>
      <c r="BC280">
        <v>0</v>
      </c>
      <c r="BD280" t="s">
        <v>7360</v>
      </c>
      <c r="BF280" s="20">
        <v>44970</v>
      </c>
      <c r="BG280">
        <v>0</v>
      </c>
      <c r="BH280" t="s">
        <v>7363</v>
      </c>
      <c r="BJ280" t="s">
        <v>7362</v>
      </c>
      <c r="BK280">
        <v>169</v>
      </c>
      <c r="BL280">
        <v>11</v>
      </c>
      <c r="BM280">
        <v>1</v>
      </c>
      <c r="BN280" t="s">
        <v>7364</v>
      </c>
      <c r="BO280">
        <v>0</v>
      </c>
      <c r="BP280">
        <v>0</v>
      </c>
      <c r="BQ280">
        <v>0</v>
      </c>
      <c r="BR280">
        <v>0</v>
      </c>
      <c r="BS280" t="s">
        <v>132</v>
      </c>
      <c r="BT280" t="s">
        <v>7360</v>
      </c>
      <c r="BU280" t="s">
        <v>7360</v>
      </c>
      <c r="BV280" t="s">
        <v>7360</v>
      </c>
      <c r="BX280" t="s">
        <v>7391</v>
      </c>
      <c r="BY280">
        <v>74</v>
      </c>
      <c r="BZ280" t="s">
        <v>7360</v>
      </c>
      <c r="CA280" t="s">
        <v>7360</v>
      </c>
      <c r="CB280" t="s">
        <v>7360</v>
      </c>
      <c r="CC280" s="21">
        <v>44970.525891203702</v>
      </c>
      <c r="CE280" t="s">
        <v>7392</v>
      </c>
      <c r="CF280">
        <v>1100101</v>
      </c>
      <c r="CG280">
        <v>53575</v>
      </c>
      <c r="CH280">
        <v>53575</v>
      </c>
      <c r="CI280" s="21">
        <v>44970.528067129628</v>
      </c>
      <c r="CJ280" t="s">
        <v>7393</v>
      </c>
      <c r="CK280" t="s">
        <v>7393</v>
      </c>
      <c r="CL280" t="s">
        <v>7394</v>
      </c>
      <c r="CM280" t="s">
        <v>7394</v>
      </c>
      <c r="CS280" t="s">
        <v>7361</v>
      </c>
      <c r="CT280" t="s">
        <v>7362</v>
      </c>
      <c r="CU280" t="s">
        <v>7362</v>
      </c>
      <c r="CV280" t="s">
        <v>7362</v>
      </c>
      <c r="CW280" t="s">
        <v>7362</v>
      </c>
      <c r="CX280">
        <v>1350000</v>
      </c>
      <c r="DA280">
        <v>0</v>
      </c>
    </row>
    <row r="281" spans="1:106" x14ac:dyDescent="0.3">
      <c r="A281">
        <v>1366</v>
      </c>
      <c r="B281" t="s">
        <v>7380</v>
      </c>
      <c r="C281">
        <v>306</v>
      </c>
      <c r="D281" s="20">
        <v>44967</v>
      </c>
      <c r="E281" t="s">
        <v>7356</v>
      </c>
      <c r="F281" t="s">
        <v>5966</v>
      </c>
      <c r="G281" t="s">
        <v>7357</v>
      </c>
      <c r="H281">
        <v>1</v>
      </c>
      <c r="I281" t="s">
        <v>7358</v>
      </c>
      <c r="J281">
        <v>1</v>
      </c>
      <c r="K281" s="20">
        <v>44970</v>
      </c>
      <c r="L281" s="23">
        <v>364527</v>
      </c>
      <c r="M281" t="s">
        <v>7359</v>
      </c>
      <c r="N281" t="s">
        <v>7360</v>
      </c>
      <c r="O281">
        <v>0</v>
      </c>
      <c r="P281">
        <v>12181</v>
      </c>
      <c r="Q281">
        <v>421006</v>
      </c>
      <c r="R281">
        <v>0</v>
      </c>
      <c r="S281">
        <v>20230210</v>
      </c>
      <c r="T281">
        <v>0</v>
      </c>
      <c r="U281" t="s">
        <v>7361</v>
      </c>
      <c r="V281" t="s">
        <v>7360</v>
      </c>
      <c r="W281" t="s">
        <v>7360</v>
      </c>
      <c r="X281" t="s">
        <v>7360</v>
      </c>
      <c r="Y281" t="s">
        <v>7360</v>
      </c>
      <c r="Z281" t="s">
        <v>7360</v>
      </c>
      <c r="AA281" t="s">
        <v>7362</v>
      </c>
      <c r="AB281" t="s">
        <v>7360</v>
      </c>
      <c r="AC281" t="s">
        <v>7360</v>
      </c>
      <c r="AD281" t="s">
        <v>7360</v>
      </c>
      <c r="AE281" t="s">
        <v>7360</v>
      </c>
      <c r="AF281" t="s">
        <v>1684</v>
      </c>
      <c r="AG281">
        <v>0</v>
      </c>
      <c r="AH281">
        <v>0</v>
      </c>
      <c r="AI281">
        <v>0</v>
      </c>
      <c r="AJ281">
        <v>0</v>
      </c>
      <c r="AK281">
        <v>0</v>
      </c>
      <c r="AL281" t="s">
        <v>7360</v>
      </c>
      <c r="AM281">
        <v>0</v>
      </c>
      <c r="AN281" s="20">
        <v>44970</v>
      </c>
      <c r="AO281" s="20">
        <v>44970</v>
      </c>
      <c r="AP281" s="20">
        <v>44970</v>
      </c>
      <c r="AQ281">
        <v>0</v>
      </c>
      <c r="AR281">
        <v>0</v>
      </c>
      <c r="AS281">
        <v>0</v>
      </c>
      <c r="AT281">
        <v>0</v>
      </c>
      <c r="AU281">
        <v>0</v>
      </c>
      <c r="AV281" t="s">
        <v>7360</v>
      </c>
      <c r="AW281">
        <v>0</v>
      </c>
      <c r="AX281" t="s">
        <v>7360</v>
      </c>
      <c r="AY281" t="s">
        <v>7363</v>
      </c>
      <c r="BA281">
        <v>0</v>
      </c>
      <c r="BB281" s="20">
        <v>44970</v>
      </c>
      <c r="BC281">
        <v>0</v>
      </c>
      <c r="BD281" t="s">
        <v>7360</v>
      </c>
      <c r="BF281" s="20">
        <v>44970</v>
      </c>
      <c r="BG281">
        <v>0</v>
      </c>
      <c r="BH281" t="s">
        <v>7363</v>
      </c>
      <c r="BJ281" t="s">
        <v>7362</v>
      </c>
      <c r="BK281">
        <v>169</v>
      </c>
      <c r="BL281">
        <v>11</v>
      </c>
      <c r="BM281">
        <v>1</v>
      </c>
      <c r="BN281" t="s">
        <v>7364</v>
      </c>
      <c r="BO281">
        <v>0</v>
      </c>
      <c r="BP281">
        <v>0</v>
      </c>
      <c r="BQ281">
        <v>0</v>
      </c>
      <c r="BR281">
        <v>0</v>
      </c>
      <c r="BS281" t="s">
        <v>7387</v>
      </c>
      <c r="BT281" t="s">
        <v>7360</v>
      </c>
      <c r="BU281" t="s">
        <v>7360</v>
      </c>
      <c r="BV281" t="s">
        <v>7360</v>
      </c>
      <c r="BX281" t="s">
        <v>7391</v>
      </c>
      <c r="BY281">
        <v>74</v>
      </c>
      <c r="BZ281" t="s">
        <v>7360</v>
      </c>
      <c r="CA281" t="s">
        <v>7360</v>
      </c>
      <c r="CC281" s="21">
        <v>44970.593043981484</v>
      </c>
      <c r="CE281" t="s">
        <v>7392</v>
      </c>
      <c r="CF281">
        <v>1100101</v>
      </c>
      <c r="CG281">
        <v>53575</v>
      </c>
      <c r="CH281">
        <v>53575</v>
      </c>
      <c r="CI281" s="21">
        <v>44970.594166666669</v>
      </c>
      <c r="CJ281" t="s">
        <v>7393</v>
      </c>
      <c r="CK281" t="s">
        <v>7393</v>
      </c>
      <c r="CL281" t="s">
        <v>7394</v>
      </c>
      <c r="CM281" t="s">
        <v>7394</v>
      </c>
      <c r="CS281" t="s">
        <v>7361</v>
      </c>
      <c r="CT281" t="s">
        <v>7362</v>
      </c>
      <c r="CU281" t="s">
        <v>7362</v>
      </c>
      <c r="CV281" t="s">
        <v>7362</v>
      </c>
      <c r="CW281" t="s">
        <v>7362</v>
      </c>
      <c r="CX281">
        <v>364527</v>
      </c>
      <c r="DA281">
        <v>0</v>
      </c>
    </row>
    <row r="282" spans="1:106" x14ac:dyDescent="0.3">
      <c r="A282">
        <v>1371</v>
      </c>
      <c r="B282" t="s">
        <v>7389</v>
      </c>
      <c r="C282">
        <v>307</v>
      </c>
      <c r="D282" s="20">
        <v>44970</v>
      </c>
      <c r="E282" t="s">
        <v>7356</v>
      </c>
      <c r="F282" t="s">
        <v>5972</v>
      </c>
      <c r="G282" t="s">
        <v>7357</v>
      </c>
      <c r="H282">
        <v>1</v>
      </c>
      <c r="I282" t="s">
        <v>7358</v>
      </c>
      <c r="J282">
        <v>1</v>
      </c>
      <c r="K282" s="20">
        <v>44970</v>
      </c>
      <c r="L282" s="23">
        <v>157464</v>
      </c>
      <c r="M282" t="s">
        <v>7359</v>
      </c>
      <c r="N282" t="s">
        <v>7360</v>
      </c>
      <c r="O282">
        <v>0</v>
      </c>
      <c r="P282">
        <v>12151</v>
      </c>
      <c r="Q282">
        <v>420018</v>
      </c>
      <c r="R282">
        <v>0</v>
      </c>
      <c r="S282">
        <v>20230213</v>
      </c>
      <c r="T282">
        <v>0</v>
      </c>
      <c r="U282" t="s">
        <v>7361</v>
      </c>
      <c r="V282" t="s">
        <v>7360</v>
      </c>
      <c r="W282" t="s">
        <v>7360</v>
      </c>
      <c r="X282" t="s">
        <v>7360</v>
      </c>
      <c r="Y282" t="s">
        <v>7360</v>
      </c>
      <c r="Z282" t="s">
        <v>7360</v>
      </c>
      <c r="AA282" t="s">
        <v>7362</v>
      </c>
      <c r="AB282" t="s">
        <v>7360</v>
      </c>
      <c r="AC282" t="s">
        <v>7360</v>
      </c>
      <c r="AD282" t="s">
        <v>7360</v>
      </c>
      <c r="AE282" t="s">
        <v>7360</v>
      </c>
      <c r="AF282" t="s">
        <v>1684</v>
      </c>
      <c r="AG282">
        <v>0</v>
      </c>
      <c r="AH282">
        <v>0</v>
      </c>
      <c r="AI282">
        <v>0</v>
      </c>
      <c r="AJ282">
        <v>0</v>
      </c>
      <c r="AK282">
        <v>0</v>
      </c>
      <c r="AL282" t="s">
        <v>7360</v>
      </c>
      <c r="AM282">
        <v>0</v>
      </c>
      <c r="AN282" s="20">
        <v>44970</v>
      </c>
      <c r="AO282" s="20">
        <v>44970</v>
      </c>
      <c r="AP282" s="20">
        <v>44970</v>
      </c>
      <c r="AQ282">
        <v>0</v>
      </c>
      <c r="AR282">
        <v>0</v>
      </c>
      <c r="AS282">
        <v>0</v>
      </c>
      <c r="AT282">
        <v>0</v>
      </c>
      <c r="AU282">
        <v>0</v>
      </c>
      <c r="AV282" t="s">
        <v>7360</v>
      </c>
      <c r="AW282">
        <v>0</v>
      </c>
      <c r="AX282" t="s">
        <v>7360</v>
      </c>
      <c r="AY282" t="s">
        <v>7363</v>
      </c>
      <c r="BA282">
        <v>0</v>
      </c>
      <c r="BB282" s="20">
        <v>44970</v>
      </c>
      <c r="BC282">
        <v>0</v>
      </c>
      <c r="BD282" t="s">
        <v>7360</v>
      </c>
      <c r="BF282" s="20">
        <v>44970</v>
      </c>
      <c r="BG282">
        <v>0</v>
      </c>
      <c r="BH282" t="s">
        <v>7363</v>
      </c>
      <c r="BJ282" t="s">
        <v>7362</v>
      </c>
      <c r="BK282">
        <v>169</v>
      </c>
      <c r="BL282">
        <v>11</v>
      </c>
      <c r="BM282">
        <v>1</v>
      </c>
      <c r="BN282" t="s">
        <v>7364</v>
      </c>
      <c r="BO282">
        <v>0</v>
      </c>
      <c r="BP282">
        <v>0</v>
      </c>
      <c r="BQ282">
        <v>0</v>
      </c>
      <c r="BR282">
        <v>0</v>
      </c>
      <c r="BS282" t="s">
        <v>7427</v>
      </c>
      <c r="BT282" t="s">
        <v>7360</v>
      </c>
      <c r="BU282" t="s">
        <v>7360</v>
      </c>
      <c r="BV282" t="s">
        <v>7360</v>
      </c>
      <c r="BX282" t="s">
        <v>7391</v>
      </c>
      <c r="BY282">
        <v>74</v>
      </c>
      <c r="BZ282" t="s">
        <v>7360</v>
      </c>
      <c r="CA282" t="s">
        <v>7360</v>
      </c>
      <c r="CB282">
        <v>5558210</v>
      </c>
      <c r="CC282" s="21">
        <v>44970.607928240737</v>
      </c>
      <c r="CE282" t="s">
        <v>7392</v>
      </c>
      <c r="CF282">
        <v>1100101</v>
      </c>
      <c r="CG282">
        <v>53575</v>
      </c>
      <c r="CH282">
        <v>53575</v>
      </c>
      <c r="CI282" s="21">
        <v>44970.608819444446</v>
      </c>
      <c r="CJ282" t="s">
        <v>7393</v>
      </c>
      <c r="CK282" t="s">
        <v>7393</v>
      </c>
      <c r="CL282" t="s">
        <v>7394</v>
      </c>
      <c r="CM282" t="s">
        <v>7394</v>
      </c>
      <c r="CS282" t="s">
        <v>7361</v>
      </c>
      <c r="CT282" t="s">
        <v>7362</v>
      </c>
      <c r="CU282" t="s">
        <v>7362</v>
      </c>
      <c r="CV282" t="s">
        <v>7362</v>
      </c>
      <c r="CW282" t="s">
        <v>7362</v>
      </c>
      <c r="CX282">
        <v>157464</v>
      </c>
      <c r="DA282">
        <v>0</v>
      </c>
    </row>
    <row r="283" spans="1:106" x14ac:dyDescent="0.3">
      <c r="A283">
        <v>1373</v>
      </c>
      <c r="B283" t="s">
        <v>7383</v>
      </c>
      <c r="C283">
        <v>308</v>
      </c>
      <c r="D283" s="20">
        <v>44970</v>
      </c>
      <c r="E283" t="s">
        <v>7356</v>
      </c>
      <c r="F283" t="s">
        <v>5977</v>
      </c>
      <c r="G283" t="s">
        <v>7357</v>
      </c>
      <c r="H283">
        <v>1</v>
      </c>
      <c r="I283" t="s">
        <v>7358</v>
      </c>
      <c r="J283">
        <v>1</v>
      </c>
      <c r="K283" s="20">
        <v>44970</v>
      </c>
      <c r="L283" s="23">
        <v>825763</v>
      </c>
      <c r="M283" t="s">
        <v>7359</v>
      </c>
      <c r="N283" t="s">
        <v>7360</v>
      </c>
      <c r="O283">
        <v>0</v>
      </c>
      <c r="P283">
        <v>12283</v>
      </c>
      <c r="Q283">
        <v>432006</v>
      </c>
      <c r="R283">
        <v>0</v>
      </c>
      <c r="S283">
        <v>20230213</v>
      </c>
      <c r="T283">
        <v>0</v>
      </c>
      <c r="U283" t="s">
        <v>7361</v>
      </c>
      <c r="V283" t="s">
        <v>7360</v>
      </c>
      <c r="W283" t="s">
        <v>7360</v>
      </c>
      <c r="X283" t="s">
        <v>7360</v>
      </c>
      <c r="Y283" t="s">
        <v>7360</v>
      </c>
      <c r="Z283" t="s">
        <v>7360</v>
      </c>
      <c r="AA283" t="s">
        <v>7362</v>
      </c>
      <c r="AB283" t="s">
        <v>7360</v>
      </c>
      <c r="AC283" t="s">
        <v>7360</v>
      </c>
      <c r="AD283" t="s">
        <v>7360</v>
      </c>
      <c r="AE283" t="s">
        <v>7360</v>
      </c>
      <c r="AF283" t="s">
        <v>1684</v>
      </c>
      <c r="AG283">
        <v>0</v>
      </c>
      <c r="AH283">
        <v>0</v>
      </c>
      <c r="AI283">
        <v>0</v>
      </c>
      <c r="AJ283">
        <v>0</v>
      </c>
      <c r="AK283">
        <v>0</v>
      </c>
      <c r="AL283" t="s">
        <v>7360</v>
      </c>
      <c r="AM283">
        <v>0</v>
      </c>
      <c r="AN283" s="20">
        <v>44970</v>
      </c>
      <c r="AO283" s="20">
        <v>44970</v>
      </c>
      <c r="AP283" s="20">
        <v>44970</v>
      </c>
      <c r="AQ283">
        <v>0</v>
      </c>
      <c r="AR283">
        <v>0</v>
      </c>
      <c r="AS283">
        <v>0</v>
      </c>
      <c r="AT283">
        <v>0</v>
      </c>
      <c r="AU283">
        <v>0</v>
      </c>
      <c r="AV283" t="s">
        <v>7360</v>
      </c>
      <c r="AW283">
        <v>0</v>
      </c>
      <c r="AX283" t="s">
        <v>7360</v>
      </c>
      <c r="AY283" t="s">
        <v>7363</v>
      </c>
      <c r="BA283">
        <v>0</v>
      </c>
      <c r="BB283" s="20">
        <v>44970</v>
      </c>
      <c r="BC283">
        <v>0</v>
      </c>
      <c r="BD283" t="s">
        <v>7360</v>
      </c>
      <c r="BF283" s="20">
        <v>44970</v>
      </c>
      <c r="BG283">
        <v>0</v>
      </c>
      <c r="BH283" t="s">
        <v>7363</v>
      </c>
      <c r="BJ283" t="s">
        <v>7362</v>
      </c>
      <c r="BK283">
        <v>0</v>
      </c>
      <c r="BL283">
        <v>0</v>
      </c>
      <c r="BM283">
        <v>0</v>
      </c>
      <c r="BN283">
        <v>0</v>
      </c>
      <c r="BO283">
        <v>169</v>
      </c>
      <c r="BP283">
        <v>11</v>
      </c>
      <c r="BQ283">
        <v>1</v>
      </c>
      <c r="BR283" t="s">
        <v>7364</v>
      </c>
      <c r="BS283" t="s">
        <v>7365</v>
      </c>
      <c r="BT283" t="s">
        <v>7360</v>
      </c>
      <c r="BU283" t="s">
        <v>7360</v>
      </c>
      <c r="BV283" t="s">
        <v>7360</v>
      </c>
      <c r="BX283">
        <v>0</v>
      </c>
      <c r="BY283">
        <v>0</v>
      </c>
      <c r="BZ283" t="s">
        <v>7360</v>
      </c>
      <c r="CA283" t="s">
        <v>7360</v>
      </c>
      <c r="CB283">
        <v>3380666</v>
      </c>
      <c r="CC283" s="21">
        <v>44970.611712962964</v>
      </c>
      <c r="CE283" t="s">
        <v>7366</v>
      </c>
      <c r="CF283">
        <v>0</v>
      </c>
      <c r="CG283">
        <v>702002</v>
      </c>
      <c r="CH283">
        <v>702002</v>
      </c>
      <c r="CI283" s="21">
        <v>44976.499918981484</v>
      </c>
      <c r="CJ283" t="s">
        <v>7367</v>
      </c>
      <c r="CK283" t="s">
        <v>7367</v>
      </c>
      <c r="CL283" t="s">
        <v>7368</v>
      </c>
      <c r="CM283" t="s">
        <v>7368</v>
      </c>
      <c r="CS283" t="s">
        <v>7361</v>
      </c>
      <c r="CT283" t="s">
        <v>7362</v>
      </c>
      <c r="CU283" t="s">
        <v>7362</v>
      </c>
      <c r="CV283" t="s">
        <v>7362</v>
      </c>
      <c r="CW283" t="s">
        <v>7362</v>
      </c>
      <c r="CX283">
        <v>825763</v>
      </c>
      <c r="DA283">
        <v>0</v>
      </c>
    </row>
    <row r="284" spans="1:106" x14ac:dyDescent="0.3">
      <c r="A284">
        <v>1357</v>
      </c>
      <c r="B284" t="s">
        <v>7405</v>
      </c>
      <c r="C284">
        <v>102</v>
      </c>
      <c r="D284" s="20">
        <v>44952</v>
      </c>
      <c r="E284" t="s">
        <v>7356</v>
      </c>
      <c r="F284" t="s">
        <v>5918</v>
      </c>
      <c r="G284" t="s">
        <v>7357</v>
      </c>
      <c r="H284">
        <v>1</v>
      </c>
      <c r="I284" t="s">
        <v>7358</v>
      </c>
      <c r="J284">
        <v>1</v>
      </c>
      <c r="K284" s="20">
        <v>44952</v>
      </c>
      <c r="L284" s="23">
        <v>20349000</v>
      </c>
      <c r="M284" t="s">
        <v>7359</v>
      </c>
      <c r="N284" t="s">
        <v>7360</v>
      </c>
      <c r="O284">
        <v>0</v>
      </c>
      <c r="P284">
        <v>11846</v>
      </c>
      <c r="Q284">
        <v>416022</v>
      </c>
      <c r="R284">
        <v>0</v>
      </c>
      <c r="S284">
        <v>20230126</v>
      </c>
      <c r="T284">
        <v>0</v>
      </c>
      <c r="U284" t="s">
        <v>7361</v>
      </c>
      <c r="V284" t="s">
        <v>7360</v>
      </c>
      <c r="W284" t="s">
        <v>7360</v>
      </c>
      <c r="X284" t="s">
        <v>7360</v>
      </c>
      <c r="Y284" t="s">
        <v>7360</v>
      </c>
      <c r="Z284" t="s">
        <v>7360</v>
      </c>
      <c r="AA284" t="s">
        <v>7362</v>
      </c>
      <c r="AB284" t="s">
        <v>7360</v>
      </c>
      <c r="AC284" t="s">
        <v>7360</v>
      </c>
      <c r="AD284" t="s">
        <v>7360</v>
      </c>
      <c r="AE284" t="s">
        <v>7360</v>
      </c>
      <c r="AF284" t="s">
        <v>1684</v>
      </c>
      <c r="AG284">
        <v>0</v>
      </c>
      <c r="AH284">
        <v>0</v>
      </c>
      <c r="AI284">
        <v>0</v>
      </c>
      <c r="AJ284">
        <v>0</v>
      </c>
      <c r="AK284">
        <v>0</v>
      </c>
      <c r="AL284" t="s">
        <v>7360</v>
      </c>
      <c r="AM284">
        <v>0</v>
      </c>
      <c r="AN284" s="20">
        <v>44952</v>
      </c>
      <c r="AO284" s="20">
        <v>44952</v>
      </c>
      <c r="AP284" s="20">
        <v>44952</v>
      </c>
      <c r="AQ284">
        <v>0</v>
      </c>
      <c r="AR284">
        <v>0</v>
      </c>
      <c r="AS284">
        <v>0</v>
      </c>
      <c r="AT284">
        <v>0</v>
      </c>
      <c r="AU284">
        <v>0</v>
      </c>
      <c r="AV284" t="s">
        <v>7360</v>
      </c>
      <c r="AW284">
        <v>0</v>
      </c>
      <c r="AX284" t="s">
        <v>7360</v>
      </c>
      <c r="AY284" t="s">
        <v>7363</v>
      </c>
      <c r="BA284">
        <v>0</v>
      </c>
      <c r="BB284" s="20">
        <v>44952</v>
      </c>
      <c r="BC284">
        <v>0</v>
      </c>
      <c r="BD284" t="s">
        <v>7360</v>
      </c>
      <c r="BF284" s="20">
        <v>44952</v>
      </c>
      <c r="BG284">
        <v>0</v>
      </c>
      <c r="BH284" t="s">
        <v>1684</v>
      </c>
      <c r="BJ284" t="s">
        <v>7362</v>
      </c>
      <c r="BK284">
        <v>0</v>
      </c>
      <c r="BL284">
        <v>0</v>
      </c>
      <c r="BM284">
        <v>0</v>
      </c>
      <c r="BN284">
        <v>0</v>
      </c>
      <c r="BO284">
        <v>169</v>
      </c>
      <c r="BP284">
        <v>11</v>
      </c>
      <c r="BQ284">
        <v>1</v>
      </c>
      <c r="BR284" t="s">
        <v>7364</v>
      </c>
      <c r="BS284" t="s">
        <v>7386</v>
      </c>
      <c r="BT284" t="s">
        <v>7360</v>
      </c>
      <c r="BU284" t="s">
        <v>7360</v>
      </c>
      <c r="BV284" t="s">
        <v>7360</v>
      </c>
      <c r="BX284">
        <v>0</v>
      </c>
      <c r="BY284">
        <v>0</v>
      </c>
      <c r="BZ284" t="s">
        <v>7360</v>
      </c>
      <c r="CA284" t="s">
        <v>7360</v>
      </c>
      <c r="CB284">
        <v>3380666</v>
      </c>
      <c r="CC284" s="21">
        <v>44979.522789351853</v>
      </c>
      <c r="CE284" t="s">
        <v>7366</v>
      </c>
      <c r="CF284">
        <v>0</v>
      </c>
      <c r="CG284">
        <v>702002</v>
      </c>
      <c r="CH284">
        <v>702002</v>
      </c>
      <c r="CI284" s="21">
        <v>44980.349340277775</v>
      </c>
      <c r="CJ284" t="s">
        <v>7367</v>
      </c>
      <c r="CK284" t="s">
        <v>7367</v>
      </c>
      <c r="CL284" t="s">
        <v>7368</v>
      </c>
      <c r="CM284" t="s">
        <v>7368</v>
      </c>
      <c r="CS284" t="s">
        <v>7361</v>
      </c>
      <c r="CT284" t="s">
        <v>7362</v>
      </c>
      <c r="CU284" t="s">
        <v>7362</v>
      </c>
      <c r="CV284" t="s">
        <v>7362</v>
      </c>
      <c r="CW284" t="s">
        <v>7362</v>
      </c>
      <c r="CX284">
        <v>23215738</v>
      </c>
      <c r="DA284">
        <v>0</v>
      </c>
      <c r="DB284">
        <v>134010</v>
      </c>
    </row>
    <row r="285" spans="1:106" x14ac:dyDescent="0.3">
      <c r="A285">
        <v>1359</v>
      </c>
      <c r="B285" t="s">
        <v>7425</v>
      </c>
      <c r="C285">
        <v>154</v>
      </c>
      <c r="D285" s="20">
        <v>44952</v>
      </c>
      <c r="E285" t="s">
        <v>7356</v>
      </c>
      <c r="F285" t="s">
        <v>5924</v>
      </c>
      <c r="G285" t="s">
        <v>7357</v>
      </c>
      <c r="H285">
        <v>1</v>
      </c>
      <c r="I285" t="s">
        <v>7358</v>
      </c>
      <c r="J285">
        <v>1</v>
      </c>
      <c r="K285" s="20">
        <v>44952</v>
      </c>
      <c r="L285" s="23">
        <v>20505067</v>
      </c>
      <c r="M285" t="s">
        <v>7359</v>
      </c>
      <c r="N285" t="s">
        <v>7360</v>
      </c>
      <c r="O285">
        <v>0</v>
      </c>
      <c r="P285">
        <v>11900</v>
      </c>
      <c r="Q285">
        <v>416063</v>
      </c>
      <c r="R285">
        <v>0</v>
      </c>
      <c r="S285">
        <v>20230126</v>
      </c>
      <c r="T285">
        <v>0</v>
      </c>
      <c r="U285" t="s">
        <v>7361</v>
      </c>
      <c r="V285" t="s">
        <v>7360</v>
      </c>
      <c r="W285" t="s">
        <v>7360</v>
      </c>
      <c r="X285" t="s">
        <v>7360</v>
      </c>
      <c r="Y285" t="s">
        <v>7360</v>
      </c>
      <c r="Z285" t="s">
        <v>7360</v>
      </c>
      <c r="AA285" t="s">
        <v>7362</v>
      </c>
      <c r="AB285" t="s">
        <v>7360</v>
      </c>
      <c r="AC285" t="s">
        <v>7360</v>
      </c>
      <c r="AD285" t="s">
        <v>7360</v>
      </c>
      <c r="AE285" t="s">
        <v>7360</v>
      </c>
      <c r="AF285" t="s">
        <v>1684</v>
      </c>
      <c r="AG285">
        <v>0</v>
      </c>
      <c r="AH285">
        <v>0</v>
      </c>
      <c r="AI285">
        <v>0</v>
      </c>
      <c r="AJ285">
        <v>0</v>
      </c>
      <c r="AK285">
        <v>0</v>
      </c>
      <c r="AL285" t="s">
        <v>7360</v>
      </c>
      <c r="AM285">
        <v>0</v>
      </c>
      <c r="AN285" s="20">
        <v>44952</v>
      </c>
      <c r="AO285" s="20">
        <v>44952</v>
      </c>
      <c r="AP285" s="20">
        <v>44952</v>
      </c>
      <c r="AQ285">
        <v>0</v>
      </c>
      <c r="AR285">
        <v>0</v>
      </c>
      <c r="AS285">
        <v>0</v>
      </c>
      <c r="AT285">
        <v>0</v>
      </c>
      <c r="AU285">
        <v>0</v>
      </c>
      <c r="AV285" t="s">
        <v>7360</v>
      </c>
      <c r="AW285">
        <v>0</v>
      </c>
      <c r="AX285" t="s">
        <v>7360</v>
      </c>
      <c r="AY285" t="s">
        <v>7363</v>
      </c>
      <c r="BA285">
        <v>0</v>
      </c>
      <c r="BB285" s="20">
        <v>44952</v>
      </c>
      <c r="BC285">
        <v>0</v>
      </c>
      <c r="BD285" t="s">
        <v>7360</v>
      </c>
      <c r="BF285" s="20">
        <v>44952</v>
      </c>
      <c r="BG285">
        <v>0</v>
      </c>
      <c r="BH285" t="s">
        <v>7363</v>
      </c>
      <c r="BJ285" t="s">
        <v>7362</v>
      </c>
      <c r="BK285">
        <v>169</v>
      </c>
      <c r="BL285">
        <v>11</v>
      </c>
      <c r="BM285">
        <v>1</v>
      </c>
      <c r="BN285" t="s">
        <v>7364</v>
      </c>
      <c r="BO285">
        <v>0</v>
      </c>
      <c r="BP285">
        <v>0</v>
      </c>
      <c r="BQ285">
        <v>0</v>
      </c>
      <c r="BR285">
        <v>0</v>
      </c>
      <c r="BS285" t="s">
        <v>7404</v>
      </c>
      <c r="BT285" t="s">
        <v>7360</v>
      </c>
      <c r="BU285" t="s">
        <v>7360</v>
      </c>
      <c r="BV285" t="s">
        <v>7360</v>
      </c>
      <c r="BX285" t="s">
        <v>7391</v>
      </c>
      <c r="BY285">
        <v>74</v>
      </c>
      <c r="BZ285" t="s">
        <v>7360</v>
      </c>
      <c r="CA285" t="s">
        <v>7360</v>
      </c>
      <c r="CC285" s="21">
        <v>44979.651608796295</v>
      </c>
      <c r="CE285" t="s">
        <v>7392</v>
      </c>
      <c r="CF285">
        <v>1100101</v>
      </c>
      <c r="CG285">
        <v>53575</v>
      </c>
      <c r="CH285">
        <v>53575</v>
      </c>
      <c r="CI285" s="21">
        <v>44979.653148148151</v>
      </c>
      <c r="CJ285" t="s">
        <v>7393</v>
      </c>
      <c r="CK285" t="s">
        <v>7393</v>
      </c>
      <c r="CL285" t="s">
        <v>7394</v>
      </c>
      <c r="CM285" t="s">
        <v>7394</v>
      </c>
      <c r="CS285" t="s">
        <v>7361</v>
      </c>
      <c r="CT285" t="s">
        <v>7362</v>
      </c>
      <c r="CU285" t="s">
        <v>7362</v>
      </c>
      <c r="CV285" t="s">
        <v>7362</v>
      </c>
      <c r="CW285" t="s">
        <v>7362</v>
      </c>
      <c r="CX285">
        <v>16356681</v>
      </c>
      <c r="DA285">
        <v>0</v>
      </c>
      <c r="DB285">
        <v>134009</v>
      </c>
    </row>
    <row r="286" spans="1:106" x14ac:dyDescent="0.3">
      <c r="A286">
        <v>1362</v>
      </c>
      <c r="B286" t="s">
        <v>7371</v>
      </c>
      <c r="C286">
        <v>311</v>
      </c>
      <c r="D286" s="20">
        <v>44992</v>
      </c>
      <c r="E286" t="s">
        <v>7397</v>
      </c>
      <c r="F286" t="s">
        <v>5929</v>
      </c>
      <c r="G286" t="s">
        <v>7357</v>
      </c>
      <c r="H286">
        <v>1</v>
      </c>
      <c r="I286" t="s">
        <v>7358</v>
      </c>
      <c r="J286">
        <v>1</v>
      </c>
      <c r="K286" s="20">
        <v>44970</v>
      </c>
      <c r="L286" s="23">
        <v>6854711</v>
      </c>
      <c r="M286" t="s">
        <v>7398</v>
      </c>
      <c r="N286" t="s">
        <v>7360</v>
      </c>
      <c r="O286">
        <v>0</v>
      </c>
      <c r="P286">
        <v>12188</v>
      </c>
      <c r="R286">
        <v>0</v>
      </c>
      <c r="S286">
        <v>20230307</v>
      </c>
      <c r="T286">
        <v>0</v>
      </c>
      <c r="U286" t="s">
        <v>7362</v>
      </c>
      <c r="V286" t="s">
        <v>7360</v>
      </c>
      <c r="W286" t="s">
        <v>7360</v>
      </c>
      <c r="X286" t="s">
        <v>7360</v>
      </c>
      <c r="Y286" t="s">
        <v>7360</v>
      </c>
      <c r="Z286" t="s">
        <v>7360</v>
      </c>
      <c r="AA286" t="s">
        <v>1684</v>
      </c>
      <c r="AB286" t="s">
        <v>7360</v>
      </c>
      <c r="AC286" t="s">
        <v>7360</v>
      </c>
      <c r="AD286" t="s">
        <v>7360</v>
      </c>
      <c r="AE286" t="s">
        <v>7360</v>
      </c>
      <c r="AF286" t="s">
        <v>1684</v>
      </c>
      <c r="AG286">
        <v>0</v>
      </c>
      <c r="AH286">
        <v>0</v>
      </c>
      <c r="AI286">
        <v>0</v>
      </c>
      <c r="AJ286">
        <v>0</v>
      </c>
      <c r="AK286">
        <v>0</v>
      </c>
      <c r="AL286" t="s">
        <v>7360</v>
      </c>
      <c r="AM286">
        <v>0</v>
      </c>
      <c r="AN286" s="20">
        <v>44970</v>
      </c>
      <c r="AO286" s="20">
        <v>44970</v>
      </c>
      <c r="AP286" s="20">
        <v>44970</v>
      </c>
      <c r="AQ286">
        <v>0</v>
      </c>
      <c r="AR286">
        <v>0</v>
      </c>
      <c r="AS286">
        <v>0</v>
      </c>
      <c r="AT286">
        <v>0</v>
      </c>
      <c r="AU286">
        <v>0</v>
      </c>
      <c r="AV286" t="s">
        <v>7360</v>
      </c>
      <c r="AW286">
        <v>0</v>
      </c>
      <c r="AX286" t="s">
        <v>7360</v>
      </c>
      <c r="AY286" t="s">
        <v>7362</v>
      </c>
      <c r="BA286">
        <v>0</v>
      </c>
      <c r="BB286" s="20">
        <v>44970</v>
      </c>
      <c r="BC286">
        <v>0</v>
      </c>
      <c r="BD286" t="s">
        <v>7360</v>
      </c>
      <c r="BF286" s="20">
        <v>44970</v>
      </c>
      <c r="BG286">
        <v>0</v>
      </c>
      <c r="BH286" t="s">
        <v>7363</v>
      </c>
      <c r="BJ286" t="s">
        <v>7362</v>
      </c>
      <c r="BK286">
        <v>169</v>
      </c>
      <c r="BL286">
        <v>11</v>
      </c>
      <c r="BM286">
        <v>1</v>
      </c>
      <c r="BN286" t="s">
        <v>7364</v>
      </c>
      <c r="BO286">
        <v>0</v>
      </c>
      <c r="BP286">
        <v>0</v>
      </c>
      <c r="BQ286">
        <v>0</v>
      </c>
      <c r="BR286">
        <v>0</v>
      </c>
      <c r="BS286" t="s">
        <v>7400</v>
      </c>
      <c r="BT286" t="s">
        <v>7360</v>
      </c>
      <c r="BU286" t="s">
        <v>7360</v>
      </c>
      <c r="BV286" t="s">
        <v>7360</v>
      </c>
      <c r="BX286" t="s">
        <v>7391</v>
      </c>
      <c r="BY286">
        <v>74</v>
      </c>
      <c r="BZ286" t="s">
        <v>7360</v>
      </c>
      <c r="CA286" t="s">
        <v>7360</v>
      </c>
      <c r="CB286">
        <v>5558210</v>
      </c>
      <c r="CC286" s="21">
        <v>44970.630694444444</v>
      </c>
      <c r="CE286" t="s">
        <v>7392</v>
      </c>
      <c r="CF286">
        <v>1100101</v>
      </c>
      <c r="CG286">
        <v>53575</v>
      </c>
      <c r="CH286">
        <v>53575</v>
      </c>
      <c r="CI286" s="21">
        <v>44973.459756944445</v>
      </c>
      <c r="CJ286" t="s">
        <v>7393</v>
      </c>
      <c r="CK286" t="s">
        <v>7393</v>
      </c>
      <c r="CL286" t="s">
        <v>7394</v>
      </c>
      <c r="CM286" t="s">
        <v>7394</v>
      </c>
      <c r="CS286" t="s">
        <v>7361</v>
      </c>
      <c r="CT286" t="s">
        <v>7362</v>
      </c>
      <c r="CU286" t="s">
        <v>7362</v>
      </c>
      <c r="CV286" t="s">
        <v>7362</v>
      </c>
      <c r="CW286" t="s">
        <v>7362</v>
      </c>
      <c r="CX286">
        <v>6854711</v>
      </c>
      <c r="DA286">
        <v>0</v>
      </c>
    </row>
    <row r="287" spans="1:106" x14ac:dyDescent="0.3">
      <c r="A287">
        <v>1365</v>
      </c>
      <c r="B287" t="s">
        <v>7384</v>
      </c>
      <c r="C287">
        <v>312</v>
      </c>
      <c r="D287" s="20">
        <v>44967</v>
      </c>
      <c r="E287" t="s">
        <v>7356</v>
      </c>
      <c r="F287" t="s">
        <v>5934</v>
      </c>
      <c r="G287" t="s">
        <v>7357</v>
      </c>
      <c r="H287">
        <v>1</v>
      </c>
      <c r="I287" t="s">
        <v>7358</v>
      </c>
      <c r="J287">
        <v>1</v>
      </c>
      <c r="K287" s="20">
        <v>44970</v>
      </c>
      <c r="L287" s="23">
        <v>1728565</v>
      </c>
      <c r="M287" t="s">
        <v>7359</v>
      </c>
      <c r="N287" t="s">
        <v>7360</v>
      </c>
      <c r="O287">
        <v>0</v>
      </c>
      <c r="P287">
        <v>12185</v>
      </c>
      <c r="Q287">
        <v>421010</v>
      </c>
      <c r="R287">
        <v>0</v>
      </c>
      <c r="S287">
        <v>20230210</v>
      </c>
      <c r="T287">
        <v>0</v>
      </c>
      <c r="U287" t="s">
        <v>7361</v>
      </c>
      <c r="V287" t="s">
        <v>7360</v>
      </c>
      <c r="W287" t="s">
        <v>7360</v>
      </c>
      <c r="X287" t="s">
        <v>7360</v>
      </c>
      <c r="Y287" t="s">
        <v>7360</v>
      </c>
      <c r="Z287" t="s">
        <v>7360</v>
      </c>
      <c r="AA287" t="s">
        <v>7362</v>
      </c>
      <c r="AB287" t="s">
        <v>7360</v>
      </c>
      <c r="AC287" t="s">
        <v>7360</v>
      </c>
      <c r="AD287" t="s">
        <v>7360</v>
      </c>
      <c r="AE287" t="s">
        <v>7360</v>
      </c>
      <c r="AF287" t="s">
        <v>1684</v>
      </c>
      <c r="AG287">
        <v>0</v>
      </c>
      <c r="AH287">
        <v>0</v>
      </c>
      <c r="AI287">
        <v>0</v>
      </c>
      <c r="AJ287">
        <v>0</v>
      </c>
      <c r="AK287">
        <v>0</v>
      </c>
      <c r="AL287" t="s">
        <v>7360</v>
      </c>
      <c r="AM287">
        <v>0</v>
      </c>
      <c r="AN287" s="20">
        <v>44970</v>
      </c>
      <c r="AO287" s="20">
        <v>44970</v>
      </c>
      <c r="AP287" s="20">
        <v>44970</v>
      </c>
      <c r="AQ287">
        <v>0</v>
      </c>
      <c r="AR287">
        <v>0</v>
      </c>
      <c r="AS287">
        <v>0</v>
      </c>
      <c r="AT287">
        <v>0</v>
      </c>
      <c r="AU287">
        <v>0</v>
      </c>
      <c r="AV287" t="s">
        <v>7360</v>
      </c>
      <c r="AW287">
        <v>0</v>
      </c>
      <c r="AX287" t="s">
        <v>7360</v>
      </c>
      <c r="AY287" t="s">
        <v>7363</v>
      </c>
      <c r="BA287">
        <v>0</v>
      </c>
      <c r="BB287" s="20">
        <v>44970</v>
      </c>
      <c r="BC287">
        <v>0</v>
      </c>
      <c r="BD287" t="s">
        <v>7360</v>
      </c>
      <c r="BF287" s="20">
        <v>44970</v>
      </c>
      <c r="BG287">
        <v>0</v>
      </c>
      <c r="BH287" t="s">
        <v>7363</v>
      </c>
      <c r="BJ287" t="s">
        <v>7362</v>
      </c>
      <c r="BK287">
        <v>169</v>
      </c>
      <c r="BL287">
        <v>11</v>
      </c>
      <c r="BM287">
        <v>1</v>
      </c>
      <c r="BN287" t="s">
        <v>7364</v>
      </c>
      <c r="BO287">
        <v>169</v>
      </c>
      <c r="BP287">
        <v>11</v>
      </c>
      <c r="BQ287">
        <v>1</v>
      </c>
      <c r="BR287" t="s">
        <v>7364</v>
      </c>
      <c r="BS287" t="s">
        <v>7385</v>
      </c>
      <c r="BT287" t="s">
        <v>7360</v>
      </c>
      <c r="BU287" t="s">
        <v>7360</v>
      </c>
      <c r="BV287" t="s">
        <v>7360</v>
      </c>
      <c r="BX287" t="s">
        <v>7391</v>
      </c>
      <c r="BY287">
        <v>74</v>
      </c>
      <c r="BZ287" t="s">
        <v>7360</v>
      </c>
      <c r="CA287" t="s">
        <v>7360</v>
      </c>
      <c r="CB287">
        <v>5558210</v>
      </c>
      <c r="CC287" s="21">
        <v>44970.645497685182</v>
      </c>
      <c r="CE287" t="s">
        <v>7392</v>
      </c>
      <c r="CF287">
        <v>1100101</v>
      </c>
      <c r="CG287">
        <v>53575</v>
      </c>
      <c r="CH287">
        <v>53575</v>
      </c>
      <c r="CI287" s="21">
        <v>44970.647141203706</v>
      </c>
      <c r="CJ287" t="s">
        <v>7393</v>
      </c>
      <c r="CK287" t="s">
        <v>7393</v>
      </c>
      <c r="CL287" t="s">
        <v>7394</v>
      </c>
      <c r="CM287" t="s">
        <v>7394</v>
      </c>
      <c r="CS287" t="s">
        <v>7361</v>
      </c>
      <c r="CT287" t="s">
        <v>7362</v>
      </c>
      <c r="CU287" t="s">
        <v>7362</v>
      </c>
      <c r="CV287" t="s">
        <v>7362</v>
      </c>
      <c r="CW287" t="s">
        <v>7362</v>
      </c>
      <c r="CX287">
        <v>1728565</v>
      </c>
      <c r="DA287">
        <v>0</v>
      </c>
    </row>
    <row r="288" spans="1:106" x14ac:dyDescent="0.3">
      <c r="A288">
        <v>1354</v>
      </c>
      <c r="B288" t="s">
        <v>7396</v>
      </c>
      <c r="C288">
        <v>313</v>
      </c>
      <c r="D288" s="20">
        <v>44967</v>
      </c>
      <c r="E288" t="s">
        <v>7356</v>
      </c>
      <c r="F288" t="s">
        <v>5940</v>
      </c>
      <c r="G288" t="s">
        <v>7370</v>
      </c>
      <c r="H288">
        <v>1</v>
      </c>
      <c r="I288" t="s">
        <v>7358</v>
      </c>
      <c r="J288">
        <v>1</v>
      </c>
      <c r="K288" s="20">
        <v>44970</v>
      </c>
      <c r="L288" s="23">
        <v>3094000</v>
      </c>
      <c r="M288" t="s">
        <v>7359</v>
      </c>
      <c r="N288" t="s">
        <v>7360</v>
      </c>
      <c r="O288">
        <v>0</v>
      </c>
      <c r="P288">
        <v>12312</v>
      </c>
      <c r="Q288">
        <v>432026</v>
      </c>
      <c r="R288">
        <v>0</v>
      </c>
      <c r="S288">
        <v>20230210</v>
      </c>
      <c r="T288">
        <v>0</v>
      </c>
      <c r="U288" t="s">
        <v>7361</v>
      </c>
      <c r="V288" t="s">
        <v>7360</v>
      </c>
      <c r="W288" t="s">
        <v>7360</v>
      </c>
      <c r="X288" t="s">
        <v>7360</v>
      </c>
      <c r="Y288" t="s">
        <v>7360</v>
      </c>
      <c r="Z288" t="s">
        <v>7360</v>
      </c>
      <c r="AA288" t="s">
        <v>7362</v>
      </c>
      <c r="AB288" t="s">
        <v>7360</v>
      </c>
      <c r="AC288" t="s">
        <v>7360</v>
      </c>
      <c r="AD288" t="s">
        <v>7360</v>
      </c>
      <c r="AE288" t="s">
        <v>7360</v>
      </c>
      <c r="AF288" t="s">
        <v>1684</v>
      </c>
      <c r="AG288">
        <v>0</v>
      </c>
      <c r="AH288">
        <v>0</v>
      </c>
      <c r="AI288">
        <v>0</v>
      </c>
      <c r="AJ288">
        <v>0</v>
      </c>
      <c r="AK288">
        <v>0</v>
      </c>
      <c r="AL288" t="s">
        <v>7360</v>
      </c>
      <c r="AM288">
        <v>0</v>
      </c>
      <c r="AN288" s="20">
        <v>44970</v>
      </c>
      <c r="AO288" s="20">
        <v>44970</v>
      </c>
      <c r="AP288" s="20">
        <v>44970</v>
      </c>
      <c r="AQ288">
        <v>0</v>
      </c>
      <c r="AR288">
        <v>0</v>
      </c>
      <c r="AS288">
        <v>0</v>
      </c>
      <c r="AT288">
        <v>0</v>
      </c>
      <c r="AU288">
        <v>0</v>
      </c>
      <c r="AV288" t="s">
        <v>7360</v>
      </c>
      <c r="AW288">
        <v>0</v>
      </c>
      <c r="AX288" t="s">
        <v>7360</v>
      </c>
      <c r="AY288" t="s">
        <v>7363</v>
      </c>
      <c r="BA288">
        <v>0</v>
      </c>
      <c r="BB288" s="20">
        <v>44970</v>
      </c>
      <c r="BC288">
        <v>0</v>
      </c>
      <c r="BD288" t="s">
        <v>7360</v>
      </c>
      <c r="BF288" s="20">
        <v>44970</v>
      </c>
      <c r="BG288">
        <v>0</v>
      </c>
      <c r="BH288" t="s">
        <v>7363</v>
      </c>
      <c r="BJ288" t="s">
        <v>7362</v>
      </c>
      <c r="BK288">
        <v>169</v>
      </c>
      <c r="BL288">
        <v>11</v>
      </c>
      <c r="BM288">
        <v>1</v>
      </c>
      <c r="BN288" t="s">
        <v>7364</v>
      </c>
      <c r="BO288">
        <v>169</v>
      </c>
      <c r="BP288">
        <v>11</v>
      </c>
      <c r="BQ288">
        <v>1</v>
      </c>
      <c r="BR288" t="s">
        <v>7364</v>
      </c>
      <c r="BS288" t="s">
        <v>7427</v>
      </c>
      <c r="BT288" t="s">
        <v>7360</v>
      </c>
      <c r="BU288" t="s">
        <v>7360</v>
      </c>
      <c r="BV288" t="s">
        <v>7360</v>
      </c>
      <c r="BX288" t="s">
        <v>7391</v>
      </c>
      <c r="BY288">
        <v>74</v>
      </c>
      <c r="BZ288" t="s">
        <v>7360</v>
      </c>
      <c r="CA288" t="s">
        <v>7360</v>
      </c>
      <c r="CB288">
        <v>5558210</v>
      </c>
      <c r="CC288" s="21">
        <v>44970.658645833333</v>
      </c>
      <c r="CE288" t="s">
        <v>7392</v>
      </c>
      <c r="CF288">
        <v>1100101</v>
      </c>
      <c r="CG288">
        <v>53575</v>
      </c>
      <c r="CH288">
        <v>51669</v>
      </c>
      <c r="CI288" s="21">
        <v>44977.592187499999</v>
      </c>
      <c r="CJ288" t="s">
        <v>7393</v>
      </c>
      <c r="CK288" t="s">
        <v>7406</v>
      </c>
      <c r="CL288" t="s">
        <v>7394</v>
      </c>
      <c r="CM288" t="s">
        <v>7407</v>
      </c>
      <c r="CS288" t="s">
        <v>7361</v>
      </c>
      <c r="CT288" t="s">
        <v>7362</v>
      </c>
      <c r="CU288" t="s">
        <v>7362</v>
      </c>
      <c r="CV288" t="s">
        <v>7362</v>
      </c>
      <c r="CW288" t="s">
        <v>7362</v>
      </c>
      <c r="CX288">
        <v>3094000</v>
      </c>
      <c r="DA288">
        <v>0</v>
      </c>
    </row>
    <row r="289" spans="1:105" x14ac:dyDescent="0.3">
      <c r="A289">
        <v>1354</v>
      </c>
      <c r="B289" t="s">
        <v>7396</v>
      </c>
      <c r="C289">
        <v>314</v>
      </c>
      <c r="D289" s="20">
        <v>44967</v>
      </c>
      <c r="E289" t="s">
        <v>7356</v>
      </c>
      <c r="F289" t="s">
        <v>5945</v>
      </c>
      <c r="G289" t="s">
        <v>7370</v>
      </c>
      <c r="H289">
        <v>1</v>
      </c>
      <c r="I289" t="s">
        <v>7358</v>
      </c>
      <c r="J289">
        <v>1</v>
      </c>
      <c r="K289" s="20">
        <v>44971</v>
      </c>
      <c r="L289" s="23">
        <v>1350000</v>
      </c>
      <c r="M289" t="s">
        <v>7359</v>
      </c>
      <c r="N289" t="s">
        <v>7360</v>
      </c>
      <c r="O289">
        <v>0</v>
      </c>
      <c r="P289">
        <v>12231</v>
      </c>
      <c r="Q289">
        <v>422021</v>
      </c>
      <c r="R289">
        <v>0</v>
      </c>
      <c r="S289">
        <v>20230210</v>
      </c>
      <c r="T289">
        <v>0</v>
      </c>
      <c r="U289" t="s">
        <v>7361</v>
      </c>
      <c r="V289" t="s">
        <v>7360</v>
      </c>
      <c r="W289" t="s">
        <v>7360</v>
      </c>
      <c r="X289" t="s">
        <v>7360</v>
      </c>
      <c r="Y289" t="s">
        <v>7360</v>
      </c>
      <c r="Z289" t="s">
        <v>7360</v>
      </c>
      <c r="AA289" t="s">
        <v>7362</v>
      </c>
      <c r="AB289" t="s">
        <v>7360</v>
      </c>
      <c r="AC289" t="s">
        <v>7360</v>
      </c>
      <c r="AD289" t="s">
        <v>7360</v>
      </c>
      <c r="AE289" t="s">
        <v>7360</v>
      </c>
      <c r="AF289" t="s">
        <v>1684</v>
      </c>
      <c r="AG289">
        <v>0</v>
      </c>
      <c r="AH289">
        <v>0</v>
      </c>
      <c r="AI289">
        <v>0</v>
      </c>
      <c r="AJ289">
        <v>0</v>
      </c>
      <c r="AK289">
        <v>0</v>
      </c>
      <c r="AL289" t="s">
        <v>7360</v>
      </c>
      <c r="AM289">
        <v>0</v>
      </c>
      <c r="AN289" s="20">
        <v>44971</v>
      </c>
      <c r="AO289" s="20">
        <v>44971</v>
      </c>
      <c r="AP289" s="20">
        <v>44971</v>
      </c>
      <c r="AQ289">
        <v>0</v>
      </c>
      <c r="AR289">
        <v>0</v>
      </c>
      <c r="AS289">
        <v>0</v>
      </c>
      <c r="AT289">
        <v>0</v>
      </c>
      <c r="AU289">
        <v>0</v>
      </c>
      <c r="AV289" t="s">
        <v>7360</v>
      </c>
      <c r="AW289">
        <v>0</v>
      </c>
      <c r="AX289" t="s">
        <v>7360</v>
      </c>
      <c r="AY289" t="s">
        <v>7363</v>
      </c>
      <c r="BA289">
        <v>0</v>
      </c>
      <c r="BB289" s="20">
        <v>44971</v>
      </c>
      <c r="BC289">
        <v>0</v>
      </c>
      <c r="BD289" t="s">
        <v>7360</v>
      </c>
      <c r="BF289" s="20">
        <v>44971</v>
      </c>
      <c r="BG289">
        <v>0</v>
      </c>
      <c r="BH289" t="s">
        <v>7363</v>
      </c>
      <c r="BJ289" t="s">
        <v>7362</v>
      </c>
      <c r="BK289">
        <v>169</v>
      </c>
      <c r="BL289">
        <v>11</v>
      </c>
      <c r="BM289">
        <v>1</v>
      </c>
      <c r="BN289" t="s">
        <v>7364</v>
      </c>
      <c r="BO289">
        <v>0</v>
      </c>
      <c r="BP289">
        <v>0</v>
      </c>
      <c r="BQ289">
        <v>0</v>
      </c>
      <c r="BR289">
        <v>0</v>
      </c>
      <c r="BS289" t="s">
        <v>132</v>
      </c>
      <c r="BT289" t="s">
        <v>7360</v>
      </c>
      <c r="BU289" t="s">
        <v>7360</v>
      </c>
      <c r="BV289" t="s">
        <v>7360</v>
      </c>
      <c r="BX289" t="s">
        <v>7391</v>
      </c>
      <c r="BY289">
        <v>74</v>
      </c>
      <c r="BZ289" t="s">
        <v>7360</v>
      </c>
      <c r="CA289" t="s">
        <v>7360</v>
      </c>
      <c r="CB289">
        <v>5558210</v>
      </c>
      <c r="CC289" s="21">
        <v>44971.342812499999</v>
      </c>
      <c r="CE289" t="s">
        <v>7392</v>
      </c>
      <c r="CF289">
        <v>1100101</v>
      </c>
      <c r="CG289">
        <v>53575</v>
      </c>
      <c r="CH289">
        <v>53575</v>
      </c>
      <c r="CI289" s="21">
        <v>44971.343530092592</v>
      </c>
      <c r="CJ289" t="s">
        <v>7393</v>
      </c>
      <c r="CK289" t="s">
        <v>7393</v>
      </c>
      <c r="CL289" t="s">
        <v>7394</v>
      </c>
      <c r="CM289" t="s">
        <v>7394</v>
      </c>
      <c r="CS289" t="s">
        <v>7361</v>
      </c>
      <c r="CT289" t="s">
        <v>7362</v>
      </c>
      <c r="CU289" t="s">
        <v>7362</v>
      </c>
      <c r="CV289" t="s">
        <v>7362</v>
      </c>
      <c r="CW289" t="s">
        <v>7362</v>
      </c>
      <c r="CX289">
        <v>1350000</v>
      </c>
      <c r="DA289">
        <v>0</v>
      </c>
    </row>
    <row r="290" spans="1:105" x14ac:dyDescent="0.3">
      <c r="A290">
        <v>1354</v>
      </c>
      <c r="B290" t="s">
        <v>7396</v>
      </c>
      <c r="C290">
        <v>315</v>
      </c>
      <c r="D290" s="20">
        <v>44967</v>
      </c>
      <c r="E290" t="s">
        <v>7356</v>
      </c>
      <c r="F290" t="s">
        <v>5950</v>
      </c>
      <c r="G290" t="s">
        <v>7370</v>
      </c>
      <c r="H290">
        <v>1</v>
      </c>
      <c r="I290" t="s">
        <v>7358</v>
      </c>
      <c r="J290">
        <v>1</v>
      </c>
      <c r="K290" s="20">
        <v>44971</v>
      </c>
      <c r="L290" s="23">
        <v>3840000</v>
      </c>
      <c r="M290" t="s">
        <v>7359</v>
      </c>
      <c r="N290" t="s">
        <v>7360</v>
      </c>
      <c r="O290">
        <v>0</v>
      </c>
      <c r="P290">
        <v>12314</v>
      </c>
      <c r="Q290">
        <v>432027</v>
      </c>
      <c r="R290">
        <v>0</v>
      </c>
      <c r="S290">
        <v>20230210</v>
      </c>
      <c r="T290">
        <v>0</v>
      </c>
      <c r="U290" t="s">
        <v>7361</v>
      </c>
      <c r="V290" t="s">
        <v>7360</v>
      </c>
      <c r="W290" t="s">
        <v>7360</v>
      </c>
      <c r="X290" t="s">
        <v>7360</v>
      </c>
      <c r="Y290" t="s">
        <v>7360</v>
      </c>
      <c r="Z290" t="s">
        <v>7360</v>
      </c>
      <c r="AA290" t="s">
        <v>7362</v>
      </c>
      <c r="AB290" t="s">
        <v>7360</v>
      </c>
      <c r="AC290" t="s">
        <v>7360</v>
      </c>
      <c r="AD290" t="s">
        <v>7360</v>
      </c>
      <c r="AE290" t="s">
        <v>7360</v>
      </c>
      <c r="AF290" t="s">
        <v>1684</v>
      </c>
      <c r="AG290">
        <v>0</v>
      </c>
      <c r="AH290">
        <v>0</v>
      </c>
      <c r="AI290">
        <v>0</v>
      </c>
      <c r="AJ290">
        <v>0</v>
      </c>
      <c r="AK290">
        <v>0</v>
      </c>
      <c r="AL290" t="s">
        <v>7360</v>
      </c>
      <c r="AM290">
        <v>0</v>
      </c>
      <c r="AN290" s="20">
        <v>44971</v>
      </c>
      <c r="AO290" s="20">
        <v>44971</v>
      </c>
      <c r="AP290" s="20">
        <v>44971</v>
      </c>
      <c r="AQ290">
        <v>0</v>
      </c>
      <c r="AR290">
        <v>0</v>
      </c>
      <c r="AS290">
        <v>0</v>
      </c>
      <c r="AT290">
        <v>0</v>
      </c>
      <c r="AU290">
        <v>0</v>
      </c>
      <c r="AV290" t="s">
        <v>7360</v>
      </c>
      <c r="AW290">
        <v>0</v>
      </c>
      <c r="AX290" t="s">
        <v>7360</v>
      </c>
      <c r="AY290" t="s">
        <v>7363</v>
      </c>
      <c r="BA290">
        <v>0</v>
      </c>
      <c r="BB290" s="20">
        <v>44971</v>
      </c>
      <c r="BC290">
        <v>0</v>
      </c>
      <c r="BD290" t="s">
        <v>7360</v>
      </c>
      <c r="BF290" s="20">
        <v>44971</v>
      </c>
      <c r="BG290">
        <v>0</v>
      </c>
      <c r="BH290" t="s">
        <v>7363</v>
      </c>
      <c r="BJ290" t="s">
        <v>7362</v>
      </c>
      <c r="BK290">
        <v>169</v>
      </c>
      <c r="BL290">
        <v>11</v>
      </c>
      <c r="BM290">
        <v>1</v>
      </c>
      <c r="BN290" t="s">
        <v>7364</v>
      </c>
      <c r="BO290">
        <v>0</v>
      </c>
      <c r="BP290">
        <v>0</v>
      </c>
      <c r="BQ290">
        <v>0</v>
      </c>
      <c r="BR290">
        <v>0</v>
      </c>
      <c r="BS290" t="s">
        <v>7427</v>
      </c>
      <c r="BT290" t="s">
        <v>7360</v>
      </c>
      <c r="BU290" t="s">
        <v>7360</v>
      </c>
      <c r="BV290" t="s">
        <v>7360</v>
      </c>
      <c r="BX290" t="s">
        <v>7391</v>
      </c>
      <c r="BY290">
        <v>74</v>
      </c>
      <c r="BZ290" t="s">
        <v>7360</v>
      </c>
      <c r="CA290" t="s">
        <v>7360</v>
      </c>
      <c r="CB290">
        <v>5558210</v>
      </c>
      <c r="CC290" s="21">
        <v>44971.389780092592</v>
      </c>
      <c r="CE290" t="s">
        <v>7392</v>
      </c>
      <c r="CF290">
        <v>1100101</v>
      </c>
      <c r="CG290">
        <v>53575</v>
      </c>
      <c r="CH290">
        <v>53575</v>
      </c>
      <c r="CI290" s="21">
        <v>44971.390798611108</v>
      </c>
      <c r="CJ290" t="s">
        <v>7393</v>
      </c>
      <c r="CK290" t="s">
        <v>7393</v>
      </c>
      <c r="CL290" t="s">
        <v>7394</v>
      </c>
      <c r="CM290" t="s">
        <v>7394</v>
      </c>
      <c r="CS290" t="s">
        <v>7361</v>
      </c>
      <c r="CT290" t="s">
        <v>7362</v>
      </c>
      <c r="CU290" t="s">
        <v>7362</v>
      </c>
      <c r="CV290" t="s">
        <v>7362</v>
      </c>
      <c r="CW290" t="s">
        <v>7362</v>
      </c>
      <c r="CX290">
        <v>3840000</v>
      </c>
      <c r="DA290">
        <v>0</v>
      </c>
    </row>
    <row r="291" spans="1:105" x14ac:dyDescent="0.3">
      <c r="A291">
        <v>1351</v>
      </c>
      <c r="B291" t="s">
        <v>7420</v>
      </c>
      <c r="C291">
        <v>316</v>
      </c>
      <c r="D291" s="20">
        <v>44967</v>
      </c>
      <c r="E291" t="s">
        <v>7356</v>
      </c>
      <c r="F291" t="s">
        <v>5956</v>
      </c>
      <c r="G291" t="s">
        <v>7381</v>
      </c>
      <c r="H291">
        <v>3</v>
      </c>
      <c r="I291" t="s">
        <v>7421</v>
      </c>
      <c r="J291" t="s">
        <v>7433</v>
      </c>
      <c r="K291" s="20">
        <v>44973</v>
      </c>
      <c r="L291" s="23">
        <f>449*5207.03</f>
        <v>2337956.4699999997</v>
      </c>
      <c r="M291" t="s">
        <v>7359</v>
      </c>
      <c r="N291" t="s">
        <v>7360</v>
      </c>
      <c r="O291">
        <v>0</v>
      </c>
      <c r="P291">
        <v>12218</v>
      </c>
      <c r="Q291">
        <v>422008</v>
      </c>
      <c r="R291">
        <v>0</v>
      </c>
      <c r="S291">
        <v>20230210</v>
      </c>
      <c r="T291">
        <v>0</v>
      </c>
      <c r="U291" t="s">
        <v>7361</v>
      </c>
      <c r="V291" t="s">
        <v>7360</v>
      </c>
      <c r="W291" t="s">
        <v>7360</v>
      </c>
      <c r="X291" t="s">
        <v>7360</v>
      </c>
      <c r="Y291" t="s">
        <v>7360</v>
      </c>
      <c r="Z291" t="s">
        <v>7360</v>
      </c>
      <c r="AA291" t="s">
        <v>7362</v>
      </c>
      <c r="AB291" t="s">
        <v>7360</v>
      </c>
      <c r="AC291" t="s">
        <v>7360</v>
      </c>
      <c r="AD291" t="s">
        <v>7360</v>
      </c>
      <c r="AE291" t="s">
        <v>7360</v>
      </c>
      <c r="AF291" t="s">
        <v>1684</v>
      </c>
      <c r="AG291">
        <v>0</v>
      </c>
      <c r="AH291">
        <v>0</v>
      </c>
      <c r="AI291">
        <v>0</v>
      </c>
      <c r="AJ291">
        <v>0</v>
      </c>
      <c r="AK291">
        <v>0</v>
      </c>
      <c r="AL291" t="s">
        <v>7360</v>
      </c>
      <c r="AM291">
        <v>0</v>
      </c>
      <c r="AN291" s="20">
        <v>44971</v>
      </c>
      <c r="AO291" s="20">
        <v>44971</v>
      </c>
      <c r="AP291" s="20">
        <v>44971</v>
      </c>
      <c r="AQ291">
        <v>0</v>
      </c>
      <c r="AR291">
        <v>0</v>
      </c>
      <c r="AS291">
        <v>0</v>
      </c>
      <c r="AT291">
        <v>0</v>
      </c>
      <c r="AU291">
        <v>0</v>
      </c>
      <c r="AV291" t="s">
        <v>7360</v>
      </c>
      <c r="AW291">
        <v>0</v>
      </c>
      <c r="AX291" t="s">
        <v>7360</v>
      </c>
      <c r="AY291" t="s">
        <v>7363</v>
      </c>
      <c r="BA291">
        <v>0</v>
      </c>
      <c r="BB291" s="20">
        <v>44971</v>
      </c>
      <c r="BC291">
        <v>0</v>
      </c>
      <c r="BD291" t="s">
        <v>7360</v>
      </c>
      <c r="BF291" s="20">
        <v>44971</v>
      </c>
      <c r="BG291">
        <v>0</v>
      </c>
      <c r="BH291" t="s">
        <v>1729</v>
      </c>
      <c r="BJ291" t="s">
        <v>7362</v>
      </c>
      <c r="BK291">
        <v>169</v>
      </c>
      <c r="BL291">
        <v>11</v>
      </c>
      <c r="BM291">
        <v>1</v>
      </c>
      <c r="BN291" t="s">
        <v>7364</v>
      </c>
      <c r="BO291">
        <v>0</v>
      </c>
      <c r="BP291">
        <v>0</v>
      </c>
      <c r="BQ291">
        <v>0</v>
      </c>
      <c r="BR291">
        <v>0</v>
      </c>
      <c r="BS291" t="s">
        <v>7411</v>
      </c>
      <c r="BT291" t="s">
        <v>7360</v>
      </c>
      <c r="BU291" t="s">
        <v>7360</v>
      </c>
      <c r="BV291" t="s">
        <v>7360</v>
      </c>
      <c r="BX291" t="s">
        <v>7391</v>
      </c>
      <c r="BY291">
        <v>74</v>
      </c>
      <c r="BZ291" t="s">
        <v>7360</v>
      </c>
      <c r="CA291" t="s">
        <v>7360</v>
      </c>
      <c r="CB291">
        <v>5558210</v>
      </c>
      <c r="CC291" s="21">
        <v>44971.405428240738</v>
      </c>
      <c r="CE291" t="s">
        <v>7392</v>
      </c>
      <c r="CF291">
        <v>1100101</v>
      </c>
      <c r="CG291">
        <v>53575</v>
      </c>
      <c r="CH291">
        <v>53575</v>
      </c>
      <c r="CI291" s="21">
        <v>44984.456192129626</v>
      </c>
      <c r="CJ291" t="s">
        <v>7393</v>
      </c>
      <c r="CK291" t="s">
        <v>7393</v>
      </c>
      <c r="CL291" t="s">
        <v>7394</v>
      </c>
      <c r="CM291" t="s">
        <v>7394</v>
      </c>
      <c r="CS291" t="s">
        <v>7361</v>
      </c>
      <c r="CT291" t="s">
        <v>7362</v>
      </c>
      <c r="CU291" t="s">
        <v>7362</v>
      </c>
      <c r="CV291" t="s">
        <v>7362</v>
      </c>
      <c r="CW291" t="s">
        <v>7362</v>
      </c>
      <c r="CX291">
        <v>449</v>
      </c>
      <c r="DA291">
        <v>0</v>
      </c>
    </row>
    <row r="292" spans="1:105" x14ac:dyDescent="0.3">
      <c r="A292">
        <v>1354</v>
      </c>
      <c r="B292" t="s">
        <v>7396</v>
      </c>
      <c r="C292">
        <v>317</v>
      </c>
      <c r="D292" s="20">
        <v>44967</v>
      </c>
      <c r="E292" t="s">
        <v>7356</v>
      </c>
      <c r="F292" t="s">
        <v>5961</v>
      </c>
      <c r="G292" t="s">
        <v>7357</v>
      </c>
      <c r="H292">
        <v>1</v>
      </c>
      <c r="I292" t="s">
        <v>7358</v>
      </c>
      <c r="J292">
        <v>1</v>
      </c>
      <c r="K292" s="20">
        <v>44971</v>
      </c>
      <c r="L292" s="23">
        <v>2125000</v>
      </c>
      <c r="M292" t="s">
        <v>7359</v>
      </c>
      <c r="N292" t="s">
        <v>7360</v>
      </c>
      <c r="O292">
        <v>0</v>
      </c>
      <c r="P292">
        <v>12225</v>
      </c>
      <c r="Q292">
        <v>422016</v>
      </c>
      <c r="R292">
        <v>0</v>
      </c>
      <c r="S292">
        <v>20230210</v>
      </c>
      <c r="T292">
        <v>0</v>
      </c>
      <c r="U292" t="s">
        <v>7361</v>
      </c>
      <c r="V292" t="s">
        <v>7360</v>
      </c>
      <c r="W292" t="s">
        <v>7360</v>
      </c>
      <c r="X292" t="s">
        <v>7360</v>
      </c>
      <c r="Y292" t="s">
        <v>7360</v>
      </c>
      <c r="Z292" t="s">
        <v>7360</v>
      </c>
      <c r="AA292" t="s">
        <v>7362</v>
      </c>
      <c r="AB292" t="s">
        <v>7360</v>
      </c>
      <c r="AC292" t="s">
        <v>7360</v>
      </c>
      <c r="AD292" t="s">
        <v>7360</v>
      </c>
      <c r="AE292" t="s">
        <v>7360</v>
      </c>
      <c r="AF292" t="s">
        <v>1684</v>
      </c>
      <c r="AG292">
        <v>0</v>
      </c>
      <c r="AH292">
        <v>0</v>
      </c>
      <c r="AI292">
        <v>0</v>
      </c>
      <c r="AJ292">
        <v>0</v>
      </c>
      <c r="AK292">
        <v>0</v>
      </c>
      <c r="AL292" t="s">
        <v>7360</v>
      </c>
      <c r="AM292">
        <v>0</v>
      </c>
      <c r="AN292" s="20">
        <v>44971</v>
      </c>
      <c r="AO292" s="20">
        <v>44971</v>
      </c>
      <c r="AP292" s="20">
        <v>44971</v>
      </c>
      <c r="AQ292">
        <v>0</v>
      </c>
      <c r="AR292">
        <v>0</v>
      </c>
      <c r="AS292">
        <v>0</v>
      </c>
      <c r="AT292">
        <v>0</v>
      </c>
      <c r="AU292">
        <v>0</v>
      </c>
      <c r="AV292" t="s">
        <v>7360</v>
      </c>
      <c r="AW292">
        <v>0</v>
      </c>
      <c r="AX292" t="s">
        <v>7360</v>
      </c>
      <c r="AY292" t="s">
        <v>7363</v>
      </c>
      <c r="BA292">
        <v>0</v>
      </c>
      <c r="BB292" s="20">
        <v>44971</v>
      </c>
      <c r="BC292">
        <v>0</v>
      </c>
      <c r="BD292" t="s">
        <v>7360</v>
      </c>
      <c r="BF292" s="20">
        <v>44971</v>
      </c>
      <c r="BG292">
        <v>0</v>
      </c>
      <c r="BH292" t="s">
        <v>7363</v>
      </c>
      <c r="BJ292" t="s">
        <v>7362</v>
      </c>
      <c r="BK292">
        <v>169</v>
      </c>
      <c r="BL292">
        <v>11</v>
      </c>
      <c r="BM292">
        <v>1</v>
      </c>
      <c r="BN292" t="s">
        <v>7364</v>
      </c>
      <c r="BO292">
        <v>169</v>
      </c>
      <c r="BP292">
        <v>11</v>
      </c>
      <c r="BQ292">
        <v>1</v>
      </c>
      <c r="BR292" t="s">
        <v>7364</v>
      </c>
      <c r="BS292" t="s">
        <v>7411</v>
      </c>
      <c r="BT292" t="s">
        <v>7360</v>
      </c>
      <c r="BU292" t="s">
        <v>7360</v>
      </c>
      <c r="BV292" t="s">
        <v>7360</v>
      </c>
      <c r="BX292" t="s">
        <v>7391</v>
      </c>
      <c r="BY292">
        <v>74</v>
      </c>
      <c r="BZ292" t="s">
        <v>7360</v>
      </c>
      <c r="CA292" t="s">
        <v>7360</v>
      </c>
      <c r="CB292">
        <v>5558210</v>
      </c>
      <c r="CC292" s="21">
        <v>44971.41028935185</v>
      </c>
      <c r="CE292" t="s">
        <v>7392</v>
      </c>
      <c r="CF292">
        <v>1100101</v>
      </c>
      <c r="CG292">
        <v>53575</v>
      </c>
      <c r="CH292">
        <v>53575</v>
      </c>
      <c r="CI292" s="21">
        <v>44971.414409722223</v>
      </c>
      <c r="CJ292" t="s">
        <v>7393</v>
      </c>
      <c r="CK292" t="s">
        <v>7393</v>
      </c>
      <c r="CL292" t="s">
        <v>7394</v>
      </c>
      <c r="CM292" t="s">
        <v>7394</v>
      </c>
      <c r="CS292" t="s">
        <v>7361</v>
      </c>
      <c r="CT292" t="s">
        <v>7362</v>
      </c>
      <c r="CU292" t="s">
        <v>7362</v>
      </c>
      <c r="CV292" t="s">
        <v>7362</v>
      </c>
      <c r="CW292" t="s">
        <v>7362</v>
      </c>
      <c r="CX292">
        <v>2125000</v>
      </c>
      <c r="DA292">
        <v>0</v>
      </c>
    </row>
    <row r="293" spans="1:105" x14ac:dyDescent="0.3">
      <c r="A293">
        <v>1354</v>
      </c>
      <c r="B293" t="s">
        <v>7396</v>
      </c>
      <c r="C293">
        <v>318</v>
      </c>
      <c r="D293" s="20">
        <v>44967</v>
      </c>
      <c r="E293" t="s">
        <v>7356</v>
      </c>
      <c r="F293" t="s">
        <v>5966</v>
      </c>
      <c r="G293" t="s">
        <v>7370</v>
      </c>
      <c r="H293">
        <v>1</v>
      </c>
      <c r="I293" t="s">
        <v>7358</v>
      </c>
      <c r="J293">
        <v>1</v>
      </c>
      <c r="K293" s="20">
        <v>44971</v>
      </c>
      <c r="L293" s="23">
        <v>280000</v>
      </c>
      <c r="M293" t="s">
        <v>7359</v>
      </c>
      <c r="N293" t="s">
        <v>7360</v>
      </c>
      <c r="O293">
        <v>0</v>
      </c>
      <c r="P293">
        <v>12306</v>
      </c>
      <c r="Q293">
        <v>432021</v>
      </c>
      <c r="R293">
        <v>0</v>
      </c>
      <c r="S293">
        <v>20230210</v>
      </c>
      <c r="T293">
        <v>0</v>
      </c>
      <c r="U293" t="s">
        <v>7361</v>
      </c>
      <c r="V293" t="s">
        <v>7360</v>
      </c>
      <c r="W293" t="s">
        <v>7360</v>
      </c>
      <c r="X293" t="s">
        <v>7360</v>
      </c>
      <c r="Y293" t="s">
        <v>7360</v>
      </c>
      <c r="Z293" t="s">
        <v>7360</v>
      </c>
      <c r="AA293" t="s">
        <v>7362</v>
      </c>
      <c r="AB293" t="s">
        <v>7360</v>
      </c>
      <c r="AC293" t="s">
        <v>7360</v>
      </c>
      <c r="AD293" t="s">
        <v>7360</v>
      </c>
      <c r="AE293" t="s">
        <v>7360</v>
      </c>
      <c r="AF293" t="s">
        <v>1684</v>
      </c>
      <c r="AG293">
        <v>0</v>
      </c>
      <c r="AH293">
        <v>0</v>
      </c>
      <c r="AI293">
        <v>0</v>
      </c>
      <c r="AJ293">
        <v>0</v>
      </c>
      <c r="AK293">
        <v>0</v>
      </c>
      <c r="AL293" t="s">
        <v>7360</v>
      </c>
      <c r="AM293">
        <v>0</v>
      </c>
      <c r="AN293" s="20">
        <v>44971</v>
      </c>
      <c r="AO293" s="20">
        <v>44971</v>
      </c>
      <c r="AP293" s="20">
        <v>44971</v>
      </c>
      <c r="AQ293">
        <v>0</v>
      </c>
      <c r="AR293">
        <v>0</v>
      </c>
      <c r="AS293">
        <v>0</v>
      </c>
      <c r="AT293">
        <v>0</v>
      </c>
      <c r="AU293">
        <v>0</v>
      </c>
      <c r="AV293" t="s">
        <v>7360</v>
      </c>
      <c r="AW293">
        <v>0</v>
      </c>
      <c r="AX293" t="s">
        <v>7360</v>
      </c>
      <c r="AY293" t="s">
        <v>7363</v>
      </c>
      <c r="BA293">
        <v>0</v>
      </c>
      <c r="BB293" s="20">
        <v>44971</v>
      </c>
      <c r="BC293">
        <v>0</v>
      </c>
      <c r="BD293" t="s">
        <v>7360</v>
      </c>
      <c r="BF293" s="20">
        <v>44971</v>
      </c>
      <c r="BG293">
        <v>0</v>
      </c>
      <c r="BH293" t="s">
        <v>7363</v>
      </c>
      <c r="BJ293" t="s">
        <v>7362</v>
      </c>
      <c r="BK293">
        <v>169</v>
      </c>
      <c r="BL293">
        <v>11</v>
      </c>
      <c r="BM293">
        <v>1</v>
      </c>
      <c r="BN293" t="s">
        <v>7364</v>
      </c>
      <c r="BO293">
        <v>0</v>
      </c>
      <c r="BP293">
        <v>0</v>
      </c>
      <c r="BQ293">
        <v>0</v>
      </c>
      <c r="BR293">
        <v>0</v>
      </c>
      <c r="BS293" t="s">
        <v>7427</v>
      </c>
      <c r="BT293" t="s">
        <v>7360</v>
      </c>
      <c r="BU293" t="s">
        <v>7360</v>
      </c>
      <c r="BV293" t="s">
        <v>7360</v>
      </c>
      <c r="BX293" t="s">
        <v>7391</v>
      </c>
      <c r="BY293">
        <v>74</v>
      </c>
      <c r="BZ293" t="s">
        <v>7360</v>
      </c>
      <c r="CA293" t="s">
        <v>7360</v>
      </c>
      <c r="CB293">
        <v>5558210</v>
      </c>
      <c r="CC293" s="21">
        <v>44971.637048611112</v>
      </c>
      <c r="CE293" t="s">
        <v>7392</v>
      </c>
      <c r="CF293">
        <v>1100101</v>
      </c>
      <c r="CG293">
        <v>53575</v>
      </c>
      <c r="CH293">
        <v>53575</v>
      </c>
      <c r="CI293" s="21">
        <v>44971.638136574074</v>
      </c>
      <c r="CJ293" t="s">
        <v>7393</v>
      </c>
      <c r="CK293" t="s">
        <v>7393</v>
      </c>
      <c r="CL293" t="s">
        <v>7394</v>
      </c>
      <c r="CM293" t="s">
        <v>7394</v>
      </c>
      <c r="CS293" t="s">
        <v>7361</v>
      </c>
      <c r="CT293" t="s">
        <v>7362</v>
      </c>
      <c r="CU293" t="s">
        <v>7362</v>
      </c>
      <c r="CV293" t="s">
        <v>7362</v>
      </c>
      <c r="CW293" t="s">
        <v>7362</v>
      </c>
      <c r="CX293">
        <v>280000</v>
      </c>
      <c r="DA293">
        <v>0</v>
      </c>
    </row>
    <row r="294" spans="1:105" x14ac:dyDescent="0.3">
      <c r="A294">
        <v>1354</v>
      </c>
      <c r="B294" t="s">
        <v>7396</v>
      </c>
      <c r="C294">
        <v>319</v>
      </c>
      <c r="D294" s="20">
        <v>44967</v>
      </c>
      <c r="E294" t="s">
        <v>7372</v>
      </c>
      <c r="F294" t="s">
        <v>5972</v>
      </c>
      <c r="G294" t="s">
        <v>7370</v>
      </c>
      <c r="H294">
        <v>1</v>
      </c>
      <c r="I294" t="s">
        <v>7358</v>
      </c>
      <c r="J294">
        <v>1</v>
      </c>
      <c r="K294" s="20">
        <v>44971</v>
      </c>
      <c r="L294" s="23">
        <v>600000</v>
      </c>
      <c r="M294" t="s">
        <v>7359</v>
      </c>
      <c r="N294" t="s">
        <v>7360</v>
      </c>
      <c r="O294">
        <v>0</v>
      </c>
      <c r="P294">
        <v>12309</v>
      </c>
      <c r="Q294">
        <v>432023</v>
      </c>
      <c r="R294">
        <v>0</v>
      </c>
      <c r="S294">
        <v>20230210</v>
      </c>
      <c r="T294">
        <v>0</v>
      </c>
      <c r="U294" t="s">
        <v>7362</v>
      </c>
      <c r="V294" t="s">
        <v>7360</v>
      </c>
      <c r="W294" t="s">
        <v>7360</v>
      </c>
      <c r="X294" t="s">
        <v>7360</v>
      </c>
      <c r="Y294" t="s">
        <v>7360</v>
      </c>
      <c r="Z294" t="s">
        <v>7360</v>
      </c>
      <c r="AA294" t="s">
        <v>7362</v>
      </c>
      <c r="AB294" t="s">
        <v>7360</v>
      </c>
      <c r="AC294" t="s">
        <v>7360</v>
      </c>
      <c r="AD294" t="s">
        <v>7360</v>
      </c>
      <c r="AE294" t="s">
        <v>7360</v>
      </c>
      <c r="AF294" t="s">
        <v>1684</v>
      </c>
      <c r="AG294">
        <v>0</v>
      </c>
      <c r="AH294">
        <v>0</v>
      </c>
      <c r="AI294">
        <v>0</v>
      </c>
      <c r="AJ294">
        <v>0</v>
      </c>
      <c r="AK294">
        <v>0</v>
      </c>
      <c r="AL294" t="s">
        <v>7360</v>
      </c>
      <c r="AM294">
        <v>0</v>
      </c>
      <c r="AN294" s="20">
        <v>44971</v>
      </c>
      <c r="AO294" s="20">
        <v>44971</v>
      </c>
      <c r="AP294" s="20">
        <v>44971</v>
      </c>
      <c r="AQ294">
        <v>0</v>
      </c>
      <c r="AR294">
        <v>0</v>
      </c>
      <c r="AS294">
        <v>0</v>
      </c>
      <c r="AT294">
        <v>0</v>
      </c>
      <c r="AU294">
        <v>0</v>
      </c>
      <c r="AV294" t="s">
        <v>7360</v>
      </c>
      <c r="AW294">
        <v>0</v>
      </c>
      <c r="AX294" t="s">
        <v>7360</v>
      </c>
      <c r="AY294" t="s">
        <v>7362</v>
      </c>
      <c r="BA294">
        <v>0</v>
      </c>
      <c r="BB294" s="20">
        <v>44971</v>
      </c>
      <c r="BC294">
        <v>0</v>
      </c>
      <c r="BD294" t="s">
        <v>7360</v>
      </c>
      <c r="BF294" s="20">
        <v>44971</v>
      </c>
      <c r="BG294">
        <v>0</v>
      </c>
      <c r="BH294" t="s">
        <v>7363</v>
      </c>
      <c r="BJ294" t="s">
        <v>7362</v>
      </c>
      <c r="BK294">
        <v>169</v>
      </c>
      <c r="BL294">
        <v>11</v>
      </c>
      <c r="BM294">
        <v>1</v>
      </c>
      <c r="BN294" t="s">
        <v>7364</v>
      </c>
      <c r="BO294">
        <v>0</v>
      </c>
      <c r="BP294">
        <v>0</v>
      </c>
      <c r="BQ294">
        <v>0</v>
      </c>
      <c r="BR294">
        <v>0</v>
      </c>
      <c r="BS294" t="s">
        <v>7427</v>
      </c>
      <c r="BT294" t="s">
        <v>7360</v>
      </c>
      <c r="BU294" t="s">
        <v>7360</v>
      </c>
      <c r="BV294" t="s">
        <v>7360</v>
      </c>
      <c r="BX294" t="s">
        <v>7391</v>
      </c>
      <c r="BY294">
        <v>74</v>
      </c>
      <c r="BZ294" t="s">
        <v>7360</v>
      </c>
      <c r="CA294" t="s">
        <v>7360</v>
      </c>
      <c r="CB294">
        <v>5558210</v>
      </c>
      <c r="CC294" s="21">
        <v>44971.644907407404</v>
      </c>
      <c r="CE294" t="s">
        <v>7392</v>
      </c>
      <c r="CF294">
        <v>1100101</v>
      </c>
      <c r="CG294">
        <v>53575</v>
      </c>
      <c r="CH294">
        <v>53575</v>
      </c>
      <c r="CI294" s="21">
        <v>44971.64634259259</v>
      </c>
      <c r="CJ294" t="s">
        <v>7393</v>
      </c>
      <c r="CK294" t="s">
        <v>7393</v>
      </c>
      <c r="CL294" t="s">
        <v>7394</v>
      </c>
      <c r="CM294" t="s">
        <v>7394</v>
      </c>
      <c r="CS294" t="s">
        <v>7361</v>
      </c>
      <c r="CT294" t="s">
        <v>7362</v>
      </c>
      <c r="CU294" t="s">
        <v>7362</v>
      </c>
      <c r="CV294" t="s">
        <v>7362</v>
      </c>
      <c r="CW294" t="s">
        <v>7362</v>
      </c>
      <c r="CX294">
        <v>600000</v>
      </c>
      <c r="DA294">
        <v>0</v>
      </c>
    </row>
    <row r="295" spans="1:105" x14ac:dyDescent="0.3">
      <c r="A295">
        <v>1354</v>
      </c>
      <c r="B295" t="s">
        <v>7396</v>
      </c>
      <c r="C295">
        <v>320</v>
      </c>
      <c r="D295" s="20">
        <v>44971</v>
      </c>
      <c r="E295" t="s">
        <v>7356</v>
      </c>
      <c r="F295" t="s">
        <v>5977</v>
      </c>
      <c r="G295" t="s">
        <v>7370</v>
      </c>
      <c r="H295">
        <v>1</v>
      </c>
      <c r="I295" t="s">
        <v>7358</v>
      </c>
      <c r="J295">
        <v>1</v>
      </c>
      <c r="K295" s="20">
        <v>44971</v>
      </c>
      <c r="L295" s="23">
        <v>5200000</v>
      </c>
      <c r="M295" t="s">
        <v>7359</v>
      </c>
      <c r="N295" t="s">
        <v>7360</v>
      </c>
      <c r="O295">
        <v>0</v>
      </c>
      <c r="P295">
        <v>12244</v>
      </c>
      <c r="Q295">
        <v>422027</v>
      </c>
      <c r="R295">
        <v>0</v>
      </c>
      <c r="S295">
        <v>20230214</v>
      </c>
      <c r="T295">
        <v>0</v>
      </c>
      <c r="U295" t="s">
        <v>7361</v>
      </c>
      <c r="V295" t="s">
        <v>7360</v>
      </c>
      <c r="W295" t="s">
        <v>7360</v>
      </c>
      <c r="X295" t="s">
        <v>7360</v>
      </c>
      <c r="Y295" t="s">
        <v>7360</v>
      </c>
      <c r="Z295" t="s">
        <v>7360</v>
      </c>
      <c r="AA295" t="s">
        <v>7362</v>
      </c>
      <c r="AB295" t="s">
        <v>7360</v>
      </c>
      <c r="AC295" t="s">
        <v>7360</v>
      </c>
      <c r="AD295" t="s">
        <v>7360</v>
      </c>
      <c r="AE295" t="s">
        <v>7360</v>
      </c>
      <c r="AF295" t="s">
        <v>1684</v>
      </c>
      <c r="AG295">
        <v>0</v>
      </c>
      <c r="AH295">
        <v>0</v>
      </c>
      <c r="AI295">
        <v>0</v>
      </c>
      <c r="AJ295">
        <v>0</v>
      </c>
      <c r="AK295">
        <v>0</v>
      </c>
      <c r="AL295" t="s">
        <v>7360</v>
      </c>
      <c r="AM295">
        <v>0</v>
      </c>
      <c r="AN295" s="20">
        <v>44971</v>
      </c>
      <c r="AO295" s="20">
        <v>44971</v>
      </c>
      <c r="AP295" s="20">
        <v>44971</v>
      </c>
      <c r="AQ295">
        <v>0</v>
      </c>
      <c r="AR295">
        <v>0</v>
      </c>
      <c r="AS295">
        <v>0</v>
      </c>
      <c r="AT295">
        <v>0</v>
      </c>
      <c r="AU295">
        <v>0</v>
      </c>
      <c r="AV295" t="s">
        <v>7360</v>
      </c>
      <c r="AW295">
        <v>0</v>
      </c>
      <c r="AX295" t="s">
        <v>7360</v>
      </c>
      <c r="AY295" t="s">
        <v>7363</v>
      </c>
      <c r="BA295">
        <v>0</v>
      </c>
      <c r="BB295" s="20">
        <v>44971</v>
      </c>
      <c r="BC295">
        <v>0</v>
      </c>
      <c r="BD295" t="s">
        <v>7360</v>
      </c>
      <c r="BF295" s="20">
        <v>44971</v>
      </c>
      <c r="BG295">
        <v>0</v>
      </c>
      <c r="BH295" t="s">
        <v>7363</v>
      </c>
      <c r="BJ295" t="s">
        <v>7362</v>
      </c>
      <c r="BK295">
        <v>169</v>
      </c>
      <c r="BL295">
        <v>11</v>
      </c>
      <c r="BM295">
        <v>1</v>
      </c>
      <c r="BN295" t="s">
        <v>7364</v>
      </c>
      <c r="BO295">
        <v>169</v>
      </c>
      <c r="BP295">
        <v>11</v>
      </c>
      <c r="BQ295">
        <v>1</v>
      </c>
      <c r="BR295" t="s">
        <v>7364</v>
      </c>
      <c r="BS295" t="s">
        <v>132</v>
      </c>
      <c r="BT295" t="s">
        <v>7360</v>
      </c>
      <c r="BU295" t="s">
        <v>7360</v>
      </c>
      <c r="BV295" t="s">
        <v>7360</v>
      </c>
      <c r="BX295" t="s">
        <v>7391</v>
      </c>
      <c r="BY295">
        <v>74</v>
      </c>
      <c r="BZ295" t="s">
        <v>7360</v>
      </c>
      <c r="CA295" t="s">
        <v>7360</v>
      </c>
      <c r="CB295">
        <v>3380666</v>
      </c>
      <c r="CC295" s="21">
        <v>44971.650138888886</v>
      </c>
      <c r="CE295" t="s">
        <v>7392</v>
      </c>
      <c r="CF295">
        <v>1100101</v>
      </c>
      <c r="CG295">
        <v>51669</v>
      </c>
      <c r="CH295">
        <v>51669</v>
      </c>
      <c r="CI295" s="21">
        <v>44971.652881944443</v>
      </c>
      <c r="CJ295" t="s">
        <v>7406</v>
      </c>
      <c r="CK295" t="s">
        <v>7406</v>
      </c>
      <c r="CL295" t="s">
        <v>7407</v>
      </c>
      <c r="CM295" t="s">
        <v>7407</v>
      </c>
      <c r="CS295" t="s">
        <v>7361</v>
      </c>
      <c r="CT295" t="s">
        <v>7362</v>
      </c>
      <c r="CU295" t="s">
        <v>7362</v>
      </c>
      <c r="CV295" t="s">
        <v>7362</v>
      </c>
      <c r="CW295" t="s">
        <v>7362</v>
      </c>
      <c r="CX295">
        <v>5200000</v>
      </c>
      <c r="DA295">
        <v>0</v>
      </c>
    </row>
    <row r="296" spans="1:105" x14ac:dyDescent="0.3">
      <c r="A296">
        <v>1354</v>
      </c>
      <c r="B296" t="s">
        <v>7396</v>
      </c>
      <c r="C296">
        <v>321</v>
      </c>
      <c r="D296" s="20">
        <v>44967</v>
      </c>
      <c r="E296" t="s">
        <v>7356</v>
      </c>
      <c r="F296" t="s">
        <v>5918</v>
      </c>
      <c r="G296" t="s">
        <v>7370</v>
      </c>
      <c r="H296">
        <v>1</v>
      </c>
      <c r="I296" t="s">
        <v>7358</v>
      </c>
      <c r="J296">
        <v>1</v>
      </c>
      <c r="K296" s="20">
        <v>44971</v>
      </c>
      <c r="L296" s="23">
        <v>1680000</v>
      </c>
      <c r="M296" t="s">
        <v>7359</v>
      </c>
      <c r="N296" t="s">
        <v>7360</v>
      </c>
      <c r="O296">
        <v>0</v>
      </c>
      <c r="P296">
        <v>12302</v>
      </c>
      <c r="Q296">
        <v>432019</v>
      </c>
      <c r="R296">
        <v>0</v>
      </c>
      <c r="S296">
        <v>20230210</v>
      </c>
      <c r="T296">
        <v>0</v>
      </c>
      <c r="U296" t="s">
        <v>7361</v>
      </c>
      <c r="V296" t="s">
        <v>7360</v>
      </c>
      <c r="W296" t="s">
        <v>7360</v>
      </c>
      <c r="X296" t="s">
        <v>7360</v>
      </c>
      <c r="Y296" t="s">
        <v>7360</v>
      </c>
      <c r="Z296" t="s">
        <v>7360</v>
      </c>
      <c r="AA296" t="s">
        <v>7362</v>
      </c>
      <c r="AB296" t="s">
        <v>7360</v>
      </c>
      <c r="AC296" t="s">
        <v>7360</v>
      </c>
      <c r="AD296" t="s">
        <v>7360</v>
      </c>
      <c r="AE296" t="s">
        <v>7360</v>
      </c>
      <c r="AF296" t="s">
        <v>1684</v>
      </c>
      <c r="AG296">
        <v>0</v>
      </c>
      <c r="AH296">
        <v>0</v>
      </c>
      <c r="AI296">
        <v>0</v>
      </c>
      <c r="AJ296">
        <v>0</v>
      </c>
      <c r="AK296">
        <v>0</v>
      </c>
      <c r="AL296" t="s">
        <v>7360</v>
      </c>
      <c r="AM296">
        <v>0</v>
      </c>
      <c r="AN296" s="20">
        <v>44971</v>
      </c>
      <c r="AO296" s="20">
        <v>44971</v>
      </c>
      <c r="AP296" s="20">
        <v>44971</v>
      </c>
      <c r="AQ296">
        <v>0</v>
      </c>
      <c r="AR296">
        <v>0</v>
      </c>
      <c r="AS296">
        <v>0</v>
      </c>
      <c r="AT296">
        <v>0</v>
      </c>
      <c r="AU296">
        <v>0</v>
      </c>
      <c r="AV296" t="s">
        <v>7360</v>
      </c>
      <c r="AW296">
        <v>0</v>
      </c>
      <c r="AX296" t="s">
        <v>7360</v>
      </c>
      <c r="AY296" t="s">
        <v>7363</v>
      </c>
      <c r="BA296">
        <v>0</v>
      </c>
      <c r="BB296" s="20">
        <v>44971</v>
      </c>
      <c r="BC296">
        <v>0</v>
      </c>
      <c r="BD296" t="s">
        <v>7360</v>
      </c>
      <c r="BF296" s="20">
        <v>44971</v>
      </c>
      <c r="BG296">
        <v>0</v>
      </c>
      <c r="BH296" t="s">
        <v>7363</v>
      </c>
      <c r="BJ296" t="s">
        <v>7362</v>
      </c>
      <c r="BK296">
        <v>169</v>
      </c>
      <c r="BL296">
        <v>11</v>
      </c>
      <c r="BM296">
        <v>1</v>
      </c>
      <c r="BN296" t="s">
        <v>7364</v>
      </c>
      <c r="BO296">
        <v>0</v>
      </c>
      <c r="BP296">
        <v>0</v>
      </c>
      <c r="BQ296">
        <v>0</v>
      </c>
      <c r="BR296">
        <v>0</v>
      </c>
      <c r="BS296" t="s">
        <v>7427</v>
      </c>
      <c r="BT296" t="s">
        <v>7360</v>
      </c>
      <c r="BU296" t="s">
        <v>7360</v>
      </c>
      <c r="BV296" t="s">
        <v>7360</v>
      </c>
      <c r="BX296" t="s">
        <v>7391</v>
      </c>
      <c r="BY296">
        <v>74</v>
      </c>
      <c r="BZ296" t="s">
        <v>7360</v>
      </c>
      <c r="CA296" t="s">
        <v>7360</v>
      </c>
      <c r="CB296">
        <v>5558210</v>
      </c>
      <c r="CC296" s="21">
        <v>44971.656875000001</v>
      </c>
      <c r="CE296" t="s">
        <v>7392</v>
      </c>
      <c r="CF296">
        <v>1100101</v>
      </c>
      <c r="CG296">
        <v>53575</v>
      </c>
      <c r="CH296">
        <v>53575</v>
      </c>
      <c r="CI296" s="21">
        <v>44971.657581018517</v>
      </c>
      <c r="CJ296" t="s">
        <v>7393</v>
      </c>
      <c r="CK296" t="s">
        <v>7393</v>
      </c>
      <c r="CL296" t="s">
        <v>7394</v>
      </c>
      <c r="CM296" t="s">
        <v>7394</v>
      </c>
      <c r="CS296" t="s">
        <v>7361</v>
      </c>
      <c r="CT296" t="s">
        <v>7362</v>
      </c>
      <c r="CU296" t="s">
        <v>7362</v>
      </c>
      <c r="CV296" t="s">
        <v>7362</v>
      </c>
      <c r="CW296" t="s">
        <v>7362</v>
      </c>
      <c r="CX296">
        <v>1680000</v>
      </c>
      <c r="DA296">
        <v>0</v>
      </c>
    </row>
    <row r="297" spans="1:105" x14ac:dyDescent="0.3">
      <c r="A297">
        <v>1354</v>
      </c>
      <c r="B297" t="s">
        <v>7396</v>
      </c>
      <c r="C297">
        <v>322</v>
      </c>
      <c r="D297" s="20">
        <v>44971</v>
      </c>
      <c r="E297" t="s">
        <v>7356</v>
      </c>
      <c r="F297" t="s">
        <v>5924</v>
      </c>
      <c r="G297" t="s">
        <v>7370</v>
      </c>
      <c r="H297">
        <v>1</v>
      </c>
      <c r="I297" t="s">
        <v>7358</v>
      </c>
      <c r="J297">
        <v>1</v>
      </c>
      <c r="K297" s="20">
        <v>44971</v>
      </c>
      <c r="L297" s="23">
        <v>2700000</v>
      </c>
      <c r="M297" t="s">
        <v>7359</v>
      </c>
      <c r="N297" t="s">
        <v>7360</v>
      </c>
      <c r="O297">
        <v>0</v>
      </c>
      <c r="P297">
        <v>12245</v>
      </c>
      <c r="Q297">
        <v>422028</v>
      </c>
      <c r="R297">
        <v>0</v>
      </c>
      <c r="S297">
        <v>20230214</v>
      </c>
      <c r="T297">
        <v>0</v>
      </c>
      <c r="U297" t="s">
        <v>7361</v>
      </c>
      <c r="V297" t="s">
        <v>7360</v>
      </c>
      <c r="W297" t="s">
        <v>7360</v>
      </c>
      <c r="X297" t="s">
        <v>7360</v>
      </c>
      <c r="Y297" t="s">
        <v>7360</v>
      </c>
      <c r="Z297" t="s">
        <v>7360</v>
      </c>
      <c r="AA297" t="s">
        <v>7362</v>
      </c>
      <c r="AB297" t="s">
        <v>7360</v>
      </c>
      <c r="AC297" t="s">
        <v>7360</v>
      </c>
      <c r="AD297" t="s">
        <v>7360</v>
      </c>
      <c r="AE297" t="s">
        <v>7360</v>
      </c>
      <c r="AF297" t="s">
        <v>1684</v>
      </c>
      <c r="AG297">
        <v>0</v>
      </c>
      <c r="AH297">
        <v>0</v>
      </c>
      <c r="AI297">
        <v>0</v>
      </c>
      <c r="AJ297">
        <v>0</v>
      </c>
      <c r="AK297">
        <v>0</v>
      </c>
      <c r="AL297" t="s">
        <v>7360</v>
      </c>
      <c r="AM297">
        <v>0</v>
      </c>
      <c r="AN297" s="20">
        <v>44971</v>
      </c>
      <c r="AO297" s="20">
        <v>44971</v>
      </c>
      <c r="AP297" s="20">
        <v>44971</v>
      </c>
      <c r="AQ297">
        <v>0</v>
      </c>
      <c r="AR297">
        <v>0</v>
      </c>
      <c r="AS297">
        <v>0</v>
      </c>
      <c r="AT297">
        <v>0</v>
      </c>
      <c r="AU297">
        <v>0</v>
      </c>
      <c r="AV297" t="s">
        <v>7360</v>
      </c>
      <c r="AW297">
        <v>0</v>
      </c>
      <c r="AX297" t="s">
        <v>7360</v>
      </c>
      <c r="AY297" t="s">
        <v>7363</v>
      </c>
      <c r="BA297">
        <v>0</v>
      </c>
      <c r="BB297" s="20">
        <v>44971</v>
      </c>
      <c r="BC297">
        <v>0</v>
      </c>
      <c r="BD297" t="s">
        <v>7360</v>
      </c>
      <c r="BF297" s="20">
        <v>44971</v>
      </c>
      <c r="BG297">
        <v>0</v>
      </c>
      <c r="BH297" t="s">
        <v>7363</v>
      </c>
      <c r="BJ297" t="s">
        <v>7362</v>
      </c>
      <c r="BK297">
        <v>169</v>
      </c>
      <c r="BL297">
        <v>11</v>
      </c>
      <c r="BM297">
        <v>1</v>
      </c>
      <c r="BN297" t="s">
        <v>7364</v>
      </c>
      <c r="BO297">
        <v>169</v>
      </c>
      <c r="BP297">
        <v>11</v>
      </c>
      <c r="BQ297">
        <v>1</v>
      </c>
      <c r="BR297" t="s">
        <v>7364</v>
      </c>
      <c r="BS297" t="s">
        <v>132</v>
      </c>
      <c r="BT297" t="s">
        <v>7360</v>
      </c>
      <c r="BU297" t="s">
        <v>7360</v>
      </c>
      <c r="BV297" t="s">
        <v>7360</v>
      </c>
      <c r="BX297" t="s">
        <v>7391</v>
      </c>
      <c r="BY297">
        <v>74</v>
      </c>
      <c r="BZ297" t="s">
        <v>7360</v>
      </c>
      <c r="CA297" t="s">
        <v>7360</v>
      </c>
      <c r="CB297">
        <v>3380666</v>
      </c>
      <c r="CC297" s="21">
        <v>44971.661168981482</v>
      </c>
      <c r="CE297" t="s">
        <v>7392</v>
      </c>
      <c r="CF297">
        <v>1100101</v>
      </c>
      <c r="CG297">
        <v>51669</v>
      </c>
      <c r="CH297">
        <v>51669</v>
      </c>
      <c r="CI297" s="21">
        <v>44971.662557870368</v>
      </c>
      <c r="CJ297" t="s">
        <v>7406</v>
      </c>
      <c r="CK297" t="s">
        <v>7406</v>
      </c>
      <c r="CL297" t="s">
        <v>7407</v>
      </c>
      <c r="CM297" t="s">
        <v>7407</v>
      </c>
      <c r="CS297" t="s">
        <v>7361</v>
      </c>
      <c r="CT297" t="s">
        <v>7362</v>
      </c>
      <c r="CU297" t="s">
        <v>7362</v>
      </c>
      <c r="CV297" t="s">
        <v>7362</v>
      </c>
      <c r="CW297" t="s">
        <v>7362</v>
      </c>
      <c r="CX297">
        <v>2700000</v>
      </c>
      <c r="DA297">
        <v>0</v>
      </c>
    </row>
    <row r="298" spans="1:105" x14ac:dyDescent="0.3">
      <c r="A298">
        <v>1354</v>
      </c>
      <c r="B298" t="s">
        <v>7396</v>
      </c>
      <c r="C298">
        <v>323</v>
      </c>
      <c r="D298" s="20">
        <v>44971</v>
      </c>
      <c r="E298" t="s">
        <v>7356</v>
      </c>
      <c r="F298" t="s">
        <v>5929</v>
      </c>
      <c r="G298" t="s">
        <v>7370</v>
      </c>
      <c r="H298">
        <v>1</v>
      </c>
      <c r="I298" t="s">
        <v>7358</v>
      </c>
      <c r="J298">
        <v>1</v>
      </c>
      <c r="K298" s="20">
        <v>44971</v>
      </c>
      <c r="L298" s="23">
        <v>4000000</v>
      </c>
      <c r="M298" t="s">
        <v>7359</v>
      </c>
      <c r="N298" t="s">
        <v>7360</v>
      </c>
      <c r="O298">
        <v>0</v>
      </c>
      <c r="P298">
        <v>12247</v>
      </c>
      <c r="Q298">
        <v>422030</v>
      </c>
      <c r="R298">
        <v>0</v>
      </c>
      <c r="S298">
        <v>20230214</v>
      </c>
      <c r="T298">
        <v>0</v>
      </c>
      <c r="U298" t="s">
        <v>7361</v>
      </c>
      <c r="V298" t="s">
        <v>7360</v>
      </c>
      <c r="W298" t="s">
        <v>7360</v>
      </c>
      <c r="X298" t="s">
        <v>7360</v>
      </c>
      <c r="Y298" t="s">
        <v>7360</v>
      </c>
      <c r="Z298" t="s">
        <v>7360</v>
      </c>
      <c r="AA298" t="s">
        <v>7362</v>
      </c>
      <c r="AB298" t="s">
        <v>7360</v>
      </c>
      <c r="AC298" t="s">
        <v>7360</v>
      </c>
      <c r="AD298" t="s">
        <v>7360</v>
      </c>
      <c r="AE298" t="s">
        <v>7360</v>
      </c>
      <c r="AF298" t="s">
        <v>1684</v>
      </c>
      <c r="AG298">
        <v>0</v>
      </c>
      <c r="AH298">
        <v>0</v>
      </c>
      <c r="AI298">
        <v>0</v>
      </c>
      <c r="AJ298">
        <v>0</v>
      </c>
      <c r="AK298">
        <v>0</v>
      </c>
      <c r="AL298" t="s">
        <v>7360</v>
      </c>
      <c r="AM298">
        <v>0</v>
      </c>
      <c r="AN298" s="20">
        <v>44971</v>
      </c>
      <c r="AO298" s="20">
        <v>44971</v>
      </c>
      <c r="AP298" s="20">
        <v>44971</v>
      </c>
      <c r="AQ298">
        <v>0</v>
      </c>
      <c r="AR298">
        <v>0</v>
      </c>
      <c r="AS298">
        <v>0</v>
      </c>
      <c r="AT298">
        <v>0</v>
      </c>
      <c r="AU298">
        <v>0</v>
      </c>
      <c r="AV298" t="s">
        <v>7360</v>
      </c>
      <c r="AW298">
        <v>0</v>
      </c>
      <c r="AX298" t="s">
        <v>7360</v>
      </c>
      <c r="AY298" t="s">
        <v>7363</v>
      </c>
      <c r="BA298">
        <v>0</v>
      </c>
      <c r="BB298" s="20">
        <v>44971</v>
      </c>
      <c r="BC298">
        <v>0</v>
      </c>
      <c r="BD298" t="s">
        <v>7360</v>
      </c>
      <c r="BF298" s="20">
        <v>44971</v>
      </c>
      <c r="BG298">
        <v>0</v>
      </c>
      <c r="BH298" t="s">
        <v>7363</v>
      </c>
      <c r="BJ298" t="s">
        <v>7362</v>
      </c>
      <c r="BK298">
        <v>169</v>
      </c>
      <c r="BL298">
        <v>11</v>
      </c>
      <c r="BM298">
        <v>1</v>
      </c>
      <c r="BN298" t="s">
        <v>7364</v>
      </c>
      <c r="BO298">
        <v>169</v>
      </c>
      <c r="BP298">
        <v>11</v>
      </c>
      <c r="BQ298">
        <v>1</v>
      </c>
      <c r="BR298" t="s">
        <v>7364</v>
      </c>
      <c r="BS298" t="s">
        <v>132</v>
      </c>
      <c r="BT298" t="s">
        <v>7360</v>
      </c>
      <c r="BU298" t="s">
        <v>7360</v>
      </c>
      <c r="BV298" t="s">
        <v>7360</v>
      </c>
      <c r="BX298" t="s">
        <v>7391</v>
      </c>
      <c r="BY298">
        <v>74</v>
      </c>
      <c r="BZ298" t="s">
        <v>7360</v>
      </c>
      <c r="CA298" t="s">
        <v>7360</v>
      </c>
      <c r="CB298">
        <v>3380666</v>
      </c>
      <c r="CC298" s="21">
        <v>44971.667685185188</v>
      </c>
      <c r="CE298" t="s">
        <v>7392</v>
      </c>
      <c r="CF298">
        <v>1100101</v>
      </c>
      <c r="CG298">
        <v>51669</v>
      </c>
      <c r="CH298">
        <v>51669</v>
      </c>
      <c r="CI298" s="21">
        <v>44971.669039351851</v>
      </c>
      <c r="CJ298" t="s">
        <v>7406</v>
      </c>
      <c r="CK298" t="s">
        <v>7406</v>
      </c>
      <c r="CL298" t="s">
        <v>7407</v>
      </c>
      <c r="CM298" t="s">
        <v>7407</v>
      </c>
      <c r="CS298" t="s">
        <v>7361</v>
      </c>
      <c r="CT298" t="s">
        <v>7362</v>
      </c>
      <c r="CU298" t="s">
        <v>7362</v>
      </c>
      <c r="CV298" t="s">
        <v>7362</v>
      </c>
      <c r="CW298" t="s">
        <v>7362</v>
      </c>
      <c r="CX298">
        <v>4000000</v>
      </c>
      <c r="DA298">
        <v>0</v>
      </c>
    </row>
    <row r="299" spans="1:105" x14ac:dyDescent="0.3">
      <c r="A299">
        <v>1354</v>
      </c>
      <c r="B299" t="s">
        <v>7396</v>
      </c>
      <c r="C299">
        <v>324</v>
      </c>
      <c r="D299" s="20">
        <v>44971</v>
      </c>
      <c r="E299" t="s">
        <v>7356</v>
      </c>
      <c r="F299" t="s">
        <v>5934</v>
      </c>
      <c r="G299" t="s">
        <v>7370</v>
      </c>
      <c r="H299">
        <v>1</v>
      </c>
      <c r="I299" t="s">
        <v>7358</v>
      </c>
      <c r="J299">
        <v>1</v>
      </c>
      <c r="K299" s="20">
        <v>44971</v>
      </c>
      <c r="L299" s="23">
        <v>1350000</v>
      </c>
      <c r="M299" t="s">
        <v>7359</v>
      </c>
      <c r="N299" t="s">
        <v>7360</v>
      </c>
      <c r="O299">
        <v>0</v>
      </c>
      <c r="P299">
        <v>12243</v>
      </c>
      <c r="Q299">
        <v>422026</v>
      </c>
      <c r="R299">
        <v>0</v>
      </c>
      <c r="S299">
        <v>20230214</v>
      </c>
      <c r="T299">
        <v>0</v>
      </c>
      <c r="U299" t="s">
        <v>7361</v>
      </c>
      <c r="V299" t="s">
        <v>7360</v>
      </c>
      <c r="W299" t="s">
        <v>7360</v>
      </c>
      <c r="X299" t="s">
        <v>7360</v>
      </c>
      <c r="Y299" t="s">
        <v>7360</v>
      </c>
      <c r="Z299" t="s">
        <v>7360</v>
      </c>
      <c r="AA299" t="s">
        <v>7362</v>
      </c>
      <c r="AB299" t="s">
        <v>7360</v>
      </c>
      <c r="AC299" t="s">
        <v>7360</v>
      </c>
      <c r="AD299" t="s">
        <v>7360</v>
      </c>
      <c r="AE299" t="s">
        <v>7360</v>
      </c>
      <c r="AF299" t="s">
        <v>1684</v>
      </c>
      <c r="AG299">
        <v>0</v>
      </c>
      <c r="AH299">
        <v>0</v>
      </c>
      <c r="AI299">
        <v>0</v>
      </c>
      <c r="AJ299">
        <v>0</v>
      </c>
      <c r="AK299">
        <v>0</v>
      </c>
      <c r="AL299" t="s">
        <v>7360</v>
      </c>
      <c r="AM299">
        <v>0</v>
      </c>
      <c r="AN299" s="20">
        <v>44971</v>
      </c>
      <c r="AO299" s="20">
        <v>44971</v>
      </c>
      <c r="AP299" s="20">
        <v>44971</v>
      </c>
      <c r="AQ299">
        <v>0</v>
      </c>
      <c r="AR299">
        <v>0</v>
      </c>
      <c r="AS299">
        <v>0</v>
      </c>
      <c r="AT299">
        <v>0</v>
      </c>
      <c r="AU299">
        <v>0</v>
      </c>
      <c r="AV299" t="s">
        <v>7360</v>
      </c>
      <c r="AW299">
        <v>0</v>
      </c>
      <c r="AX299" t="s">
        <v>7360</v>
      </c>
      <c r="AY299" t="s">
        <v>7363</v>
      </c>
      <c r="BA299">
        <v>0</v>
      </c>
      <c r="BB299" s="20">
        <v>44971</v>
      </c>
      <c r="BC299">
        <v>0</v>
      </c>
      <c r="BD299" t="s">
        <v>7360</v>
      </c>
      <c r="BF299" s="20">
        <v>44971</v>
      </c>
      <c r="BG299">
        <v>0</v>
      </c>
      <c r="BH299" t="s">
        <v>7363</v>
      </c>
      <c r="BJ299" t="s">
        <v>7362</v>
      </c>
      <c r="BK299">
        <v>169</v>
      </c>
      <c r="BL299">
        <v>11</v>
      </c>
      <c r="BM299">
        <v>1</v>
      </c>
      <c r="BN299" t="s">
        <v>7364</v>
      </c>
      <c r="BO299">
        <v>169</v>
      </c>
      <c r="BP299">
        <v>11</v>
      </c>
      <c r="BQ299">
        <v>1</v>
      </c>
      <c r="BR299" t="s">
        <v>7364</v>
      </c>
      <c r="BS299" t="s">
        <v>132</v>
      </c>
      <c r="BT299" t="s">
        <v>7360</v>
      </c>
      <c r="BU299" t="s">
        <v>7360</v>
      </c>
      <c r="BV299" t="s">
        <v>7360</v>
      </c>
      <c r="BX299" t="s">
        <v>7391</v>
      </c>
      <c r="BY299">
        <v>74</v>
      </c>
      <c r="BZ299" t="s">
        <v>7360</v>
      </c>
      <c r="CA299" t="s">
        <v>7360</v>
      </c>
      <c r="CB299">
        <v>3380666</v>
      </c>
      <c r="CC299" s="21">
        <v>44971.672858796293</v>
      </c>
      <c r="CE299" t="s">
        <v>7392</v>
      </c>
      <c r="CF299">
        <v>1100101</v>
      </c>
      <c r="CG299">
        <v>51669</v>
      </c>
      <c r="CH299">
        <v>51669</v>
      </c>
      <c r="CI299" s="21">
        <v>44971.673784722225</v>
      </c>
      <c r="CJ299" t="s">
        <v>7406</v>
      </c>
      <c r="CK299" t="s">
        <v>7406</v>
      </c>
      <c r="CL299" t="s">
        <v>7407</v>
      </c>
      <c r="CM299" t="s">
        <v>7407</v>
      </c>
      <c r="CS299" t="s">
        <v>7361</v>
      </c>
      <c r="CT299" t="s">
        <v>7362</v>
      </c>
      <c r="CU299" t="s">
        <v>7362</v>
      </c>
      <c r="CV299" t="s">
        <v>7362</v>
      </c>
      <c r="CW299" t="s">
        <v>7362</v>
      </c>
      <c r="CX299">
        <v>1350000</v>
      </c>
      <c r="DA299">
        <v>0</v>
      </c>
    </row>
    <row r="300" spans="1:105" x14ac:dyDescent="0.3">
      <c r="A300">
        <v>1354</v>
      </c>
      <c r="B300" t="s">
        <v>7396</v>
      </c>
      <c r="C300">
        <v>325</v>
      </c>
      <c r="D300" s="20">
        <v>44971</v>
      </c>
      <c r="E300" t="s">
        <v>7356</v>
      </c>
      <c r="F300" t="s">
        <v>5940</v>
      </c>
      <c r="G300" t="s">
        <v>7370</v>
      </c>
      <c r="H300">
        <v>1</v>
      </c>
      <c r="I300" t="s">
        <v>7358</v>
      </c>
      <c r="J300">
        <v>1</v>
      </c>
      <c r="K300" s="20">
        <v>44971</v>
      </c>
      <c r="L300" s="23">
        <v>1950000</v>
      </c>
      <c r="M300" t="s">
        <v>7359</v>
      </c>
      <c r="N300" t="s">
        <v>7360</v>
      </c>
      <c r="O300">
        <v>0</v>
      </c>
      <c r="P300">
        <v>12248</v>
      </c>
      <c r="Q300">
        <v>423001</v>
      </c>
      <c r="R300">
        <v>0</v>
      </c>
      <c r="S300">
        <v>20230214</v>
      </c>
      <c r="T300">
        <v>0</v>
      </c>
      <c r="U300" t="s">
        <v>7361</v>
      </c>
      <c r="V300" t="s">
        <v>7360</v>
      </c>
      <c r="W300" t="s">
        <v>7360</v>
      </c>
      <c r="X300" t="s">
        <v>7360</v>
      </c>
      <c r="Y300" t="s">
        <v>7360</v>
      </c>
      <c r="Z300" t="s">
        <v>7360</v>
      </c>
      <c r="AA300" t="s">
        <v>7362</v>
      </c>
      <c r="AB300" t="s">
        <v>7360</v>
      </c>
      <c r="AC300" t="s">
        <v>7360</v>
      </c>
      <c r="AD300" t="s">
        <v>7360</v>
      </c>
      <c r="AE300" t="s">
        <v>7360</v>
      </c>
      <c r="AF300" t="s">
        <v>1684</v>
      </c>
      <c r="AG300">
        <v>0</v>
      </c>
      <c r="AH300">
        <v>0</v>
      </c>
      <c r="AI300">
        <v>0</v>
      </c>
      <c r="AJ300">
        <v>0</v>
      </c>
      <c r="AK300">
        <v>0</v>
      </c>
      <c r="AL300" t="s">
        <v>7360</v>
      </c>
      <c r="AM300">
        <v>0</v>
      </c>
      <c r="AN300" s="20">
        <v>44971</v>
      </c>
      <c r="AO300" s="20">
        <v>44971</v>
      </c>
      <c r="AP300" s="20">
        <v>44971</v>
      </c>
      <c r="AQ300">
        <v>0</v>
      </c>
      <c r="AR300">
        <v>0</v>
      </c>
      <c r="AS300">
        <v>0</v>
      </c>
      <c r="AT300">
        <v>0</v>
      </c>
      <c r="AU300">
        <v>0</v>
      </c>
      <c r="AV300" t="s">
        <v>7360</v>
      </c>
      <c r="AW300">
        <v>0</v>
      </c>
      <c r="AX300" t="s">
        <v>7360</v>
      </c>
      <c r="AY300" t="s">
        <v>7363</v>
      </c>
      <c r="BA300">
        <v>0</v>
      </c>
      <c r="BB300" s="20">
        <v>44971</v>
      </c>
      <c r="BC300">
        <v>0</v>
      </c>
      <c r="BD300" t="s">
        <v>7360</v>
      </c>
      <c r="BF300" s="20">
        <v>44971</v>
      </c>
      <c r="BG300">
        <v>0</v>
      </c>
      <c r="BH300" t="s">
        <v>7363</v>
      </c>
      <c r="BJ300" t="s">
        <v>7362</v>
      </c>
      <c r="BK300">
        <v>169</v>
      </c>
      <c r="BL300">
        <v>11</v>
      </c>
      <c r="BM300">
        <v>1</v>
      </c>
      <c r="BN300" t="s">
        <v>7364</v>
      </c>
      <c r="BO300">
        <v>169</v>
      </c>
      <c r="BP300">
        <v>11</v>
      </c>
      <c r="BQ300">
        <v>1</v>
      </c>
      <c r="BR300" t="s">
        <v>7364</v>
      </c>
      <c r="BS300" t="s">
        <v>132</v>
      </c>
      <c r="BT300" t="s">
        <v>7360</v>
      </c>
      <c r="BU300" t="s">
        <v>7360</v>
      </c>
      <c r="BV300" t="s">
        <v>7360</v>
      </c>
      <c r="BX300" t="s">
        <v>7391</v>
      </c>
      <c r="BY300">
        <v>74</v>
      </c>
      <c r="BZ300" t="s">
        <v>7360</v>
      </c>
      <c r="CA300" t="s">
        <v>7360</v>
      </c>
      <c r="CB300">
        <v>3380666</v>
      </c>
      <c r="CC300" s="21">
        <v>44971.676516203705</v>
      </c>
      <c r="CE300" t="s">
        <v>7392</v>
      </c>
      <c r="CF300">
        <v>1100101</v>
      </c>
      <c r="CG300">
        <v>51669</v>
      </c>
      <c r="CH300">
        <v>51669</v>
      </c>
      <c r="CI300" s="21">
        <v>44971.677835648145</v>
      </c>
      <c r="CJ300" t="s">
        <v>7406</v>
      </c>
      <c r="CK300" t="s">
        <v>7406</v>
      </c>
      <c r="CL300" t="s">
        <v>7407</v>
      </c>
      <c r="CM300" t="s">
        <v>7407</v>
      </c>
      <c r="CS300" t="s">
        <v>7361</v>
      </c>
      <c r="CT300" t="s">
        <v>7362</v>
      </c>
      <c r="CU300" t="s">
        <v>7362</v>
      </c>
      <c r="CV300" t="s">
        <v>7362</v>
      </c>
      <c r="CW300" t="s">
        <v>7362</v>
      </c>
      <c r="CX300">
        <v>1950000</v>
      </c>
      <c r="DA300">
        <v>0</v>
      </c>
    </row>
    <row r="301" spans="1:105" x14ac:dyDescent="0.3">
      <c r="A301">
        <v>1354</v>
      </c>
      <c r="B301" t="s">
        <v>7396</v>
      </c>
      <c r="C301">
        <v>326</v>
      </c>
      <c r="D301" s="20">
        <v>44967</v>
      </c>
      <c r="E301" t="s">
        <v>7356</v>
      </c>
      <c r="F301" t="s">
        <v>5918</v>
      </c>
      <c r="G301" t="s">
        <v>7370</v>
      </c>
      <c r="H301">
        <v>1</v>
      </c>
      <c r="I301" t="s">
        <v>7358</v>
      </c>
      <c r="J301">
        <v>1</v>
      </c>
      <c r="K301" s="20">
        <v>44971</v>
      </c>
      <c r="L301" s="23">
        <v>840000</v>
      </c>
      <c r="M301" t="s">
        <v>7359</v>
      </c>
      <c r="N301" t="s">
        <v>7360</v>
      </c>
      <c r="O301">
        <v>0</v>
      </c>
      <c r="P301">
        <v>12298</v>
      </c>
      <c r="Q301">
        <v>432016</v>
      </c>
      <c r="R301">
        <v>0</v>
      </c>
      <c r="S301">
        <v>20230210</v>
      </c>
      <c r="T301">
        <v>0</v>
      </c>
      <c r="U301" t="s">
        <v>7361</v>
      </c>
      <c r="V301" t="s">
        <v>7360</v>
      </c>
      <c r="W301" t="s">
        <v>7360</v>
      </c>
      <c r="X301" t="s">
        <v>7360</v>
      </c>
      <c r="Y301" t="s">
        <v>7360</v>
      </c>
      <c r="Z301" t="s">
        <v>7360</v>
      </c>
      <c r="AA301" t="s">
        <v>7362</v>
      </c>
      <c r="AB301" t="s">
        <v>7360</v>
      </c>
      <c r="AC301" t="s">
        <v>7360</v>
      </c>
      <c r="AD301" t="s">
        <v>7360</v>
      </c>
      <c r="AE301" t="s">
        <v>7360</v>
      </c>
      <c r="AF301" t="s">
        <v>1684</v>
      </c>
      <c r="AG301">
        <v>0</v>
      </c>
      <c r="AH301">
        <v>0</v>
      </c>
      <c r="AI301">
        <v>0</v>
      </c>
      <c r="AJ301">
        <v>0</v>
      </c>
      <c r="AK301">
        <v>0</v>
      </c>
      <c r="AL301" t="s">
        <v>7360</v>
      </c>
      <c r="AM301">
        <v>0</v>
      </c>
      <c r="AN301" s="20">
        <v>44971</v>
      </c>
      <c r="AO301" s="20">
        <v>44971</v>
      </c>
      <c r="AP301" s="20">
        <v>44971</v>
      </c>
      <c r="AQ301">
        <v>0</v>
      </c>
      <c r="AR301">
        <v>0</v>
      </c>
      <c r="AS301">
        <v>0</v>
      </c>
      <c r="AT301">
        <v>0</v>
      </c>
      <c r="AU301">
        <v>0</v>
      </c>
      <c r="AV301" t="s">
        <v>7360</v>
      </c>
      <c r="AW301">
        <v>0</v>
      </c>
      <c r="AX301" t="s">
        <v>7360</v>
      </c>
      <c r="AY301" t="s">
        <v>7363</v>
      </c>
      <c r="BA301">
        <v>0</v>
      </c>
      <c r="BB301" s="20">
        <v>44971</v>
      </c>
      <c r="BC301">
        <v>0</v>
      </c>
      <c r="BD301" t="s">
        <v>7360</v>
      </c>
      <c r="BF301" s="20">
        <v>44971</v>
      </c>
      <c r="BG301">
        <v>0</v>
      </c>
      <c r="BH301" t="s">
        <v>7363</v>
      </c>
      <c r="BJ301" t="s">
        <v>7362</v>
      </c>
      <c r="BK301">
        <v>169</v>
      </c>
      <c r="BL301">
        <v>11</v>
      </c>
      <c r="BM301">
        <v>1</v>
      </c>
      <c r="BN301" t="s">
        <v>7364</v>
      </c>
      <c r="BO301">
        <v>0</v>
      </c>
      <c r="BP301">
        <v>0</v>
      </c>
      <c r="BQ301">
        <v>0</v>
      </c>
      <c r="BR301">
        <v>0</v>
      </c>
      <c r="BS301" t="s">
        <v>7427</v>
      </c>
      <c r="BT301" t="s">
        <v>7360</v>
      </c>
      <c r="BU301" t="s">
        <v>7360</v>
      </c>
      <c r="BV301" t="s">
        <v>7360</v>
      </c>
      <c r="BX301" t="s">
        <v>7391</v>
      </c>
      <c r="BY301">
        <v>74</v>
      </c>
      <c r="BZ301" t="s">
        <v>7360</v>
      </c>
      <c r="CA301" t="s">
        <v>7360</v>
      </c>
      <c r="CB301">
        <v>5558210</v>
      </c>
      <c r="CC301" s="20">
        <v>44967</v>
      </c>
      <c r="CE301" t="s">
        <v>7392</v>
      </c>
      <c r="CF301">
        <v>1100101</v>
      </c>
      <c r="CG301">
        <v>53575</v>
      </c>
      <c r="CH301">
        <v>53575</v>
      </c>
      <c r="CI301" s="21">
        <v>44971.68072916667</v>
      </c>
      <c r="CJ301" t="s">
        <v>7393</v>
      </c>
      <c r="CK301" t="s">
        <v>7393</v>
      </c>
      <c r="CL301" t="s">
        <v>7394</v>
      </c>
      <c r="CM301" t="s">
        <v>7394</v>
      </c>
      <c r="CS301" t="s">
        <v>7361</v>
      </c>
      <c r="CT301" t="s">
        <v>7362</v>
      </c>
      <c r="CU301" t="s">
        <v>7362</v>
      </c>
      <c r="CV301" t="s">
        <v>7362</v>
      </c>
      <c r="CW301" t="s">
        <v>7362</v>
      </c>
      <c r="CX301">
        <v>840000</v>
      </c>
      <c r="DA301">
        <v>0</v>
      </c>
    </row>
    <row r="302" spans="1:105" x14ac:dyDescent="0.3">
      <c r="A302">
        <v>1354</v>
      </c>
      <c r="B302" t="s">
        <v>7396</v>
      </c>
      <c r="C302">
        <v>327</v>
      </c>
      <c r="D302" s="20">
        <v>44971</v>
      </c>
      <c r="E302" t="s">
        <v>7356</v>
      </c>
      <c r="F302" t="s">
        <v>5924</v>
      </c>
      <c r="G302" t="s">
        <v>7370</v>
      </c>
      <c r="H302">
        <v>1</v>
      </c>
      <c r="I302" t="s">
        <v>7358</v>
      </c>
      <c r="J302">
        <v>1</v>
      </c>
      <c r="K302" s="20">
        <v>44971</v>
      </c>
      <c r="L302" s="23">
        <v>1350000</v>
      </c>
      <c r="M302" t="s">
        <v>7359</v>
      </c>
      <c r="N302" t="s">
        <v>7360</v>
      </c>
      <c r="O302">
        <v>0</v>
      </c>
      <c r="P302">
        <v>12249</v>
      </c>
      <c r="Q302">
        <v>424001</v>
      </c>
      <c r="R302">
        <v>0</v>
      </c>
      <c r="S302">
        <v>20230214</v>
      </c>
      <c r="T302">
        <v>0</v>
      </c>
      <c r="U302" t="s">
        <v>7361</v>
      </c>
      <c r="V302" t="s">
        <v>7360</v>
      </c>
      <c r="W302" t="s">
        <v>7360</v>
      </c>
      <c r="X302" t="s">
        <v>7360</v>
      </c>
      <c r="Y302" t="s">
        <v>7360</v>
      </c>
      <c r="Z302" t="s">
        <v>7360</v>
      </c>
      <c r="AA302" t="s">
        <v>7362</v>
      </c>
      <c r="AB302" t="s">
        <v>7360</v>
      </c>
      <c r="AC302" t="s">
        <v>7360</v>
      </c>
      <c r="AD302" t="s">
        <v>7360</v>
      </c>
      <c r="AE302" t="s">
        <v>7360</v>
      </c>
      <c r="AF302" t="s">
        <v>1684</v>
      </c>
      <c r="AG302">
        <v>0</v>
      </c>
      <c r="AH302">
        <v>0</v>
      </c>
      <c r="AI302">
        <v>0</v>
      </c>
      <c r="AJ302">
        <v>0</v>
      </c>
      <c r="AK302">
        <v>0</v>
      </c>
      <c r="AL302" t="s">
        <v>7360</v>
      </c>
      <c r="AM302">
        <v>0</v>
      </c>
      <c r="AN302" s="20">
        <v>44971</v>
      </c>
      <c r="AO302" s="20">
        <v>44971</v>
      </c>
      <c r="AP302" s="20">
        <v>44971</v>
      </c>
      <c r="AQ302">
        <v>0</v>
      </c>
      <c r="AR302">
        <v>0</v>
      </c>
      <c r="AS302">
        <v>0</v>
      </c>
      <c r="AT302">
        <v>0</v>
      </c>
      <c r="AU302">
        <v>0</v>
      </c>
      <c r="AV302" t="s">
        <v>7360</v>
      </c>
      <c r="AW302">
        <v>0</v>
      </c>
      <c r="AX302" t="s">
        <v>7360</v>
      </c>
      <c r="AY302" t="s">
        <v>7363</v>
      </c>
      <c r="BA302">
        <v>0</v>
      </c>
      <c r="BB302" s="20">
        <v>44971</v>
      </c>
      <c r="BC302">
        <v>0</v>
      </c>
      <c r="BD302" t="s">
        <v>7360</v>
      </c>
      <c r="BF302" s="20">
        <v>44971</v>
      </c>
      <c r="BG302">
        <v>0</v>
      </c>
      <c r="BH302" t="s">
        <v>7363</v>
      </c>
      <c r="BJ302" t="s">
        <v>7362</v>
      </c>
      <c r="BK302">
        <v>169</v>
      </c>
      <c r="BL302">
        <v>11</v>
      </c>
      <c r="BM302">
        <v>1</v>
      </c>
      <c r="BN302" t="s">
        <v>7364</v>
      </c>
      <c r="BO302">
        <v>169</v>
      </c>
      <c r="BP302">
        <v>11</v>
      </c>
      <c r="BQ302">
        <v>1</v>
      </c>
      <c r="BR302" t="s">
        <v>7364</v>
      </c>
      <c r="BS302" t="s">
        <v>132</v>
      </c>
      <c r="BT302" t="s">
        <v>7360</v>
      </c>
      <c r="BU302" t="s">
        <v>7360</v>
      </c>
      <c r="BV302" t="s">
        <v>7360</v>
      </c>
      <c r="BX302" t="s">
        <v>7391</v>
      </c>
      <c r="BY302">
        <v>74</v>
      </c>
      <c r="BZ302" t="s">
        <v>7360</v>
      </c>
      <c r="CA302" t="s">
        <v>7360</v>
      </c>
      <c r="CB302">
        <v>3380666</v>
      </c>
      <c r="CC302" s="21">
        <v>44971.680486111109</v>
      </c>
      <c r="CE302" t="s">
        <v>7392</v>
      </c>
      <c r="CF302">
        <v>1100101</v>
      </c>
      <c r="CG302">
        <v>51669</v>
      </c>
      <c r="CH302">
        <v>51669</v>
      </c>
      <c r="CI302" s="21">
        <v>44971.68173611111</v>
      </c>
      <c r="CJ302" t="s">
        <v>7406</v>
      </c>
      <c r="CK302" t="s">
        <v>7406</v>
      </c>
      <c r="CL302" t="s">
        <v>7407</v>
      </c>
      <c r="CM302" t="s">
        <v>7407</v>
      </c>
      <c r="CS302" t="s">
        <v>7361</v>
      </c>
      <c r="CT302" t="s">
        <v>7362</v>
      </c>
      <c r="CU302" t="s">
        <v>7362</v>
      </c>
      <c r="CV302" t="s">
        <v>7362</v>
      </c>
      <c r="CW302" t="s">
        <v>7362</v>
      </c>
      <c r="CX302">
        <v>1350000</v>
      </c>
      <c r="DA302">
        <v>0</v>
      </c>
    </row>
    <row r="303" spans="1:105" x14ac:dyDescent="0.3">
      <c r="A303">
        <v>1354</v>
      </c>
      <c r="B303" t="s">
        <v>7396</v>
      </c>
      <c r="C303">
        <v>328</v>
      </c>
      <c r="D303" s="20">
        <v>44967</v>
      </c>
      <c r="E303" t="s">
        <v>7372</v>
      </c>
      <c r="F303" t="s">
        <v>5929</v>
      </c>
      <c r="G303" t="s">
        <v>7370</v>
      </c>
      <c r="H303">
        <v>1</v>
      </c>
      <c r="I303" t="s">
        <v>7358</v>
      </c>
      <c r="J303">
        <v>1</v>
      </c>
      <c r="K303" s="20">
        <v>44971</v>
      </c>
      <c r="L303" s="23">
        <v>1400000</v>
      </c>
      <c r="M303" t="s">
        <v>7359</v>
      </c>
      <c r="N303" t="s">
        <v>7360</v>
      </c>
      <c r="O303">
        <v>0</v>
      </c>
      <c r="P303">
        <v>12295</v>
      </c>
      <c r="Q303">
        <v>432014</v>
      </c>
      <c r="R303">
        <v>0</v>
      </c>
      <c r="S303">
        <v>20230210</v>
      </c>
      <c r="T303">
        <v>0</v>
      </c>
      <c r="U303" t="s">
        <v>7362</v>
      </c>
      <c r="V303" t="s">
        <v>7360</v>
      </c>
      <c r="W303" t="s">
        <v>7360</v>
      </c>
      <c r="X303" t="s">
        <v>7360</v>
      </c>
      <c r="Y303" t="s">
        <v>7360</v>
      </c>
      <c r="Z303" t="s">
        <v>7360</v>
      </c>
      <c r="AA303" t="s">
        <v>7362</v>
      </c>
      <c r="AB303" t="s">
        <v>7360</v>
      </c>
      <c r="AC303" t="s">
        <v>7360</v>
      </c>
      <c r="AD303" t="s">
        <v>7360</v>
      </c>
      <c r="AE303" t="s">
        <v>7360</v>
      </c>
      <c r="AF303" t="s">
        <v>1684</v>
      </c>
      <c r="AG303">
        <v>0</v>
      </c>
      <c r="AH303">
        <v>0</v>
      </c>
      <c r="AI303">
        <v>0</v>
      </c>
      <c r="AJ303">
        <v>0</v>
      </c>
      <c r="AK303">
        <v>0</v>
      </c>
      <c r="AL303" t="s">
        <v>7360</v>
      </c>
      <c r="AM303">
        <v>0</v>
      </c>
      <c r="AN303" s="20">
        <v>44971</v>
      </c>
      <c r="AO303" s="20">
        <v>44971</v>
      </c>
      <c r="AP303" s="20">
        <v>44971</v>
      </c>
      <c r="AQ303">
        <v>0</v>
      </c>
      <c r="AR303">
        <v>0</v>
      </c>
      <c r="AS303">
        <v>0</v>
      </c>
      <c r="AT303">
        <v>0</v>
      </c>
      <c r="AU303">
        <v>0</v>
      </c>
      <c r="AV303" t="s">
        <v>7360</v>
      </c>
      <c r="AW303">
        <v>0</v>
      </c>
      <c r="AX303" t="s">
        <v>7360</v>
      </c>
      <c r="AY303" t="s">
        <v>7362</v>
      </c>
      <c r="BA303">
        <v>0</v>
      </c>
      <c r="BB303" s="20">
        <v>44971</v>
      </c>
      <c r="BC303">
        <v>0</v>
      </c>
      <c r="BD303" t="s">
        <v>7360</v>
      </c>
      <c r="BF303" s="20">
        <v>44971</v>
      </c>
      <c r="BG303">
        <v>0</v>
      </c>
      <c r="BH303" t="s">
        <v>7363</v>
      </c>
      <c r="BJ303" t="s">
        <v>7362</v>
      </c>
      <c r="BK303">
        <v>169</v>
      </c>
      <c r="BL303">
        <v>11</v>
      </c>
      <c r="BM303">
        <v>1</v>
      </c>
      <c r="BN303" t="s">
        <v>7364</v>
      </c>
      <c r="BO303">
        <v>0</v>
      </c>
      <c r="BP303">
        <v>0</v>
      </c>
      <c r="BQ303">
        <v>0</v>
      </c>
      <c r="BR303">
        <v>0</v>
      </c>
      <c r="BS303" t="s">
        <v>7427</v>
      </c>
      <c r="BT303" t="s">
        <v>7360</v>
      </c>
      <c r="BU303" t="s">
        <v>7360</v>
      </c>
      <c r="BV303" t="s">
        <v>7360</v>
      </c>
      <c r="BX303" t="s">
        <v>7391</v>
      </c>
      <c r="BY303">
        <v>74</v>
      </c>
      <c r="BZ303" t="s">
        <v>7360</v>
      </c>
      <c r="CA303" t="s">
        <v>7360</v>
      </c>
      <c r="CB303">
        <v>5558210</v>
      </c>
      <c r="CC303" s="20">
        <v>44967</v>
      </c>
      <c r="CE303" t="s">
        <v>7392</v>
      </c>
      <c r="CF303">
        <v>1100101</v>
      </c>
      <c r="CG303">
        <v>53575</v>
      </c>
      <c r="CH303">
        <v>53575</v>
      </c>
      <c r="CI303" s="21">
        <v>44971.687696759262</v>
      </c>
      <c r="CJ303" t="s">
        <v>7393</v>
      </c>
      <c r="CK303" t="s">
        <v>7393</v>
      </c>
      <c r="CL303" t="s">
        <v>7394</v>
      </c>
      <c r="CM303" t="s">
        <v>7394</v>
      </c>
      <c r="CS303" t="s">
        <v>7361</v>
      </c>
      <c r="CT303" t="s">
        <v>7362</v>
      </c>
      <c r="CU303" t="s">
        <v>7362</v>
      </c>
      <c r="CV303" t="s">
        <v>7362</v>
      </c>
      <c r="CW303" t="s">
        <v>7362</v>
      </c>
      <c r="CX303">
        <v>1400000</v>
      </c>
      <c r="DA303">
        <v>0</v>
      </c>
    </row>
    <row r="304" spans="1:105" x14ac:dyDescent="0.3">
      <c r="A304">
        <v>1354</v>
      </c>
      <c r="B304" t="s">
        <v>7396</v>
      </c>
      <c r="C304">
        <v>329</v>
      </c>
      <c r="D304" s="20">
        <v>44971</v>
      </c>
      <c r="E304" t="s">
        <v>7356</v>
      </c>
      <c r="F304" t="s">
        <v>5934</v>
      </c>
      <c r="G304" t="s">
        <v>7370</v>
      </c>
      <c r="H304">
        <v>1</v>
      </c>
      <c r="I304" t="s">
        <v>7358</v>
      </c>
      <c r="J304">
        <v>1</v>
      </c>
      <c r="K304" s="20">
        <v>44971</v>
      </c>
      <c r="L304" s="23">
        <v>1650000</v>
      </c>
      <c r="M304" t="s">
        <v>7359</v>
      </c>
      <c r="N304" t="s">
        <v>7360</v>
      </c>
      <c r="O304">
        <v>0</v>
      </c>
      <c r="P304">
        <v>12251</v>
      </c>
      <c r="Q304">
        <v>426001</v>
      </c>
      <c r="R304">
        <v>0</v>
      </c>
      <c r="S304">
        <v>20230214</v>
      </c>
      <c r="T304">
        <v>0</v>
      </c>
      <c r="U304" t="s">
        <v>7361</v>
      </c>
      <c r="V304" t="s">
        <v>7360</v>
      </c>
      <c r="W304" t="s">
        <v>7360</v>
      </c>
      <c r="X304" t="s">
        <v>7360</v>
      </c>
      <c r="Y304" t="s">
        <v>7360</v>
      </c>
      <c r="Z304" t="s">
        <v>7360</v>
      </c>
      <c r="AA304" t="s">
        <v>7362</v>
      </c>
      <c r="AB304" t="s">
        <v>7360</v>
      </c>
      <c r="AC304" t="s">
        <v>7360</v>
      </c>
      <c r="AD304" t="s">
        <v>7360</v>
      </c>
      <c r="AE304" t="s">
        <v>7360</v>
      </c>
      <c r="AF304" t="s">
        <v>1684</v>
      </c>
      <c r="AG304">
        <v>0</v>
      </c>
      <c r="AH304">
        <v>0</v>
      </c>
      <c r="AI304">
        <v>0</v>
      </c>
      <c r="AJ304">
        <v>0</v>
      </c>
      <c r="AK304">
        <v>0</v>
      </c>
      <c r="AL304" t="s">
        <v>7360</v>
      </c>
      <c r="AM304">
        <v>0</v>
      </c>
      <c r="AN304" s="20">
        <v>44971</v>
      </c>
      <c r="AO304" s="20">
        <v>44971</v>
      </c>
      <c r="AP304" s="20">
        <v>44971</v>
      </c>
      <c r="AQ304">
        <v>0</v>
      </c>
      <c r="AR304">
        <v>0</v>
      </c>
      <c r="AS304">
        <v>0</v>
      </c>
      <c r="AT304">
        <v>0</v>
      </c>
      <c r="AU304">
        <v>0</v>
      </c>
      <c r="AV304" t="s">
        <v>7360</v>
      </c>
      <c r="AW304">
        <v>0</v>
      </c>
      <c r="AX304" t="s">
        <v>7360</v>
      </c>
      <c r="AY304" t="s">
        <v>7363</v>
      </c>
      <c r="BA304">
        <v>0</v>
      </c>
      <c r="BB304" s="20">
        <v>44971</v>
      </c>
      <c r="BC304">
        <v>0</v>
      </c>
      <c r="BD304" t="s">
        <v>7360</v>
      </c>
      <c r="BF304" s="20">
        <v>44971</v>
      </c>
      <c r="BG304">
        <v>0</v>
      </c>
      <c r="BH304" t="s">
        <v>7363</v>
      </c>
      <c r="BJ304" t="s">
        <v>7362</v>
      </c>
      <c r="BK304">
        <v>169</v>
      </c>
      <c r="BL304">
        <v>11</v>
      </c>
      <c r="BM304">
        <v>1</v>
      </c>
      <c r="BN304" t="s">
        <v>7364</v>
      </c>
      <c r="BO304">
        <v>169</v>
      </c>
      <c r="BP304">
        <v>11</v>
      </c>
      <c r="BQ304">
        <v>1</v>
      </c>
      <c r="BR304" t="s">
        <v>7364</v>
      </c>
      <c r="BS304" t="s">
        <v>132</v>
      </c>
      <c r="BT304" t="s">
        <v>7360</v>
      </c>
      <c r="BU304" t="s">
        <v>7360</v>
      </c>
      <c r="BV304" t="s">
        <v>7360</v>
      </c>
      <c r="BX304" t="s">
        <v>7391</v>
      </c>
      <c r="BY304">
        <v>74</v>
      </c>
      <c r="BZ304" t="s">
        <v>7360</v>
      </c>
      <c r="CA304" t="s">
        <v>7360</v>
      </c>
      <c r="CB304">
        <v>3380666</v>
      </c>
      <c r="CC304" s="21">
        <v>44971.685879629629</v>
      </c>
      <c r="CE304" t="s">
        <v>7392</v>
      </c>
      <c r="CF304">
        <v>1100101</v>
      </c>
      <c r="CG304">
        <v>51669</v>
      </c>
      <c r="CH304">
        <v>51669</v>
      </c>
      <c r="CI304" s="21">
        <v>44971.688009259262</v>
      </c>
      <c r="CJ304" t="s">
        <v>7406</v>
      </c>
      <c r="CK304" t="s">
        <v>7406</v>
      </c>
      <c r="CL304" t="s">
        <v>7407</v>
      </c>
      <c r="CM304" t="s">
        <v>7407</v>
      </c>
      <c r="CS304" t="s">
        <v>7361</v>
      </c>
      <c r="CT304" t="s">
        <v>7362</v>
      </c>
      <c r="CU304" t="s">
        <v>7362</v>
      </c>
      <c r="CV304" t="s">
        <v>7362</v>
      </c>
      <c r="CW304" t="s">
        <v>7362</v>
      </c>
      <c r="CX304">
        <v>1650000</v>
      </c>
      <c r="DA304">
        <v>0</v>
      </c>
    </row>
    <row r="305" spans="1:106" x14ac:dyDescent="0.3">
      <c r="A305">
        <v>1354</v>
      </c>
      <c r="B305" t="s">
        <v>7396</v>
      </c>
      <c r="C305">
        <v>330</v>
      </c>
      <c r="D305" s="20">
        <v>44971</v>
      </c>
      <c r="E305" t="s">
        <v>7356</v>
      </c>
      <c r="F305" t="s">
        <v>5940</v>
      </c>
      <c r="G305" t="s">
        <v>7370</v>
      </c>
      <c r="H305">
        <v>1</v>
      </c>
      <c r="I305" t="s">
        <v>7358</v>
      </c>
      <c r="J305">
        <v>1</v>
      </c>
      <c r="K305" s="20">
        <v>44971</v>
      </c>
      <c r="L305" s="23">
        <v>1350000</v>
      </c>
      <c r="M305" t="s">
        <v>7359</v>
      </c>
      <c r="N305" t="s">
        <v>7360</v>
      </c>
      <c r="O305">
        <v>0</v>
      </c>
      <c r="P305">
        <v>12322</v>
      </c>
      <c r="Q305">
        <v>432032</v>
      </c>
      <c r="R305">
        <v>0</v>
      </c>
      <c r="S305">
        <v>20230214</v>
      </c>
      <c r="T305">
        <v>0</v>
      </c>
      <c r="U305" t="s">
        <v>7361</v>
      </c>
      <c r="V305" t="s">
        <v>7360</v>
      </c>
      <c r="W305" t="s">
        <v>7360</v>
      </c>
      <c r="X305" t="s">
        <v>7360</v>
      </c>
      <c r="Y305" t="s">
        <v>7360</v>
      </c>
      <c r="Z305" t="s">
        <v>7360</v>
      </c>
      <c r="AA305" t="s">
        <v>7362</v>
      </c>
      <c r="AB305" t="s">
        <v>7360</v>
      </c>
      <c r="AC305" t="s">
        <v>7360</v>
      </c>
      <c r="AD305" t="s">
        <v>7360</v>
      </c>
      <c r="AE305" t="s">
        <v>7360</v>
      </c>
      <c r="AF305" t="s">
        <v>1684</v>
      </c>
      <c r="AG305">
        <v>0</v>
      </c>
      <c r="AH305">
        <v>0</v>
      </c>
      <c r="AI305">
        <v>0</v>
      </c>
      <c r="AJ305">
        <v>0</v>
      </c>
      <c r="AK305">
        <v>0</v>
      </c>
      <c r="AL305" t="s">
        <v>7360</v>
      </c>
      <c r="AM305">
        <v>0</v>
      </c>
      <c r="AN305" s="20">
        <v>44971</v>
      </c>
      <c r="AO305" s="20">
        <v>44971</v>
      </c>
      <c r="AP305" s="20">
        <v>44971</v>
      </c>
      <c r="AQ305">
        <v>0</v>
      </c>
      <c r="AR305">
        <v>0</v>
      </c>
      <c r="AS305">
        <v>0</v>
      </c>
      <c r="AT305">
        <v>0</v>
      </c>
      <c r="AU305">
        <v>0</v>
      </c>
      <c r="AV305" t="s">
        <v>7360</v>
      </c>
      <c r="AW305">
        <v>0</v>
      </c>
      <c r="AX305" t="s">
        <v>7360</v>
      </c>
      <c r="AY305" t="s">
        <v>7363</v>
      </c>
      <c r="BA305">
        <v>0</v>
      </c>
      <c r="BB305" s="20">
        <v>44971</v>
      </c>
      <c r="BC305">
        <v>0</v>
      </c>
      <c r="BD305" t="s">
        <v>7360</v>
      </c>
      <c r="BF305" s="20">
        <v>44971</v>
      </c>
      <c r="BG305">
        <v>0</v>
      </c>
      <c r="BH305" t="s">
        <v>7363</v>
      </c>
      <c r="BJ305" t="s">
        <v>7362</v>
      </c>
      <c r="BK305">
        <v>169</v>
      </c>
      <c r="BL305">
        <v>11</v>
      </c>
      <c r="BM305">
        <v>1</v>
      </c>
      <c r="BN305" t="s">
        <v>7364</v>
      </c>
      <c r="BO305">
        <v>169</v>
      </c>
      <c r="BP305">
        <v>11</v>
      </c>
      <c r="BQ305">
        <v>1</v>
      </c>
      <c r="BR305" t="s">
        <v>7364</v>
      </c>
      <c r="BS305" t="s">
        <v>132</v>
      </c>
      <c r="BT305" t="s">
        <v>7360</v>
      </c>
      <c r="BU305" t="s">
        <v>7360</v>
      </c>
      <c r="BV305" t="s">
        <v>7360</v>
      </c>
      <c r="BX305" t="s">
        <v>7391</v>
      </c>
      <c r="BY305">
        <v>74</v>
      </c>
      <c r="BZ305" t="s">
        <v>7360</v>
      </c>
      <c r="CA305" t="s">
        <v>7360</v>
      </c>
      <c r="CB305">
        <v>3380666</v>
      </c>
      <c r="CC305" s="21">
        <v>44971.690763888888</v>
      </c>
      <c r="CE305" t="s">
        <v>7392</v>
      </c>
      <c r="CF305">
        <v>1100101</v>
      </c>
      <c r="CG305">
        <v>51669</v>
      </c>
      <c r="CH305">
        <v>51669</v>
      </c>
      <c r="CI305" s="21">
        <v>44971.691747685189</v>
      </c>
      <c r="CJ305" t="s">
        <v>7406</v>
      </c>
      <c r="CK305" t="s">
        <v>7406</v>
      </c>
      <c r="CL305" t="s">
        <v>7407</v>
      </c>
      <c r="CM305" t="s">
        <v>7407</v>
      </c>
      <c r="CS305" t="s">
        <v>7361</v>
      </c>
      <c r="CT305" t="s">
        <v>7362</v>
      </c>
      <c r="CU305" t="s">
        <v>7362</v>
      </c>
      <c r="CV305" t="s">
        <v>7362</v>
      </c>
      <c r="CW305" t="s">
        <v>7362</v>
      </c>
      <c r="CX305">
        <v>1350000</v>
      </c>
      <c r="DA305">
        <v>0</v>
      </c>
    </row>
    <row r="306" spans="1:106" x14ac:dyDescent="0.3">
      <c r="A306">
        <v>1354</v>
      </c>
      <c r="B306" t="s">
        <v>7396</v>
      </c>
      <c r="C306">
        <v>331</v>
      </c>
      <c r="D306" s="20">
        <v>44967</v>
      </c>
      <c r="E306" t="s">
        <v>7356</v>
      </c>
      <c r="F306" t="s">
        <v>5945</v>
      </c>
      <c r="G306" t="s">
        <v>7370</v>
      </c>
      <c r="H306">
        <v>1</v>
      </c>
      <c r="I306" t="s">
        <v>7358</v>
      </c>
      <c r="J306">
        <v>1</v>
      </c>
      <c r="K306" s="20">
        <v>44971</v>
      </c>
      <c r="L306" s="23">
        <v>3120000</v>
      </c>
      <c r="M306" t="s">
        <v>7359</v>
      </c>
      <c r="N306" t="s">
        <v>7360</v>
      </c>
      <c r="O306">
        <v>0</v>
      </c>
      <c r="P306">
        <v>12318</v>
      </c>
      <c r="Q306">
        <v>432030</v>
      </c>
      <c r="R306">
        <v>0</v>
      </c>
      <c r="S306">
        <v>20230210</v>
      </c>
      <c r="T306">
        <v>0</v>
      </c>
      <c r="U306" t="s">
        <v>7361</v>
      </c>
      <c r="V306" t="s">
        <v>7360</v>
      </c>
      <c r="W306" t="s">
        <v>7360</v>
      </c>
      <c r="X306" t="s">
        <v>7360</v>
      </c>
      <c r="Y306" t="s">
        <v>7360</v>
      </c>
      <c r="Z306" t="s">
        <v>7360</v>
      </c>
      <c r="AA306" t="s">
        <v>7362</v>
      </c>
      <c r="AB306" t="s">
        <v>7360</v>
      </c>
      <c r="AC306" t="s">
        <v>7360</v>
      </c>
      <c r="AD306" t="s">
        <v>7360</v>
      </c>
      <c r="AE306" t="s">
        <v>7360</v>
      </c>
      <c r="AF306" t="s">
        <v>1684</v>
      </c>
      <c r="AG306">
        <v>0</v>
      </c>
      <c r="AH306">
        <v>0</v>
      </c>
      <c r="AI306">
        <v>0</v>
      </c>
      <c r="AJ306">
        <v>0</v>
      </c>
      <c r="AK306">
        <v>0</v>
      </c>
      <c r="AL306" t="s">
        <v>7360</v>
      </c>
      <c r="AM306">
        <v>0</v>
      </c>
      <c r="AN306" s="20">
        <v>44971</v>
      </c>
      <c r="AO306" s="20">
        <v>44971</v>
      </c>
      <c r="AP306" s="20">
        <v>44971</v>
      </c>
      <c r="AQ306">
        <v>0</v>
      </c>
      <c r="AR306">
        <v>0</v>
      </c>
      <c r="AS306">
        <v>0</v>
      </c>
      <c r="AT306">
        <v>0</v>
      </c>
      <c r="AU306">
        <v>0</v>
      </c>
      <c r="AV306" t="s">
        <v>7360</v>
      </c>
      <c r="AW306">
        <v>0</v>
      </c>
      <c r="AX306" t="s">
        <v>7360</v>
      </c>
      <c r="AY306" t="s">
        <v>7363</v>
      </c>
      <c r="BA306">
        <v>0</v>
      </c>
      <c r="BB306" s="20">
        <v>44971</v>
      </c>
      <c r="BC306">
        <v>0</v>
      </c>
      <c r="BD306" t="s">
        <v>7360</v>
      </c>
      <c r="BF306" s="20">
        <v>44971</v>
      </c>
      <c r="BG306">
        <v>0</v>
      </c>
      <c r="BH306" t="s">
        <v>7363</v>
      </c>
      <c r="BJ306" t="s">
        <v>7362</v>
      </c>
      <c r="BK306">
        <v>169</v>
      </c>
      <c r="BL306">
        <v>11</v>
      </c>
      <c r="BM306">
        <v>1</v>
      </c>
      <c r="BN306" t="s">
        <v>7364</v>
      </c>
      <c r="BO306">
        <v>0</v>
      </c>
      <c r="BP306">
        <v>0</v>
      </c>
      <c r="BQ306">
        <v>0</v>
      </c>
      <c r="BR306">
        <v>0</v>
      </c>
      <c r="BS306" t="s">
        <v>7427</v>
      </c>
      <c r="BT306" t="s">
        <v>7360</v>
      </c>
      <c r="BU306" t="s">
        <v>7360</v>
      </c>
      <c r="BV306" t="s">
        <v>7360</v>
      </c>
      <c r="BX306" t="s">
        <v>7391</v>
      </c>
      <c r="BY306">
        <v>74</v>
      </c>
      <c r="BZ306" t="s">
        <v>7360</v>
      </c>
      <c r="CA306" t="s">
        <v>7360</v>
      </c>
      <c r="CB306">
        <v>5558210</v>
      </c>
      <c r="CC306" s="20">
        <v>44967</v>
      </c>
      <c r="CE306" t="s">
        <v>7392</v>
      </c>
      <c r="CF306">
        <v>1100101</v>
      </c>
      <c r="CG306">
        <v>53575</v>
      </c>
      <c r="CH306">
        <v>53575</v>
      </c>
      <c r="CI306" s="21">
        <v>44971.694062499999</v>
      </c>
      <c r="CJ306" t="s">
        <v>7393</v>
      </c>
      <c r="CK306" t="s">
        <v>7393</v>
      </c>
      <c r="CL306" t="s">
        <v>7394</v>
      </c>
      <c r="CM306" t="s">
        <v>7394</v>
      </c>
      <c r="CS306" t="s">
        <v>7361</v>
      </c>
      <c r="CT306" t="s">
        <v>7362</v>
      </c>
      <c r="CU306" t="s">
        <v>7362</v>
      </c>
      <c r="CV306" t="s">
        <v>7362</v>
      </c>
      <c r="CW306" t="s">
        <v>7362</v>
      </c>
      <c r="CX306">
        <v>3120000</v>
      </c>
      <c r="DA306">
        <v>0</v>
      </c>
    </row>
    <row r="307" spans="1:106" x14ac:dyDescent="0.3">
      <c r="A307">
        <v>1354</v>
      </c>
      <c r="B307" t="s">
        <v>7396</v>
      </c>
      <c r="C307">
        <v>332</v>
      </c>
      <c r="D307" s="20">
        <v>44971</v>
      </c>
      <c r="E307" t="s">
        <v>7356</v>
      </c>
      <c r="F307" t="s">
        <v>5950</v>
      </c>
      <c r="G307" t="s">
        <v>7370</v>
      </c>
      <c r="H307">
        <v>1</v>
      </c>
      <c r="I307" t="s">
        <v>7358</v>
      </c>
      <c r="J307">
        <v>1</v>
      </c>
      <c r="K307" s="20">
        <v>44971</v>
      </c>
      <c r="L307" s="23">
        <v>5200000</v>
      </c>
      <c r="M307" t="s">
        <v>7359</v>
      </c>
      <c r="N307" t="s">
        <v>7360</v>
      </c>
      <c r="O307">
        <v>0</v>
      </c>
      <c r="P307">
        <v>12323</v>
      </c>
      <c r="Q307">
        <v>432033</v>
      </c>
      <c r="R307">
        <v>0</v>
      </c>
      <c r="S307">
        <v>20230214</v>
      </c>
      <c r="T307">
        <v>0</v>
      </c>
      <c r="U307" t="s">
        <v>7361</v>
      </c>
      <c r="V307" t="s">
        <v>7360</v>
      </c>
      <c r="W307" t="s">
        <v>7360</v>
      </c>
      <c r="X307" t="s">
        <v>7360</v>
      </c>
      <c r="Y307" t="s">
        <v>7360</v>
      </c>
      <c r="Z307" t="s">
        <v>7360</v>
      </c>
      <c r="AA307" t="s">
        <v>7362</v>
      </c>
      <c r="AB307" t="s">
        <v>7360</v>
      </c>
      <c r="AC307" t="s">
        <v>7360</v>
      </c>
      <c r="AD307" t="s">
        <v>7360</v>
      </c>
      <c r="AE307" t="s">
        <v>7360</v>
      </c>
      <c r="AF307" t="s">
        <v>1684</v>
      </c>
      <c r="AG307">
        <v>0</v>
      </c>
      <c r="AH307">
        <v>0</v>
      </c>
      <c r="AI307">
        <v>0</v>
      </c>
      <c r="AJ307">
        <v>0</v>
      </c>
      <c r="AK307">
        <v>0</v>
      </c>
      <c r="AL307" t="s">
        <v>7360</v>
      </c>
      <c r="AM307">
        <v>0</v>
      </c>
      <c r="AN307" s="20">
        <v>44971</v>
      </c>
      <c r="AO307" s="20">
        <v>44971</v>
      </c>
      <c r="AP307" s="20">
        <v>44971</v>
      </c>
      <c r="AQ307">
        <v>0</v>
      </c>
      <c r="AR307">
        <v>0</v>
      </c>
      <c r="AS307">
        <v>0</v>
      </c>
      <c r="AT307">
        <v>0</v>
      </c>
      <c r="AU307">
        <v>0</v>
      </c>
      <c r="AV307" t="s">
        <v>7360</v>
      </c>
      <c r="AW307">
        <v>0</v>
      </c>
      <c r="AX307" t="s">
        <v>7360</v>
      </c>
      <c r="AY307" t="s">
        <v>7363</v>
      </c>
      <c r="BA307">
        <v>0</v>
      </c>
      <c r="BB307" s="20">
        <v>44971</v>
      </c>
      <c r="BC307">
        <v>0</v>
      </c>
      <c r="BD307" t="s">
        <v>7360</v>
      </c>
      <c r="BF307" s="20">
        <v>44971</v>
      </c>
      <c r="BG307">
        <v>0</v>
      </c>
      <c r="BH307" t="s">
        <v>7363</v>
      </c>
      <c r="BJ307" t="s">
        <v>7362</v>
      </c>
      <c r="BK307">
        <v>169</v>
      </c>
      <c r="BL307">
        <v>11</v>
      </c>
      <c r="BM307">
        <v>1</v>
      </c>
      <c r="BN307" t="s">
        <v>7364</v>
      </c>
      <c r="BO307">
        <v>169</v>
      </c>
      <c r="BP307">
        <v>11</v>
      </c>
      <c r="BQ307">
        <v>1</v>
      </c>
      <c r="BR307" t="s">
        <v>7364</v>
      </c>
      <c r="BS307" t="s">
        <v>132</v>
      </c>
      <c r="BT307" t="s">
        <v>7360</v>
      </c>
      <c r="BU307" t="s">
        <v>7360</v>
      </c>
      <c r="BV307" t="s">
        <v>7360</v>
      </c>
      <c r="BX307" t="s">
        <v>7391</v>
      </c>
      <c r="BY307">
        <v>74</v>
      </c>
      <c r="BZ307" t="s">
        <v>7360</v>
      </c>
      <c r="CA307" t="s">
        <v>7360</v>
      </c>
      <c r="CB307">
        <v>3380666</v>
      </c>
      <c r="CC307" s="21">
        <v>44971.697488425925</v>
      </c>
      <c r="CE307" t="s">
        <v>7392</v>
      </c>
      <c r="CF307">
        <v>1100101</v>
      </c>
      <c r="CG307">
        <v>51669</v>
      </c>
      <c r="CH307">
        <v>51669</v>
      </c>
      <c r="CI307" s="21">
        <v>44971.698854166665</v>
      </c>
      <c r="CJ307" t="s">
        <v>7406</v>
      </c>
      <c r="CK307" t="s">
        <v>7406</v>
      </c>
      <c r="CL307" t="s">
        <v>7407</v>
      </c>
      <c r="CM307" t="s">
        <v>7407</v>
      </c>
      <c r="CS307" t="s">
        <v>7361</v>
      </c>
      <c r="CT307" t="s">
        <v>7362</v>
      </c>
      <c r="CU307" t="s">
        <v>7362</v>
      </c>
      <c r="CV307" t="s">
        <v>7362</v>
      </c>
      <c r="CW307" t="s">
        <v>7362</v>
      </c>
      <c r="CX307">
        <v>5200000</v>
      </c>
      <c r="DA307">
        <v>0</v>
      </c>
    </row>
    <row r="308" spans="1:106" x14ac:dyDescent="0.3">
      <c r="A308">
        <v>1354</v>
      </c>
      <c r="B308" t="s">
        <v>7396</v>
      </c>
      <c r="C308">
        <v>333</v>
      </c>
      <c r="D308" s="20">
        <v>44971</v>
      </c>
      <c r="E308" t="s">
        <v>7356</v>
      </c>
      <c r="F308" t="s">
        <v>5956</v>
      </c>
      <c r="G308" t="s">
        <v>7370</v>
      </c>
      <c r="H308">
        <v>1</v>
      </c>
      <c r="I308" t="s">
        <v>7358</v>
      </c>
      <c r="J308">
        <v>1</v>
      </c>
      <c r="K308" s="20">
        <v>44971</v>
      </c>
      <c r="L308" s="23">
        <v>1200000</v>
      </c>
      <c r="M308" t="s">
        <v>7359</v>
      </c>
      <c r="N308" t="s">
        <v>7360</v>
      </c>
      <c r="O308">
        <v>0</v>
      </c>
      <c r="P308">
        <v>12316</v>
      </c>
      <c r="Q308">
        <v>432028</v>
      </c>
      <c r="R308">
        <v>0</v>
      </c>
      <c r="S308">
        <v>20230214</v>
      </c>
      <c r="T308">
        <v>0</v>
      </c>
      <c r="U308" t="s">
        <v>7361</v>
      </c>
      <c r="V308" t="s">
        <v>7360</v>
      </c>
      <c r="W308" t="s">
        <v>7360</v>
      </c>
      <c r="X308" t="s">
        <v>7360</v>
      </c>
      <c r="Y308" t="s">
        <v>7360</v>
      </c>
      <c r="Z308" t="s">
        <v>7360</v>
      </c>
      <c r="AA308" t="s">
        <v>7362</v>
      </c>
      <c r="AB308" t="s">
        <v>7360</v>
      </c>
      <c r="AC308" t="s">
        <v>7360</v>
      </c>
      <c r="AD308" t="s">
        <v>7360</v>
      </c>
      <c r="AE308" t="s">
        <v>7360</v>
      </c>
      <c r="AF308" t="s">
        <v>1684</v>
      </c>
      <c r="AG308">
        <v>0</v>
      </c>
      <c r="AH308">
        <v>0</v>
      </c>
      <c r="AI308">
        <v>0</v>
      </c>
      <c r="AJ308">
        <v>0</v>
      </c>
      <c r="AK308">
        <v>0</v>
      </c>
      <c r="AL308" t="s">
        <v>7360</v>
      </c>
      <c r="AM308">
        <v>0</v>
      </c>
      <c r="AN308" s="20">
        <v>44971</v>
      </c>
      <c r="AO308" s="20">
        <v>44971</v>
      </c>
      <c r="AP308" s="20">
        <v>44971</v>
      </c>
      <c r="AQ308">
        <v>0</v>
      </c>
      <c r="AR308">
        <v>0</v>
      </c>
      <c r="AS308">
        <v>0</v>
      </c>
      <c r="AT308">
        <v>0</v>
      </c>
      <c r="AU308">
        <v>0</v>
      </c>
      <c r="AV308" t="s">
        <v>7360</v>
      </c>
      <c r="AW308">
        <v>0</v>
      </c>
      <c r="AX308" t="s">
        <v>7360</v>
      </c>
      <c r="AY308" t="s">
        <v>7363</v>
      </c>
      <c r="BA308">
        <v>0</v>
      </c>
      <c r="BB308" s="20">
        <v>44971</v>
      </c>
      <c r="BC308">
        <v>0</v>
      </c>
      <c r="BD308" t="s">
        <v>7360</v>
      </c>
      <c r="BF308" s="20">
        <v>44971</v>
      </c>
      <c r="BG308">
        <v>0</v>
      </c>
      <c r="BH308" t="s">
        <v>7363</v>
      </c>
      <c r="BJ308" t="s">
        <v>7362</v>
      </c>
      <c r="BK308">
        <v>169</v>
      </c>
      <c r="BL308">
        <v>11</v>
      </c>
      <c r="BM308">
        <v>1</v>
      </c>
      <c r="BN308" t="s">
        <v>7364</v>
      </c>
      <c r="BO308">
        <v>0</v>
      </c>
      <c r="BP308">
        <v>0</v>
      </c>
      <c r="BQ308">
        <v>0</v>
      </c>
      <c r="BR308">
        <v>0</v>
      </c>
      <c r="BS308" t="s">
        <v>7427</v>
      </c>
      <c r="BT308" t="s">
        <v>7360</v>
      </c>
      <c r="BU308" t="s">
        <v>7360</v>
      </c>
      <c r="BV308" t="s">
        <v>7360</v>
      </c>
      <c r="BX308" t="s">
        <v>7391</v>
      </c>
      <c r="BY308">
        <v>74</v>
      </c>
      <c r="BZ308" t="s">
        <v>7360</v>
      </c>
      <c r="CA308" t="s">
        <v>7360</v>
      </c>
      <c r="CB308">
        <v>5558210</v>
      </c>
      <c r="CC308" s="21">
        <v>44971.69872685185</v>
      </c>
      <c r="CE308" t="s">
        <v>7392</v>
      </c>
      <c r="CF308">
        <v>1100101</v>
      </c>
      <c r="CG308">
        <v>53575</v>
      </c>
      <c r="CH308">
        <v>53575</v>
      </c>
      <c r="CI308" s="21">
        <v>44971.700011574074</v>
      </c>
      <c r="CJ308" t="s">
        <v>7393</v>
      </c>
      <c r="CK308" t="s">
        <v>7393</v>
      </c>
      <c r="CL308" t="s">
        <v>7394</v>
      </c>
      <c r="CM308" t="s">
        <v>7394</v>
      </c>
      <c r="CS308" t="s">
        <v>7361</v>
      </c>
      <c r="CT308" t="s">
        <v>7362</v>
      </c>
      <c r="CU308" t="s">
        <v>7362</v>
      </c>
      <c r="CV308" t="s">
        <v>7362</v>
      </c>
      <c r="CW308" t="s">
        <v>7362</v>
      </c>
      <c r="CX308">
        <v>1200000</v>
      </c>
      <c r="DA308">
        <v>0</v>
      </c>
    </row>
    <row r="309" spans="1:106" x14ac:dyDescent="0.3">
      <c r="A309">
        <v>1354</v>
      </c>
      <c r="B309" t="s">
        <v>7396</v>
      </c>
      <c r="C309">
        <v>334</v>
      </c>
      <c r="D309" s="20">
        <v>44971</v>
      </c>
      <c r="E309" t="s">
        <v>7356</v>
      </c>
      <c r="F309" t="s">
        <v>5961</v>
      </c>
      <c r="G309" t="s">
        <v>7370</v>
      </c>
      <c r="H309">
        <v>1</v>
      </c>
      <c r="I309" t="s">
        <v>7358</v>
      </c>
      <c r="J309">
        <v>1</v>
      </c>
      <c r="K309" s="20">
        <v>44971</v>
      </c>
      <c r="L309" s="23">
        <v>1350000</v>
      </c>
      <c r="M309" t="s">
        <v>7359</v>
      </c>
      <c r="N309" t="s">
        <v>7360</v>
      </c>
      <c r="O309">
        <v>0</v>
      </c>
      <c r="P309">
        <v>12324</v>
      </c>
      <c r="Q309">
        <v>432034</v>
      </c>
      <c r="R309">
        <v>0</v>
      </c>
      <c r="S309">
        <v>20230214</v>
      </c>
      <c r="T309">
        <v>0</v>
      </c>
      <c r="U309" t="s">
        <v>7361</v>
      </c>
      <c r="V309" t="s">
        <v>7360</v>
      </c>
      <c r="W309" t="s">
        <v>7360</v>
      </c>
      <c r="X309" t="s">
        <v>7360</v>
      </c>
      <c r="Y309" t="s">
        <v>7360</v>
      </c>
      <c r="Z309" t="s">
        <v>7360</v>
      </c>
      <c r="AA309" t="s">
        <v>7362</v>
      </c>
      <c r="AB309" t="s">
        <v>7360</v>
      </c>
      <c r="AC309" t="s">
        <v>7360</v>
      </c>
      <c r="AD309" t="s">
        <v>7360</v>
      </c>
      <c r="AE309" t="s">
        <v>7360</v>
      </c>
      <c r="AF309" t="s">
        <v>1684</v>
      </c>
      <c r="AG309">
        <v>0</v>
      </c>
      <c r="AH309">
        <v>0</v>
      </c>
      <c r="AI309">
        <v>0</v>
      </c>
      <c r="AJ309">
        <v>0</v>
      </c>
      <c r="AK309">
        <v>0</v>
      </c>
      <c r="AL309" t="s">
        <v>7360</v>
      </c>
      <c r="AM309">
        <v>0</v>
      </c>
      <c r="AN309" s="20">
        <v>44971</v>
      </c>
      <c r="AO309" s="20">
        <v>44971</v>
      </c>
      <c r="AP309" s="20">
        <v>44971</v>
      </c>
      <c r="AQ309">
        <v>0</v>
      </c>
      <c r="AR309">
        <v>0</v>
      </c>
      <c r="AS309">
        <v>0</v>
      </c>
      <c r="AT309">
        <v>0</v>
      </c>
      <c r="AU309">
        <v>0</v>
      </c>
      <c r="AV309" t="s">
        <v>7360</v>
      </c>
      <c r="AW309">
        <v>0</v>
      </c>
      <c r="AX309" t="s">
        <v>7360</v>
      </c>
      <c r="AY309" t="s">
        <v>7363</v>
      </c>
      <c r="BA309">
        <v>0</v>
      </c>
      <c r="BB309" s="20">
        <v>44971</v>
      </c>
      <c r="BC309">
        <v>0</v>
      </c>
      <c r="BD309" t="s">
        <v>7360</v>
      </c>
      <c r="BF309" s="20">
        <v>44971</v>
      </c>
      <c r="BG309">
        <v>0</v>
      </c>
      <c r="BH309" t="s">
        <v>7363</v>
      </c>
      <c r="BJ309" t="s">
        <v>7362</v>
      </c>
      <c r="BK309">
        <v>169</v>
      </c>
      <c r="BL309">
        <v>11</v>
      </c>
      <c r="BM309">
        <v>1</v>
      </c>
      <c r="BN309" t="s">
        <v>7364</v>
      </c>
      <c r="BO309">
        <v>169</v>
      </c>
      <c r="BP309">
        <v>11</v>
      </c>
      <c r="BQ309">
        <v>1</v>
      </c>
      <c r="BR309" t="s">
        <v>7364</v>
      </c>
      <c r="BS309" t="s">
        <v>132</v>
      </c>
      <c r="BT309" t="s">
        <v>7360</v>
      </c>
      <c r="BU309" t="s">
        <v>7360</v>
      </c>
      <c r="BV309" t="s">
        <v>7360</v>
      </c>
      <c r="BX309" t="s">
        <v>7391</v>
      </c>
      <c r="BY309">
        <v>74</v>
      </c>
      <c r="BZ309" t="s">
        <v>7360</v>
      </c>
      <c r="CA309" t="s">
        <v>7360</v>
      </c>
      <c r="CB309">
        <v>3380666</v>
      </c>
      <c r="CC309" s="21">
        <v>44971.702291666668</v>
      </c>
      <c r="CE309" t="s">
        <v>7392</v>
      </c>
      <c r="CF309">
        <v>1100101</v>
      </c>
      <c r="CG309">
        <v>51669</v>
      </c>
      <c r="CH309">
        <v>51669</v>
      </c>
      <c r="CI309" s="21">
        <v>44971.703483796293</v>
      </c>
      <c r="CJ309" t="s">
        <v>7406</v>
      </c>
      <c r="CK309" t="s">
        <v>7406</v>
      </c>
      <c r="CL309" t="s">
        <v>7407</v>
      </c>
      <c r="CM309" t="s">
        <v>7407</v>
      </c>
      <c r="CS309" t="s">
        <v>7361</v>
      </c>
      <c r="CT309" t="s">
        <v>7362</v>
      </c>
      <c r="CU309" t="s">
        <v>7362</v>
      </c>
      <c r="CV309" t="s">
        <v>7362</v>
      </c>
      <c r="CW309" t="s">
        <v>7362</v>
      </c>
      <c r="CX309">
        <v>1350000</v>
      </c>
      <c r="DA309">
        <v>0</v>
      </c>
    </row>
    <row r="310" spans="1:106" x14ac:dyDescent="0.3">
      <c r="A310">
        <v>1354</v>
      </c>
      <c r="B310" t="s">
        <v>7396</v>
      </c>
      <c r="C310">
        <v>335</v>
      </c>
      <c r="D310" s="20">
        <v>44971</v>
      </c>
      <c r="E310" t="s">
        <v>7356</v>
      </c>
      <c r="F310" t="s">
        <v>5918</v>
      </c>
      <c r="G310" t="s">
        <v>7370</v>
      </c>
      <c r="H310">
        <v>1</v>
      </c>
      <c r="I310" t="s">
        <v>7358</v>
      </c>
      <c r="J310">
        <v>1</v>
      </c>
      <c r="K310" s="20">
        <v>44971</v>
      </c>
      <c r="L310" s="23">
        <v>1350000</v>
      </c>
      <c r="M310" t="s">
        <v>7359</v>
      </c>
      <c r="N310" t="s">
        <v>7360</v>
      </c>
      <c r="O310">
        <v>0</v>
      </c>
      <c r="P310">
        <v>12325</v>
      </c>
      <c r="Q310">
        <v>432035</v>
      </c>
      <c r="R310">
        <v>0</v>
      </c>
      <c r="S310">
        <v>20230214</v>
      </c>
      <c r="T310">
        <v>0</v>
      </c>
      <c r="U310" t="s">
        <v>7361</v>
      </c>
      <c r="V310" t="s">
        <v>7360</v>
      </c>
      <c r="W310" t="s">
        <v>7360</v>
      </c>
      <c r="X310" t="s">
        <v>7360</v>
      </c>
      <c r="Y310" t="s">
        <v>7360</v>
      </c>
      <c r="Z310" t="s">
        <v>7360</v>
      </c>
      <c r="AA310" t="s">
        <v>7362</v>
      </c>
      <c r="AB310" t="s">
        <v>7360</v>
      </c>
      <c r="AC310" t="s">
        <v>7360</v>
      </c>
      <c r="AD310" t="s">
        <v>7360</v>
      </c>
      <c r="AE310" t="s">
        <v>7360</v>
      </c>
      <c r="AF310" t="s">
        <v>1684</v>
      </c>
      <c r="AG310">
        <v>0</v>
      </c>
      <c r="AH310">
        <v>0</v>
      </c>
      <c r="AI310">
        <v>0</v>
      </c>
      <c r="AJ310">
        <v>0</v>
      </c>
      <c r="AK310">
        <v>0</v>
      </c>
      <c r="AL310" t="s">
        <v>7360</v>
      </c>
      <c r="AM310">
        <v>0</v>
      </c>
      <c r="AN310" s="20">
        <v>44971</v>
      </c>
      <c r="AO310" s="20">
        <v>44971</v>
      </c>
      <c r="AP310" s="20">
        <v>44971</v>
      </c>
      <c r="AQ310">
        <v>0</v>
      </c>
      <c r="AR310">
        <v>0</v>
      </c>
      <c r="AS310">
        <v>0</v>
      </c>
      <c r="AT310">
        <v>0</v>
      </c>
      <c r="AU310">
        <v>0</v>
      </c>
      <c r="AV310" t="s">
        <v>7360</v>
      </c>
      <c r="AW310">
        <v>0</v>
      </c>
      <c r="AX310" t="s">
        <v>7360</v>
      </c>
      <c r="AY310" t="s">
        <v>7363</v>
      </c>
      <c r="BA310">
        <v>0</v>
      </c>
      <c r="BB310" s="20">
        <v>44971</v>
      </c>
      <c r="BC310">
        <v>0</v>
      </c>
      <c r="BD310" t="s">
        <v>7360</v>
      </c>
      <c r="BF310" s="20">
        <v>44971</v>
      </c>
      <c r="BG310">
        <v>0</v>
      </c>
      <c r="BH310" t="s">
        <v>7363</v>
      </c>
      <c r="BJ310" t="s">
        <v>7362</v>
      </c>
      <c r="BK310">
        <v>169</v>
      </c>
      <c r="BL310">
        <v>11</v>
      </c>
      <c r="BM310">
        <v>1</v>
      </c>
      <c r="BN310" t="s">
        <v>7364</v>
      </c>
      <c r="BO310">
        <v>169</v>
      </c>
      <c r="BP310">
        <v>11</v>
      </c>
      <c r="BQ310">
        <v>1</v>
      </c>
      <c r="BR310" t="s">
        <v>7364</v>
      </c>
      <c r="BS310" t="s">
        <v>132</v>
      </c>
      <c r="BT310" t="s">
        <v>7360</v>
      </c>
      <c r="BU310" t="s">
        <v>7360</v>
      </c>
      <c r="BV310" t="s">
        <v>7360</v>
      </c>
      <c r="BX310" t="s">
        <v>7391</v>
      </c>
      <c r="BY310">
        <v>74</v>
      </c>
      <c r="BZ310" t="s">
        <v>7360</v>
      </c>
      <c r="CA310" t="s">
        <v>7360</v>
      </c>
      <c r="CB310">
        <v>3380666</v>
      </c>
      <c r="CC310" s="21">
        <v>44971.706099537034</v>
      </c>
      <c r="CE310" t="s">
        <v>7392</v>
      </c>
      <c r="CF310">
        <v>1100101</v>
      </c>
      <c r="CG310">
        <v>51669</v>
      </c>
      <c r="CH310">
        <v>51669</v>
      </c>
      <c r="CI310" s="21">
        <v>44971.706990740742</v>
      </c>
      <c r="CJ310" t="s">
        <v>7406</v>
      </c>
      <c r="CK310" t="s">
        <v>7406</v>
      </c>
      <c r="CL310" t="s">
        <v>7407</v>
      </c>
      <c r="CM310" t="s">
        <v>7407</v>
      </c>
      <c r="CS310" t="s">
        <v>7361</v>
      </c>
      <c r="CT310" t="s">
        <v>7362</v>
      </c>
      <c r="CU310" t="s">
        <v>7362</v>
      </c>
      <c r="CV310" t="s">
        <v>7362</v>
      </c>
      <c r="CW310" t="s">
        <v>7362</v>
      </c>
      <c r="CX310">
        <v>1350000</v>
      </c>
      <c r="DA310">
        <v>0</v>
      </c>
    </row>
    <row r="311" spans="1:106" x14ac:dyDescent="0.3">
      <c r="A311">
        <v>1352</v>
      </c>
      <c r="B311" t="s">
        <v>7416</v>
      </c>
      <c r="C311">
        <v>336</v>
      </c>
      <c r="D311" s="20">
        <v>44967</v>
      </c>
      <c r="E311" t="s">
        <v>7356</v>
      </c>
      <c r="F311" t="s">
        <v>5924</v>
      </c>
      <c r="G311" t="s">
        <v>7357</v>
      </c>
      <c r="H311">
        <v>1</v>
      </c>
      <c r="I311" t="s">
        <v>7358</v>
      </c>
      <c r="J311">
        <v>1</v>
      </c>
      <c r="K311" s="20">
        <v>44971</v>
      </c>
      <c r="L311" s="23">
        <v>1010500</v>
      </c>
      <c r="M311" t="s">
        <v>7359</v>
      </c>
      <c r="N311" t="s">
        <v>7360</v>
      </c>
      <c r="O311">
        <v>0</v>
      </c>
      <c r="P311">
        <v>12288</v>
      </c>
      <c r="Q311">
        <v>432011</v>
      </c>
      <c r="R311">
        <v>0</v>
      </c>
      <c r="S311">
        <v>20230210</v>
      </c>
      <c r="T311">
        <v>0</v>
      </c>
      <c r="U311" t="s">
        <v>7361</v>
      </c>
      <c r="V311" t="s">
        <v>7360</v>
      </c>
      <c r="W311" t="s">
        <v>7360</v>
      </c>
      <c r="X311" t="s">
        <v>7360</v>
      </c>
      <c r="Y311" t="s">
        <v>7360</v>
      </c>
      <c r="Z311" t="s">
        <v>7360</v>
      </c>
      <c r="AA311" t="s">
        <v>7362</v>
      </c>
      <c r="AB311" t="s">
        <v>7360</v>
      </c>
      <c r="AC311" t="s">
        <v>7360</v>
      </c>
      <c r="AD311" t="s">
        <v>7360</v>
      </c>
      <c r="AE311" t="s">
        <v>7360</v>
      </c>
      <c r="AF311" t="s">
        <v>1684</v>
      </c>
      <c r="AG311">
        <v>0</v>
      </c>
      <c r="AH311">
        <v>0</v>
      </c>
      <c r="AI311">
        <v>0</v>
      </c>
      <c r="AJ311">
        <v>0</v>
      </c>
      <c r="AK311">
        <v>0</v>
      </c>
      <c r="AL311" t="s">
        <v>7360</v>
      </c>
      <c r="AM311">
        <v>0</v>
      </c>
      <c r="AN311" s="20">
        <v>44971</v>
      </c>
      <c r="AO311" s="20">
        <v>44971</v>
      </c>
      <c r="AP311" s="20">
        <v>44971</v>
      </c>
      <c r="AQ311">
        <v>0</v>
      </c>
      <c r="AR311">
        <v>0</v>
      </c>
      <c r="AS311">
        <v>0</v>
      </c>
      <c r="AT311">
        <v>0</v>
      </c>
      <c r="AU311">
        <v>0</v>
      </c>
      <c r="AV311" t="s">
        <v>7360</v>
      </c>
      <c r="AW311">
        <v>0</v>
      </c>
      <c r="AX311" t="s">
        <v>7360</v>
      </c>
      <c r="AY311" t="s">
        <v>7363</v>
      </c>
      <c r="BA311">
        <v>0</v>
      </c>
      <c r="BB311" s="20">
        <v>44971</v>
      </c>
      <c r="BC311">
        <v>0</v>
      </c>
      <c r="BD311" t="s">
        <v>7360</v>
      </c>
      <c r="BF311" s="20">
        <v>44971</v>
      </c>
      <c r="BG311">
        <v>0</v>
      </c>
      <c r="BH311" t="s">
        <v>7363</v>
      </c>
      <c r="BJ311" t="s">
        <v>7362</v>
      </c>
      <c r="BK311">
        <v>169</v>
      </c>
      <c r="BL311">
        <v>11</v>
      </c>
      <c r="BM311">
        <v>1</v>
      </c>
      <c r="BN311" t="s">
        <v>7364</v>
      </c>
      <c r="BO311">
        <v>0</v>
      </c>
      <c r="BP311">
        <v>0</v>
      </c>
      <c r="BQ311">
        <v>0</v>
      </c>
      <c r="BR311">
        <v>0</v>
      </c>
      <c r="BS311" t="s">
        <v>48</v>
      </c>
      <c r="BT311" t="s">
        <v>7360</v>
      </c>
      <c r="BU311" t="s">
        <v>7360</v>
      </c>
      <c r="BV311" t="s">
        <v>7360</v>
      </c>
      <c r="BX311" t="s">
        <v>7391</v>
      </c>
      <c r="BY311">
        <v>74</v>
      </c>
      <c r="BZ311" t="s">
        <v>7360</v>
      </c>
      <c r="CA311" t="s">
        <v>7360</v>
      </c>
      <c r="CB311">
        <v>5558210</v>
      </c>
      <c r="CC311" s="21">
        <v>44971.710706018515</v>
      </c>
      <c r="CE311" t="s">
        <v>7392</v>
      </c>
      <c r="CF311">
        <v>1100101</v>
      </c>
      <c r="CG311">
        <v>53575</v>
      </c>
      <c r="CH311">
        <v>53575</v>
      </c>
      <c r="CI311" s="21">
        <v>44971.712337962963</v>
      </c>
      <c r="CJ311" t="s">
        <v>7393</v>
      </c>
      <c r="CK311" t="s">
        <v>7393</v>
      </c>
      <c r="CL311" t="s">
        <v>7394</v>
      </c>
      <c r="CM311" t="s">
        <v>7394</v>
      </c>
      <c r="CS311" t="s">
        <v>7361</v>
      </c>
      <c r="CT311" t="s">
        <v>7362</v>
      </c>
      <c r="CU311" t="s">
        <v>7362</v>
      </c>
      <c r="CV311" t="s">
        <v>7362</v>
      </c>
      <c r="CW311" t="s">
        <v>7362</v>
      </c>
      <c r="CX311">
        <v>1010500</v>
      </c>
      <c r="DA311">
        <v>0</v>
      </c>
    </row>
    <row r="312" spans="1:106" x14ac:dyDescent="0.3">
      <c r="A312">
        <v>1354</v>
      </c>
      <c r="B312" t="s">
        <v>7396</v>
      </c>
      <c r="C312">
        <v>337</v>
      </c>
      <c r="D312" s="20">
        <v>44972</v>
      </c>
      <c r="E312" t="s">
        <v>7356</v>
      </c>
      <c r="F312" t="s">
        <v>5929</v>
      </c>
      <c r="G312" t="s">
        <v>7370</v>
      </c>
      <c r="H312">
        <v>1</v>
      </c>
      <c r="I312" t="s">
        <v>7358</v>
      </c>
      <c r="J312">
        <v>1</v>
      </c>
      <c r="K312" s="20">
        <v>44972</v>
      </c>
      <c r="L312" s="23">
        <v>2600000</v>
      </c>
      <c r="M312" t="s">
        <v>7359</v>
      </c>
      <c r="N312" t="s">
        <v>7360</v>
      </c>
      <c r="O312">
        <v>0</v>
      </c>
      <c r="P312">
        <v>12326</v>
      </c>
      <c r="Q312">
        <v>432036</v>
      </c>
      <c r="R312">
        <v>0</v>
      </c>
      <c r="S312">
        <v>20230215</v>
      </c>
      <c r="T312">
        <v>0</v>
      </c>
      <c r="U312" t="s">
        <v>7361</v>
      </c>
      <c r="V312" t="s">
        <v>7360</v>
      </c>
      <c r="W312" t="s">
        <v>7360</v>
      </c>
      <c r="X312" t="s">
        <v>7360</v>
      </c>
      <c r="Y312" t="s">
        <v>7360</v>
      </c>
      <c r="Z312" t="s">
        <v>7360</v>
      </c>
      <c r="AA312" t="s">
        <v>7362</v>
      </c>
      <c r="AB312" t="s">
        <v>7360</v>
      </c>
      <c r="AC312" t="s">
        <v>7360</v>
      </c>
      <c r="AD312" t="s">
        <v>7360</v>
      </c>
      <c r="AE312" t="s">
        <v>7360</v>
      </c>
      <c r="AF312" t="s">
        <v>1684</v>
      </c>
      <c r="AG312">
        <v>0</v>
      </c>
      <c r="AH312">
        <v>0</v>
      </c>
      <c r="AI312">
        <v>0</v>
      </c>
      <c r="AJ312">
        <v>0</v>
      </c>
      <c r="AK312">
        <v>0</v>
      </c>
      <c r="AL312" t="s">
        <v>7360</v>
      </c>
      <c r="AM312">
        <v>0</v>
      </c>
      <c r="AN312" s="20">
        <v>44972</v>
      </c>
      <c r="AO312" s="20">
        <v>44972</v>
      </c>
      <c r="AP312" s="20">
        <v>44972</v>
      </c>
      <c r="AQ312">
        <v>0</v>
      </c>
      <c r="AR312">
        <v>0</v>
      </c>
      <c r="AS312">
        <v>0</v>
      </c>
      <c r="AT312">
        <v>0</v>
      </c>
      <c r="AU312">
        <v>0</v>
      </c>
      <c r="AV312" t="s">
        <v>7360</v>
      </c>
      <c r="AW312">
        <v>0</v>
      </c>
      <c r="AX312" t="s">
        <v>7360</v>
      </c>
      <c r="AY312" t="s">
        <v>7363</v>
      </c>
      <c r="BA312">
        <v>0</v>
      </c>
      <c r="BB312" s="20">
        <v>44972</v>
      </c>
      <c r="BC312">
        <v>0</v>
      </c>
      <c r="BD312" t="s">
        <v>7360</v>
      </c>
      <c r="BF312" s="20">
        <v>44972</v>
      </c>
      <c r="BG312">
        <v>0</v>
      </c>
      <c r="BH312" t="s">
        <v>7363</v>
      </c>
      <c r="BJ312" t="s">
        <v>7362</v>
      </c>
      <c r="BK312">
        <v>169</v>
      </c>
      <c r="BL312">
        <v>11</v>
      </c>
      <c r="BM312">
        <v>1</v>
      </c>
      <c r="BN312" t="s">
        <v>7364</v>
      </c>
      <c r="BO312">
        <v>169</v>
      </c>
      <c r="BP312">
        <v>11</v>
      </c>
      <c r="BQ312">
        <v>1</v>
      </c>
      <c r="BR312" t="s">
        <v>7364</v>
      </c>
      <c r="BS312" t="s">
        <v>132</v>
      </c>
      <c r="BT312" t="s">
        <v>7360</v>
      </c>
      <c r="BU312" t="s">
        <v>7360</v>
      </c>
      <c r="BV312" t="s">
        <v>7360</v>
      </c>
      <c r="BX312" t="s">
        <v>7391</v>
      </c>
      <c r="BY312">
        <v>74</v>
      </c>
      <c r="BZ312" t="s">
        <v>7360</v>
      </c>
      <c r="CA312" t="s">
        <v>7360</v>
      </c>
      <c r="CB312">
        <v>3380666</v>
      </c>
      <c r="CC312" s="21">
        <v>44972.396550925929</v>
      </c>
      <c r="CE312" t="s">
        <v>7392</v>
      </c>
      <c r="CF312">
        <v>1100101</v>
      </c>
      <c r="CG312">
        <v>51669</v>
      </c>
      <c r="CH312">
        <v>51669</v>
      </c>
      <c r="CI312" s="21">
        <v>44972.397453703707</v>
      </c>
      <c r="CJ312" t="s">
        <v>7406</v>
      </c>
      <c r="CK312" t="s">
        <v>7406</v>
      </c>
      <c r="CL312" t="s">
        <v>7407</v>
      </c>
      <c r="CM312" t="s">
        <v>7407</v>
      </c>
      <c r="CS312" t="s">
        <v>7361</v>
      </c>
      <c r="CT312" t="s">
        <v>7362</v>
      </c>
      <c r="CU312" t="s">
        <v>7362</v>
      </c>
      <c r="CV312" t="s">
        <v>7362</v>
      </c>
      <c r="CW312" t="s">
        <v>7362</v>
      </c>
      <c r="CX312">
        <v>2600000</v>
      </c>
      <c r="DA312">
        <v>0</v>
      </c>
    </row>
    <row r="313" spans="1:106" x14ac:dyDescent="0.3">
      <c r="A313">
        <v>1354</v>
      </c>
      <c r="B313" t="s">
        <v>7396</v>
      </c>
      <c r="C313">
        <v>338</v>
      </c>
      <c r="D313" s="20">
        <v>44972</v>
      </c>
      <c r="E313" t="s">
        <v>7372</v>
      </c>
      <c r="F313" t="s">
        <v>5934</v>
      </c>
      <c r="G313" t="s">
        <v>7370</v>
      </c>
      <c r="H313">
        <v>1</v>
      </c>
      <c r="I313" t="s">
        <v>7358</v>
      </c>
      <c r="J313">
        <v>1</v>
      </c>
      <c r="K313" s="20">
        <v>44972</v>
      </c>
      <c r="L313" s="23">
        <v>1800000</v>
      </c>
      <c r="M313" t="s">
        <v>7359</v>
      </c>
      <c r="N313" t="s">
        <v>7360</v>
      </c>
      <c r="O313">
        <v>0</v>
      </c>
      <c r="P313">
        <v>12327</v>
      </c>
      <c r="Q313">
        <v>432037</v>
      </c>
      <c r="R313">
        <v>0</v>
      </c>
      <c r="S313">
        <v>20230215</v>
      </c>
      <c r="T313">
        <v>0</v>
      </c>
      <c r="U313" t="s">
        <v>7362</v>
      </c>
      <c r="V313" t="s">
        <v>7360</v>
      </c>
      <c r="W313" t="s">
        <v>7360</v>
      </c>
      <c r="X313" t="s">
        <v>7360</v>
      </c>
      <c r="Y313" t="s">
        <v>7360</v>
      </c>
      <c r="Z313" t="s">
        <v>7360</v>
      </c>
      <c r="AA313" t="s">
        <v>7362</v>
      </c>
      <c r="AB313" t="s">
        <v>7360</v>
      </c>
      <c r="AC313" t="s">
        <v>7360</v>
      </c>
      <c r="AD313" t="s">
        <v>7360</v>
      </c>
      <c r="AE313" t="s">
        <v>7360</v>
      </c>
      <c r="AF313" t="s">
        <v>1684</v>
      </c>
      <c r="AG313">
        <v>0</v>
      </c>
      <c r="AH313">
        <v>0</v>
      </c>
      <c r="AI313">
        <v>0</v>
      </c>
      <c r="AJ313">
        <v>0</v>
      </c>
      <c r="AK313">
        <v>0</v>
      </c>
      <c r="AL313" t="s">
        <v>7360</v>
      </c>
      <c r="AM313">
        <v>0</v>
      </c>
      <c r="AN313" s="20">
        <v>44972</v>
      </c>
      <c r="AO313" s="20">
        <v>44972</v>
      </c>
      <c r="AP313" s="20">
        <v>44972</v>
      </c>
      <c r="AQ313">
        <v>0</v>
      </c>
      <c r="AR313">
        <v>0</v>
      </c>
      <c r="AS313">
        <v>0</v>
      </c>
      <c r="AT313">
        <v>0</v>
      </c>
      <c r="AU313">
        <v>0</v>
      </c>
      <c r="AV313" t="s">
        <v>7360</v>
      </c>
      <c r="AW313">
        <v>0</v>
      </c>
      <c r="AX313" t="s">
        <v>7360</v>
      </c>
      <c r="AY313" t="s">
        <v>7362</v>
      </c>
      <c r="BA313">
        <v>0</v>
      </c>
      <c r="BB313" s="20">
        <v>44972</v>
      </c>
      <c r="BC313">
        <v>0</v>
      </c>
      <c r="BD313" t="s">
        <v>7360</v>
      </c>
      <c r="BF313" s="20">
        <v>44972</v>
      </c>
      <c r="BG313">
        <v>0</v>
      </c>
      <c r="BH313" t="s">
        <v>7363</v>
      </c>
      <c r="BJ313" t="s">
        <v>7362</v>
      </c>
      <c r="BK313">
        <v>169</v>
      </c>
      <c r="BL313">
        <v>11</v>
      </c>
      <c r="BM313">
        <v>1</v>
      </c>
      <c r="BN313" t="s">
        <v>7364</v>
      </c>
      <c r="BO313">
        <v>169</v>
      </c>
      <c r="BP313">
        <v>11</v>
      </c>
      <c r="BQ313">
        <v>1</v>
      </c>
      <c r="BR313" t="s">
        <v>7364</v>
      </c>
      <c r="BS313" t="s">
        <v>132</v>
      </c>
      <c r="BT313" t="s">
        <v>7360</v>
      </c>
      <c r="BU313" t="s">
        <v>7360</v>
      </c>
      <c r="BV313" t="s">
        <v>7360</v>
      </c>
      <c r="BX313" t="s">
        <v>7391</v>
      </c>
      <c r="BY313">
        <v>74</v>
      </c>
      <c r="BZ313" t="s">
        <v>7360</v>
      </c>
      <c r="CA313" t="s">
        <v>7360</v>
      </c>
      <c r="CB313">
        <v>3380666</v>
      </c>
      <c r="CC313" s="21">
        <v>44972.399398148147</v>
      </c>
      <c r="CE313" t="s">
        <v>7392</v>
      </c>
      <c r="CF313">
        <v>1100101</v>
      </c>
      <c r="CG313">
        <v>51669</v>
      </c>
      <c r="CH313">
        <v>51669</v>
      </c>
      <c r="CI313" s="21">
        <v>44972.400069444448</v>
      </c>
      <c r="CJ313" t="s">
        <v>7406</v>
      </c>
      <c r="CK313" t="s">
        <v>7406</v>
      </c>
      <c r="CL313" t="s">
        <v>7407</v>
      </c>
      <c r="CM313" t="s">
        <v>7407</v>
      </c>
      <c r="CS313" t="s">
        <v>7361</v>
      </c>
      <c r="CT313" t="s">
        <v>7362</v>
      </c>
      <c r="CU313" t="s">
        <v>7362</v>
      </c>
      <c r="CV313" t="s">
        <v>7362</v>
      </c>
      <c r="CW313" t="s">
        <v>7362</v>
      </c>
      <c r="CX313">
        <v>1800000</v>
      </c>
      <c r="DA313">
        <v>0</v>
      </c>
    </row>
    <row r="314" spans="1:106" x14ac:dyDescent="0.3">
      <c r="A314">
        <v>1357</v>
      </c>
      <c r="B314" t="s">
        <v>7405</v>
      </c>
      <c r="C314">
        <v>524</v>
      </c>
      <c r="D314" s="20">
        <v>44988</v>
      </c>
      <c r="E314" t="s">
        <v>7356</v>
      </c>
      <c r="F314" t="s">
        <v>5940</v>
      </c>
      <c r="G314" t="s">
        <v>7357</v>
      </c>
      <c r="H314">
        <v>1</v>
      </c>
      <c r="I314" t="s">
        <v>7358</v>
      </c>
      <c r="J314">
        <v>1</v>
      </c>
      <c r="K314" s="20">
        <v>44988</v>
      </c>
      <c r="L314" s="23">
        <v>20765500</v>
      </c>
      <c r="M314" t="s">
        <v>7359</v>
      </c>
      <c r="N314" t="s">
        <v>7360</v>
      </c>
      <c r="O314">
        <v>0</v>
      </c>
      <c r="P314">
        <v>12666</v>
      </c>
      <c r="Q314">
        <v>449028</v>
      </c>
      <c r="R314">
        <v>0</v>
      </c>
      <c r="S314">
        <v>20230303</v>
      </c>
      <c r="T314">
        <v>0</v>
      </c>
      <c r="U314" t="s">
        <v>7361</v>
      </c>
      <c r="V314" t="s">
        <v>7360</v>
      </c>
      <c r="W314" t="s">
        <v>7360</v>
      </c>
      <c r="X314" t="s">
        <v>7360</v>
      </c>
      <c r="Y314" t="s">
        <v>7360</v>
      </c>
      <c r="Z314" t="s">
        <v>7360</v>
      </c>
      <c r="AA314" t="s">
        <v>7362</v>
      </c>
      <c r="AB314" t="s">
        <v>7360</v>
      </c>
      <c r="AC314" t="s">
        <v>7360</v>
      </c>
      <c r="AD314" t="s">
        <v>7360</v>
      </c>
      <c r="AE314" t="s">
        <v>7360</v>
      </c>
      <c r="AF314" t="s">
        <v>1684</v>
      </c>
      <c r="AG314">
        <v>0</v>
      </c>
      <c r="AH314">
        <v>0</v>
      </c>
      <c r="AI314">
        <v>0</v>
      </c>
      <c r="AJ314">
        <v>0</v>
      </c>
      <c r="AK314">
        <v>0</v>
      </c>
      <c r="AL314" t="s">
        <v>7360</v>
      </c>
      <c r="AM314">
        <v>0</v>
      </c>
      <c r="AN314" s="20">
        <v>44988</v>
      </c>
      <c r="AO314" s="20">
        <v>44988</v>
      </c>
      <c r="AP314" s="20">
        <v>44988</v>
      </c>
      <c r="AQ314">
        <v>0</v>
      </c>
      <c r="AR314">
        <v>0</v>
      </c>
      <c r="AS314">
        <v>0</v>
      </c>
      <c r="AT314">
        <v>0</v>
      </c>
      <c r="AU314">
        <v>0</v>
      </c>
      <c r="AV314" t="s">
        <v>7360</v>
      </c>
      <c r="AW314">
        <v>0</v>
      </c>
      <c r="AX314" t="s">
        <v>7360</v>
      </c>
      <c r="AY314" t="s">
        <v>7363</v>
      </c>
      <c r="BA314">
        <v>0</v>
      </c>
      <c r="BB314" s="20">
        <v>44988</v>
      </c>
      <c r="BC314">
        <v>0</v>
      </c>
      <c r="BD314" t="s">
        <v>7360</v>
      </c>
      <c r="BF314" s="20">
        <v>44988</v>
      </c>
      <c r="BG314">
        <v>0</v>
      </c>
      <c r="BH314" t="s">
        <v>1684</v>
      </c>
      <c r="BJ314" t="s">
        <v>7362</v>
      </c>
      <c r="BK314">
        <v>0</v>
      </c>
      <c r="BL314">
        <v>0</v>
      </c>
      <c r="BM314">
        <v>0</v>
      </c>
      <c r="BN314">
        <v>0</v>
      </c>
      <c r="BO314">
        <v>169</v>
      </c>
      <c r="BP314">
        <v>11</v>
      </c>
      <c r="BQ314">
        <v>1</v>
      </c>
      <c r="BR314" t="s">
        <v>7364</v>
      </c>
      <c r="BS314" t="s">
        <v>7386</v>
      </c>
      <c r="BT314" t="s">
        <v>7360</v>
      </c>
      <c r="BU314" t="s">
        <v>7360</v>
      </c>
      <c r="BV314" t="s">
        <v>7360</v>
      </c>
      <c r="BX314">
        <v>0</v>
      </c>
      <c r="BY314">
        <v>0</v>
      </c>
      <c r="BZ314" t="s">
        <v>7360</v>
      </c>
      <c r="CA314" t="s">
        <v>7360</v>
      </c>
      <c r="CB314">
        <v>3380666</v>
      </c>
      <c r="CC314" s="21">
        <v>44979.872002314813</v>
      </c>
      <c r="CE314" t="s">
        <v>7366</v>
      </c>
      <c r="CF314">
        <v>0</v>
      </c>
      <c r="CG314">
        <v>702002</v>
      </c>
      <c r="CH314">
        <v>702002</v>
      </c>
      <c r="CI314" s="21">
        <v>44979.875173611108</v>
      </c>
      <c r="CJ314" t="s">
        <v>7367</v>
      </c>
      <c r="CK314" t="s">
        <v>7367</v>
      </c>
      <c r="CL314" t="s">
        <v>7368</v>
      </c>
      <c r="CM314" t="s">
        <v>7368</v>
      </c>
      <c r="CS314" t="s">
        <v>7361</v>
      </c>
      <c r="CT314" t="s">
        <v>7362</v>
      </c>
      <c r="CU314" t="s">
        <v>7362</v>
      </c>
      <c r="CV314" t="s">
        <v>7362</v>
      </c>
      <c r="CW314" t="s">
        <v>7362</v>
      </c>
      <c r="CX314">
        <v>15099490</v>
      </c>
      <c r="DA314">
        <v>0</v>
      </c>
      <c r="DB314">
        <v>134003</v>
      </c>
    </row>
    <row r="315" spans="1:106" x14ac:dyDescent="0.3">
      <c r="A315">
        <v>1362</v>
      </c>
      <c r="B315" t="s">
        <v>7371</v>
      </c>
      <c r="C315">
        <v>340</v>
      </c>
      <c r="D315" s="20">
        <v>44972</v>
      </c>
      <c r="E315" t="s">
        <v>7356</v>
      </c>
      <c r="F315" t="s">
        <v>5945</v>
      </c>
      <c r="G315" t="s">
        <v>7357</v>
      </c>
      <c r="H315">
        <v>1</v>
      </c>
      <c r="I315" t="s">
        <v>7358</v>
      </c>
      <c r="J315">
        <v>1</v>
      </c>
      <c r="K315" s="20">
        <v>44972</v>
      </c>
      <c r="L315" s="23">
        <v>3386264</v>
      </c>
      <c r="M315" t="s">
        <v>7359</v>
      </c>
      <c r="N315" t="s">
        <v>7360</v>
      </c>
      <c r="O315">
        <v>0</v>
      </c>
      <c r="P315">
        <v>12276</v>
      </c>
      <c r="Q315">
        <v>432003</v>
      </c>
      <c r="R315">
        <v>0</v>
      </c>
      <c r="S315">
        <v>20230215</v>
      </c>
      <c r="T315">
        <v>0</v>
      </c>
      <c r="U315" t="s">
        <v>7361</v>
      </c>
      <c r="V315" t="s">
        <v>7360</v>
      </c>
      <c r="W315" t="s">
        <v>7360</v>
      </c>
      <c r="X315" t="s">
        <v>7360</v>
      </c>
      <c r="Y315" t="s">
        <v>7360</v>
      </c>
      <c r="Z315" t="s">
        <v>7360</v>
      </c>
      <c r="AA315" t="s">
        <v>7362</v>
      </c>
      <c r="AB315" t="s">
        <v>7360</v>
      </c>
      <c r="AC315" t="s">
        <v>7360</v>
      </c>
      <c r="AD315" t="s">
        <v>7360</v>
      </c>
      <c r="AE315" t="s">
        <v>7360</v>
      </c>
      <c r="AF315" t="s">
        <v>1684</v>
      </c>
      <c r="AG315">
        <v>0</v>
      </c>
      <c r="AH315">
        <v>0</v>
      </c>
      <c r="AI315">
        <v>0</v>
      </c>
      <c r="AJ315">
        <v>0</v>
      </c>
      <c r="AK315">
        <v>0</v>
      </c>
      <c r="AL315" t="s">
        <v>7360</v>
      </c>
      <c r="AM315">
        <v>0</v>
      </c>
      <c r="AN315" s="20">
        <v>44972</v>
      </c>
      <c r="AO315" s="20">
        <v>44972</v>
      </c>
      <c r="AP315" s="20">
        <v>44972</v>
      </c>
      <c r="AQ315">
        <v>0</v>
      </c>
      <c r="AR315">
        <v>0</v>
      </c>
      <c r="AS315">
        <v>0</v>
      </c>
      <c r="AT315">
        <v>0</v>
      </c>
      <c r="AU315">
        <v>0</v>
      </c>
      <c r="AV315" t="s">
        <v>7360</v>
      </c>
      <c r="AW315">
        <v>0</v>
      </c>
      <c r="AX315" t="s">
        <v>7360</v>
      </c>
      <c r="AY315" t="s">
        <v>7363</v>
      </c>
      <c r="BA315">
        <v>0</v>
      </c>
      <c r="BB315" s="20">
        <v>44972</v>
      </c>
      <c r="BC315">
        <v>0</v>
      </c>
      <c r="BD315" t="s">
        <v>7360</v>
      </c>
      <c r="BF315" s="20">
        <v>44972</v>
      </c>
      <c r="BG315">
        <v>0</v>
      </c>
      <c r="BH315" t="s">
        <v>7363</v>
      </c>
      <c r="BJ315" t="s">
        <v>7362</v>
      </c>
      <c r="BK315">
        <v>0</v>
      </c>
      <c r="BL315">
        <v>0</v>
      </c>
      <c r="BM315">
        <v>0</v>
      </c>
      <c r="BN315">
        <v>0</v>
      </c>
      <c r="BO315">
        <v>169</v>
      </c>
      <c r="BP315">
        <v>11</v>
      </c>
      <c r="BQ315">
        <v>1</v>
      </c>
      <c r="BR315" t="s">
        <v>7364</v>
      </c>
      <c r="BS315" t="s">
        <v>7374</v>
      </c>
      <c r="BT315" t="s">
        <v>7360</v>
      </c>
      <c r="BU315" t="s">
        <v>7360</v>
      </c>
      <c r="BV315" t="s">
        <v>7360</v>
      </c>
      <c r="BX315">
        <v>0</v>
      </c>
      <c r="BY315">
        <v>0</v>
      </c>
      <c r="BZ315" t="s">
        <v>7360</v>
      </c>
      <c r="CA315" t="s">
        <v>7360</v>
      </c>
      <c r="CB315">
        <v>3380666</v>
      </c>
      <c r="CC315" s="21">
        <v>44972.591319444444</v>
      </c>
      <c r="CE315" t="s">
        <v>7366</v>
      </c>
      <c r="CF315">
        <v>0</v>
      </c>
      <c r="CG315">
        <v>702002</v>
      </c>
      <c r="CH315">
        <v>702002</v>
      </c>
      <c r="CI315" s="21">
        <v>44972.593993055554</v>
      </c>
      <c r="CJ315" t="s">
        <v>7367</v>
      </c>
      <c r="CK315" t="s">
        <v>7367</v>
      </c>
      <c r="CL315" t="s">
        <v>7368</v>
      </c>
      <c r="CM315" t="s">
        <v>7368</v>
      </c>
      <c r="CS315" t="s">
        <v>7361</v>
      </c>
      <c r="CT315" t="s">
        <v>7362</v>
      </c>
      <c r="CU315" t="s">
        <v>7362</v>
      </c>
      <c r="CV315" t="s">
        <v>7362</v>
      </c>
      <c r="CW315" t="s">
        <v>7362</v>
      </c>
      <c r="CX315">
        <v>3386264</v>
      </c>
      <c r="DA315">
        <v>0</v>
      </c>
    </row>
    <row r="316" spans="1:106" x14ac:dyDescent="0.3">
      <c r="A316">
        <v>1357</v>
      </c>
      <c r="B316" t="s">
        <v>7405</v>
      </c>
      <c r="C316">
        <v>525</v>
      </c>
      <c r="D316" s="20">
        <v>44988</v>
      </c>
      <c r="E316" t="s">
        <v>7397</v>
      </c>
      <c r="F316" t="s">
        <v>5950</v>
      </c>
      <c r="G316" t="s">
        <v>7357</v>
      </c>
      <c r="H316">
        <v>1</v>
      </c>
      <c r="I316" t="s">
        <v>7358</v>
      </c>
      <c r="J316">
        <v>1</v>
      </c>
      <c r="K316" s="20">
        <v>44988</v>
      </c>
      <c r="L316" s="23">
        <v>17583142</v>
      </c>
      <c r="M316" t="s">
        <v>7398</v>
      </c>
      <c r="N316" t="s">
        <v>7360</v>
      </c>
      <c r="O316">
        <v>0</v>
      </c>
      <c r="P316">
        <v>12670</v>
      </c>
      <c r="R316">
        <v>0</v>
      </c>
      <c r="S316">
        <v>20230303</v>
      </c>
      <c r="T316">
        <v>0</v>
      </c>
      <c r="U316" t="s">
        <v>7362</v>
      </c>
      <c r="V316" t="s">
        <v>7360</v>
      </c>
      <c r="W316" t="s">
        <v>7360</v>
      </c>
      <c r="X316" t="s">
        <v>7360</v>
      </c>
      <c r="Y316" t="s">
        <v>7360</v>
      </c>
      <c r="Z316" t="s">
        <v>7360</v>
      </c>
      <c r="AA316" t="s">
        <v>1684</v>
      </c>
      <c r="AB316" t="s">
        <v>7360</v>
      </c>
      <c r="AC316" t="s">
        <v>7360</v>
      </c>
      <c r="AD316" t="s">
        <v>7360</v>
      </c>
      <c r="AE316" t="s">
        <v>7360</v>
      </c>
      <c r="AF316" t="s">
        <v>1684</v>
      </c>
      <c r="AG316">
        <v>0</v>
      </c>
      <c r="AH316">
        <v>0</v>
      </c>
      <c r="AI316">
        <v>0</v>
      </c>
      <c r="AJ316">
        <v>0</v>
      </c>
      <c r="AK316">
        <v>0</v>
      </c>
      <c r="AL316" t="s">
        <v>7360</v>
      </c>
      <c r="AM316">
        <v>0</v>
      </c>
      <c r="AN316" s="20">
        <v>44988</v>
      </c>
      <c r="AO316" s="20">
        <v>44988</v>
      </c>
      <c r="AP316" s="20">
        <v>44988</v>
      </c>
      <c r="AQ316">
        <v>0</v>
      </c>
      <c r="AR316">
        <v>0</v>
      </c>
      <c r="AS316">
        <v>0</v>
      </c>
      <c r="AT316">
        <v>0</v>
      </c>
      <c r="AU316">
        <v>0</v>
      </c>
      <c r="AV316" t="s">
        <v>7360</v>
      </c>
      <c r="AW316">
        <v>0</v>
      </c>
      <c r="AX316" t="s">
        <v>7360</v>
      </c>
      <c r="AY316" t="s">
        <v>7362</v>
      </c>
      <c r="BA316">
        <v>0</v>
      </c>
      <c r="BB316" s="20">
        <v>44988</v>
      </c>
      <c r="BC316">
        <v>0</v>
      </c>
      <c r="BD316" t="s">
        <v>7360</v>
      </c>
      <c r="BF316" s="20">
        <v>44988</v>
      </c>
      <c r="BG316">
        <v>0</v>
      </c>
      <c r="BH316" t="s">
        <v>1684</v>
      </c>
      <c r="BJ316" t="s">
        <v>7362</v>
      </c>
      <c r="BK316">
        <v>169</v>
      </c>
      <c r="BL316">
        <v>11</v>
      </c>
      <c r="BM316">
        <v>1</v>
      </c>
      <c r="BN316" t="s">
        <v>7364</v>
      </c>
      <c r="BO316">
        <v>0</v>
      </c>
      <c r="BP316">
        <v>0</v>
      </c>
      <c r="BQ316">
        <v>0</v>
      </c>
      <c r="BR316">
        <v>0</v>
      </c>
      <c r="BS316" t="s">
        <v>7385</v>
      </c>
      <c r="BT316" t="s">
        <v>7360</v>
      </c>
      <c r="BU316" t="s">
        <v>7360</v>
      </c>
      <c r="BV316" t="s">
        <v>7360</v>
      </c>
      <c r="BX316" t="s">
        <v>7391</v>
      </c>
      <c r="BY316">
        <v>74</v>
      </c>
      <c r="BZ316" t="s">
        <v>7360</v>
      </c>
      <c r="CA316" t="s">
        <v>7360</v>
      </c>
      <c r="CB316" t="s">
        <v>7360</v>
      </c>
      <c r="CC316" s="21">
        <v>44973.46361111111</v>
      </c>
      <c r="CE316" t="s">
        <v>7392</v>
      </c>
      <c r="CF316">
        <v>1100101</v>
      </c>
      <c r="CG316">
        <v>53575</v>
      </c>
      <c r="CH316">
        <v>53575</v>
      </c>
      <c r="CI316" s="21">
        <v>44973.464861111112</v>
      </c>
      <c r="CJ316" t="s">
        <v>7393</v>
      </c>
      <c r="CK316" t="s">
        <v>7393</v>
      </c>
      <c r="CL316" t="s">
        <v>7394</v>
      </c>
      <c r="CM316" t="s">
        <v>7394</v>
      </c>
      <c r="CS316" t="s">
        <v>7361</v>
      </c>
      <c r="CT316" t="s">
        <v>7362</v>
      </c>
      <c r="CU316" t="s">
        <v>7362</v>
      </c>
      <c r="CV316" t="s">
        <v>7362</v>
      </c>
      <c r="CW316" t="s">
        <v>7362</v>
      </c>
      <c r="CX316">
        <v>16000000</v>
      </c>
      <c r="DA316">
        <v>0</v>
      </c>
    </row>
    <row r="317" spans="1:106" x14ac:dyDescent="0.3">
      <c r="A317">
        <v>1365</v>
      </c>
      <c r="B317" t="s">
        <v>7384</v>
      </c>
      <c r="C317">
        <v>342</v>
      </c>
      <c r="D317" s="20">
        <v>44967</v>
      </c>
      <c r="E317" t="s">
        <v>7356</v>
      </c>
      <c r="F317" t="s">
        <v>5956</v>
      </c>
      <c r="G317" t="s">
        <v>7357</v>
      </c>
      <c r="H317">
        <v>1</v>
      </c>
      <c r="I317" t="s">
        <v>7358</v>
      </c>
      <c r="J317">
        <v>1</v>
      </c>
      <c r="K317" s="20">
        <v>44973</v>
      </c>
      <c r="L317" s="23">
        <v>2693589</v>
      </c>
      <c r="M317" t="s">
        <v>7359</v>
      </c>
      <c r="N317" t="s">
        <v>7360</v>
      </c>
      <c r="O317">
        <v>0</v>
      </c>
      <c r="P317">
        <v>12282</v>
      </c>
      <c r="Q317">
        <v>432005</v>
      </c>
      <c r="R317">
        <v>0</v>
      </c>
      <c r="S317">
        <v>20230210</v>
      </c>
      <c r="T317">
        <v>0</v>
      </c>
      <c r="U317" t="s">
        <v>7361</v>
      </c>
      <c r="V317" t="s">
        <v>7360</v>
      </c>
      <c r="W317" t="s">
        <v>7360</v>
      </c>
      <c r="X317" t="s">
        <v>7360</v>
      </c>
      <c r="Y317" t="s">
        <v>7360</v>
      </c>
      <c r="Z317" t="s">
        <v>7360</v>
      </c>
      <c r="AA317" t="s">
        <v>7362</v>
      </c>
      <c r="AB317" t="s">
        <v>7360</v>
      </c>
      <c r="AC317" t="s">
        <v>7360</v>
      </c>
      <c r="AD317" t="s">
        <v>7360</v>
      </c>
      <c r="AE317" t="s">
        <v>7360</v>
      </c>
      <c r="AF317" t="s">
        <v>1684</v>
      </c>
      <c r="AG317">
        <v>0</v>
      </c>
      <c r="AH317">
        <v>0</v>
      </c>
      <c r="AI317">
        <v>0</v>
      </c>
      <c r="AJ317">
        <v>0</v>
      </c>
      <c r="AK317">
        <v>0</v>
      </c>
      <c r="AL317" t="s">
        <v>7360</v>
      </c>
      <c r="AM317">
        <v>0</v>
      </c>
      <c r="AN317" s="20">
        <v>44973</v>
      </c>
      <c r="AO317" s="20">
        <v>44973</v>
      </c>
      <c r="AP317" s="20">
        <v>44973</v>
      </c>
      <c r="AQ317">
        <v>0</v>
      </c>
      <c r="AR317">
        <v>0</v>
      </c>
      <c r="AS317">
        <v>0</v>
      </c>
      <c r="AT317">
        <v>0</v>
      </c>
      <c r="AU317">
        <v>0</v>
      </c>
      <c r="AV317" t="s">
        <v>7360</v>
      </c>
      <c r="AW317">
        <v>0</v>
      </c>
      <c r="AX317" t="s">
        <v>7360</v>
      </c>
      <c r="AY317" t="s">
        <v>7363</v>
      </c>
      <c r="BA317">
        <v>0</v>
      </c>
      <c r="BB317" s="20">
        <v>44973</v>
      </c>
      <c r="BC317">
        <v>0</v>
      </c>
      <c r="BD317" t="s">
        <v>7360</v>
      </c>
      <c r="BF317" s="20">
        <v>44973</v>
      </c>
      <c r="BG317">
        <v>0</v>
      </c>
      <c r="BH317" t="s">
        <v>7363</v>
      </c>
      <c r="BJ317" t="s">
        <v>7362</v>
      </c>
      <c r="BK317">
        <v>169</v>
      </c>
      <c r="BL317">
        <v>11</v>
      </c>
      <c r="BM317">
        <v>1</v>
      </c>
      <c r="BN317" t="s">
        <v>7364</v>
      </c>
      <c r="BO317">
        <v>0</v>
      </c>
      <c r="BP317">
        <v>0</v>
      </c>
      <c r="BQ317">
        <v>0</v>
      </c>
      <c r="BR317">
        <v>0</v>
      </c>
      <c r="BS317" t="s">
        <v>7385</v>
      </c>
      <c r="BT317" t="s">
        <v>7360</v>
      </c>
      <c r="BU317" t="s">
        <v>7360</v>
      </c>
      <c r="BV317" t="s">
        <v>7360</v>
      </c>
      <c r="BX317" t="s">
        <v>7391</v>
      </c>
      <c r="BY317">
        <v>74</v>
      </c>
      <c r="BZ317" t="s">
        <v>7360</v>
      </c>
      <c r="CA317" t="s">
        <v>7360</v>
      </c>
      <c r="CB317">
        <v>5558210</v>
      </c>
      <c r="CC317" s="21">
        <v>44973.469513888886</v>
      </c>
      <c r="CE317" t="s">
        <v>7392</v>
      </c>
      <c r="CF317">
        <v>1100101</v>
      </c>
      <c r="CG317">
        <v>53575</v>
      </c>
      <c r="CH317">
        <v>53575</v>
      </c>
      <c r="CI317" s="21">
        <v>44973.470613425925</v>
      </c>
      <c r="CJ317" t="s">
        <v>7393</v>
      </c>
      <c r="CK317" t="s">
        <v>7393</v>
      </c>
      <c r="CL317" t="s">
        <v>7394</v>
      </c>
      <c r="CM317" t="s">
        <v>7394</v>
      </c>
      <c r="CS317" t="s">
        <v>7361</v>
      </c>
      <c r="CT317" t="s">
        <v>7362</v>
      </c>
      <c r="CU317" t="s">
        <v>7362</v>
      </c>
      <c r="CV317" t="s">
        <v>7362</v>
      </c>
      <c r="CW317" t="s">
        <v>7362</v>
      </c>
      <c r="CX317">
        <v>2693589</v>
      </c>
      <c r="DA317">
        <v>0</v>
      </c>
    </row>
    <row r="318" spans="1:106" x14ac:dyDescent="0.3">
      <c r="A318">
        <v>1357</v>
      </c>
      <c r="B318" t="s">
        <v>7405</v>
      </c>
      <c r="C318">
        <v>343</v>
      </c>
      <c r="D318" s="20">
        <v>44973</v>
      </c>
      <c r="E318" t="s">
        <v>7356</v>
      </c>
      <c r="F318" t="s">
        <v>5961</v>
      </c>
      <c r="G318" t="s">
        <v>7357</v>
      </c>
      <c r="H318">
        <v>1</v>
      </c>
      <c r="I318" t="s">
        <v>7358</v>
      </c>
      <c r="J318">
        <v>1</v>
      </c>
      <c r="K318" s="20">
        <v>44973</v>
      </c>
      <c r="L318" s="23">
        <v>2814937</v>
      </c>
      <c r="M318" t="s">
        <v>7359</v>
      </c>
      <c r="N318" t="s">
        <v>7360</v>
      </c>
      <c r="O318">
        <v>0</v>
      </c>
      <c r="P318">
        <v>12137</v>
      </c>
      <c r="Q318">
        <v>420006</v>
      </c>
      <c r="R318">
        <v>0</v>
      </c>
      <c r="S318">
        <v>20230216</v>
      </c>
      <c r="T318">
        <v>0</v>
      </c>
      <c r="U318" t="s">
        <v>7361</v>
      </c>
      <c r="V318" t="s">
        <v>7360</v>
      </c>
      <c r="W318" t="s">
        <v>7360</v>
      </c>
      <c r="X318" t="s">
        <v>7360</v>
      </c>
      <c r="Y318" t="s">
        <v>7360</v>
      </c>
      <c r="Z318" t="s">
        <v>7360</v>
      </c>
      <c r="AA318" t="s">
        <v>7362</v>
      </c>
      <c r="AB318" t="s">
        <v>7360</v>
      </c>
      <c r="AC318" t="s">
        <v>7360</v>
      </c>
      <c r="AD318" t="s">
        <v>7360</v>
      </c>
      <c r="AE318" t="s">
        <v>7360</v>
      </c>
      <c r="AF318" t="s">
        <v>1684</v>
      </c>
      <c r="AG318">
        <v>0</v>
      </c>
      <c r="AH318">
        <v>0</v>
      </c>
      <c r="AI318">
        <v>0</v>
      </c>
      <c r="AJ318">
        <v>0</v>
      </c>
      <c r="AK318">
        <v>0</v>
      </c>
      <c r="AL318" t="s">
        <v>7360</v>
      </c>
      <c r="AM318">
        <v>0</v>
      </c>
      <c r="AN318" s="20">
        <v>44973</v>
      </c>
      <c r="AO318" s="20">
        <v>44973</v>
      </c>
      <c r="AP318" s="20">
        <v>44973</v>
      </c>
      <c r="AQ318">
        <v>0</v>
      </c>
      <c r="AR318">
        <v>0</v>
      </c>
      <c r="AS318">
        <v>0</v>
      </c>
      <c r="AT318">
        <v>0</v>
      </c>
      <c r="AU318">
        <v>0</v>
      </c>
      <c r="AV318" t="s">
        <v>7360</v>
      </c>
      <c r="AW318">
        <v>0</v>
      </c>
      <c r="AX318" t="s">
        <v>7360</v>
      </c>
      <c r="AY318" t="s">
        <v>7363</v>
      </c>
      <c r="BA318">
        <v>0</v>
      </c>
      <c r="BB318" s="20">
        <v>44973</v>
      </c>
      <c r="BC318">
        <v>0</v>
      </c>
      <c r="BD318" t="s">
        <v>7360</v>
      </c>
      <c r="BF318" s="20">
        <v>44973</v>
      </c>
      <c r="BG318">
        <v>0</v>
      </c>
      <c r="BH318" t="s">
        <v>1684</v>
      </c>
      <c r="BJ318" t="s">
        <v>7362</v>
      </c>
      <c r="BK318">
        <v>0</v>
      </c>
      <c r="BL318">
        <v>0</v>
      </c>
      <c r="BM318">
        <v>0</v>
      </c>
      <c r="BN318">
        <v>0</v>
      </c>
      <c r="BO318">
        <v>169</v>
      </c>
      <c r="BP318">
        <v>11</v>
      </c>
      <c r="BQ318">
        <v>1</v>
      </c>
      <c r="BR318" t="s">
        <v>7364</v>
      </c>
      <c r="BS318" t="s">
        <v>7382</v>
      </c>
      <c r="BT318" t="s">
        <v>7360</v>
      </c>
      <c r="BU318" t="s">
        <v>7360</v>
      </c>
      <c r="BV318" t="s">
        <v>7360</v>
      </c>
      <c r="BX318">
        <v>0</v>
      </c>
      <c r="BY318">
        <v>0</v>
      </c>
      <c r="BZ318" t="s">
        <v>7360</v>
      </c>
      <c r="CA318" t="s">
        <v>7360</v>
      </c>
      <c r="CB318">
        <v>3380666</v>
      </c>
      <c r="CC318" s="21">
        <v>44973.467858796299</v>
      </c>
      <c r="CE318" t="s">
        <v>7366</v>
      </c>
      <c r="CF318">
        <v>0</v>
      </c>
      <c r="CG318">
        <v>702002</v>
      </c>
      <c r="CH318">
        <v>702002</v>
      </c>
      <c r="CI318" s="21">
        <v>44973.486678240741</v>
      </c>
      <c r="CJ318" t="s">
        <v>7367</v>
      </c>
      <c r="CK318" t="s">
        <v>7367</v>
      </c>
      <c r="CL318" t="s">
        <v>7368</v>
      </c>
      <c r="CM318" t="s">
        <v>7368</v>
      </c>
      <c r="CS318" t="s">
        <v>7361</v>
      </c>
      <c r="CT318" t="s">
        <v>7362</v>
      </c>
      <c r="CU318" t="s">
        <v>7362</v>
      </c>
      <c r="CV318" t="s">
        <v>7362</v>
      </c>
      <c r="CW318" t="s">
        <v>7362</v>
      </c>
      <c r="CX318">
        <v>2814937</v>
      </c>
      <c r="DA318">
        <v>0</v>
      </c>
    </row>
    <row r="319" spans="1:106" x14ac:dyDescent="0.3">
      <c r="A319">
        <v>1366</v>
      </c>
      <c r="B319" t="s">
        <v>7380</v>
      </c>
      <c r="C319">
        <v>344</v>
      </c>
      <c r="D319" s="20">
        <v>44967</v>
      </c>
      <c r="E319" t="s">
        <v>7356</v>
      </c>
      <c r="F319" t="s">
        <v>5966</v>
      </c>
      <c r="G319" t="s">
        <v>7357</v>
      </c>
      <c r="H319">
        <v>1</v>
      </c>
      <c r="I319" t="s">
        <v>7358</v>
      </c>
      <c r="J319">
        <v>1</v>
      </c>
      <c r="K319" s="20">
        <v>44973</v>
      </c>
      <c r="L319" s="23">
        <v>4147759</v>
      </c>
      <c r="M319" t="s">
        <v>7359</v>
      </c>
      <c r="N319" t="s">
        <v>7360</v>
      </c>
      <c r="O319">
        <v>0</v>
      </c>
      <c r="P319">
        <v>12285</v>
      </c>
      <c r="Q319">
        <v>432007</v>
      </c>
      <c r="R319">
        <v>0</v>
      </c>
      <c r="S319">
        <v>20230210</v>
      </c>
      <c r="T319">
        <v>0</v>
      </c>
      <c r="U319" t="s">
        <v>7361</v>
      </c>
      <c r="V319" t="s">
        <v>7360</v>
      </c>
      <c r="W319" t="s">
        <v>7360</v>
      </c>
      <c r="X319" t="s">
        <v>7360</v>
      </c>
      <c r="Y319" t="s">
        <v>7360</v>
      </c>
      <c r="Z319" t="s">
        <v>7360</v>
      </c>
      <c r="AA319" t="s">
        <v>7362</v>
      </c>
      <c r="AB319" t="s">
        <v>7360</v>
      </c>
      <c r="AC319" t="s">
        <v>7360</v>
      </c>
      <c r="AD319" t="s">
        <v>7360</v>
      </c>
      <c r="AE319" t="s">
        <v>7360</v>
      </c>
      <c r="AF319" t="s">
        <v>1684</v>
      </c>
      <c r="AG319">
        <v>0</v>
      </c>
      <c r="AH319">
        <v>0</v>
      </c>
      <c r="AI319">
        <v>0</v>
      </c>
      <c r="AJ319">
        <v>0</v>
      </c>
      <c r="AK319">
        <v>0</v>
      </c>
      <c r="AL319" t="s">
        <v>7360</v>
      </c>
      <c r="AM319">
        <v>0</v>
      </c>
      <c r="AN319" s="20">
        <v>44973</v>
      </c>
      <c r="AO319" s="20">
        <v>44973</v>
      </c>
      <c r="AP319" s="20">
        <v>44973</v>
      </c>
      <c r="AQ319">
        <v>0</v>
      </c>
      <c r="AR319">
        <v>0</v>
      </c>
      <c r="AS319">
        <v>0</v>
      </c>
      <c r="AT319">
        <v>0</v>
      </c>
      <c r="AU319">
        <v>0</v>
      </c>
      <c r="AV319" t="s">
        <v>7360</v>
      </c>
      <c r="AW319">
        <v>0</v>
      </c>
      <c r="AX319" t="s">
        <v>7360</v>
      </c>
      <c r="AY319" t="s">
        <v>7363</v>
      </c>
      <c r="BA319">
        <v>0</v>
      </c>
      <c r="BB319" s="20">
        <v>44973</v>
      </c>
      <c r="BC319">
        <v>0</v>
      </c>
      <c r="BD319" t="s">
        <v>7360</v>
      </c>
      <c r="BF319" s="20">
        <v>44973</v>
      </c>
      <c r="BG319">
        <v>0</v>
      </c>
      <c r="BH319" t="s">
        <v>7363</v>
      </c>
      <c r="BJ319" t="s">
        <v>7362</v>
      </c>
      <c r="BK319">
        <v>169</v>
      </c>
      <c r="BL319">
        <v>11</v>
      </c>
      <c r="BM319">
        <v>1</v>
      </c>
      <c r="BN319" t="s">
        <v>7364</v>
      </c>
      <c r="BO319">
        <v>0</v>
      </c>
      <c r="BP319">
        <v>0</v>
      </c>
      <c r="BQ319">
        <v>0</v>
      </c>
      <c r="BR319">
        <v>0</v>
      </c>
      <c r="BS319" t="s">
        <v>48</v>
      </c>
      <c r="BT319" t="s">
        <v>7360</v>
      </c>
      <c r="BU319" t="s">
        <v>7360</v>
      </c>
      <c r="BV319" t="s">
        <v>7360</v>
      </c>
      <c r="BX319" t="s">
        <v>7391</v>
      </c>
      <c r="BY319">
        <v>74</v>
      </c>
      <c r="BZ319" t="s">
        <v>7360</v>
      </c>
      <c r="CA319" t="s">
        <v>7360</v>
      </c>
      <c r="CB319" t="s">
        <v>7360</v>
      </c>
      <c r="CC319" s="21">
        <v>44973.474618055552</v>
      </c>
      <c r="CE319" t="s">
        <v>7392</v>
      </c>
      <c r="CF319">
        <v>1100101</v>
      </c>
      <c r="CG319">
        <v>53575</v>
      </c>
      <c r="CH319">
        <v>53575</v>
      </c>
      <c r="CI319" s="21">
        <v>44973.476099537038</v>
      </c>
      <c r="CJ319" t="s">
        <v>7393</v>
      </c>
      <c r="CK319" t="s">
        <v>7393</v>
      </c>
      <c r="CL319" t="s">
        <v>7394</v>
      </c>
      <c r="CM319" t="s">
        <v>7394</v>
      </c>
      <c r="CS319" t="s">
        <v>7361</v>
      </c>
      <c r="CT319" t="s">
        <v>7362</v>
      </c>
      <c r="CU319" t="s">
        <v>7362</v>
      </c>
      <c r="CV319" t="s">
        <v>7362</v>
      </c>
      <c r="CW319" t="s">
        <v>7362</v>
      </c>
      <c r="CX319">
        <v>4147759</v>
      </c>
      <c r="DA319">
        <v>0</v>
      </c>
    </row>
    <row r="320" spans="1:106" x14ac:dyDescent="0.3">
      <c r="A320">
        <v>1354</v>
      </c>
      <c r="B320" t="s">
        <v>7396</v>
      </c>
      <c r="C320">
        <v>345</v>
      </c>
      <c r="D320" s="20">
        <v>44967</v>
      </c>
      <c r="E320" t="s">
        <v>7356</v>
      </c>
      <c r="F320" t="s">
        <v>5972</v>
      </c>
      <c r="G320" t="s">
        <v>7370</v>
      </c>
      <c r="H320">
        <v>1</v>
      </c>
      <c r="I320" t="s">
        <v>7358</v>
      </c>
      <c r="J320">
        <v>1</v>
      </c>
      <c r="K320" s="20">
        <v>44973</v>
      </c>
      <c r="L320" s="23">
        <v>5200000</v>
      </c>
      <c r="M320" t="s">
        <v>7359</v>
      </c>
      <c r="N320" t="s">
        <v>7360</v>
      </c>
      <c r="O320">
        <v>0</v>
      </c>
      <c r="P320">
        <v>12263</v>
      </c>
      <c r="Q320">
        <v>431007</v>
      </c>
      <c r="R320">
        <v>0</v>
      </c>
      <c r="S320">
        <v>20230210</v>
      </c>
      <c r="T320">
        <v>0</v>
      </c>
      <c r="U320" t="s">
        <v>7361</v>
      </c>
      <c r="V320" t="s">
        <v>7360</v>
      </c>
      <c r="W320" t="s">
        <v>7360</v>
      </c>
      <c r="X320" t="s">
        <v>7360</v>
      </c>
      <c r="Y320" t="s">
        <v>7360</v>
      </c>
      <c r="Z320" t="s">
        <v>7360</v>
      </c>
      <c r="AA320" t="s">
        <v>7362</v>
      </c>
      <c r="AB320" t="s">
        <v>7360</v>
      </c>
      <c r="AC320" t="s">
        <v>7360</v>
      </c>
      <c r="AD320" t="s">
        <v>7360</v>
      </c>
      <c r="AE320" t="s">
        <v>7360</v>
      </c>
      <c r="AF320" t="s">
        <v>1684</v>
      </c>
      <c r="AG320">
        <v>0</v>
      </c>
      <c r="AH320">
        <v>0</v>
      </c>
      <c r="AI320">
        <v>0</v>
      </c>
      <c r="AJ320">
        <v>0</v>
      </c>
      <c r="AK320">
        <v>0</v>
      </c>
      <c r="AL320" t="s">
        <v>7360</v>
      </c>
      <c r="AM320">
        <v>0</v>
      </c>
      <c r="AN320" s="20">
        <v>44973</v>
      </c>
      <c r="AO320" s="20">
        <v>44973</v>
      </c>
      <c r="AP320" s="20">
        <v>44973</v>
      </c>
      <c r="AQ320">
        <v>0</v>
      </c>
      <c r="AR320">
        <v>0</v>
      </c>
      <c r="AS320">
        <v>0</v>
      </c>
      <c r="AT320">
        <v>0</v>
      </c>
      <c r="AU320">
        <v>0</v>
      </c>
      <c r="AV320" t="s">
        <v>7360</v>
      </c>
      <c r="AW320">
        <v>0</v>
      </c>
      <c r="AX320" t="s">
        <v>7360</v>
      </c>
      <c r="AY320" t="s">
        <v>7363</v>
      </c>
      <c r="BA320">
        <v>0</v>
      </c>
      <c r="BB320" s="20">
        <v>44973</v>
      </c>
      <c r="BC320">
        <v>0</v>
      </c>
      <c r="BD320" t="s">
        <v>7360</v>
      </c>
      <c r="BF320" s="20">
        <v>44973</v>
      </c>
      <c r="BG320">
        <v>0</v>
      </c>
      <c r="BH320" t="s">
        <v>7363</v>
      </c>
      <c r="BJ320" t="s">
        <v>7362</v>
      </c>
      <c r="BK320">
        <v>169</v>
      </c>
      <c r="BL320">
        <v>11</v>
      </c>
      <c r="BM320">
        <v>1</v>
      </c>
      <c r="BN320" t="s">
        <v>7364</v>
      </c>
      <c r="BO320">
        <v>0</v>
      </c>
      <c r="BP320">
        <v>0</v>
      </c>
      <c r="BQ320">
        <v>0</v>
      </c>
      <c r="BR320">
        <v>0</v>
      </c>
      <c r="BS320" t="s">
        <v>132</v>
      </c>
      <c r="BT320" t="s">
        <v>7360</v>
      </c>
      <c r="BU320" t="s">
        <v>7360</v>
      </c>
      <c r="BV320" t="s">
        <v>7360</v>
      </c>
      <c r="BX320" t="s">
        <v>7391</v>
      </c>
      <c r="BY320">
        <v>74</v>
      </c>
      <c r="BZ320" t="s">
        <v>7360</v>
      </c>
      <c r="CA320" t="s">
        <v>7360</v>
      </c>
      <c r="CB320" t="s">
        <v>7360</v>
      </c>
      <c r="CC320" s="21">
        <v>44973.485798611109</v>
      </c>
      <c r="CE320" t="s">
        <v>7392</v>
      </c>
      <c r="CF320">
        <v>1100101</v>
      </c>
      <c r="CG320">
        <v>53575</v>
      </c>
      <c r="CH320">
        <v>53575</v>
      </c>
      <c r="CI320" s="21">
        <v>44973.486631944441</v>
      </c>
      <c r="CJ320" t="s">
        <v>7393</v>
      </c>
      <c r="CK320" t="s">
        <v>7393</v>
      </c>
      <c r="CL320" t="s">
        <v>7394</v>
      </c>
      <c r="CM320" t="s">
        <v>7394</v>
      </c>
      <c r="CS320" t="s">
        <v>7361</v>
      </c>
      <c r="CT320" t="s">
        <v>7362</v>
      </c>
      <c r="CU320" t="s">
        <v>7362</v>
      </c>
      <c r="CV320" t="s">
        <v>7362</v>
      </c>
      <c r="CW320" t="s">
        <v>7362</v>
      </c>
      <c r="CX320">
        <v>5200000</v>
      </c>
      <c r="DA320">
        <v>0</v>
      </c>
    </row>
    <row r="321" spans="1:106" x14ac:dyDescent="0.3">
      <c r="A321">
        <v>1367</v>
      </c>
      <c r="B321" t="s">
        <v>7434</v>
      </c>
      <c r="C321">
        <v>346</v>
      </c>
      <c r="D321" s="20">
        <v>44973</v>
      </c>
      <c r="E321" t="s">
        <v>7372</v>
      </c>
      <c r="F321" t="s">
        <v>5977</v>
      </c>
      <c r="G321" t="s">
        <v>7357</v>
      </c>
      <c r="H321">
        <v>1</v>
      </c>
      <c r="I321" t="s">
        <v>7358</v>
      </c>
      <c r="J321">
        <v>1</v>
      </c>
      <c r="K321" s="20">
        <v>44973</v>
      </c>
      <c r="L321" s="23">
        <v>4984375</v>
      </c>
      <c r="M321" t="s">
        <v>7359</v>
      </c>
      <c r="N321" t="s">
        <v>7360</v>
      </c>
      <c r="O321">
        <v>0</v>
      </c>
      <c r="P321">
        <v>12355</v>
      </c>
      <c r="Q321">
        <v>433021</v>
      </c>
      <c r="R321">
        <v>0</v>
      </c>
      <c r="S321">
        <v>20230216</v>
      </c>
      <c r="T321">
        <v>0</v>
      </c>
      <c r="U321" t="s">
        <v>7362</v>
      </c>
      <c r="V321" t="s">
        <v>7360</v>
      </c>
      <c r="W321" t="s">
        <v>7360</v>
      </c>
      <c r="X321" t="s">
        <v>7360</v>
      </c>
      <c r="Y321" t="s">
        <v>7360</v>
      </c>
      <c r="Z321" t="s">
        <v>7360</v>
      </c>
      <c r="AA321" t="s">
        <v>7362</v>
      </c>
      <c r="AB321" t="s">
        <v>7360</v>
      </c>
      <c r="AC321" t="s">
        <v>7360</v>
      </c>
      <c r="AD321" t="s">
        <v>7360</v>
      </c>
      <c r="AE321" t="s">
        <v>7360</v>
      </c>
      <c r="AF321" t="s">
        <v>1684</v>
      </c>
      <c r="AG321">
        <v>0</v>
      </c>
      <c r="AH321">
        <v>0</v>
      </c>
      <c r="AI321">
        <v>0</v>
      </c>
      <c r="AJ321">
        <v>0</v>
      </c>
      <c r="AK321">
        <v>0</v>
      </c>
      <c r="AL321" t="s">
        <v>7360</v>
      </c>
      <c r="AM321">
        <v>0</v>
      </c>
      <c r="AN321" s="20">
        <v>44973</v>
      </c>
      <c r="AO321" s="20">
        <v>44973</v>
      </c>
      <c r="AP321" s="20">
        <v>44973</v>
      </c>
      <c r="AQ321">
        <v>0</v>
      </c>
      <c r="AR321">
        <v>0</v>
      </c>
      <c r="AS321">
        <v>0</v>
      </c>
      <c r="AT321">
        <v>0</v>
      </c>
      <c r="AU321">
        <v>0</v>
      </c>
      <c r="AV321" t="s">
        <v>7360</v>
      </c>
      <c r="AW321">
        <v>0</v>
      </c>
      <c r="AX321" t="s">
        <v>7360</v>
      </c>
      <c r="AY321" t="s">
        <v>7362</v>
      </c>
      <c r="BA321">
        <v>0</v>
      </c>
      <c r="BB321" s="20">
        <v>44973</v>
      </c>
      <c r="BC321">
        <v>0</v>
      </c>
      <c r="BD321" t="s">
        <v>7360</v>
      </c>
      <c r="BF321" s="20">
        <v>44973</v>
      </c>
      <c r="BG321">
        <v>0</v>
      </c>
      <c r="BH321" t="s">
        <v>7363</v>
      </c>
      <c r="BJ321" t="s">
        <v>7362</v>
      </c>
      <c r="BK321">
        <v>0</v>
      </c>
      <c r="BL321">
        <v>0</v>
      </c>
      <c r="BM321">
        <v>0</v>
      </c>
      <c r="BN321">
        <v>0</v>
      </c>
      <c r="BO321">
        <v>169</v>
      </c>
      <c r="BP321">
        <v>11</v>
      </c>
      <c r="BQ321">
        <v>1</v>
      </c>
      <c r="BR321" t="s">
        <v>7364</v>
      </c>
      <c r="BS321" t="s">
        <v>7365</v>
      </c>
      <c r="BT321" t="s">
        <v>7360</v>
      </c>
      <c r="BU321" t="s">
        <v>7360</v>
      </c>
      <c r="BV321" t="s">
        <v>7360</v>
      </c>
      <c r="BX321">
        <v>0</v>
      </c>
      <c r="BY321">
        <v>0</v>
      </c>
      <c r="BZ321" t="s">
        <v>7360</v>
      </c>
      <c r="CA321" t="s">
        <v>7360</v>
      </c>
      <c r="CB321">
        <v>3380666</v>
      </c>
      <c r="CC321" s="21">
        <v>44973.494502314818</v>
      </c>
      <c r="CE321" t="s">
        <v>7366</v>
      </c>
      <c r="CF321">
        <v>0</v>
      </c>
      <c r="CG321">
        <v>702002</v>
      </c>
      <c r="CH321">
        <v>702002</v>
      </c>
      <c r="CI321" s="21">
        <v>44973.498136574075</v>
      </c>
      <c r="CJ321" t="s">
        <v>7367</v>
      </c>
      <c r="CK321" t="s">
        <v>7367</v>
      </c>
      <c r="CL321" t="s">
        <v>7368</v>
      </c>
      <c r="CM321" t="s">
        <v>7368</v>
      </c>
      <c r="CS321" t="s">
        <v>7361</v>
      </c>
      <c r="CT321" t="s">
        <v>7362</v>
      </c>
      <c r="CU321" t="s">
        <v>7362</v>
      </c>
      <c r="CV321" t="s">
        <v>7362</v>
      </c>
      <c r="CW321" t="s">
        <v>7362</v>
      </c>
      <c r="CX321">
        <v>4984375</v>
      </c>
      <c r="DA321">
        <v>0</v>
      </c>
    </row>
    <row r="322" spans="1:106" x14ac:dyDescent="0.3">
      <c r="A322">
        <v>1354</v>
      </c>
      <c r="B322" t="s">
        <v>7396</v>
      </c>
      <c r="C322">
        <v>347</v>
      </c>
      <c r="D322" s="20">
        <v>44967</v>
      </c>
      <c r="E322" t="s">
        <v>7356</v>
      </c>
      <c r="F322" t="s">
        <v>5918</v>
      </c>
      <c r="G322" t="s">
        <v>7370</v>
      </c>
      <c r="H322">
        <v>1</v>
      </c>
      <c r="I322" t="s">
        <v>7358</v>
      </c>
      <c r="J322">
        <v>1</v>
      </c>
      <c r="K322" s="20">
        <v>44973</v>
      </c>
      <c r="L322" s="23">
        <v>3600000</v>
      </c>
      <c r="M322" t="s">
        <v>7359</v>
      </c>
      <c r="N322" t="s">
        <v>7360</v>
      </c>
      <c r="O322">
        <v>0</v>
      </c>
      <c r="P322">
        <v>12260</v>
      </c>
      <c r="Q322">
        <v>431005</v>
      </c>
      <c r="R322">
        <v>0</v>
      </c>
      <c r="S322">
        <v>20230210</v>
      </c>
      <c r="T322">
        <v>0</v>
      </c>
      <c r="U322" t="s">
        <v>7361</v>
      </c>
      <c r="V322" t="s">
        <v>7360</v>
      </c>
      <c r="W322" t="s">
        <v>7360</v>
      </c>
      <c r="X322" t="s">
        <v>7360</v>
      </c>
      <c r="Y322" t="s">
        <v>7360</v>
      </c>
      <c r="Z322" t="s">
        <v>7360</v>
      </c>
      <c r="AA322" t="s">
        <v>7362</v>
      </c>
      <c r="AB322" t="s">
        <v>7360</v>
      </c>
      <c r="AC322" t="s">
        <v>7360</v>
      </c>
      <c r="AD322" t="s">
        <v>7360</v>
      </c>
      <c r="AE322" t="s">
        <v>7360</v>
      </c>
      <c r="AF322" t="s">
        <v>1684</v>
      </c>
      <c r="AG322">
        <v>0</v>
      </c>
      <c r="AH322">
        <v>0</v>
      </c>
      <c r="AI322">
        <v>0</v>
      </c>
      <c r="AJ322">
        <v>0</v>
      </c>
      <c r="AK322">
        <v>0</v>
      </c>
      <c r="AL322" t="s">
        <v>7360</v>
      </c>
      <c r="AM322">
        <v>0</v>
      </c>
      <c r="AN322" s="20">
        <v>44973</v>
      </c>
      <c r="AO322" s="20">
        <v>44973</v>
      </c>
      <c r="AP322" s="20">
        <v>44973</v>
      </c>
      <c r="AQ322">
        <v>0</v>
      </c>
      <c r="AR322">
        <v>0</v>
      </c>
      <c r="AS322">
        <v>0</v>
      </c>
      <c r="AT322">
        <v>0</v>
      </c>
      <c r="AU322">
        <v>0</v>
      </c>
      <c r="AV322" t="s">
        <v>7360</v>
      </c>
      <c r="AW322">
        <v>0</v>
      </c>
      <c r="AX322" t="s">
        <v>7360</v>
      </c>
      <c r="AY322" t="s">
        <v>7363</v>
      </c>
      <c r="BA322">
        <v>0</v>
      </c>
      <c r="BB322" s="20">
        <v>44973</v>
      </c>
      <c r="BC322">
        <v>0</v>
      </c>
      <c r="BD322" t="s">
        <v>7360</v>
      </c>
      <c r="BF322" s="20">
        <v>44973</v>
      </c>
      <c r="BG322">
        <v>0</v>
      </c>
      <c r="BH322" t="s">
        <v>7363</v>
      </c>
      <c r="BJ322" t="s">
        <v>7362</v>
      </c>
      <c r="BK322">
        <v>169</v>
      </c>
      <c r="BL322">
        <v>11</v>
      </c>
      <c r="BM322">
        <v>1</v>
      </c>
      <c r="BN322" t="s">
        <v>7364</v>
      </c>
      <c r="BO322">
        <v>0</v>
      </c>
      <c r="BP322">
        <v>0</v>
      </c>
      <c r="BQ322">
        <v>0</v>
      </c>
      <c r="BR322">
        <v>0</v>
      </c>
      <c r="BS322" t="s">
        <v>132</v>
      </c>
      <c r="BT322" t="s">
        <v>7360</v>
      </c>
      <c r="BU322" t="s">
        <v>7360</v>
      </c>
      <c r="BV322" t="s">
        <v>7360</v>
      </c>
      <c r="BX322" t="s">
        <v>7391</v>
      </c>
      <c r="BY322">
        <v>74</v>
      </c>
      <c r="BZ322" t="s">
        <v>7360</v>
      </c>
      <c r="CA322" t="s">
        <v>7360</v>
      </c>
      <c r="CB322">
        <v>5558210</v>
      </c>
      <c r="CC322" s="21">
        <v>44973.496770833335</v>
      </c>
      <c r="CE322" t="s">
        <v>7392</v>
      </c>
      <c r="CF322">
        <v>1100101</v>
      </c>
      <c r="CG322">
        <v>53575</v>
      </c>
      <c r="CH322">
        <v>53575</v>
      </c>
      <c r="CI322" s="21">
        <v>44973.497557870367</v>
      </c>
      <c r="CJ322" t="s">
        <v>7393</v>
      </c>
      <c r="CK322" t="s">
        <v>7393</v>
      </c>
      <c r="CL322" t="s">
        <v>7394</v>
      </c>
      <c r="CM322" t="s">
        <v>7394</v>
      </c>
      <c r="CS322" t="s">
        <v>7361</v>
      </c>
      <c r="CT322" t="s">
        <v>7362</v>
      </c>
      <c r="CU322" t="s">
        <v>7362</v>
      </c>
      <c r="CV322" t="s">
        <v>7362</v>
      </c>
      <c r="CW322" t="s">
        <v>7362</v>
      </c>
      <c r="CX322">
        <v>3600000</v>
      </c>
      <c r="DA322">
        <v>0</v>
      </c>
    </row>
    <row r="323" spans="1:106" x14ac:dyDescent="0.3">
      <c r="A323">
        <v>1354</v>
      </c>
      <c r="B323" t="s">
        <v>7396</v>
      </c>
      <c r="C323">
        <v>348</v>
      </c>
      <c r="D323" s="20">
        <v>44967</v>
      </c>
      <c r="E323" t="s">
        <v>7356</v>
      </c>
      <c r="F323" t="s">
        <v>5924</v>
      </c>
      <c r="G323" t="s">
        <v>7370</v>
      </c>
      <c r="H323">
        <v>1</v>
      </c>
      <c r="I323" t="s">
        <v>7358</v>
      </c>
      <c r="J323">
        <v>1</v>
      </c>
      <c r="K323" s="20">
        <v>44973</v>
      </c>
      <c r="L323" s="23">
        <v>4400000</v>
      </c>
      <c r="M323" t="s">
        <v>7359</v>
      </c>
      <c r="N323" t="s">
        <v>7360</v>
      </c>
      <c r="O323">
        <v>0</v>
      </c>
      <c r="P323">
        <v>12259</v>
      </c>
      <c r="Q323">
        <v>431004</v>
      </c>
      <c r="R323">
        <v>0</v>
      </c>
      <c r="S323">
        <v>20230210</v>
      </c>
      <c r="T323">
        <v>0</v>
      </c>
      <c r="U323" t="s">
        <v>7361</v>
      </c>
      <c r="V323" t="s">
        <v>7360</v>
      </c>
      <c r="W323" t="s">
        <v>7360</v>
      </c>
      <c r="X323" t="s">
        <v>7360</v>
      </c>
      <c r="Y323" t="s">
        <v>7360</v>
      </c>
      <c r="Z323" t="s">
        <v>7360</v>
      </c>
      <c r="AA323" t="s">
        <v>7362</v>
      </c>
      <c r="AB323" t="s">
        <v>7360</v>
      </c>
      <c r="AC323" t="s">
        <v>7360</v>
      </c>
      <c r="AD323" t="s">
        <v>7360</v>
      </c>
      <c r="AE323" t="s">
        <v>7360</v>
      </c>
      <c r="AF323" t="s">
        <v>1684</v>
      </c>
      <c r="AG323">
        <v>0</v>
      </c>
      <c r="AH323">
        <v>0</v>
      </c>
      <c r="AI323">
        <v>0</v>
      </c>
      <c r="AJ323">
        <v>0</v>
      </c>
      <c r="AK323">
        <v>0</v>
      </c>
      <c r="AL323" t="s">
        <v>7360</v>
      </c>
      <c r="AM323">
        <v>0</v>
      </c>
      <c r="AN323" s="20">
        <v>44973</v>
      </c>
      <c r="AO323" s="20">
        <v>44973</v>
      </c>
      <c r="AP323" s="20">
        <v>44973</v>
      </c>
      <c r="AQ323">
        <v>0</v>
      </c>
      <c r="AR323">
        <v>0</v>
      </c>
      <c r="AS323">
        <v>0</v>
      </c>
      <c r="AT323">
        <v>0</v>
      </c>
      <c r="AU323">
        <v>0</v>
      </c>
      <c r="AV323" t="s">
        <v>7360</v>
      </c>
      <c r="AW323">
        <v>0</v>
      </c>
      <c r="AX323" t="s">
        <v>7360</v>
      </c>
      <c r="AY323" t="s">
        <v>7363</v>
      </c>
      <c r="BA323">
        <v>0</v>
      </c>
      <c r="BB323" s="20">
        <v>44973</v>
      </c>
      <c r="BC323">
        <v>0</v>
      </c>
      <c r="BD323" t="s">
        <v>7360</v>
      </c>
      <c r="BF323" s="20">
        <v>44973</v>
      </c>
      <c r="BG323">
        <v>0</v>
      </c>
      <c r="BH323" t="s">
        <v>7363</v>
      </c>
      <c r="BJ323" t="s">
        <v>7362</v>
      </c>
      <c r="BK323">
        <v>169</v>
      </c>
      <c r="BL323">
        <v>11</v>
      </c>
      <c r="BM323">
        <v>1</v>
      </c>
      <c r="BN323" t="s">
        <v>7364</v>
      </c>
      <c r="BO323">
        <v>0</v>
      </c>
      <c r="BP323">
        <v>0</v>
      </c>
      <c r="BQ323">
        <v>0</v>
      </c>
      <c r="BR323">
        <v>0</v>
      </c>
      <c r="BS323" t="s">
        <v>132</v>
      </c>
      <c r="BT323" t="s">
        <v>7360</v>
      </c>
      <c r="BU323" t="s">
        <v>7360</v>
      </c>
      <c r="BV323" t="s">
        <v>7360</v>
      </c>
      <c r="BX323" t="s">
        <v>7391</v>
      </c>
      <c r="BY323">
        <v>74</v>
      </c>
      <c r="BZ323" t="s">
        <v>7360</v>
      </c>
      <c r="CA323" t="s">
        <v>7360</v>
      </c>
      <c r="CB323" t="s">
        <v>7360</v>
      </c>
      <c r="CC323" s="21">
        <v>44973.493831018517</v>
      </c>
      <c r="CE323" t="s">
        <v>7392</v>
      </c>
      <c r="CF323">
        <v>1100101</v>
      </c>
      <c r="CG323">
        <v>53575</v>
      </c>
      <c r="CH323">
        <v>53575</v>
      </c>
      <c r="CI323" s="21">
        <v>44973.500462962962</v>
      </c>
      <c r="CJ323" t="s">
        <v>7393</v>
      </c>
      <c r="CK323" t="s">
        <v>7393</v>
      </c>
      <c r="CL323" t="s">
        <v>7394</v>
      </c>
      <c r="CM323" t="s">
        <v>7394</v>
      </c>
      <c r="CS323" t="s">
        <v>7361</v>
      </c>
      <c r="CT323" t="s">
        <v>7362</v>
      </c>
      <c r="CU323" t="s">
        <v>7362</v>
      </c>
      <c r="CV323" t="s">
        <v>7362</v>
      </c>
      <c r="CW323" t="s">
        <v>7362</v>
      </c>
      <c r="CX323">
        <v>4400000</v>
      </c>
      <c r="DA323">
        <v>0</v>
      </c>
    </row>
    <row r="324" spans="1:106" x14ac:dyDescent="0.3">
      <c r="A324">
        <v>1354</v>
      </c>
      <c r="B324" t="s">
        <v>7396</v>
      </c>
      <c r="C324">
        <v>349</v>
      </c>
      <c r="D324" s="20">
        <v>44967</v>
      </c>
      <c r="E324" t="s">
        <v>7372</v>
      </c>
      <c r="F324" t="s">
        <v>5929</v>
      </c>
      <c r="G324" t="s">
        <v>7370</v>
      </c>
      <c r="H324">
        <v>1</v>
      </c>
      <c r="I324" t="s">
        <v>7358</v>
      </c>
      <c r="J324">
        <v>1</v>
      </c>
      <c r="K324" s="20">
        <v>44973</v>
      </c>
      <c r="L324" s="23">
        <v>5400000</v>
      </c>
      <c r="M324" t="s">
        <v>7359</v>
      </c>
      <c r="N324" t="s">
        <v>7360</v>
      </c>
      <c r="O324">
        <v>0</v>
      </c>
      <c r="P324">
        <v>12258</v>
      </c>
      <c r="Q324">
        <v>431003</v>
      </c>
      <c r="R324">
        <v>0</v>
      </c>
      <c r="S324">
        <v>20230210</v>
      </c>
      <c r="T324">
        <v>0</v>
      </c>
      <c r="U324" t="s">
        <v>7362</v>
      </c>
      <c r="V324" t="s">
        <v>7360</v>
      </c>
      <c r="W324" t="s">
        <v>7360</v>
      </c>
      <c r="X324" t="s">
        <v>7360</v>
      </c>
      <c r="Y324" t="s">
        <v>7360</v>
      </c>
      <c r="Z324" t="s">
        <v>7360</v>
      </c>
      <c r="AA324" t="s">
        <v>7362</v>
      </c>
      <c r="AB324" t="s">
        <v>7360</v>
      </c>
      <c r="AC324" t="s">
        <v>7360</v>
      </c>
      <c r="AD324" t="s">
        <v>7360</v>
      </c>
      <c r="AE324" t="s">
        <v>7360</v>
      </c>
      <c r="AF324" t="s">
        <v>1684</v>
      </c>
      <c r="AG324">
        <v>0</v>
      </c>
      <c r="AH324">
        <v>0</v>
      </c>
      <c r="AI324">
        <v>0</v>
      </c>
      <c r="AJ324">
        <v>0</v>
      </c>
      <c r="AK324">
        <v>0</v>
      </c>
      <c r="AL324" t="s">
        <v>7360</v>
      </c>
      <c r="AM324">
        <v>0</v>
      </c>
      <c r="AN324" s="20">
        <v>44973</v>
      </c>
      <c r="AO324" s="20">
        <v>44973</v>
      </c>
      <c r="AP324" s="20">
        <v>44973</v>
      </c>
      <c r="AQ324">
        <v>0</v>
      </c>
      <c r="AR324">
        <v>0</v>
      </c>
      <c r="AS324">
        <v>0</v>
      </c>
      <c r="AT324">
        <v>0</v>
      </c>
      <c r="AU324">
        <v>0</v>
      </c>
      <c r="AV324" t="s">
        <v>7360</v>
      </c>
      <c r="AW324">
        <v>0</v>
      </c>
      <c r="AX324" t="s">
        <v>7360</v>
      </c>
      <c r="AY324" t="s">
        <v>7362</v>
      </c>
      <c r="BA324">
        <v>0</v>
      </c>
      <c r="BB324" s="20">
        <v>44973</v>
      </c>
      <c r="BC324">
        <v>0</v>
      </c>
      <c r="BD324" t="s">
        <v>7360</v>
      </c>
      <c r="BF324" s="20">
        <v>44973</v>
      </c>
      <c r="BG324">
        <v>0</v>
      </c>
      <c r="BH324" t="s">
        <v>7363</v>
      </c>
      <c r="BJ324" t="s">
        <v>7362</v>
      </c>
      <c r="BK324">
        <v>169</v>
      </c>
      <c r="BL324">
        <v>11</v>
      </c>
      <c r="BM324">
        <v>1</v>
      </c>
      <c r="BN324" t="s">
        <v>7364</v>
      </c>
      <c r="BO324">
        <v>0</v>
      </c>
      <c r="BP324">
        <v>0</v>
      </c>
      <c r="BQ324">
        <v>0</v>
      </c>
      <c r="BR324">
        <v>0</v>
      </c>
      <c r="BS324" t="s">
        <v>132</v>
      </c>
      <c r="BT324" t="s">
        <v>7360</v>
      </c>
      <c r="BU324" t="s">
        <v>7360</v>
      </c>
      <c r="BV324" t="s">
        <v>7360</v>
      </c>
      <c r="BX324" t="s">
        <v>7391</v>
      </c>
      <c r="BY324">
        <v>74</v>
      </c>
      <c r="BZ324" t="s">
        <v>7360</v>
      </c>
      <c r="CA324" t="s">
        <v>7360</v>
      </c>
      <c r="CB324" t="s">
        <v>7360</v>
      </c>
      <c r="CC324" s="21">
        <v>44973.491006944445</v>
      </c>
      <c r="CE324" t="s">
        <v>7392</v>
      </c>
      <c r="CF324">
        <v>1100101</v>
      </c>
      <c r="CG324">
        <v>53575</v>
      </c>
      <c r="CH324">
        <v>53575</v>
      </c>
      <c r="CI324" s="21">
        <v>44973.506215277775</v>
      </c>
      <c r="CJ324" t="s">
        <v>7393</v>
      </c>
      <c r="CK324" t="s">
        <v>7393</v>
      </c>
      <c r="CL324" t="s">
        <v>7394</v>
      </c>
      <c r="CM324" t="s">
        <v>7394</v>
      </c>
      <c r="CS324" t="s">
        <v>7361</v>
      </c>
      <c r="CT324" t="s">
        <v>7362</v>
      </c>
      <c r="CU324" t="s">
        <v>7362</v>
      </c>
      <c r="CV324" t="s">
        <v>7362</v>
      </c>
      <c r="CW324" t="s">
        <v>7362</v>
      </c>
      <c r="CX324">
        <v>5400000</v>
      </c>
      <c r="DA324">
        <v>0</v>
      </c>
    </row>
    <row r="325" spans="1:106" x14ac:dyDescent="0.3">
      <c r="A325">
        <v>1354</v>
      </c>
      <c r="B325" t="s">
        <v>7396</v>
      </c>
      <c r="C325">
        <v>350</v>
      </c>
      <c r="D325" s="20">
        <v>44967</v>
      </c>
      <c r="E325" t="s">
        <v>7356</v>
      </c>
      <c r="F325" t="s">
        <v>5934</v>
      </c>
      <c r="G325" t="s">
        <v>7370</v>
      </c>
      <c r="H325">
        <v>1</v>
      </c>
      <c r="I325" t="s">
        <v>7358</v>
      </c>
      <c r="J325">
        <v>1</v>
      </c>
      <c r="K325" s="20">
        <v>44973</v>
      </c>
      <c r="L325" s="23">
        <v>2700000</v>
      </c>
      <c r="M325" t="s">
        <v>7359</v>
      </c>
      <c r="N325" t="s">
        <v>7360</v>
      </c>
      <c r="O325">
        <v>0</v>
      </c>
      <c r="P325">
        <v>12261</v>
      </c>
      <c r="Q325">
        <v>432017</v>
      </c>
      <c r="R325">
        <v>0</v>
      </c>
      <c r="S325">
        <v>20230210</v>
      </c>
      <c r="T325">
        <v>0</v>
      </c>
      <c r="U325" t="s">
        <v>7361</v>
      </c>
      <c r="V325" t="s">
        <v>7360</v>
      </c>
      <c r="W325" t="s">
        <v>7360</v>
      </c>
      <c r="X325" t="s">
        <v>7360</v>
      </c>
      <c r="Y325" t="s">
        <v>7360</v>
      </c>
      <c r="Z325" t="s">
        <v>7360</v>
      </c>
      <c r="AA325" t="s">
        <v>7362</v>
      </c>
      <c r="AB325" t="s">
        <v>7360</v>
      </c>
      <c r="AC325" t="s">
        <v>7360</v>
      </c>
      <c r="AD325" t="s">
        <v>7360</v>
      </c>
      <c r="AE325" t="s">
        <v>7360</v>
      </c>
      <c r="AF325" t="s">
        <v>1684</v>
      </c>
      <c r="AG325">
        <v>0</v>
      </c>
      <c r="AH325">
        <v>0</v>
      </c>
      <c r="AI325">
        <v>0</v>
      </c>
      <c r="AJ325">
        <v>0</v>
      </c>
      <c r="AK325">
        <v>0</v>
      </c>
      <c r="AL325" t="s">
        <v>7360</v>
      </c>
      <c r="AM325">
        <v>0</v>
      </c>
      <c r="AN325" s="20">
        <v>44973</v>
      </c>
      <c r="AO325" s="20">
        <v>44973</v>
      </c>
      <c r="AP325" s="20">
        <v>44973</v>
      </c>
      <c r="AQ325">
        <v>0</v>
      </c>
      <c r="AR325">
        <v>0</v>
      </c>
      <c r="AS325">
        <v>0</v>
      </c>
      <c r="AT325">
        <v>0</v>
      </c>
      <c r="AU325">
        <v>0</v>
      </c>
      <c r="AV325" t="s">
        <v>7360</v>
      </c>
      <c r="AW325">
        <v>0</v>
      </c>
      <c r="AX325" t="s">
        <v>7360</v>
      </c>
      <c r="AY325" t="s">
        <v>7363</v>
      </c>
      <c r="BA325">
        <v>0</v>
      </c>
      <c r="BB325" s="20">
        <v>44973</v>
      </c>
      <c r="BC325">
        <v>0</v>
      </c>
      <c r="BD325" t="s">
        <v>7360</v>
      </c>
      <c r="BF325" s="20">
        <v>44973</v>
      </c>
      <c r="BG325">
        <v>0</v>
      </c>
      <c r="BH325" t="s">
        <v>7363</v>
      </c>
      <c r="BJ325" t="s">
        <v>7362</v>
      </c>
      <c r="BK325">
        <v>169</v>
      </c>
      <c r="BL325">
        <v>11</v>
      </c>
      <c r="BM325">
        <v>1</v>
      </c>
      <c r="BN325" t="s">
        <v>7364</v>
      </c>
      <c r="BO325">
        <v>0</v>
      </c>
      <c r="BP325">
        <v>0</v>
      </c>
      <c r="BQ325">
        <v>0</v>
      </c>
      <c r="BR325">
        <v>0</v>
      </c>
      <c r="BS325" t="s">
        <v>132</v>
      </c>
      <c r="BT325" t="s">
        <v>7360</v>
      </c>
      <c r="BU325" t="s">
        <v>7360</v>
      </c>
      <c r="BV325" t="s">
        <v>7360</v>
      </c>
      <c r="BX325" t="s">
        <v>7391</v>
      </c>
      <c r="BY325">
        <v>74</v>
      </c>
      <c r="BZ325" t="s">
        <v>7360</v>
      </c>
      <c r="CA325" t="s">
        <v>7360</v>
      </c>
      <c r="CB325" t="s">
        <v>7360</v>
      </c>
      <c r="CC325" s="21">
        <v>44973.504756944443</v>
      </c>
      <c r="CE325" t="s">
        <v>7392</v>
      </c>
      <c r="CF325">
        <v>1100101</v>
      </c>
      <c r="CG325">
        <v>53575</v>
      </c>
      <c r="CH325">
        <v>53575</v>
      </c>
      <c r="CI325" s="21">
        <v>44973.510138888887</v>
      </c>
      <c r="CJ325" t="s">
        <v>7393</v>
      </c>
      <c r="CK325" t="s">
        <v>7393</v>
      </c>
      <c r="CL325" t="s">
        <v>7394</v>
      </c>
      <c r="CM325" t="s">
        <v>7394</v>
      </c>
      <c r="CS325" t="s">
        <v>7361</v>
      </c>
      <c r="CT325" t="s">
        <v>7362</v>
      </c>
      <c r="CU325" t="s">
        <v>7362</v>
      </c>
      <c r="CV325" t="s">
        <v>7362</v>
      </c>
      <c r="CW325" t="s">
        <v>7362</v>
      </c>
      <c r="CX325">
        <v>2700000</v>
      </c>
      <c r="DA325">
        <v>0</v>
      </c>
    </row>
    <row r="326" spans="1:106" x14ac:dyDescent="0.3">
      <c r="A326">
        <v>1357</v>
      </c>
      <c r="B326" t="s">
        <v>7405</v>
      </c>
      <c r="C326">
        <v>351</v>
      </c>
      <c r="D326" s="20">
        <v>44973</v>
      </c>
      <c r="E326" t="s">
        <v>7356</v>
      </c>
      <c r="F326" t="s">
        <v>5940</v>
      </c>
      <c r="G326" t="s">
        <v>7357</v>
      </c>
      <c r="H326">
        <v>1</v>
      </c>
      <c r="I326" t="s">
        <v>7358</v>
      </c>
      <c r="J326">
        <v>1</v>
      </c>
      <c r="K326" s="20">
        <v>44973</v>
      </c>
      <c r="L326" s="23">
        <v>4176781</v>
      </c>
      <c r="M326" t="s">
        <v>7359</v>
      </c>
      <c r="N326" t="s">
        <v>7360</v>
      </c>
      <c r="O326">
        <v>0</v>
      </c>
      <c r="P326">
        <v>12266</v>
      </c>
      <c r="Q326">
        <v>432001</v>
      </c>
      <c r="R326">
        <v>0</v>
      </c>
      <c r="S326">
        <v>20230216</v>
      </c>
      <c r="T326">
        <v>0</v>
      </c>
      <c r="U326" t="s">
        <v>7361</v>
      </c>
      <c r="V326" t="s">
        <v>7360</v>
      </c>
      <c r="W326" t="s">
        <v>7360</v>
      </c>
      <c r="X326" t="s">
        <v>7360</v>
      </c>
      <c r="Y326" t="s">
        <v>7360</v>
      </c>
      <c r="Z326" t="s">
        <v>7360</v>
      </c>
      <c r="AA326" t="s">
        <v>7362</v>
      </c>
      <c r="AB326" t="s">
        <v>7360</v>
      </c>
      <c r="AC326" t="s">
        <v>7360</v>
      </c>
      <c r="AD326" t="s">
        <v>7360</v>
      </c>
      <c r="AE326" t="s">
        <v>7360</v>
      </c>
      <c r="AF326" t="s">
        <v>1684</v>
      </c>
      <c r="AG326">
        <v>0</v>
      </c>
      <c r="AH326">
        <v>0</v>
      </c>
      <c r="AI326">
        <v>0</v>
      </c>
      <c r="AJ326">
        <v>0</v>
      </c>
      <c r="AK326">
        <v>0</v>
      </c>
      <c r="AL326" t="s">
        <v>7360</v>
      </c>
      <c r="AM326">
        <v>0</v>
      </c>
      <c r="AN326" s="20">
        <v>44973</v>
      </c>
      <c r="AO326" s="20">
        <v>44973</v>
      </c>
      <c r="AP326" s="20">
        <v>44973</v>
      </c>
      <c r="AQ326">
        <v>0</v>
      </c>
      <c r="AR326">
        <v>0</v>
      </c>
      <c r="AS326">
        <v>0</v>
      </c>
      <c r="AT326">
        <v>0</v>
      </c>
      <c r="AU326">
        <v>0</v>
      </c>
      <c r="AV326" t="s">
        <v>7360</v>
      </c>
      <c r="AW326">
        <v>0</v>
      </c>
      <c r="AX326" t="s">
        <v>7360</v>
      </c>
      <c r="AY326" t="s">
        <v>7363</v>
      </c>
      <c r="BA326">
        <v>0</v>
      </c>
      <c r="BB326" s="20">
        <v>44973</v>
      </c>
      <c r="BC326">
        <v>0</v>
      </c>
      <c r="BD326" t="s">
        <v>7360</v>
      </c>
      <c r="BF326" s="20">
        <v>44973</v>
      </c>
      <c r="BG326">
        <v>0</v>
      </c>
      <c r="BH326" t="s">
        <v>1684</v>
      </c>
      <c r="BJ326" t="s">
        <v>7362</v>
      </c>
      <c r="BK326">
        <v>0</v>
      </c>
      <c r="BL326">
        <v>0</v>
      </c>
      <c r="BM326">
        <v>0</v>
      </c>
      <c r="BN326">
        <v>0</v>
      </c>
      <c r="BO326">
        <v>169</v>
      </c>
      <c r="BP326">
        <v>11</v>
      </c>
      <c r="BQ326">
        <v>1</v>
      </c>
      <c r="BR326" t="s">
        <v>7364</v>
      </c>
      <c r="BS326" t="s">
        <v>7382</v>
      </c>
      <c r="BT326" t="s">
        <v>7360</v>
      </c>
      <c r="BU326" t="s">
        <v>7360</v>
      </c>
      <c r="BV326" t="s">
        <v>7360</v>
      </c>
      <c r="BX326">
        <v>0</v>
      </c>
      <c r="BY326">
        <v>0</v>
      </c>
      <c r="BZ326" t="s">
        <v>7360</v>
      </c>
      <c r="CA326" t="s">
        <v>7360</v>
      </c>
      <c r="CB326">
        <v>3380666</v>
      </c>
      <c r="CC326" s="21">
        <v>44973.512083333335</v>
      </c>
      <c r="CE326" t="s">
        <v>7366</v>
      </c>
      <c r="CF326">
        <v>0</v>
      </c>
      <c r="CG326">
        <v>702002</v>
      </c>
      <c r="CH326">
        <v>702002</v>
      </c>
      <c r="CI326" s="21">
        <v>44973.518923611111</v>
      </c>
      <c r="CJ326" t="s">
        <v>7367</v>
      </c>
      <c r="CK326" t="s">
        <v>7367</v>
      </c>
      <c r="CL326" t="s">
        <v>7368</v>
      </c>
      <c r="CM326" t="s">
        <v>7368</v>
      </c>
      <c r="CS326" t="s">
        <v>7361</v>
      </c>
      <c r="CT326" t="s">
        <v>7362</v>
      </c>
      <c r="CU326" t="s">
        <v>7362</v>
      </c>
      <c r="CV326" t="s">
        <v>7362</v>
      </c>
      <c r="CW326" t="s">
        <v>7362</v>
      </c>
      <c r="CX326">
        <v>4176781</v>
      </c>
      <c r="DA326">
        <v>0</v>
      </c>
    </row>
    <row r="327" spans="1:106" x14ac:dyDescent="0.3">
      <c r="A327">
        <v>1362</v>
      </c>
      <c r="B327" t="s">
        <v>7371</v>
      </c>
      <c r="C327">
        <v>559</v>
      </c>
      <c r="D327" s="20">
        <v>44993</v>
      </c>
      <c r="E327" t="s">
        <v>7372</v>
      </c>
      <c r="F327" t="s">
        <v>5945</v>
      </c>
      <c r="G327" t="s">
        <v>7357</v>
      </c>
      <c r="H327">
        <v>1</v>
      </c>
      <c r="I327" t="s">
        <v>7358</v>
      </c>
      <c r="J327">
        <v>1</v>
      </c>
      <c r="K327" s="20">
        <v>44993</v>
      </c>
      <c r="L327" s="23">
        <v>20985467</v>
      </c>
      <c r="M327" t="s">
        <v>7359</v>
      </c>
      <c r="N327" t="s">
        <v>7360</v>
      </c>
      <c r="O327">
        <v>0</v>
      </c>
      <c r="P327">
        <v>12841</v>
      </c>
      <c r="Q327">
        <v>450009</v>
      </c>
      <c r="R327">
        <v>0</v>
      </c>
      <c r="S327">
        <v>20230308</v>
      </c>
      <c r="T327">
        <v>0</v>
      </c>
      <c r="U327" t="s">
        <v>7362</v>
      </c>
      <c r="V327" t="s">
        <v>7360</v>
      </c>
      <c r="W327" t="s">
        <v>7360</v>
      </c>
      <c r="X327" t="s">
        <v>7360</v>
      </c>
      <c r="Y327" t="s">
        <v>7360</v>
      </c>
      <c r="Z327" t="s">
        <v>7360</v>
      </c>
      <c r="AA327" t="s">
        <v>7362</v>
      </c>
      <c r="AB327" t="s">
        <v>7360</v>
      </c>
      <c r="AC327" t="s">
        <v>7360</v>
      </c>
      <c r="AD327" t="s">
        <v>7360</v>
      </c>
      <c r="AE327" t="s">
        <v>7360</v>
      </c>
      <c r="AF327" t="s">
        <v>1684</v>
      </c>
      <c r="AG327">
        <v>0</v>
      </c>
      <c r="AH327">
        <v>0</v>
      </c>
      <c r="AI327">
        <v>0</v>
      </c>
      <c r="AJ327">
        <v>0</v>
      </c>
      <c r="AK327">
        <v>0</v>
      </c>
      <c r="AL327" t="s">
        <v>7360</v>
      </c>
      <c r="AM327">
        <v>0</v>
      </c>
      <c r="AN327" s="20">
        <v>44993</v>
      </c>
      <c r="AO327" s="20">
        <v>44993</v>
      </c>
      <c r="AP327" s="20">
        <v>44993</v>
      </c>
      <c r="AQ327">
        <v>0</v>
      </c>
      <c r="AR327">
        <v>0</v>
      </c>
      <c r="AS327">
        <v>0</v>
      </c>
      <c r="AT327">
        <v>0</v>
      </c>
      <c r="AU327">
        <v>0</v>
      </c>
      <c r="AV327" t="s">
        <v>7360</v>
      </c>
      <c r="AW327">
        <v>0</v>
      </c>
      <c r="AX327" t="s">
        <v>7360</v>
      </c>
      <c r="AY327" t="s">
        <v>7362</v>
      </c>
      <c r="BA327">
        <v>0</v>
      </c>
      <c r="BB327" s="20">
        <v>44993</v>
      </c>
      <c r="BC327">
        <v>0</v>
      </c>
      <c r="BD327" t="s">
        <v>7360</v>
      </c>
      <c r="BF327" s="20">
        <v>44993</v>
      </c>
      <c r="BG327">
        <v>0</v>
      </c>
      <c r="BH327" t="s">
        <v>7363</v>
      </c>
      <c r="BJ327" t="s">
        <v>7362</v>
      </c>
      <c r="BK327">
        <v>0</v>
      </c>
      <c r="BL327">
        <v>0</v>
      </c>
      <c r="BM327">
        <v>0</v>
      </c>
      <c r="BN327">
        <v>0</v>
      </c>
      <c r="BO327">
        <v>169</v>
      </c>
      <c r="BP327">
        <v>11</v>
      </c>
      <c r="BQ327">
        <v>1</v>
      </c>
      <c r="BR327" t="s">
        <v>7364</v>
      </c>
      <c r="BS327" t="s">
        <v>7374</v>
      </c>
      <c r="BT327" t="s">
        <v>7360</v>
      </c>
      <c r="BU327" t="s">
        <v>7360</v>
      </c>
      <c r="BV327" t="s">
        <v>7360</v>
      </c>
      <c r="BX327">
        <v>0</v>
      </c>
      <c r="BY327">
        <v>0</v>
      </c>
      <c r="BZ327" t="s">
        <v>7360</v>
      </c>
      <c r="CA327" t="s">
        <v>7360</v>
      </c>
      <c r="CB327">
        <v>3380666</v>
      </c>
      <c r="CC327" s="21">
        <v>44979.911574074074</v>
      </c>
      <c r="CE327" t="s">
        <v>7366</v>
      </c>
      <c r="CF327">
        <v>0</v>
      </c>
      <c r="CG327">
        <v>702002</v>
      </c>
      <c r="CH327">
        <v>702002</v>
      </c>
      <c r="CI327" s="21">
        <v>44979.9137962963</v>
      </c>
      <c r="CJ327" t="s">
        <v>7367</v>
      </c>
      <c r="CK327" t="s">
        <v>7367</v>
      </c>
      <c r="CL327" t="s">
        <v>7368</v>
      </c>
      <c r="CM327" t="s">
        <v>7368</v>
      </c>
      <c r="CS327" t="s">
        <v>7361</v>
      </c>
      <c r="CT327" t="s">
        <v>7362</v>
      </c>
      <c r="CU327" t="s">
        <v>7362</v>
      </c>
      <c r="CV327" t="s">
        <v>7362</v>
      </c>
      <c r="CW327" t="s">
        <v>7362</v>
      </c>
      <c r="CX327">
        <v>23683380</v>
      </c>
      <c r="DA327">
        <v>0</v>
      </c>
    </row>
    <row r="328" spans="1:106" x14ac:dyDescent="0.3">
      <c r="A328">
        <v>1354</v>
      </c>
      <c r="B328" t="s">
        <v>7396</v>
      </c>
      <c r="C328">
        <v>353</v>
      </c>
      <c r="D328" s="20">
        <v>44973</v>
      </c>
      <c r="E328" t="s">
        <v>7356</v>
      </c>
      <c r="F328" t="s">
        <v>5950</v>
      </c>
      <c r="G328" t="s">
        <v>7370</v>
      </c>
      <c r="H328">
        <v>1</v>
      </c>
      <c r="I328" t="s">
        <v>7358</v>
      </c>
      <c r="J328">
        <v>1</v>
      </c>
      <c r="K328" s="20">
        <v>44973</v>
      </c>
      <c r="L328" s="23">
        <v>1800000</v>
      </c>
      <c r="M328" t="s">
        <v>7359</v>
      </c>
      <c r="N328" t="s">
        <v>7360</v>
      </c>
      <c r="O328">
        <v>0</v>
      </c>
      <c r="P328">
        <v>12262</v>
      </c>
      <c r="Q328">
        <v>431006</v>
      </c>
      <c r="R328">
        <v>0</v>
      </c>
      <c r="S328">
        <v>20230216</v>
      </c>
      <c r="T328">
        <v>0</v>
      </c>
      <c r="U328" t="s">
        <v>7361</v>
      </c>
      <c r="V328" t="s">
        <v>7360</v>
      </c>
      <c r="W328" t="s">
        <v>7360</v>
      </c>
      <c r="X328" t="s">
        <v>7360</v>
      </c>
      <c r="Y328" t="s">
        <v>7360</v>
      </c>
      <c r="Z328" t="s">
        <v>7360</v>
      </c>
      <c r="AA328" t="s">
        <v>7362</v>
      </c>
      <c r="AB328" t="s">
        <v>7360</v>
      </c>
      <c r="AC328" t="s">
        <v>7360</v>
      </c>
      <c r="AD328" t="s">
        <v>7360</v>
      </c>
      <c r="AE328" t="s">
        <v>7360</v>
      </c>
      <c r="AF328" t="s">
        <v>1684</v>
      </c>
      <c r="AG328">
        <v>0</v>
      </c>
      <c r="AH328">
        <v>0</v>
      </c>
      <c r="AI328">
        <v>0</v>
      </c>
      <c r="AJ328">
        <v>0</v>
      </c>
      <c r="AK328">
        <v>0</v>
      </c>
      <c r="AL328" t="s">
        <v>7360</v>
      </c>
      <c r="AM328">
        <v>0</v>
      </c>
      <c r="AN328" s="20">
        <v>44973</v>
      </c>
      <c r="AO328" s="20">
        <v>44973</v>
      </c>
      <c r="AP328" s="20">
        <v>44973</v>
      </c>
      <c r="AQ328">
        <v>0</v>
      </c>
      <c r="AR328">
        <v>0</v>
      </c>
      <c r="AS328">
        <v>0</v>
      </c>
      <c r="AT328">
        <v>0</v>
      </c>
      <c r="AU328">
        <v>0</v>
      </c>
      <c r="AV328" t="s">
        <v>7360</v>
      </c>
      <c r="AW328">
        <v>0</v>
      </c>
      <c r="AX328" t="s">
        <v>7360</v>
      </c>
      <c r="AY328" t="s">
        <v>7363</v>
      </c>
      <c r="BA328">
        <v>0</v>
      </c>
      <c r="BB328" s="20">
        <v>44973</v>
      </c>
      <c r="BC328">
        <v>0</v>
      </c>
      <c r="BD328" t="s">
        <v>7360</v>
      </c>
      <c r="BF328" s="20">
        <v>44973</v>
      </c>
      <c r="BG328">
        <v>0</v>
      </c>
      <c r="BH328" t="s">
        <v>7363</v>
      </c>
      <c r="BJ328" t="s">
        <v>7362</v>
      </c>
      <c r="BK328">
        <v>169</v>
      </c>
      <c r="BL328">
        <v>11</v>
      </c>
      <c r="BM328">
        <v>1</v>
      </c>
      <c r="BN328" t="s">
        <v>7364</v>
      </c>
      <c r="BO328">
        <v>0</v>
      </c>
      <c r="BP328">
        <v>0</v>
      </c>
      <c r="BQ328">
        <v>0</v>
      </c>
      <c r="BR328">
        <v>0</v>
      </c>
      <c r="BS328" t="s">
        <v>132</v>
      </c>
      <c r="BT328" t="s">
        <v>7360</v>
      </c>
      <c r="BU328" t="s">
        <v>7360</v>
      </c>
      <c r="BV328" t="s">
        <v>7360</v>
      </c>
      <c r="BX328" t="s">
        <v>7391</v>
      </c>
      <c r="BY328">
        <v>74</v>
      </c>
      <c r="BZ328" t="s">
        <v>7360</v>
      </c>
      <c r="CA328" t="s">
        <v>7360</v>
      </c>
      <c r="CB328" t="s">
        <v>7360</v>
      </c>
      <c r="CC328" s="21">
        <v>44973.532002314816</v>
      </c>
      <c r="CE328" t="s">
        <v>7392</v>
      </c>
      <c r="CF328">
        <v>1100101</v>
      </c>
      <c r="CG328">
        <v>53575</v>
      </c>
      <c r="CH328">
        <v>53575</v>
      </c>
      <c r="CI328" s="21">
        <v>44973.533773148149</v>
      </c>
      <c r="CJ328" t="s">
        <v>7393</v>
      </c>
      <c r="CK328" t="s">
        <v>7393</v>
      </c>
      <c r="CL328" t="s">
        <v>7394</v>
      </c>
      <c r="CM328" t="s">
        <v>7394</v>
      </c>
      <c r="CS328" t="s">
        <v>7361</v>
      </c>
      <c r="CT328" t="s">
        <v>7362</v>
      </c>
      <c r="CU328" t="s">
        <v>7362</v>
      </c>
      <c r="CV328" t="s">
        <v>7362</v>
      </c>
      <c r="CW328" t="s">
        <v>7362</v>
      </c>
      <c r="CX328">
        <v>1800000</v>
      </c>
      <c r="DA328">
        <v>0</v>
      </c>
    </row>
    <row r="329" spans="1:106" x14ac:dyDescent="0.3">
      <c r="A329">
        <v>1354</v>
      </c>
      <c r="B329" t="s">
        <v>7396</v>
      </c>
      <c r="C329">
        <v>354</v>
      </c>
      <c r="D329" s="20">
        <v>44967</v>
      </c>
      <c r="E329" t="s">
        <v>7356</v>
      </c>
      <c r="F329" t="s">
        <v>5956</v>
      </c>
      <c r="G329" t="s">
        <v>7370</v>
      </c>
      <c r="H329">
        <v>1</v>
      </c>
      <c r="I329" t="s">
        <v>7358</v>
      </c>
      <c r="J329">
        <v>1</v>
      </c>
      <c r="K329" s="20">
        <v>44973</v>
      </c>
      <c r="L329" s="23">
        <v>1350000</v>
      </c>
      <c r="M329" t="s">
        <v>7359</v>
      </c>
      <c r="N329" t="s">
        <v>7360</v>
      </c>
      <c r="O329">
        <v>0</v>
      </c>
      <c r="P329">
        <v>12257</v>
      </c>
      <c r="Q329">
        <v>431002</v>
      </c>
      <c r="R329">
        <v>0</v>
      </c>
      <c r="S329">
        <v>20230210</v>
      </c>
      <c r="T329">
        <v>0</v>
      </c>
      <c r="U329" t="s">
        <v>7361</v>
      </c>
      <c r="V329" t="s">
        <v>7360</v>
      </c>
      <c r="W329" t="s">
        <v>7360</v>
      </c>
      <c r="X329" t="s">
        <v>7360</v>
      </c>
      <c r="Y329" t="s">
        <v>7360</v>
      </c>
      <c r="Z329" t="s">
        <v>7360</v>
      </c>
      <c r="AA329" t="s">
        <v>7362</v>
      </c>
      <c r="AB329" t="s">
        <v>7360</v>
      </c>
      <c r="AC329" t="s">
        <v>7360</v>
      </c>
      <c r="AD329" t="s">
        <v>7360</v>
      </c>
      <c r="AE329" t="s">
        <v>7360</v>
      </c>
      <c r="AF329" t="s">
        <v>1684</v>
      </c>
      <c r="AG329">
        <v>0</v>
      </c>
      <c r="AH329">
        <v>0</v>
      </c>
      <c r="AI329">
        <v>0</v>
      </c>
      <c r="AJ329">
        <v>0</v>
      </c>
      <c r="AK329">
        <v>0</v>
      </c>
      <c r="AL329" t="s">
        <v>7360</v>
      </c>
      <c r="AM329">
        <v>0</v>
      </c>
      <c r="AN329" s="20">
        <v>44973</v>
      </c>
      <c r="AO329" s="20">
        <v>44973</v>
      </c>
      <c r="AP329" s="20">
        <v>44973</v>
      </c>
      <c r="AQ329">
        <v>0</v>
      </c>
      <c r="AR329">
        <v>0</v>
      </c>
      <c r="AS329">
        <v>0</v>
      </c>
      <c r="AT329">
        <v>0</v>
      </c>
      <c r="AU329">
        <v>0</v>
      </c>
      <c r="AV329" t="s">
        <v>7360</v>
      </c>
      <c r="AW329">
        <v>0</v>
      </c>
      <c r="AX329" t="s">
        <v>7360</v>
      </c>
      <c r="AY329" t="s">
        <v>7363</v>
      </c>
      <c r="BA329">
        <v>0</v>
      </c>
      <c r="BB329" s="20">
        <v>44973</v>
      </c>
      <c r="BC329">
        <v>0</v>
      </c>
      <c r="BD329" t="s">
        <v>7360</v>
      </c>
      <c r="BF329" s="20">
        <v>44973</v>
      </c>
      <c r="BG329">
        <v>0</v>
      </c>
      <c r="BH329" t="s">
        <v>7363</v>
      </c>
      <c r="BJ329" t="s">
        <v>7362</v>
      </c>
      <c r="BK329">
        <v>169</v>
      </c>
      <c r="BL329">
        <v>11</v>
      </c>
      <c r="BM329">
        <v>1</v>
      </c>
      <c r="BN329" t="s">
        <v>7364</v>
      </c>
      <c r="BO329">
        <v>0</v>
      </c>
      <c r="BP329">
        <v>0</v>
      </c>
      <c r="BQ329">
        <v>0</v>
      </c>
      <c r="BR329">
        <v>0</v>
      </c>
      <c r="BS329" t="s">
        <v>132</v>
      </c>
      <c r="BT329" t="s">
        <v>7360</v>
      </c>
      <c r="BU329" t="s">
        <v>7360</v>
      </c>
      <c r="BV329" t="s">
        <v>7360</v>
      </c>
      <c r="BX329" t="s">
        <v>7391</v>
      </c>
      <c r="BY329">
        <v>74</v>
      </c>
      <c r="BZ329" t="s">
        <v>7360</v>
      </c>
      <c r="CA329" t="s">
        <v>7360</v>
      </c>
      <c r="CB329" t="s">
        <v>7360</v>
      </c>
      <c r="CC329" s="21">
        <v>44973.536307870374</v>
      </c>
      <c r="CE329" t="s">
        <v>7392</v>
      </c>
      <c r="CF329">
        <v>1100101</v>
      </c>
      <c r="CG329">
        <v>53575</v>
      </c>
      <c r="CH329">
        <v>53575</v>
      </c>
      <c r="CI329" s="21">
        <v>44973.537037037036</v>
      </c>
      <c r="CJ329" t="s">
        <v>7393</v>
      </c>
      <c r="CK329" t="s">
        <v>7393</v>
      </c>
      <c r="CL329" t="s">
        <v>7394</v>
      </c>
      <c r="CM329" t="s">
        <v>7394</v>
      </c>
      <c r="CS329" t="s">
        <v>7361</v>
      </c>
      <c r="CT329" t="s">
        <v>7362</v>
      </c>
      <c r="CU329" t="s">
        <v>7362</v>
      </c>
      <c r="CV329" t="s">
        <v>7362</v>
      </c>
      <c r="CW329" t="s">
        <v>7362</v>
      </c>
      <c r="CX329">
        <v>1350000</v>
      </c>
      <c r="DA329">
        <v>0</v>
      </c>
    </row>
    <row r="330" spans="1:106" x14ac:dyDescent="0.3">
      <c r="A330">
        <v>1354</v>
      </c>
      <c r="B330" t="s">
        <v>7396</v>
      </c>
      <c r="C330">
        <v>355</v>
      </c>
      <c r="D330" s="20">
        <v>44973</v>
      </c>
      <c r="E330" t="s">
        <v>7356</v>
      </c>
      <c r="F330" t="s">
        <v>5961</v>
      </c>
      <c r="G330" t="s">
        <v>7370</v>
      </c>
      <c r="H330">
        <v>1</v>
      </c>
      <c r="I330" t="s">
        <v>7358</v>
      </c>
      <c r="J330">
        <v>1</v>
      </c>
      <c r="K330" s="20">
        <v>44973</v>
      </c>
      <c r="L330" s="23">
        <v>3300000</v>
      </c>
      <c r="M330" t="s">
        <v>7359</v>
      </c>
      <c r="N330" t="s">
        <v>7360</v>
      </c>
      <c r="O330">
        <v>0</v>
      </c>
      <c r="P330">
        <v>12264</v>
      </c>
      <c r="Q330">
        <v>431008</v>
      </c>
      <c r="R330">
        <v>0</v>
      </c>
      <c r="S330">
        <v>20230216</v>
      </c>
      <c r="T330">
        <v>0</v>
      </c>
      <c r="U330" t="s">
        <v>7361</v>
      </c>
      <c r="V330" t="s">
        <v>7360</v>
      </c>
      <c r="W330" t="s">
        <v>7360</v>
      </c>
      <c r="X330" t="s">
        <v>7360</v>
      </c>
      <c r="Y330" t="s">
        <v>7360</v>
      </c>
      <c r="Z330" t="s">
        <v>7360</v>
      </c>
      <c r="AA330" t="s">
        <v>7362</v>
      </c>
      <c r="AB330" t="s">
        <v>7360</v>
      </c>
      <c r="AC330" t="s">
        <v>7360</v>
      </c>
      <c r="AD330" t="s">
        <v>7360</v>
      </c>
      <c r="AE330" t="s">
        <v>7360</v>
      </c>
      <c r="AF330" t="s">
        <v>1684</v>
      </c>
      <c r="AG330">
        <v>0</v>
      </c>
      <c r="AH330">
        <v>0</v>
      </c>
      <c r="AI330">
        <v>0</v>
      </c>
      <c r="AJ330">
        <v>0</v>
      </c>
      <c r="AK330">
        <v>0</v>
      </c>
      <c r="AL330" t="s">
        <v>7360</v>
      </c>
      <c r="AM330">
        <v>0</v>
      </c>
      <c r="AN330" s="20">
        <v>44973</v>
      </c>
      <c r="AO330" s="20">
        <v>44973</v>
      </c>
      <c r="AP330" s="20">
        <v>44973</v>
      </c>
      <c r="AQ330">
        <v>0</v>
      </c>
      <c r="AR330">
        <v>0</v>
      </c>
      <c r="AS330">
        <v>0</v>
      </c>
      <c r="AT330">
        <v>0</v>
      </c>
      <c r="AU330">
        <v>0</v>
      </c>
      <c r="AV330" t="s">
        <v>7360</v>
      </c>
      <c r="AW330">
        <v>0</v>
      </c>
      <c r="AX330" t="s">
        <v>7360</v>
      </c>
      <c r="AY330" t="s">
        <v>7363</v>
      </c>
      <c r="BA330">
        <v>0</v>
      </c>
      <c r="BB330" s="20">
        <v>44973</v>
      </c>
      <c r="BC330">
        <v>0</v>
      </c>
      <c r="BD330" t="s">
        <v>7360</v>
      </c>
      <c r="BF330" s="20">
        <v>44973</v>
      </c>
      <c r="BG330">
        <v>0</v>
      </c>
      <c r="BH330" t="s">
        <v>7363</v>
      </c>
      <c r="BJ330" t="s">
        <v>7362</v>
      </c>
      <c r="BK330">
        <v>169</v>
      </c>
      <c r="BL330">
        <v>11</v>
      </c>
      <c r="BM330">
        <v>1</v>
      </c>
      <c r="BN330" t="s">
        <v>7364</v>
      </c>
      <c r="BO330">
        <v>0</v>
      </c>
      <c r="BP330">
        <v>0</v>
      </c>
      <c r="BQ330">
        <v>0</v>
      </c>
      <c r="BR330">
        <v>0</v>
      </c>
      <c r="BS330" t="s">
        <v>132</v>
      </c>
      <c r="BT330" t="s">
        <v>7360</v>
      </c>
      <c r="BU330" t="s">
        <v>7360</v>
      </c>
      <c r="BV330" t="s">
        <v>7360</v>
      </c>
      <c r="BX330" t="s">
        <v>7391</v>
      </c>
      <c r="BY330">
        <v>74</v>
      </c>
      <c r="BZ330" t="s">
        <v>7360</v>
      </c>
      <c r="CA330" t="s">
        <v>7360</v>
      </c>
      <c r="CB330" t="s">
        <v>7360</v>
      </c>
      <c r="CC330" s="21">
        <v>44973.541354166664</v>
      </c>
      <c r="CE330" t="s">
        <v>7392</v>
      </c>
      <c r="CF330">
        <v>1100101</v>
      </c>
      <c r="CG330">
        <v>53575</v>
      </c>
      <c r="CH330">
        <v>53575</v>
      </c>
      <c r="CI330" s="21">
        <v>44973.542256944442</v>
      </c>
      <c r="CJ330" t="s">
        <v>7393</v>
      </c>
      <c r="CK330" t="s">
        <v>7393</v>
      </c>
      <c r="CL330" t="s">
        <v>7394</v>
      </c>
      <c r="CM330" t="s">
        <v>7394</v>
      </c>
      <c r="CS330" t="s">
        <v>7361</v>
      </c>
      <c r="CT330" t="s">
        <v>7362</v>
      </c>
      <c r="CU330" t="s">
        <v>7362</v>
      </c>
      <c r="CV330" t="s">
        <v>7362</v>
      </c>
      <c r="CW330" t="s">
        <v>7362</v>
      </c>
      <c r="CX330">
        <v>3300000</v>
      </c>
      <c r="DA330">
        <v>0</v>
      </c>
    </row>
    <row r="331" spans="1:106" x14ac:dyDescent="0.3">
      <c r="A331">
        <v>1366</v>
      </c>
      <c r="B331" t="s">
        <v>7380</v>
      </c>
      <c r="C331">
        <v>356</v>
      </c>
      <c r="D331" s="20">
        <v>44973</v>
      </c>
      <c r="E331" t="s">
        <v>7356</v>
      </c>
      <c r="F331" t="s">
        <v>5966</v>
      </c>
      <c r="G331" t="s">
        <v>7357</v>
      </c>
      <c r="H331">
        <v>1</v>
      </c>
      <c r="I331" t="s">
        <v>7358</v>
      </c>
      <c r="J331">
        <v>1</v>
      </c>
      <c r="K331" s="20">
        <v>44973</v>
      </c>
      <c r="L331" s="23">
        <v>3911001</v>
      </c>
      <c r="M331" t="s">
        <v>7359</v>
      </c>
      <c r="N331" t="s">
        <v>7360</v>
      </c>
      <c r="O331">
        <v>0</v>
      </c>
      <c r="P331">
        <v>12293</v>
      </c>
      <c r="Q331">
        <v>432013</v>
      </c>
      <c r="R331">
        <v>0</v>
      </c>
      <c r="S331">
        <v>20230216</v>
      </c>
      <c r="T331">
        <v>0</v>
      </c>
      <c r="U331" t="s">
        <v>7361</v>
      </c>
      <c r="V331" t="s">
        <v>7360</v>
      </c>
      <c r="W331" t="s">
        <v>7360</v>
      </c>
      <c r="X331" t="s">
        <v>7360</v>
      </c>
      <c r="Y331" t="s">
        <v>7360</v>
      </c>
      <c r="Z331" t="s">
        <v>7360</v>
      </c>
      <c r="AA331" t="s">
        <v>7362</v>
      </c>
      <c r="AB331" t="s">
        <v>7360</v>
      </c>
      <c r="AC331" t="s">
        <v>7360</v>
      </c>
      <c r="AD331" t="s">
        <v>7360</v>
      </c>
      <c r="AE331" t="s">
        <v>7360</v>
      </c>
      <c r="AF331" t="s">
        <v>1684</v>
      </c>
      <c r="AG331">
        <v>0</v>
      </c>
      <c r="AH331">
        <v>0</v>
      </c>
      <c r="AI331">
        <v>0</v>
      </c>
      <c r="AJ331">
        <v>0</v>
      </c>
      <c r="AK331">
        <v>0</v>
      </c>
      <c r="AL331" t="s">
        <v>7360</v>
      </c>
      <c r="AM331">
        <v>0</v>
      </c>
      <c r="AN331" s="20">
        <v>44973</v>
      </c>
      <c r="AO331" s="20">
        <v>44973</v>
      </c>
      <c r="AP331" s="20">
        <v>44973</v>
      </c>
      <c r="AQ331">
        <v>0</v>
      </c>
      <c r="AR331">
        <v>0</v>
      </c>
      <c r="AS331">
        <v>0</v>
      </c>
      <c r="AT331">
        <v>0</v>
      </c>
      <c r="AU331">
        <v>0</v>
      </c>
      <c r="AV331" t="s">
        <v>7360</v>
      </c>
      <c r="AW331">
        <v>0</v>
      </c>
      <c r="AX331" t="s">
        <v>7360</v>
      </c>
      <c r="AY331" t="s">
        <v>7363</v>
      </c>
      <c r="BA331">
        <v>0</v>
      </c>
      <c r="BB331" s="20">
        <v>44973</v>
      </c>
      <c r="BC331">
        <v>0</v>
      </c>
      <c r="BD331" t="s">
        <v>7360</v>
      </c>
      <c r="BF331" s="20">
        <v>44973</v>
      </c>
      <c r="BG331">
        <v>0</v>
      </c>
      <c r="BH331" t="s">
        <v>7363</v>
      </c>
      <c r="BJ331" t="s">
        <v>7362</v>
      </c>
      <c r="BK331">
        <v>0</v>
      </c>
      <c r="BL331">
        <v>0</v>
      </c>
      <c r="BM331">
        <v>0</v>
      </c>
      <c r="BN331">
        <v>0</v>
      </c>
      <c r="BO331">
        <v>169</v>
      </c>
      <c r="BP331">
        <v>11</v>
      </c>
      <c r="BQ331">
        <v>1</v>
      </c>
      <c r="BR331" t="s">
        <v>7364</v>
      </c>
      <c r="BS331" t="s">
        <v>7365</v>
      </c>
      <c r="BT331" t="s">
        <v>7360</v>
      </c>
      <c r="BU331" t="s">
        <v>7360</v>
      </c>
      <c r="BV331" t="s">
        <v>7360</v>
      </c>
      <c r="BX331">
        <v>0</v>
      </c>
      <c r="BY331">
        <v>0</v>
      </c>
      <c r="BZ331" t="s">
        <v>7360</v>
      </c>
      <c r="CA331" t="s">
        <v>7360</v>
      </c>
      <c r="CB331">
        <v>3380666</v>
      </c>
      <c r="CC331" s="21">
        <v>44973.539270833331</v>
      </c>
      <c r="CE331" t="s">
        <v>7366</v>
      </c>
      <c r="CF331">
        <v>0</v>
      </c>
      <c r="CG331">
        <v>702002</v>
      </c>
      <c r="CH331">
        <v>702002</v>
      </c>
      <c r="CI331" s="21">
        <v>44973.634108796294</v>
      </c>
      <c r="CJ331" t="s">
        <v>7367</v>
      </c>
      <c r="CK331" t="s">
        <v>7367</v>
      </c>
      <c r="CL331" t="s">
        <v>7368</v>
      </c>
      <c r="CM331" t="s">
        <v>7368</v>
      </c>
      <c r="CS331" t="s">
        <v>7361</v>
      </c>
      <c r="CT331" t="s">
        <v>7362</v>
      </c>
      <c r="CU331" t="s">
        <v>7362</v>
      </c>
      <c r="CV331" t="s">
        <v>7362</v>
      </c>
      <c r="CW331" t="s">
        <v>7362</v>
      </c>
      <c r="CX331">
        <v>3911001</v>
      </c>
      <c r="DA331">
        <v>0</v>
      </c>
    </row>
    <row r="332" spans="1:106" x14ac:dyDescent="0.3">
      <c r="A332">
        <v>1366</v>
      </c>
      <c r="B332" t="s">
        <v>7380</v>
      </c>
      <c r="C332">
        <v>357</v>
      </c>
      <c r="D332" s="20">
        <v>44973</v>
      </c>
      <c r="E332" t="s">
        <v>7356</v>
      </c>
      <c r="F332" t="s">
        <v>5972</v>
      </c>
      <c r="G332" t="s">
        <v>7357</v>
      </c>
      <c r="H332">
        <v>1</v>
      </c>
      <c r="I332" t="s">
        <v>7358</v>
      </c>
      <c r="J332">
        <v>1</v>
      </c>
      <c r="K332" s="20">
        <v>44973</v>
      </c>
      <c r="L332" s="23">
        <v>93744</v>
      </c>
      <c r="M332" t="s">
        <v>7359</v>
      </c>
      <c r="N332" t="s">
        <v>7360</v>
      </c>
      <c r="O332">
        <v>0</v>
      </c>
      <c r="P332">
        <v>12291</v>
      </c>
      <c r="Q332">
        <v>433020</v>
      </c>
      <c r="R332">
        <v>0</v>
      </c>
      <c r="S332">
        <v>20230216</v>
      </c>
      <c r="T332">
        <v>0</v>
      </c>
      <c r="U332" t="s">
        <v>7361</v>
      </c>
      <c r="V332" t="s">
        <v>7360</v>
      </c>
      <c r="W332" t="s">
        <v>7360</v>
      </c>
      <c r="X332" t="s">
        <v>7360</v>
      </c>
      <c r="Y332" t="s">
        <v>7360</v>
      </c>
      <c r="Z332" t="s">
        <v>7360</v>
      </c>
      <c r="AA332" t="s">
        <v>7362</v>
      </c>
      <c r="AB332" t="s">
        <v>7360</v>
      </c>
      <c r="AC332" t="s">
        <v>7360</v>
      </c>
      <c r="AD332" t="s">
        <v>7360</v>
      </c>
      <c r="AE332" t="s">
        <v>7360</v>
      </c>
      <c r="AF332" t="s">
        <v>1684</v>
      </c>
      <c r="AG332">
        <v>0</v>
      </c>
      <c r="AH332">
        <v>0</v>
      </c>
      <c r="AI332">
        <v>0</v>
      </c>
      <c r="AJ332">
        <v>0</v>
      </c>
      <c r="AK332">
        <v>0</v>
      </c>
      <c r="AL332" t="s">
        <v>7360</v>
      </c>
      <c r="AM332">
        <v>0</v>
      </c>
      <c r="AN332" s="20">
        <v>44973</v>
      </c>
      <c r="AO332" s="20">
        <v>44973</v>
      </c>
      <c r="AP332" s="20">
        <v>44973</v>
      </c>
      <c r="AQ332">
        <v>0</v>
      </c>
      <c r="AR332">
        <v>0</v>
      </c>
      <c r="AS332">
        <v>0</v>
      </c>
      <c r="AT332">
        <v>0</v>
      </c>
      <c r="AU332">
        <v>0</v>
      </c>
      <c r="AV332" t="s">
        <v>7360</v>
      </c>
      <c r="AW332">
        <v>0</v>
      </c>
      <c r="AX332" t="s">
        <v>7360</v>
      </c>
      <c r="AY332" t="s">
        <v>7363</v>
      </c>
      <c r="BA332">
        <v>0</v>
      </c>
      <c r="BB332" s="20">
        <v>44973</v>
      </c>
      <c r="BC332">
        <v>0</v>
      </c>
      <c r="BD332" t="s">
        <v>7360</v>
      </c>
      <c r="BF332" s="20">
        <v>44973</v>
      </c>
      <c r="BG332">
        <v>0</v>
      </c>
      <c r="BH332" t="s">
        <v>7363</v>
      </c>
      <c r="BJ332" t="s">
        <v>7362</v>
      </c>
      <c r="BK332">
        <v>0</v>
      </c>
      <c r="BL332">
        <v>0</v>
      </c>
      <c r="BM332">
        <v>0</v>
      </c>
      <c r="BN332">
        <v>0</v>
      </c>
      <c r="BO332">
        <v>169</v>
      </c>
      <c r="BP332">
        <v>11</v>
      </c>
      <c r="BQ332">
        <v>1</v>
      </c>
      <c r="BR332" t="s">
        <v>7364</v>
      </c>
      <c r="BS332" t="s">
        <v>7386</v>
      </c>
      <c r="BT332" t="s">
        <v>7360</v>
      </c>
      <c r="BU332" t="s">
        <v>7360</v>
      </c>
      <c r="BV332" t="s">
        <v>7360</v>
      </c>
      <c r="BX332">
        <v>0</v>
      </c>
      <c r="BY332">
        <v>0</v>
      </c>
      <c r="BZ332" t="s">
        <v>7360</v>
      </c>
      <c r="CA332" t="s">
        <v>7360</v>
      </c>
      <c r="CB332">
        <v>3380666</v>
      </c>
      <c r="CC332" s="21">
        <v>44973.593819444446</v>
      </c>
      <c r="CE332" t="s">
        <v>7366</v>
      </c>
      <c r="CF332">
        <v>0</v>
      </c>
      <c r="CG332">
        <v>702002</v>
      </c>
      <c r="CH332">
        <v>702002</v>
      </c>
      <c r="CI332" s="21">
        <v>44973.597013888888</v>
      </c>
      <c r="CJ332" t="s">
        <v>7367</v>
      </c>
      <c r="CK332" t="s">
        <v>7367</v>
      </c>
      <c r="CL332" t="s">
        <v>7368</v>
      </c>
      <c r="CM332" t="s">
        <v>7368</v>
      </c>
      <c r="CS332" t="s">
        <v>7361</v>
      </c>
      <c r="CT332" t="s">
        <v>7362</v>
      </c>
      <c r="CU332" t="s">
        <v>7362</v>
      </c>
      <c r="CV332" t="s">
        <v>7362</v>
      </c>
      <c r="CW332" t="s">
        <v>7362</v>
      </c>
      <c r="CX332">
        <v>93744</v>
      </c>
      <c r="DA332">
        <v>0</v>
      </c>
    </row>
    <row r="333" spans="1:106" x14ac:dyDescent="0.3">
      <c r="A333">
        <v>1354</v>
      </c>
      <c r="B333" t="s">
        <v>7396</v>
      </c>
      <c r="C333">
        <v>358</v>
      </c>
      <c r="D333" s="20">
        <v>44973</v>
      </c>
      <c r="E333" t="s">
        <v>7356</v>
      </c>
      <c r="F333" t="s">
        <v>5977</v>
      </c>
      <c r="G333" t="s">
        <v>7370</v>
      </c>
      <c r="H333">
        <v>1</v>
      </c>
      <c r="I333" t="s">
        <v>7358</v>
      </c>
      <c r="J333">
        <v>1</v>
      </c>
      <c r="K333" s="20">
        <v>44973</v>
      </c>
      <c r="L333" s="23">
        <v>1350000</v>
      </c>
      <c r="M333" t="s">
        <v>7359</v>
      </c>
      <c r="N333" t="s">
        <v>7360</v>
      </c>
      <c r="O333">
        <v>0</v>
      </c>
      <c r="P333">
        <v>12304</v>
      </c>
      <c r="Q333">
        <v>432018</v>
      </c>
      <c r="R333">
        <v>0</v>
      </c>
      <c r="S333">
        <v>20230216</v>
      </c>
      <c r="T333">
        <v>0</v>
      </c>
      <c r="U333" t="s">
        <v>7361</v>
      </c>
      <c r="V333" t="s">
        <v>7360</v>
      </c>
      <c r="W333" t="s">
        <v>7360</v>
      </c>
      <c r="X333" t="s">
        <v>7360</v>
      </c>
      <c r="Y333" t="s">
        <v>7360</v>
      </c>
      <c r="Z333" t="s">
        <v>7360</v>
      </c>
      <c r="AA333" t="s">
        <v>7362</v>
      </c>
      <c r="AB333" t="s">
        <v>7360</v>
      </c>
      <c r="AC333" t="s">
        <v>7360</v>
      </c>
      <c r="AD333" t="s">
        <v>7360</v>
      </c>
      <c r="AE333" t="s">
        <v>7360</v>
      </c>
      <c r="AF333" t="s">
        <v>1684</v>
      </c>
      <c r="AG333">
        <v>0</v>
      </c>
      <c r="AH333">
        <v>0</v>
      </c>
      <c r="AI333">
        <v>0</v>
      </c>
      <c r="AJ333">
        <v>0</v>
      </c>
      <c r="AK333">
        <v>0</v>
      </c>
      <c r="AL333" t="s">
        <v>7360</v>
      </c>
      <c r="AM333">
        <v>0</v>
      </c>
      <c r="AN333" s="20">
        <v>44973</v>
      </c>
      <c r="AO333" s="20">
        <v>44973</v>
      </c>
      <c r="AP333" s="20">
        <v>44973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7360</v>
      </c>
      <c r="AW333">
        <v>0</v>
      </c>
      <c r="AX333" t="s">
        <v>7360</v>
      </c>
      <c r="AY333" t="s">
        <v>7363</v>
      </c>
      <c r="BA333">
        <v>0</v>
      </c>
      <c r="BB333" s="20">
        <v>44973</v>
      </c>
      <c r="BC333">
        <v>0</v>
      </c>
      <c r="BD333" t="s">
        <v>7360</v>
      </c>
      <c r="BF333" s="20">
        <v>44973</v>
      </c>
      <c r="BG333">
        <v>0</v>
      </c>
      <c r="BH333" t="s">
        <v>7363</v>
      </c>
      <c r="BJ333" t="s">
        <v>7362</v>
      </c>
      <c r="BK333">
        <v>169</v>
      </c>
      <c r="BL333">
        <v>11</v>
      </c>
      <c r="BM333">
        <v>1</v>
      </c>
      <c r="BN333" t="s">
        <v>7364</v>
      </c>
      <c r="BO333">
        <v>0</v>
      </c>
      <c r="BP333">
        <v>0</v>
      </c>
      <c r="BQ333">
        <v>0</v>
      </c>
      <c r="BR333">
        <v>0</v>
      </c>
      <c r="BS333" t="s">
        <v>132</v>
      </c>
      <c r="BT333" t="s">
        <v>7360</v>
      </c>
      <c r="BU333" t="s">
        <v>7360</v>
      </c>
      <c r="BV333" t="s">
        <v>7360</v>
      </c>
      <c r="BX333" t="s">
        <v>7391</v>
      </c>
      <c r="BY333">
        <v>74</v>
      </c>
      <c r="BZ333" t="s">
        <v>7360</v>
      </c>
      <c r="CA333" t="s">
        <v>7360</v>
      </c>
      <c r="CB333" t="s">
        <v>7360</v>
      </c>
      <c r="CC333" s="21">
        <v>44973.59814814815</v>
      </c>
      <c r="CE333" t="s">
        <v>7392</v>
      </c>
      <c r="CF333">
        <v>1100101</v>
      </c>
      <c r="CG333">
        <v>53575</v>
      </c>
      <c r="CH333">
        <v>53575</v>
      </c>
      <c r="CI333" s="21">
        <v>44973.598773148151</v>
      </c>
      <c r="CJ333" t="s">
        <v>7393</v>
      </c>
      <c r="CK333" t="s">
        <v>7393</v>
      </c>
      <c r="CL333" t="s">
        <v>7394</v>
      </c>
      <c r="CM333" t="s">
        <v>7394</v>
      </c>
      <c r="CS333" t="s">
        <v>7361</v>
      </c>
      <c r="CT333" t="s">
        <v>7362</v>
      </c>
      <c r="CU333" t="s">
        <v>7362</v>
      </c>
      <c r="CV333" t="s">
        <v>7362</v>
      </c>
      <c r="CW333" t="s">
        <v>7362</v>
      </c>
      <c r="CX333">
        <v>1350000</v>
      </c>
      <c r="DA333">
        <v>0</v>
      </c>
    </row>
    <row r="334" spans="1:106" x14ac:dyDescent="0.3">
      <c r="A334">
        <v>1375</v>
      </c>
      <c r="B334" t="s">
        <v>7399</v>
      </c>
      <c r="C334">
        <v>696</v>
      </c>
      <c r="D334" s="20">
        <v>45002</v>
      </c>
      <c r="E334" t="s">
        <v>7356</v>
      </c>
      <c r="F334" t="s">
        <v>5246</v>
      </c>
      <c r="G334" t="s">
        <v>7357</v>
      </c>
      <c r="H334">
        <v>1</v>
      </c>
      <c r="I334" t="s">
        <v>7358</v>
      </c>
      <c r="J334">
        <v>1</v>
      </c>
      <c r="K334" s="20">
        <v>45002</v>
      </c>
      <c r="L334" s="23">
        <v>21815430</v>
      </c>
      <c r="M334" t="s">
        <v>7359</v>
      </c>
      <c r="N334" t="s">
        <v>7360</v>
      </c>
      <c r="O334">
        <v>0</v>
      </c>
      <c r="P334">
        <v>13039</v>
      </c>
      <c r="Q334">
        <v>453060</v>
      </c>
      <c r="R334">
        <v>0</v>
      </c>
      <c r="S334">
        <v>20230317</v>
      </c>
      <c r="T334">
        <v>0</v>
      </c>
      <c r="U334" t="s">
        <v>7361</v>
      </c>
      <c r="V334" t="s">
        <v>7360</v>
      </c>
      <c r="W334" t="s">
        <v>7360</v>
      </c>
      <c r="X334" t="s">
        <v>7360</v>
      </c>
      <c r="Y334" t="s">
        <v>7360</v>
      </c>
      <c r="Z334" t="s">
        <v>7360</v>
      </c>
      <c r="AA334" t="s">
        <v>7362</v>
      </c>
      <c r="AB334" t="s">
        <v>7360</v>
      </c>
      <c r="AC334" t="s">
        <v>7360</v>
      </c>
      <c r="AD334" t="s">
        <v>7360</v>
      </c>
      <c r="AE334" t="s">
        <v>7360</v>
      </c>
      <c r="AF334" t="s">
        <v>1684</v>
      </c>
      <c r="AG334">
        <v>0</v>
      </c>
      <c r="AH334">
        <v>0</v>
      </c>
      <c r="AI334">
        <v>0</v>
      </c>
      <c r="AJ334">
        <v>0</v>
      </c>
      <c r="AK334">
        <v>0</v>
      </c>
      <c r="AL334" t="s">
        <v>7360</v>
      </c>
      <c r="AM334">
        <v>0</v>
      </c>
      <c r="AN334" s="20">
        <v>45002</v>
      </c>
      <c r="AO334" s="20">
        <v>45002</v>
      </c>
      <c r="AP334" s="20">
        <v>45002</v>
      </c>
      <c r="AQ334">
        <v>0</v>
      </c>
      <c r="AR334">
        <v>0</v>
      </c>
      <c r="AS334">
        <v>0</v>
      </c>
      <c r="AT334">
        <v>0</v>
      </c>
      <c r="AU334">
        <v>0</v>
      </c>
      <c r="AV334" t="s">
        <v>7360</v>
      </c>
      <c r="AW334">
        <v>0</v>
      </c>
      <c r="AX334" t="s">
        <v>7360</v>
      </c>
      <c r="AY334" t="s">
        <v>7363</v>
      </c>
      <c r="BA334">
        <v>0</v>
      </c>
      <c r="BB334" s="20">
        <v>45002</v>
      </c>
      <c r="BC334">
        <v>0</v>
      </c>
      <c r="BD334" t="s">
        <v>7360</v>
      </c>
      <c r="BF334" s="20">
        <v>45002</v>
      </c>
      <c r="BG334">
        <v>0</v>
      </c>
      <c r="BH334" t="s">
        <v>7363</v>
      </c>
      <c r="BJ334" t="s">
        <v>7362</v>
      </c>
      <c r="BK334">
        <v>169</v>
      </c>
      <c r="BL334">
        <v>11</v>
      </c>
      <c r="BM334">
        <v>1</v>
      </c>
      <c r="BN334" t="s">
        <v>7364</v>
      </c>
      <c r="BO334">
        <v>0</v>
      </c>
      <c r="BP334">
        <v>0</v>
      </c>
      <c r="BQ334">
        <v>0</v>
      </c>
      <c r="BR334">
        <v>0</v>
      </c>
      <c r="BS334" t="s">
        <v>132</v>
      </c>
      <c r="BT334" t="s">
        <v>7360</v>
      </c>
      <c r="BU334" t="s">
        <v>7360</v>
      </c>
      <c r="BV334" t="s">
        <v>7360</v>
      </c>
      <c r="BX334" t="s">
        <v>7391</v>
      </c>
      <c r="BY334">
        <v>74</v>
      </c>
      <c r="BZ334" t="s">
        <v>7360</v>
      </c>
      <c r="CA334" t="s">
        <v>7360</v>
      </c>
      <c r="CB334" t="s">
        <v>7360</v>
      </c>
      <c r="CC334" s="21">
        <v>44987.657743055555</v>
      </c>
      <c r="CE334" t="s">
        <v>7392</v>
      </c>
      <c r="CF334">
        <v>1100101</v>
      </c>
      <c r="CG334">
        <v>53575</v>
      </c>
      <c r="CH334">
        <v>53575</v>
      </c>
      <c r="CI334" s="21">
        <v>44987.660092592596</v>
      </c>
      <c r="CJ334" t="s">
        <v>7393</v>
      </c>
      <c r="CK334" t="s">
        <v>7393</v>
      </c>
      <c r="CL334" t="s">
        <v>7394</v>
      </c>
      <c r="CM334" t="s">
        <v>7394</v>
      </c>
      <c r="CS334" t="s">
        <v>7361</v>
      </c>
      <c r="CT334" t="s">
        <v>7362</v>
      </c>
      <c r="CU334" t="s">
        <v>7362</v>
      </c>
      <c r="CV334" t="s">
        <v>7362</v>
      </c>
      <c r="CW334" t="s">
        <v>7362</v>
      </c>
      <c r="CX334">
        <v>30000000</v>
      </c>
      <c r="DA334">
        <v>0</v>
      </c>
      <c r="DB334">
        <v>135004</v>
      </c>
    </row>
    <row r="335" spans="1:106" x14ac:dyDescent="0.3">
      <c r="A335">
        <v>1359</v>
      </c>
      <c r="B335" t="s">
        <v>7425</v>
      </c>
      <c r="C335">
        <v>440</v>
      </c>
      <c r="D335" s="20">
        <v>44979</v>
      </c>
      <c r="E335" t="s">
        <v>7372</v>
      </c>
      <c r="F335" t="s">
        <v>5251</v>
      </c>
      <c r="G335" t="s">
        <v>7357</v>
      </c>
      <c r="H335">
        <v>1</v>
      </c>
      <c r="I335" t="s">
        <v>7358</v>
      </c>
      <c r="J335">
        <v>1</v>
      </c>
      <c r="K335" s="20">
        <v>44979</v>
      </c>
      <c r="L335" s="23">
        <v>23215738</v>
      </c>
      <c r="M335" t="s">
        <v>7403</v>
      </c>
      <c r="N335" t="s">
        <v>7360</v>
      </c>
      <c r="O335">
        <v>0</v>
      </c>
      <c r="P335">
        <v>12451</v>
      </c>
      <c r="Q335">
        <v>134010</v>
      </c>
      <c r="R335">
        <v>0</v>
      </c>
      <c r="S335">
        <v>20230222</v>
      </c>
      <c r="T335">
        <v>0</v>
      </c>
      <c r="U335" t="s">
        <v>7362</v>
      </c>
      <c r="V335" t="s">
        <v>7360</v>
      </c>
      <c r="W335" t="s">
        <v>7360</v>
      </c>
      <c r="X335" t="s">
        <v>7360</v>
      </c>
      <c r="Y335" t="s">
        <v>7360</v>
      </c>
      <c r="Z335" t="s">
        <v>7360</v>
      </c>
      <c r="AA335" t="s">
        <v>7362</v>
      </c>
      <c r="AB335" t="s">
        <v>7360</v>
      </c>
      <c r="AC335" t="s">
        <v>7360</v>
      </c>
      <c r="AD335" t="s">
        <v>7360</v>
      </c>
      <c r="AE335" t="s">
        <v>7360</v>
      </c>
      <c r="AF335" t="s">
        <v>1684</v>
      </c>
      <c r="AG335">
        <v>0</v>
      </c>
      <c r="AH335">
        <v>0</v>
      </c>
      <c r="AI335">
        <v>0</v>
      </c>
      <c r="AJ335">
        <v>0</v>
      </c>
      <c r="AK335">
        <v>0</v>
      </c>
      <c r="AL335" t="s">
        <v>7360</v>
      </c>
      <c r="AM335">
        <v>0</v>
      </c>
      <c r="AN335" s="20">
        <v>44979</v>
      </c>
      <c r="AO335" s="20">
        <v>44979</v>
      </c>
      <c r="AP335" s="20">
        <v>44979</v>
      </c>
      <c r="AQ335">
        <v>0</v>
      </c>
      <c r="AR335">
        <v>0</v>
      </c>
      <c r="AS335">
        <v>0</v>
      </c>
      <c r="AT335">
        <v>0</v>
      </c>
      <c r="AU335">
        <v>0</v>
      </c>
      <c r="AV335" t="s">
        <v>7360</v>
      </c>
      <c r="AW335">
        <v>0</v>
      </c>
      <c r="AX335" t="s">
        <v>7360</v>
      </c>
      <c r="AY335" t="s">
        <v>7373</v>
      </c>
      <c r="BA335">
        <v>0</v>
      </c>
      <c r="BB335" s="20">
        <v>44979</v>
      </c>
      <c r="BC335">
        <v>0</v>
      </c>
      <c r="BD335" t="s">
        <v>7360</v>
      </c>
      <c r="BE335">
        <v>135</v>
      </c>
      <c r="BF335" s="20">
        <v>44979</v>
      </c>
      <c r="BG335">
        <v>0</v>
      </c>
      <c r="BH335" t="s">
        <v>7363</v>
      </c>
      <c r="BJ335" t="s">
        <v>7362</v>
      </c>
      <c r="BK335">
        <v>0</v>
      </c>
      <c r="BL335">
        <v>0</v>
      </c>
      <c r="BM335">
        <v>0</v>
      </c>
      <c r="BN335">
        <v>0</v>
      </c>
      <c r="BO335">
        <v>169</v>
      </c>
      <c r="BP335">
        <v>11</v>
      </c>
      <c r="BQ335">
        <v>1</v>
      </c>
      <c r="BR335" t="s">
        <v>7364</v>
      </c>
      <c r="BS335" t="s">
        <v>7382</v>
      </c>
      <c r="BT335" t="s">
        <v>7360</v>
      </c>
      <c r="BU335" t="s">
        <v>7360</v>
      </c>
      <c r="BV335" t="s">
        <v>7360</v>
      </c>
      <c r="BX335">
        <v>0</v>
      </c>
      <c r="BY335">
        <v>0</v>
      </c>
      <c r="BZ335" t="s">
        <v>7360</v>
      </c>
      <c r="CA335" t="s">
        <v>7360</v>
      </c>
      <c r="CB335">
        <v>3380666</v>
      </c>
      <c r="CC335" s="21">
        <v>44988.382314814815</v>
      </c>
      <c r="CE335" t="s">
        <v>7366</v>
      </c>
      <c r="CF335">
        <v>0</v>
      </c>
      <c r="CG335">
        <v>702002</v>
      </c>
      <c r="CH335">
        <v>702002</v>
      </c>
      <c r="CI335" s="21">
        <v>44988.383842592593</v>
      </c>
      <c r="CJ335" t="s">
        <v>7367</v>
      </c>
      <c r="CK335" t="s">
        <v>7367</v>
      </c>
      <c r="CL335" t="s">
        <v>7368</v>
      </c>
      <c r="CM335" t="s">
        <v>7368</v>
      </c>
      <c r="CS335" t="s">
        <v>7361</v>
      </c>
      <c r="CT335" t="s">
        <v>7362</v>
      </c>
      <c r="CU335" t="s">
        <v>7362</v>
      </c>
      <c r="CV335" t="s">
        <v>7362</v>
      </c>
      <c r="CW335" t="s">
        <v>7362</v>
      </c>
      <c r="CX335">
        <v>20765500</v>
      </c>
      <c r="DA335">
        <v>0</v>
      </c>
    </row>
    <row r="336" spans="1:106" x14ac:dyDescent="0.3">
      <c r="A336">
        <v>1354</v>
      </c>
      <c r="B336" t="s">
        <v>7396</v>
      </c>
      <c r="C336">
        <v>361</v>
      </c>
      <c r="D336" s="20">
        <v>44973</v>
      </c>
      <c r="E336" t="s">
        <v>7356</v>
      </c>
      <c r="F336" t="s">
        <v>5257</v>
      </c>
      <c r="G336" t="s">
        <v>7370</v>
      </c>
      <c r="H336">
        <v>1</v>
      </c>
      <c r="I336" t="s">
        <v>7358</v>
      </c>
      <c r="J336">
        <v>1</v>
      </c>
      <c r="K336" s="20">
        <v>44973</v>
      </c>
      <c r="L336" s="23">
        <v>1800000</v>
      </c>
      <c r="M336" t="s">
        <v>7359</v>
      </c>
      <c r="N336" t="s">
        <v>7360</v>
      </c>
      <c r="O336">
        <v>0</v>
      </c>
      <c r="P336">
        <v>12255</v>
      </c>
      <c r="Q336">
        <v>430001</v>
      </c>
      <c r="R336">
        <v>0</v>
      </c>
      <c r="S336">
        <v>20230216</v>
      </c>
      <c r="T336">
        <v>0</v>
      </c>
      <c r="U336" t="s">
        <v>7361</v>
      </c>
      <c r="V336" t="s">
        <v>7360</v>
      </c>
      <c r="W336" t="s">
        <v>7360</v>
      </c>
      <c r="X336" t="s">
        <v>7360</v>
      </c>
      <c r="Y336" t="s">
        <v>7360</v>
      </c>
      <c r="Z336" t="s">
        <v>7360</v>
      </c>
      <c r="AA336" t="s">
        <v>7362</v>
      </c>
      <c r="AB336" t="s">
        <v>7360</v>
      </c>
      <c r="AC336" t="s">
        <v>7360</v>
      </c>
      <c r="AD336" t="s">
        <v>7360</v>
      </c>
      <c r="AE336" t="s">
        <v>7360</v>
      </c>
      <c r="AF336" t="s">
        <v>1684</v>
      </c>
      <c r="AG336">
        <v>0</v>
      </c>
      <c r="AH336">
        <v>0</v>
      </c>
      <c r="AI336">
        <v>0</v>
      </c>
      <c r="AJ336">
        <v>0</v>
      </c>
      <c r="AK336">
        <v>0</v>
      </c>
      <c r="AL336" t="s">
        <v>7360</v>
      </c>
      <c r="AM336">
        <v>0</v>
      </c>
      <c r="AN336" s="20">
        <v>44973</v>
      </c>
      <c r="AO336" s="20">
        <v>44973</v>
      </c>
      <c r="AP336" s="20">
        <v>44973</v>
      </c>
      <c r="AQ336">
        <v>0</v>
      </c>
      <c r="AR336">
        <v>0</v>
      </c>
      <c r="AS336">
        <v>0</v>
      </c>
      <c r="AT336">
        <v>0</v>
      </c>
      <c r="AU336">
        <v>0</v>
      </c>
      <c r="AV336" t="s">
        <v>7360</v>
      </c>
      <c r="AW336">
        <v>0</v>
      </c>
      <c r="AX336" t="s">
        <v>7360</v>
      </c>
      <c r="AY336" t="s">
        <v>7363</v>
      </c>
      <c r="BA336">
        <v>0</v>
      </c>
      <c r="BB336" s="20">
        <v>44973</v>
      </c>
      <c r="BC336">
        <v>0</v>
      </c>
      <c r="BD336" t="s">
        <v>7360</v>
      </c>
      <c r="BF336" s="20">
        <v>44973</v>
      </c>
      <c r="BG336">
        <v>0</v>
      </c>
      <c r="BH336" t="s">
        <v>7363</v>
      </c>
      <c r="BJ336" t="s">
        <v>7362</v>
      </c>
      <c r="BK336">
        <v>169</v>
      </c>
      <c r="BL336">
        <v>11</v>
      </c>
      <c r="BM336">
        <v>1</v>
      </c>
      <c r="BN336" t="s">
        <v>7364</v>
      </c>
      <c r="BO336">
        <v>0</v>
      </c>
      <c r="BP336">
        <v>0</v>
      </c>
      <c r="BQ336">
        <v>0</v>
      </c>
      <c r="BR336">
        <v>0</v>
      </c>
      <c r="BS336" t="s">
        <v>132</v>
      </c>
      <c r="BT336" t="s">
        <v>7360</v>
      </c>
      <c r="BU336" t="s">
        <v>7360</v>
      </c>
      <c r="BV336" t="s">
        <v>7360</v>
      </c>
      <c r="BX336" t="s">
        <v>7391</v>
      </c>
      <c r="BY336">
        <v>74</v>
      </c>
      <c r="BZ336" t="s">
        <v>7360</v>
      </c>
      <c r="CA336" t="s">
        <v>7360</v>
      </c>
      <c r="CB336" t="s">
        <v>7360</v>
      </c>
      <c r="CC336" s="21">
        <v>44973.629247685189</v>
      </c>
      <c r="CE336" t="s">
        <v>7392</v>
      </c>
      <c r="CF336">
        <v>1100101</v>
      </c>
      <c r="CG336">
        <v>53575</v>
      </c>
      <c r="CH336">
        <v>53575</v>
      </c>
      <c r="CI336" s="21">
        <v>44973.630196759259</v>
      </c>
      <c r="CJ336" t="s">
        <v>7393</v>
      </c>
      <c r="CK336" t="s">
        <v>7393</v>
      </c>
      <c r="CL336" t="s">
        <v>7394</v>
      </c>
      <c r="CM336" t="s">
        <v>7394</v>
      </c>
      <c r="CS336" t="s">
        <v>7361</v>
      </c>
      <c r="CT336" t="s">
        <v>7362</v>
      </c>
      <c r="CU336" t="s">
        <v>7362</v>
      </c>
      <c r="CV336" t="s">
        <v>7362</v>
      </c>
      <c r="CW336" t="s">
        <v>7362</v>
      </c>
      <c r="CX336">
        <v>1800000</v>
      </c>
      <c r="DA336">
        <v>0</v>
      </c>
    </row>
    <row r="337" spans="1:110" x14ac:dyDescent="0.3">
      <c r="A337">
        <v>1361</v>
      </c>
      <c r="B337" t="s">
        <v>7376</v>
      </c>
      <c r="C337">
        <v>362</v>
      </c>
      <c r="D337" s="20">
        <v>44973</v>
      </c>
      <c r="E337" t="s">
        <v>7356</v>
      </c>
      <c r="F337" t="s">
        <v>5262</v>
      </c>
      <c r="G337" t="s">
        <v>7357</v>
      </c>
      <c r="H337">
        <v>1</v>
      </c>
      <c r="I337" t="s">
        <v>7358</v>
      </c>
      <c r="J337">
        <v>1</v>
      </c>
      <c r="K337" s="20">
        <v>44973</v>
      </c>
      <c r="L337" s="23">
        <v>735105</v>
      </c>
      <c r="M337" t="s">
        <v>7359</v>
      </c>
      <c r="N337" t="s">
        <v>7360</v>
      </c>
      <c r="O337">
        <v>0</v>
      </c>
      <c r="P337">
        <v>12344</v>
      </c>
      <c r="Q337">
        <v>433011</v>
      </c>
      <c r="R337">
        <v>0</v>
      </c>
      <c r="S337">
        <v>20230216</v>
      </c>
      <c r="T337">
        <v>0</v>
      </c>
      <c r="U337" t="s">
        <v>7361</v>
      </c>
      <c r="V337" t="s">
        <v>7360</v>
      </c>
      <c r="W337" t="s">
        <v>7360</v>
      </c>
      <c r="X337" t="s">
        <v>7360</v>
      </c>
      <c r="Y337" t="s">
        <v>7360</v>
      </c>
      <c r="Z337" t="s">
        <v>7360</v>
      </c>
      <c r="AA337" t="s">
        <v>7362</v>
      </c>
      <c r="AB337" t="s">
        <v>7360</v>
      </c>
      <c r="AC337" t="s">
        <v>7360</v>
      </c>
      <c r="AD337" t="s">
        <v>7360</v>
      </c>
      <c r="AE337" t="s">
        <v>7360</v>
      </c>
      <c r="AF337" t="s">
        <v>1684</v>
      </c>
      <c r="AG337">
        <v>0</v>
      </c>
      <c r="AH337">
        <v>0</v>
      </c>
      <c r="AI337">
        <v>0</v>
      </c>
      <c r="AJ337">
        <v>0</v>
      </c>
      <c r="AK337">
        <v>0</v>
      </c>
      <c r="AL337" t="s">
        <v>7360</v>
      </c>
      <c r="AM337">
        <v>0</v>
      </c>
      <c r="AN337" s="20">
        <v>44973</v>
      </c>
      <c r="AO337" s="20">
        <v>44973</v>
      </c>
      <c r="AP337" s="20">
        <v>44973</v>
      </c>
      <c r="AQ337">
        <v>0</v>
      </c>
      <c r="AR337">
        <v>0</v>
      </c>
      <c r="AS337">
        <v>0</v>
      </c>
      <c r="AT337">
        <v>0</v>
      </c>
      <c r="AU337">
        <v>0</v>
      </c>
      <c r="AV337" t="s">
        <v>7360</v>
      </c>
      <c r="AW337">
        <v>0</v>
      </c>
      <c r="AX337" t="s">
        <v>7360</v>
      </c>
      <c r="AY337" t="s">
        <v>7363</v>
      </c>
      <c r="BA337">
        <v>0</v>
      </c>
      <c r="BB337" s="20">
        <v>44973</v>
      </c>
      <c r="BC337">
        <v>0</v>
      </c>
      <c r="BD337" t="s">
        <v>7360</v>
      </c>
      <c r="BF337" s="20">
        <v>44973</v>
      </c>
      <c r="BG337">
        <v>0</v>
      </c>
      <c r="BH337" t="s">
        <v>7363</v>
      </c>
      <c r="BJ337" t="s">
        <v>7362</v>
      </c>
      <c r="BK337">
        <v>169</v>
      </c>
      <c r="BL337">
        <v>11</v>
      </c>
      <c r="BM337">
        <v>1</v>
      </c>
      <c r="BN337" t="s">
        <v>7364</v>
      </c>
      <c r="BO337">
        <v>0</v>
      </c>
      <c r="BP337">
        <v>0</v>
      </c>
      <c r="BQ337">
        <v>0</v>
      </c>
      <c r="BR337">
        <v>0</v>
      </c>
      <c r="BS337" t="s">
        <v>7387</v>
      </c>
      <c r="BT337" t="s">
        <v>7360</v>
      </c>
      <c r="BU337" t="s">
        <v>7360</v>
      </c>
      <c r="BV337" t="s">
        <v>7360</v>
      </c>
      <c r="BX337" t="s">
        <v>7391</v>
      </c>
      <c r="BY337">
        <v>74</v>
      </c>
      <c r="BZ337" t="s">
        <v>7360</v>
      </c>
      <c r="CA337" t="s">
        <v>7360</v>
      </c>
      <c r="CB337" t="s">
        <v>7360</v>
      </c>
      <c r="CC337" s="21">
        <v>44973.633958333332</v>
      </c>
      <c r="CE337" t="s">
        <v>7392</v>
      </c>
      <c r="CF337">
        <v>1100101</v>
      </c>
      <c r="CG337">
        <v>53575</v>
      </c>
      <c r="CH337">
        <v>53575</v>
      </c>
      <c r="CI337" s="21">
        <v>44973.635682870372</v>
      </c>
      <c r="CJ337" t="s">
        <v>7393</v>
      </c>
      <c r="CK337" t="s">
        <v>7393</v>
      </c>
      <c r="CL337" t="s">
        <v>7394</v>
      </c>
      <c r="CM337" t="s">
        <v>7394</v>
      </c>
      <c r="CS337" t="s">
        <v>7361</v>
      </c>
      <c r="CT337" t="s">
        <v>7362</v>
      </c>
      <c r="CU337" t="s">
        <v>7362</v>
      </c>
      <c r="CV337" t="s">
        <v>7362</v>
      </c>
      <c r="CW337" t="s">
        <v>7362</v>
      </c>
      <c r="CX337">
        <v>735105</v>
      </c>
      <c r="DA337">
        <v>0</v>
      </c>
    </row>
    <row r="338" spans="1:110" x14ac:dyDescent="0.3">
      <c r="A338">
        <v>1355</v>
      </c>
      <c r="B338" t="s">
        <v>7409</v>
      </c>
      <c r="C338">
        <v>363</v>
      </c>
      <c r="D338" s="20">
        <v>44973</v>
      </c>
      <c r="E338" t="s">
        <v>7356</v>
      </c>
      <c r="F338" t="s">
        <v>5267</v>
      </c>
      <c r="G338" t="s">
        <v>7370</v>
      </c>
      <c r="H338">
        <v>1</v>
      </c>
      <c r="I338" t="s">
        <v>7358</v>
      </c>
      <c r="J338">
        <v>1</v>
      </c>
      <c r="K338" s="20">
        <v>44973</v>
      </c>
      <c r="L338" s="23">
        <v>1500000</v>
      </c>
      <c r="M338" t="s">
        <v>7359</v>
      </c>
      <c r="N338" t="s">
        <v>7360</v>
      </c>
      <c r="O338">
        <v>0</v>
      </c>
      <c r="P338">
        <v>12345</v>
      </c>
      <c r="Q338">
        <v>433012</v>
      </c>
      <c r="R338">
        <v>0</v>
      </c>
      <c r="S338">
        <v>20230216</v>
      </c>
      <c r="T338">
        <v>0</v>
      </c>
      <c r="U338" t="s">
        <v>7361</v>
      </c>
      <c r="V338" t="s">
        <v>7360</v>
      </c>
      <c r="W338" t="s">
        <v>7360</v>
      </c>
      <c r="X338" t="s">
        <v>7360</v>
      </c>
      <c r="Y338" t="s">
        <v>7360</v>
      </c>
      <c r="Z338" t="s">
        <v>7360</v>
      </c>
      <c r="AA338" t="s">
        <v>7362</v>
      </c>
      <c r="AB338" t="s">
        <v>7360</v>
      </c>
      <c r="AC338" t="s">
        <v>7360</v>
      </c>
      <c r="AD338" t="s">
        <v>7360</v>
      </c>
      <c r="AE338" t="s">
        <v>7360</v>
      </c>
      <c r="AF338" t="s">
        <v>1684</v>
      </c>
      <c r="AG338">
        <v>0</v>
      </c>
      <c r="AH338">
        <v>0</v>
      </c>
      <c r="AI338">
        <v>0</v>
      </c>
      <c r="AJ338">
        <v>0</v>
      </c>
      <c r="AK338">
        <v>0</v>
      </c>
      <c r="AL338" t="s">
        <v>7360</v>
      </c>
      <c r="AM338">
        <v>0</v>
      </c>
      <c r="AN338" s="20">
        <v>44973</v>
      </c>
      <c r="AO338" s="20">
        <v>44973</v>
      </c>
      <c r="AP338" s="20">
        <v>44973</v>
      </c>
      <c r="AQ338">
        <v>0</v>
      </c>
      <c r="AR338">
        <v>0</v>
      </c>
      <c r="AS338">
        <v>0</v>
      </c>
      <c r="AT338">
        <v>0</v>
      </c>
      <c r="AU338">
        <v>0</v>
      </c>
      <c r="AV338" t="s">
        <v>7360</v>
      </c>
      <c r="AW338">
        <v>0</v>
      </c>
      <c r="AX338" t="s">
        <v>7360</v>
      </c>
      <c r="AY338" t="s">
        <v>7363</v>
      </c>
      <c r="BA338">
        <v>0</v>
      </c>
      <c r="BB338" s="20">
        <v>44973</v>
      </c>
      <c r="BC338">
        <v>0</v>
      </c>
      <c r="BD338" t="s">
        <v>7360</v>
      </c>
      <c r="BF338" s="20">
        <v>44973</v>
      </c>
      <c r="BG338">
        <v>0</v>
      </c>
      <c r="BH338" t="s">
        <v>7363</v>
      </c>
      <c r="BJ338" t="s">
        <v>7362</v>
      </c>
      <c r="BK338">
        <v>169</v>
      </c>
      <c r="BL338">
        <v>11</v>
      </c>
      <c r="BM338">
        <v>1</v>
      </c>
      <c r="BN338" t="s">
        <v>7364</v>
      </c>
      <c r="BO338">
        <v>0</v>
      </c>
      <c r="BP338">
        <v>0</v>
      </c>
      <c r="BQ338">
        <v>0</v>
      </c>
      <c r="BR338">
        <v>0</v>
      </c>
      <c r="BS338" t="s">
        <v>7411</v>
      </c>
      <c r="BT338" t="s">
        <v>7360</v>
      </c>
      <c r="BU338" t="s">
        <v>7360</v>
      </c>
      <c r="BV338" t="s">
        <v>7360</v>
      </c>
      <c r="BX338" t="s">
        <v>7391</v>
      </c>
      <c r="BY338">
        <v>80</v>
      </c>
      <c r="BZ338">
        <v>0</v>
      </c>
      <c r="CA338">
        <v>0</v>
      </c>
      <c r="CC338" s="21">
        <v>44973.638807870368</v>
      </c>
      <c r="CE338" t="s">
        <v>7412</v>
      </c>
      <c r="CF338">
        <v>1108001</v>
      </c>
      <c r="CG338">
        <v>53575</v>
      </c>
      <c r="CH338">
        <v>53575</v>
      </c>
      <c r="CI338" s="21">
        <v>44973.639745370368</v>
      </c>
      <c r="CJ338" t="s">
        <v>7393</v>
      </c>
      <c r="CK338" t="s">
        <v>7393</v>
      </c>
      <c r="CL338" t="s">
        <v>7394</v>
      </c>
      <c r="CM338" t="s">
        <v>7394</v>
      </c>
      <c r="CS338" t="s">
        <v>7361</v>
      </c>
      <c r="CT338" t="s">
        <v>7362</v>
      </c>
      <c r="CU338" t="s">
        <v>7362</v>
      </c>
      <c r="CV338" t="s">
        <v>7362</v>
      </c>
      <c r="CW338" t="s">
        <v>7362</v>
      </c>
      <c r="CX338">
        <v>1500000</v>
      </c>
      <c r="DA338">
        <v>0</v>
      </c>
    </row>
    <row r="339" spans="1:110" x14ac:dyDescent="0.3">
      <c r="A339">
        <v>1357</v>
      </c>
      <c r="B339" t="s">
        <v>7405</v>
      </c>
      <c r="C339">
        <v>364</v>
      </c>
      <c r="D339" s="20">
        <v>44973</v>
      </c>
      <c r="E339" t="s">
        <v>7356</v>
      </c>
      <c r="F339" t="s">
        <v>5273</v>
      </c>
      <c r="G339" t="s">
        <v>7357</v>
      </c>
      <c r="H339">
        <v>1</v>
      </c>
      <c r="I339" t="s">
        <v>7358</v>
      </c>
      <c r="J339">
        <v>1</v>
      </c>
      <c r="K339" s="20">
        <v>44973</v>
      </c>
      <c r="L339" s="23">
        <v>785400</v>
      </c>
      <c r="M339" t="s">
        <v>7359</v>
      </c>
      <c r="N339" t="s">
        <v>7360</v>
      </c>
      <c r="O339">
        <v>0</v>
      </c>
      <c r="P339">
        <v>12346</v>
      </c>
      <c r="Q339">
        <v>433013</v>
      </c>
      <c r="R339">
        <v>0</v>
      </c>
      <c r="S339">
        <v>20230216</v>
      </c>
      <c r="T339">
        <v>0</v>
      </c>
      <c r="U339" t="s">
        <v>7361</v>
      </c>
      <c r="V339" t="s">
        <v>7360</v>
      </c>
      <c r="W339" t="s">
        <v>7360</v>
      </c>
      <c r="X339" t="s">
        <v>7360</v>
      </c>
      <c r="Y339" t="s">
        <v>7360</v>
      </c>
      <c r="Z339" t="s">
        <v>7360</v>
      </c>
      <c r="AA339" t="s">
        <v>7362</v>
      </c>
      <c r="AB339" t="s">
        <v>7360</v>
      </c>
      <c r="AC339" t="s">
        <v>7360</v>
      </c>
      <c r="AD339" t="s">
        <v>7360</v>
      </c>
      <c r="AE339" t="s">
        <v>7360</v>
      </c>
      <c r="AF339" t="s">
        <v>1684</v>
      </c>
      <c r="AG339">
        <v>0</v>
      </c>
      <c r="AH339">
        <v>0</v>
      </c>
      <c r="AI339">
        <v>0</v>
      </c>
      <c r="AJ339">
        <v>0</v>
      </c>
      <c r="AK339">
        <v>0</v>
      </c>
      <c r="AL339" t="s">
        <v>7360</v>
      </c>
      <c r="AM339">
        <v>0</v>
      </c>
      <c r="AN339" s="20">
        <v>44973</v>
      </c>
      <c r="AO339" s="20">
        <v>44973</v>
      </c>
      <c r="AP339" s="20">
        <v>44973</v>
      </c>
      <c r="AQ339">
        <v>0</v>
      </c>
      <c r="AR339">
        <v>0</v>
      </c>
      <c r="AS339">
        <v>0</v>
      </c>
      <c r="AT339">
        <v>0</v>
      </c>
      <c r="AU339">
        <v>0</v>
      </c>
      <c r="AV339" t="s">
        <v>7360</v>
      </c>
      <c r="AW339">
        <v>0</v>
      </c>
      <c r="AX339" t="s">
        <v>7360</v>
      </c>
      <c r="AY339" t="s">
        <v>7363</v>
      </c>
      <c r="BA339">
        <v>0</v>
      </c>
      <c r="BB339" s="20">
        <v>44973</v>
      </c>
      <c r="BC339">
        <v>0</v>
      </c>
      <c r="BD339" t="s">
        <v>7360</v>
      </c>
      <c r="BF339" s="20">
        <v>44973</v>
      </c>
      <c r="BG339">
        <v>0</v>
      </c>
      <c r="BH339" t="s">
        <v>1684</v>
      </c>
      <c r="BJ339" t="s">
        <v>7362</v>
      </c>
      <c r="BK339">
        <v>0</v>
      </c>
      <c r="BL339">
        <v>0</v>
      </c>
      <c r="BM339">
        <v>0</v>
      </c>
      <c r="BN339">
        <v>0</v>
      </c>
      <c r="BO339">
        <v>169</v>
      </c>
      <c r="BP339">
        <v>11</v>
      </c>
      <c r="BQ339">
        <v>1</v>
      </c>
      <c r="BR339" t="s">
        <v>7364</v>
      </c>
      <c r="BS339" t="s">
        <v>7382</v>
      </c>
      <c r="BT339" t="s">
        <v>7360</v>
      </c>
      <c r="BU339" t="s">
        <v>7360</v>
      </c>
      <c r="BV339" t="s">
        <v>7360</v>
      </c>
      <c r="BX339">
        <v>0</v>
      </c>
      <c r="BY339">
        <v>0</v>
      </c>
      <c r="BZ339" t="s">
        <v>7360</v>
      </c>
      <c r="CA339" t="s">
        <v>7360</v>
      </c>
      <c r="CB339">
        <v>3380666</v>
      </c>
      <c r="CC339" s="21">
        <v>44973.645960648151</v>
      </c>
      <c r="CE339" t="s">
        <v>7366</v>
      </c>
      <c r="CF339">
        <v>0</v>
      </c>
      <c r="CG339">
        <v>702002</v>
      </c>
      <c r="CH339">
        <v>702002</v>
      </c>
      <c r="CI339" s="21">
        <v>44973.650173611109</v>
      </c>
      <c r="CJ339" t="s">
        <v>7367</v>
      </c>
      <c r="CK339" t="s">
        <v>7367</v>
      </c>
      <c r="CL339" t="s">
        <v>7368</v>
      </c>
      <c r="CM339" t="s">
        <v>7368</v>
      </c>
      <c r="CS339" t="s">
        <v>7361</v>
      </c>
      <c r="CT339" t="s">
        <v>7362</v>
      </c>
      <c r="CU339" t="s">
        <v>7362</v>
      </c>
      <c r="CV339" t="s">
        <v>7362</v>
      </c>
      <c r="CW339" t="s">
        <v>7362</v>
      </c>
      <c r="CX339">
        <v>785400</v>
      </c>
      <c r="DA339">
        <v>0</v>
      </c>
    </row>
    <row r="340" spans="1:110" x14ac:dyDescent="0.3">
      <c r="A340">
        <v>1354</v>
      </c>
      <c r="B340" t="s">
        <v>7396</v>
      </c>
      <c r="C340">
        <v>365</v>
      </c>
      <c r="D340" s="20">
        <v>44973</v>
      </c>
      <c r="E340" t="s">
        <v>7356</v>
      </c>
      <c r="F340" t="s">
        <v>5278</v>
      </c>
      <c r="G340" t="s">
        <v>7370</v>
      </c>
      <c r="H340">
        <v>1</v>
      </c>
      <c r="I340" t="s">
        <v>7358</v>
      </c>
      <c r="J340">
        <v>1</v>
      </c>
      <c r="K340" s="20">
        <v>44973</v>
      </c>
      <c r="L340" s="23">
        <v>4000000</v>
      </c>
      <c r="M340" t="s">
        <v>7359</v>
      </c>
      <c r="N340" t="s">
        <v>7360</v>
      </c>
      <c r="O340">
        <v>0</v>
      </c>
      <c r="P340">
        <v>12246</v>
      </c>
      <c r="Q340">
        <v>422029</v>
      </c>
      <c r="R340">
        <v>0</v>
      </c>
      <c r="S340">
        <v>20230216</v>
      </c>
      <c r="T340">
        <v>0</v>
      </c>
      <c r="U340" t="s">
        <v>7361</v>
      </c>
      <c r="V340" t="s">
        <v>7360</v>
      </c>
      <c r="W340" t="s">
        <v>7360</v>
      </c>
      <c r="X340" t="s">
        <v>7360</v>
      </c>
      <c r="Y340" t="s">
        <v>7360</v>
      </c>
      <c r="Z340" t="s">
        <v>7360</v>
      </c>
      <c r="AA340" t="s">
        <v>7362</v>
      </c>
      <c r="AB340" t="s">
        <v>7360</v>
      </c>
      <c r="AC340" t="s">
        <v>7360</v>
      </c>
      <c r="AD340" t="s">
        <v>7360</v>
      </c>
      <c r="AE340" t="s">
        <v>7360</v>
      </c>
      <c r="AF340" t="s">
        <v>1684</v>
      </c>
      <c r="AG340">
        <v>0</v>
      </c>
      <c r="AH340">
        <v>0</v>
      </c>
      <c r="AI340">
        <v>0</v>
      </c>
      <c r="AJ340">
        <v>0</v>
      </c>
      <c r="AK340">
        <v>0</v>
      </c>
      <c r="AL340" t="s">
        <v>7360</v>
      </c>
      <c r="AM340">
        <v>0</v>
      </c>
      <c r="AN340" s="20">
        <v>44973</v>
      </c>
      <c r="AO340" s="20">
        <v>44973</v>
      </c>
      <c r="AP340" s="20">
        <v>44973</v>
      </c>
      <c r="AQ340">
        <v>0</v>
      </c>
      <c r="AR340">
        <v>0</v>
      </c>
      <c r="AS340">
        <v>0</v>
      </c>
      <c r="AT340">
        <v>0</v>
      </c>
      <c r="AU340">
        <v>0</v>
      </c>
      <c r="AV340" t="s">
        <v>7360</v>
      </c>
      <c r="AW340">
        <v>0</v>
      </c>
      <c r="AX340" t="s">
        <v>7360</v>
      </c>
      <c r="AY340" t="s">
        <v>7363</v>
      </c>
      <c r="BA340">
        <v>0</v>
      </c>
      <c r="BB340" s="20">
        <v>44973</v>
      </c>
      <c r="BC340">
        <v>0</v>
      </c>
      <c r="BD340" t="s">
        <v>7360</v>
      </c>
      <c r="BF340" s="20">
        <v>44973</v>
      </c>
      <c r="BG340">
        <v>0</v>
      </c>
      <c r="BH340" t="s">
        <v>7363</v>
      </c>
      <c r="BJ340" t="s">
        <v>7362</v>
      </c>
      <c r="BK340">
        <v>169</v>
      </c>
      <c r="BL340">
        <v>11</v>
      </c>
      <c r="BM340">
        <v>1</v>
      </c>
      <c r="BN340" t="s">
        <v>7364</v>
      </c>
      <c r="BO340">
        <v>0</v>
      </c>
      <c r="BP340">
        <v>0</v>
      </c>
      <c r="BQ340">
        <v>0</v>
      </c>
      <c r="BR340">
        <v>0</v>
      </c>
      <c r="BS340" t="s">
        <v>132</v>
      </c>
      <c r="BT340" t="s">
        <v>7360</v>
      </c>
      <c r="BU340" t="s">
        <v>7360</v>
      </c>
      <c r="BV340" t="s">
        <v>7360</v>
      </c>
      <c r="BX340" t="s">
        <v>7391</v>
      </c>
      <c r="BY340">
        <v>74</v>
      </c>
      <c r="BZ340" t="s">
        <v>7360</v>
      </c>
      <c r="CA340" t="s">
        <v>7360</v>
      </c>
      <c r="CB340" t="s">
        <v>7360</v>
      </c>
      <c r="CC340" s="21">
        <v>44973.650127314817</v>
      </c>
      <c r="CE340" t="s">
        <v>7392</v>
      </c>
      <c r="CF340">
        <v>1100101</v>
      </c>
      <c r="CG340">
        <v>53575</v>
      </c>
      <c r="CH340">
        <v>53575</v>
      </c>
      <c r="CI340" s="21">
        <v>44973.652233796296</v>
      </c>
      <c r="CJ340" t="s">
        <v>7393</v>
      </c>
      <c r="CK340" t="s">
        <v>7393</v>
      </c>
      <c r="CL340" t="s">
        <v>7394</v>
      </c>
      <c r="CM340" t="s">
        <v>7394</v>
      </c>
      <c r="CS340" t="s">
        <v>7361</v>
      </c>
      <c r="CT340" t="s">
        <v>7362</v>
      </c>
      <c r="CU340" t="s">
        <v>7362</v>
      </c>
      <c r="CV340" t="s">
        <v>7362</v>
      </c>
      <c r="CW340" t="s">
        <v>7362</v>
      </c>
      <c r="CX340">
        <v>4000000</v>
      </c>
      <c r="DA340">
        <v>0</v>
      </c>
    </row>
    <row r="341" spans="1:110" x14ac:dyDescent="0.3">
      <c r="A341">
        <v>1357</v>
      </c>
      <c r="B341" t="s">
        <v>7405</v>
      </c>
      <c r="C341">
        <v>366</v>
      </c>
      <c r="D341" s="20">
        <v>44973</v>
      </c>
      <c r="E341" t="s">
        <v>7372</v>
      </c>
      <c r="F341" t="s">
        <v>5282</v>
      </c>
      <c r="G341" t="s">
        <v>7357</v>
      </c>
      <c r="H341">
        <v>1</v>
      </c>
      <c r="I341" t="s">
        <v>7358</v>
      </c>
      <c r="J341">
        <v>1</v>
      </c>
      <c r="K341" s="20">
        <v>44973</v>
      </c>
      <c r="L341" s="23">
        <v>1337843</v>
      </c>
      <c r="M341" t="s">
        <v>7359</v>
      </c>
      <c r="N341" t="s">
        <v>7360</v>
      </c>
      <c r="O341">
        <v>0</v>
      </c>
      <c r="P341">
        <v>12341</v>
      </c>
      <c r="Q341">
        <v>433009</v>
      </c>
      <c r="R341">
        <v>0</v>
      </c>
      <c r="S341">
        <v>20230216</v>
      </c>
      <c r="T341">
        <v>0</v>
      </c>
      <c r="U341" t="s">
        <v>7362</v>
      </c>
      <c r="V341" t="s">
        <v>7360</v>
      </c>
      <c r="W341" t="s">
        <v>7360</v>
      </c>
      <c r="X341" t="s">
        <v>7360</v>
      </c>
      <c r="Y341" t="s">
        <v>7360</v>
      </c>
      <c r="Z341" t="s">
        <v>7360</v>
      </c>
      <c r="AA341" t="s">
        <v>7362</v>
      </c>
      <c r="AB341" t="s">
        <v>7360</v>
      </c>
      <c r="AC341" t="s">
        <v>7360</v>
      </c>
      <c r="AD341" t="s">
        <v>7360</v>
      </c>
      <c r="AE341" t="s">
        <v>7360</v>
      </c>
      <c r="AF341" t="s">
        <v>1684</v>
      </c>
      <c r="AG341">
        <v>0</v>
      </c>
      <c r="AH341">
        <v>0</v>
      </c>
      <c r="AI341">
        <v>0</v>
      </c>
      <c r="AJ341">
        <v>0</v>
      </c>
      <c r="AK341">
        <v>0</v>
      </c>
      <c r="AL341" t="s">
        <v>7360</v>
      </c>
      <c r="AM341">
        <v>0</v>
      </c>
      <c r="AN341" s="20">
        <v>44973</v>
      </c>
      <c r="AO341" s="20">
        <v>44973</v>
      </c>
      <c r="AP341" s="20">
        <v>44973</v>
      </c>
      <c r="AQ341">
        <v>0</v>
      </c>
      <c r="AR341">
        <v>0</v>
      </c>
      <c r="AS341">
        <v>0</v>
      </c>
      <c r="AT341">
        <v>0</v>
      </c>
      <c r="AU341">
        <v>0</v>
      </c>
      <c r="AV341" t="s">
        <v>7360</v>
      </c>
      <c r="AW341">
        <v>0</v>
      </c>
      <c r="AX341" t="s">
        <v>7360</v>
      </c>
      <c r="AY341" t="s">
        <v>7373</v>
      </c>
      <c r="BA341">
        <v>0</v>
      </c>
      <c r="BB341" s="20">
        <v>44973</v>
      </c>
      <c r="BC341">
        <v>0</v>
      </c>
      <c r="BD341" t="s">
        <v>7360</v>
      </c>
      <c r="BF341" s="20">
        <v>44973</v>
      </c>
      <c r="BG341">
        <v>0</v>
      </c>
      <c r="BH341" t="s">
        <v>1684</v>
      </c>
      <c r="BJ341" t="s">
        <v>7362</v>
      </c>
      <c r="BK341">
        <v>0</v>
      </c>
      <c r="BL341">
        <v>0</v>
      </c>
      <c r="BM341">
        <v>0</v>
      </c>
      <c r="BN341">
        <v>0</v>
      </c>
      <c r="BO341">
        <v>169</v>
      </c>
      <c r="BP341">
        <v>11</v>
      </c>
      <c r="BQ341">
        <v>1</v>
      </c>
      <c r="BR341" t="s">
        <v>7364</v>
      </c>
      <c r="BS341" t="s">
        <v>7382</v>
      </c>
      <c r="BT341" t="s">
        <v>7360</v>
      </c>
      <c r="BU341" t="s">
        <v>7360</v>
      </c>
      <c r="BV341" t="s">
        <v>7360</v>
      </c>
      <c r="BX341">
        <v>0</v>
      </c>
      <c r="BY341">
        <v>0</v>
      </c>
      <c r="BZ341" t="s">
        <v>7360</v>
      </c>
      <c r="CA341" t="s">
        <v>7360</v>
      </c>
      <c r="CB341">
        <v>3380666</v>
      </c>
      <c r="CC341" s="21">
        <v>44973.659050925926</v>
      </c>
      <c r="CE341" t="s">
        <v>7366</v>
      </c>
      <c r="CF341">
        <v>0</v>
      </c>
      <c r="CG341">
        <v>702002</v>
      </c>
      <c r="CH341">
        <v>702002</v>
      </c>
      <c r="CI341" s="21">
        <v>44973.660462962966</v>
      </c>
      <c r="CJ341" t="s">
        <v>7367</v>
      </c>
      <c r="CK341" t="s">
        <v>7367</v>
      </c>
      <c r="CL341" t="s">
        <v>7368</v>
      </c>
      <c r="CM341" t="s">
        <v>7368</v>
      </c>
      <c r="CS341" t="s">
        <v>7361</v>
      </c>
      <c r="CT341" t="s">
        <v>7362</v>
      </c>
      <c r="CU341" t="s">
        <v>7362</v>
      </c>
      <c r="CV341" t="s">
        <v>7362</v>
      </c>
      <c r="CW341" t="s">
        <v>7362</v>
      </c>
      <c r="CX341">
        <v>1337843</v>
      </c>
      <c r="DA341">
        <v>0</v>
      </c>
    </row>
    <row r="342" spans="1:110" x14ac:dyDescent="0.3">
      <c r="A342">
        <v>1354</v>
      </c>
      <c r="B342" t="s">
        <v>7396</v>
      </c>
      <c r="C342">
        <v>367</v>
      </c>
      <c r="D342" s="20">
        <v>44973</v>
      </c>
      <c r="E342" t="s">
        <v>7356</v>
      </c>
      <c r="F342" t="s">
        <v>5288</v>
      </c>
      <c r="G342" t="s">
        <v>7370</v>
      </c>
      <c r="H342">
        <v>1</v>
      </c>
      <c r="I342" t="s">
        <v>7358</v>
      </c>
      <c r="J342">
        <v>1</v>
      </c>
      <c r="K342" s="20">
        <v>44973</v>
      </c>
      <c r="L342" s="23">
        <v>1800000</v>
      </c>
      <c r="M342" t="s">
        <v>7359</v>
      </c>
      <c r="N342" t="s">
        <v>7360</v>
      </c>
      <c r="O342">
        <v>0</v>
      </c>
      <c r="P342">
        <v>12252</v>
      </c>
      <c r="Q342">
        <v>427001</v>
      </c>
      <c r="R342">
        <v>0</v>
      </c>
      <c r="S342">
        <v>20230216</v>
      </c>
      <c r="T342">
        <v>0</v>
      </c>
      <c r="U342" t="s">
        <v>7361</v>
      </c>
      <c r="V342" t="s">
        <v>7360</v>
      </c>
      <c r="W342" t="s">
        <v>7360</v>
      </c>
      <c r="X342" t="s">
        <v>7360</v>
      </c>
      <c r="Y342" t="s">
        <v>7360</v>
      </c>
      <c r="Z342" t="s">
        <v>7360</v>
      </c>
      <c r="AA342" t="s">
        <v>7362</v>
      </c>
      <c r="AB342" t="s">
        <v>7360</v>
      </c>
      <c r="AC342" t="s">
        <v>7360</v>
      </c>
      <c r="AD342" t="s">
        <v>7360</v>
      </c>
      <c r="AE342" t="s">
        <v>7360</v>
      </c>
      <c r="AF342" t="s">
        <v>1684</v>
      </c>
      <c r="AG342">
        <v>0</v>
      </c>
      <c r="AH342">
        <v>0</v>
      </c>
      <c r="AI342">
        <v>0</v>
      </c>
      <c r="AJ342">
        <v>0</v>
      </c>
      <c r="AK342">
        <v>0</v>
      </c>
      <c r="AL342" t="s">
        <v>7360</v>
      </c>
      <c r="AM342">
        <v>0</v>
      </c>
      <c r="AN342" s="20">
        <v>44973</v>
      </c>
      <c r="AO342" s="20">
        <v>44973</v>
      </c>
      <c r="AP342" s="20">
        <v>44973</v>
      </c>
      <c r="AQ342">
        <v>0</v>
      </c>
      <c r="AR342">
        <v>0</v>
      </c>
      <c r="AS342">
        <v>0</v>
      </c>
      <c r="AT342">
        <v>0</v>
      </c>
      <c r="AU342">
        <v>0</v>
      </c>
      <c r="AV342" t="s">
        <v>7360</v>
      </c>
      <c r="AW342">
        <v>0</v>
      </c>
      <c r="AX342" t="s">
        <v>7360</v>
      </c>
      <c r="AY342" t="s">
        <v>7363</v>
      </c>
      <c r="BA342">
        <v>0</v>
      </c>
      <c r="BB342" s="20">
        <v>44973</v>
      </c>
      <c r="BC342">
        <v>0</v>
      </c>
      <c r="BD342" t="s">
        <v>7360</v>
      </c>
      <c r="BF342" s="20">
        <v>44973</v>
      </c>
      <c r="BG342">
        <v>0</v>
      </c>
      <c r="BH342" t="s">
        <v>7363</v>
      </c>
      <c r="BJ342" t="s">
        <v>7362</v>
      </c>
      <c r="BK342">
        <v>169</v>
      </c>
      <c r="BL342">
        <v>11</v>
      </c>
      <c r="BM342">
        <v>1</v>
      </c>
      <c r="BN342" t="s">
        <v>7364</v>
      </c>
      <c r="BO342">
        <v>0</v>
      </c>
      <c r="BP342">
        <v>0</v>
      </c>
      <c r="BQ342">
        <v>0</v>
      </c>
      <c r="BR342">
        <v>0</v>
      </c>
      <c r="BS342" t="s">
        <v>132</v>
      </c>
      <c r="BT342" t="s">
        <v>7360</v>
      </c>
      <c r="BU342" t="s">
        <v>7360</v>
      </c>
      <c r="BV342" t="s">
        <v>7360</v>
      </c>
      <c r="BX342" t="s">
        <v>7391</v>
      </c>
      <c r="BY342">
        <v>74</v>
      </c>
      <c r="BZ342" t="s">
        <v>7360</v>
      </c>
      <c r="CA342" t="s">
        <v>7360</v>
      </c>
      <c r="CB342" t="s">
        <v>7360</v>
      </c>
      <c r="CC342" s="21">
        <v>44973.663506944446</v>
      </c>
      <c r="CE342" t="s">
        <v>7392</v>
      </c>
      <c r="CF342">
        <v>1100101</v>
      </c>
      <c r="CG342">
        <v>53575</v>
      </c>
      <c r="CH342">
        <v>53575</v>
      </c>
      <c r="CI342" s="21">
        <v>44973.664409722223</v>
      </c>
      <c r="CJ342" t="s">
        <v>7393</v>
      </c>
      <c r="CK342" t="s">
        <v>7393</v>
      </c>
      <c r="CL342" t="s">
        <v>7394</v>
      </c>
      <c r="CM342" t="s">
        <v>7394</v>
      </c>
      <c r="CS342" t="s">
        <v>7361</v>
      </c>
      <c r="CT342" t="s">
        <v>7362</v>
      </c>
      <c r="CU342" t="s">
        <v>7362</v>
      </c>
      <c r="CV342" t="s">
        <v>7362</v>
      </c>
      <c r="CW342" t="s">
        <v>7362</v>
      </c>
      <c r="CX342">
        <v>1800000</v>
      </c>
      <c r="DA342">
        <v>0</v>
      </c>
    </row>
    <row r="343" spans="1:110" x14ac:dyDescent="0.3">
      <c r="A343">
        <v>1362</v>
      </c>
      <c r="B343" t="s">
        <v>7371</v>
      </c>
      <c r="C343">
        <v>530</v>
      </c>
      <c r="D343" s="20">
        <v>44991</v>
      </c>
      <c r="E343" t="s">
        <v>7356</v>
      </c>
      <c r="F343" t="s">
        <v>5293</v>
      </c>
      <c r="G343" t="s">
        <v>7357</v>
      </c>
      <c r="H343">
        <v>1</v>
      </c>
      <c r="I343" t="s">
        <v>7358</v>
      </c>
      <c r="J343">
        <v>1</v>
      </c>
      <c r="K343" s="20">
        <v>44991</v>
      </c>
      <c r="L343" s="23">
        <v>23261092</v>
      </c>
      <c r="M343" t="s">
        <v>7359</v>
      </c>
      <c r="N343" t="s">
        <v>7360</v>
      </c>
      <c r="O343">
        <v>0</v>
      </c>
      <c r="P343">
        <v>12860</v>
      </c>
      <c r="Q343">
        <v>450050</v>
      </c>
      <c r="R343">
        <v>0</v>
      </c>
      <c r="S343">
        <v>20230306</v>
      </c>
      <c r="T343">
        <v>0</v>
      </c>
      <c r="U343" t="s">
        <v>7361</v>
      </c>
      <c r="V343" t="s">
        <v>7360</v>
      </c>
      <c r="W343" t="s">
        <v>7360</v>
      </c>
      <c r="X343" t="s">
        <v>7360</v>
      </c>
      <c r="Y343" t="s">
        <v>7360</v>
      </c>
      <c r="Z343" t="s">
        <v>7360</v>
      </c>
      <c r="AA343" t="s">
        <v>7362</v>
      </c>
      <c r="AB343" t="s">
        <v>7360</v>
      </c>
      <c r="AC343" t="s">
        <v>7360</v>
      </c>
      <c r="AD343" t="s">
        <v>7360</v>
      </c>
      <c r="AE343" t="s">
        <v>7360</v>
      </c>
      <c r="AF343" t="s">
        <v>1684</v>
      </c>
      <c r="AG343">
        <v>0</v>
      </c>
      <c r="AH343">
        <v>0</v>
      </c>
      <c r="AI343">
        <v>0</v>
      </c>
      <c r="AJ343">
        <v>0</v>
      </c>
      <c r="AK343">
        <v>0</v>
      </c>
      <c r="AL343" t="s">
        <v>7360</v>
      </c>
      <c r="AM343">
        <v>0</v>
      </c>
      <c r="AN343" s="20">
        <v>44991</v>
      </c>
      <c r="AO343" s="20">
        <v>44991</v>
      </c>
      <c r="AP343" s="20">
        <v>44991</v>
      </c>
      <c r="AQ343">
        <v>0</v>
      </c>
      <c r="AR343">
        <v>0</v>
      </c>
      <c r="AS343">
        <v>0</v>
      </c>
      <c r="AT343">
        <v>0</v>
      </c>
      <c r="AU343">
        <v>0</v>
      </c>
      <c r="AV343" t="s">
        <v>7360</v>
      </c>
      <c r="AW343">
        <v>0</v>
      </c>
      <c r="AX343" t="s">
        <v>7360</v>
      </c>
      <c r="AY343" t="s">
        <v>7363</v>
      </c>
      <c r="BA343">
        <v>0</v>
      </c>
      <c r="BB343" s="20">
        <v>44991</v>
      </c>
      <c r="BC343">
        <v>0</v>
      </c>
      <c r="BD343" t="s">
        <v>7360</v>
      </c>
      <c r="BF343" s="20">
        <v>44991</v>
      </c>
      <c r="BG343">
        <v>0</v>
      </c>
      <c r="BH343" t="s">
        <v>7363</v>
      </c>
      <c r="BJ343" t="s">
        <v>7362</v>
      </c>
      <c r="BK343">
        <v>0</v>
      </c>
      <c r="BL343">
        <v>0</v>
      </c>
      <c r="BM343">
        <v>0</v>
      </c>
      <c r="BN343">
        <v>0</v>
      </c>
      <c r="BO343">
        <v>169</v>
      </c>
      <c r="BP343">
        <v>11</v>
      </c>
      <c r="BQ343">
        <v>1</v>
      </c>
      <c r="BR343" t="s">
        <v>7364</v>
      </c>
      <c r="BS343" t="s">
        <v>7382</v>
      </c>
      <c r="BT343" t="s">
        <v>7360</v>
      </c>
      <c r="BU343" t="s">
        <v>7360</v>
      </c>
      <c r="BV343" t="s">
        <v>7360</v>
      </c>
      <c r="BX343">
        <v>0</v>
      </c>
      <c r="BY343">
        <v>0</v>
      </c>
      <c r="BZ343" t="s">
        <v>7360</v>
      </c>
      <c r="CA343" t="s">
        <v>7360</v>
      </c>
      <c r="CB343">
        <v>3380666</v>
      </c>
      <c r="CC343" s="21">
        <v>44988.392372685186</v>
      </c>
      <c r="CE343" t="s">
        <v>7366</v>
      </c>
      <c r="CF343">
        <v>0</v>
      </c>
      <c r="CG343">
        <v>702002</v>
      </c>
      <c r="CH343">
        <v>702002</v>
      </c>
      <c r="CI343" s="21">
        <v>44988.396921296298</v>
      </c>
      <c r="CJ343" t="s">
        <v>7367</v>
      </c>
      <c r="CK343" t="s">
        <v>7367</v>
      </c>
      <c r="CL343" t="s">
        <v>7368</v>
      </c>
      <c r="CM343" t="s">
        <v>7368</v>
      </c>
      <c r="CS343" t="s">
        <v>7361</v>
      </c>
      <c r="CT343" t="s">
        <v>7362</v>
      </c>
      <c r="CU343" t="s">
        <v>7362</v>
      </c>
      <c r="CV343" t="s">
        <v>7362</v>
      </c>
      <c r="CW343" t="s">
        <v>7362</v>
      </c>
      <c r="CX343">
        <v>17583142</v>
      </c>
      <c r="DA343">
        <v>0</v>
      </c>
    </row>
    <row r="344" spans="1:110" x14ac:dyDescent="0.3">
      <c r="A344">
        <v>1362</v>
      </c>
      <c r="B344" t="s">
        <v>7371</v>
      </c>
      <c r="C344">
        <v>369</v>
      </c>
      <c r="D344" s="20">
        <v>44973</v>
      </c>
      <c r="E344" t="s">
        <v>7356</v>
      </c>
      <c r="F344" t="s">
        <v>5298</v>
      </c>
      <c r="G344" t="s">
        <v>7357</v>
      </c>
      <c r="H344">
        <v>1</v>
      </c>
      <c r="I344" t="s">
        <v>7358</v>
      </c>
      <c r="J344">
        <v>1</v>
      </c>
      <c r="K344" s="20">
        <v>44973</v>
      </c>
      <c r="L344" s="23">
        <v>65450</v>
      </c>
      <c r="M344" t="s">
        <v>7359</v>
      </c>
      <c r="N344" t="s">
        <v>7360</v>
      </c>
      <c r="O344">
        <v>0</v>
      </c>
      <c r="P344">
        <v>12173</v>
      </c>
      <c r="Q344">
        <v>421002</v>
      </c>
      <c r="R344">
        <v>0</v>
      </c>
      <c r="S344">
        <v>20230216</v>
      </c>
      <c r="T344">
        <v>0</v>
      </c>
      <c r="U344" t="s">
        <v>7361</v>
      </c>
      <c r="V344" t="s">
        <v>7360</v>
      </c>
      <c r="W344" t="s">
        <v>7360</v>
      </c>
      <c r="X344" t="s">
        <v>7360</v>
      </c>
      <c r="Y344" t="s">
        <v>7360</v>
      </c>
      <c r="Z344" t="s">
        <v>7360</v>
      </c>
      <c r="AA344" t="s">
        <v>7362</v>
      </c>
      <c r="AB344" t="s">
        <v>7360</v>
      </c>
      <c r="AC344" t="s">
        <v>7360</v>
      </c>
      <c r="AD344" t="s">
        <v>7360</v>
      </c>
      <c r="AE344" t="s">
        <v>7360</v>
      </c>
      <c r="AF344" t="s">
        <v>1684</v>
      </c>
      <c r="AG344">
        <v>0</v>
      </c>
      <c r="AH344">
        <v>0</v>
      </c>
      <c r="AI344">
        <v>0</v>
      </c>
      <c r="AJ344">
        <v>0</v>
      </c>
      <c r="AK344">
        <v>0</v>
      </c>
      <c r="AL344" t="s">
        <v>7360</v>
      </c>
      <c r="AM344">
        <v>0</v>
      </c>
      <c r="AN344" s="20">
        <v>44973</v>
      </c>
      <c r="AO344" s="20">
        <v>44973</v>
      </c>
      <c r="AP344" s="20">
        <v>44973</v>
      </c>
      <c r="AQ344">
        <v>0</v>
      </c>
      <c r="AR344">
        <v>0</v>
      </c>
      <c r="AS344">
        <v>0</v>
      </c>
      <c r="AT344">
        <v>0</v>
      </c>
      <c r="AU344">
        <v>0</v>
      </c>
      <c r="AV344" t="s">
        <v>7360</v>
      </c>
      <c r="AW344">
        <v>0</v>
      </c>
      <c r="AX344" t="s">
        <v>7360</v>
      </c>
      <c r="AY344" t="s">
        <v>7363</v>
      </c>
      <c r="BA344">
        <v>0</v>
      </c>
      <c r="BB344" s="20">
        <v>44973</v>
      </c>
      <c r="BC344">
        <v>0</v>
      </c>
      <c r="BD344" t="s">
        <v>7360</v>
      </c>
      <c r="BF344" s="20">
        <v>44973</v>
      </c>
      <c r="BG344">
        <v>0</v>
      </c>
      <c r="BH344" t="s">
        <v>7363</v>
      </c>
      <c r="BJ344" t="s">
        <v>7362</v>
      </c>
      <c r="BK344">
        <v>0</v>
      </c>
      <c r="BL344">
        <v>0</v>
      </c>
      <c r="BM344">
        <v>0</v>
      </c>
      <c r="BN344">
        <v>0</v>
      </c>
      <c r="BO344">
        <v>169</v>
      </c>
      <c r="BP344">
        <v>11</v>
      </c>
      <c r="BQ344">
        <v>1</v>
      </c>
      <c r="BR344" t="s">
        <v>7364</v>
      </c>
      <c r="BS344" t="s">
        <v>7374</v>
      </c>
      <c r="BT344" t="s">
        <v>7360</v>
      </c>
      <c r="BU344" t="s">
        <v>7360</v>
      </c>
      <c r="BV344" t="s">
        <v>7360</v>
      </c>
      <c r="BX344">
        <v>0</v>
      </c>
      <c r="BY344">
        <v>0</v>
      </c>
      <c r="BZ344" t="s">
        <v>7360</v>
      </c>
      <c r="CA344" t="s">
        <v>7360</v>
      </c>
      <c r="CB344">
        <v>3380666</v>
      </c>
      <c r="CC344" s="21">
        <v>44973.675405092596</v>
      </c>
      <c r="CE344" t="s">
        <v>7366</v>
      </c>
      <c r="CF344">
        <v>0</v>
      </c>
      <c r="CG344">
        <v>702002</v>
      </c>
      <c r="CH344">
        <v>702002</v>
      </c>
      <c r="CI344" s="21">
        <v>44973.67696759259</v>
      </c>
      <c r="CJ344" t="s">
        <v>7367</v>
      </c>
      <c r="CK344" t="s">
        <v>7367</v>
      </c>
      <c r="CL344" t="s">
        <v>7368</v>
      </c>
      <c r="CM344" t="s">
        <v>7368</v>
      </c>
      <c r="CS344" t="s">
        <v>7361</v>
      </c>
      <c r="CT344" t="s">
        <v>7362</v>
      </c>
      <c r="CU344" t="s">
        <v>7362</v>
      </c>
      <c r="CV344" t="s">
        <v>7362</v>
      </c>
      <c r="CW344" t="s">
        <v>7362</v>
      </c>
      <c r="CX344">
        <v>65450</v>
      </c>
      <c r="DA344">
        <v>0</v>
      </c>
    </row>
    <row r="345" spans="1:110" x14ac:dyDescent="0.3">
      <c r="A345">
        <v>1362</v>
      </c>
      <c r="B345" t="s">
        <v>7371</v>
      </c>
      <c r="C345">
        <v>370</v>
      </c>
      <c r="D345" s="20">
        <v>44973</v>
      </c>
      <c r="E345" t="s">
        <v>7356</v>
      </c>
      <c r="F345" t="s">
        <v>5246</v>
      </c>
      <c r="G345" t="s">
        <v>7357</v>
      </c>
      <c r="H345">
        <v>1</v>
      </c>
      <c r="I345" t="s">
        <v>7358</v>
      </c>
      <c r="J345">
        <v>1</v>
      </c>
      <c r="K345" s="20">
        <v>44973</v>
      </c>
      <c r="L345" s="23">
        <v>8713915</v>
      </c>
      <c r="M345" t="s">
        <v>7359</v>
      </c>
      <c r="N345" t="s">
        <v>7360</v>
      </c>
      <c r="O345">
        <v>0</v>
      </c>
      <c r="P345">
        <v>12287</v>
      </c>
      <c r="Q345">
        <v>432010</v>
      </c>
      <c r="R345">
        <v>0</v>
      </c>
      <c r="S345">
        <v>20230216</v>
      </c>
      <c r="T345">
        <v>0</v>
      </c>
      <c r="U345" t="s">
        <v>7361</v>
      </c>
      <c r="V345" t="s">
        <v>7360</v>
      </c>
      <c r="W345" t="s">
        <v>7360</v>
      </c>
      <c r="X345" t="s">
        <v>7360</v>
      </c>
      <c r="Y345" t="s">
        <v>7360</v>
      </c>
      <c r="Z345" t="s">
        <v>7360</v>
      </c>
      <c r="AA345" t="s">
        <v>7362</v>
      </c>
      <c r="AB345" t="s">
        <v>7360</v>
      </c>
      <c r="AC345" t="s">
        <v>7360</v>
      </c>
      <c r="AD345" t="s">
        <v>7360</v>
      </c>
      <c r="AE345" t="s">
        <v>7360</v>
      </c>
      <c r="AF345" t="s">
        <v>1684</v>
      </c>
      <c r="AG345">
        <v>0</v>
      </c>
      <c r="AH345">
        <v>0</v>
      </c>
      <c r="AI345">
        <v>0</v>
      </c>
      <c r="AJ345">
        <v>0</v>
      </c>
      <c r="AK345">
        <v>0</v>
      </c>
      <c r="AL345" t="s">
        <v>7360</v>
      </c>
      <c r="AM345">
        <v>0</v>
      </c>
      <c r="AN345" s="20">
        <v>44973</v>
      </c>
      <c r="AO345" s="20">
        <v>44973</v>
      </c>
      <c r="AP345" s="20">
        <v>44973</v>
      </c>
      <c r="AQ345">
        <v>0</v>
      </c>
      <c r="AR345">
        <v>0</v>
      </c>
      <c r="AS345">
        <v>0</v>
      </c>
      <c r="AT345">
        <v>0</v>
      </c>
      <c r="AU345">
        <v>0</v>
      </c>
      <c r="AV345" t="s">
        <v>7360</v>
      </c>
      <c r="AW345">
        <v>0</v>
      </c>
      <c r="AX345" t="s">
        <v>7360</v>
      </c>
      <c r="AY345" t="s">
        <v>7363</v>
      </c>
      <c r="BA345">
        <v>0</v>
      </c>
      <c r="BB345" s="20">
        <v>44973</v>
      </c>
      <c r="BC345">
        <v>0</v>
      </c>
      <c r="BD345" t="s">
        <v>7360</v>
      </c>
      <c r="BF345" s="20">
        <v>44973</v>
      </c>
      <c r="BG345">
        <v>0</v>
      </c>
      <c r="BH345" t="s">
        <v>7363</v>
      </c>
      <c r="BJ345" t="s">
        <v>7362</v>
      </c>
      <c r="BK345">
        <v>0</v>
      </c>
      <c r="BL345">
        <v>0</v>
      </c>
      <c r="BM345">
        <v>0</v>
      </c>
      <c r="BN345">
        <v>0</v>
      </c>
      <c r="BO345">
        <v>169</v>
      </c>
      <c r="BP345">
        <v>11</v>
      </c>
      <c r="BQ345">
        <v>1</v>
      </c>
      <c r="BR345" t="s">
        <v>7364</v>
      </c>
      <c r="BS345" t="s">
        <v>7374</v>
      </c>
      <c r="BT345" t="s">
        <v>7360</v>
      </c>
      <c r="BU345" t="s">
        <v>7360</v>
      </c>
      <c r="BV345" t="s">
        <v>7360</v>
      </c>
      <c r="BX345">
        <v>0</v>
      </c>
      <c r="BY345">
        <v>0</v>
      </c>
      <c r="BZ345" t="s">
        <v>7360</v>
      </c>
      <c r="CA345" t="s">
        <v>7360</v>
      </c>
      <c r="CB345">
        <v>3380666</v>
      </c>
      <c r="CC345" s="21">
        <v>44973.693761574075</v>
      </c>
      <c r="CE345" t="s">
        <v>7366</v>
      </c>
      <c r="CF345">
        <v>0</v>
      </c>
      <c r="CG345">
        <v>702002</v>
      </c>
      <c r="CH345">
        <v>702002</v>
      </c>
      <c r="CI345" s="21">
        <v>44973.696666666663</v>
      </c>
      <c r="CJ345" t="s">
        <v>7367</v>
      </c>
      <c r="CK345" t="s">
        <v>7367</v>
      </c>
      <c r="CL345" t="s">
        <v>7368</v>
      </c>
      <c r="CM345" t="s">
        <v>7368</v>
      </c>
      <c r="CS345" t="s">
        <v>7361</v>
      </c>
      <c r="CT345" t="s">
        <v>7362</v>
      </c>
      <c r="CU345" t="s">
        <v>7362</v>
      </c>
      <c r="CV345" t="s">
        <v>7362</v>
      </c>
      <c r="CW345" t="s">
        <v>7362</v>
      </c>
      <c r="CX345">
        <v>8713915</v>
      </c>
      <c r="DA345">
        <v>0</v>
      </c>
    </row>
    <row r="346" spans="1:110" x14ac:dyDescent="0.3">
      <c r="A346">
        <v>1354</v>
      </c>
      <c r="B346" t="s">
        <v>7396</v>
      </c>
      <c r="C346">
        <v>815</v>
      </c>
      <c r="D346" s="20">
        <v>45013</v>
      </c>
      <c r="E346" t="s">
        <v>7372</v>
      </c>
      <c r="F346" t="s">
        <v>5246</v>
      </c>
      <c r="G346" t="s">
        <v>7357</v>
      </c>
      <c r="H346">
        <v>1</v>
      </c>
      <c r="I346" t="s">
        <v>7358</v>
      </c>
      <c r="J346">
        <v>1</v>
      </c>
      <c r="K346" s="20">
        <v>45013</v>
      </c>
      <c r="L346" s="23">
        <v>23274461</v>
      </c>
      <c r="M346" t="s">
        <v>7403</v>
      </c>
      <c r="N346" t="s">
        <v>7360</v>
      </c>
      <c r="O346">
        <v>0</v>
      </c>
      <c r="P346">
        <v>13463</v>
      </c>
      <c r="Q346">
        <v>143001</v>
      </c>
      <c r="R346">
        <v>0</v>
      </c>
      <c r="S346">
        <v>20230328</v>
      </c>
      <c r="T346">
        <v>0</v>
      </c>
      <c r="U346" t="s">
        <v>7362</v>
      </c>
      <c r="V346" t="s">
        <v>7360</v>
      </c>
      <c r="W346" t="s">
        <v>7360</v>
      </c>
      <c r="X346" t="s">
        <v>7360</v>
      </c>
      <c r="Y346" t="s">
        <v>7360</v>
      </c>
      <c r="Z346" t="s">
        <v>7360</v>
      </c>
      <c r="AA346" t="s">
        <v>7362</v>
      </c>
      <c r="AB346" t="s">
        <v>7360</v>
      </c>
      <c r="AC346" t="s">
        <v>7360</v>
      </c>
      <c r="AD346" t="s">
        <v>7360</v>
      </c>
      <c r="AE346" t="s">
        <v>7360</v>
      </c>
      <c r="AF346" t="s">
        <v>1684</v>
      </c>
      <c r="AG346">
        <v>0</v>
      </c>
      <c r="AH346">
        <v>0</v>
      </c>
      <c r="AI346">
        <v>0</v>
      </c>
      <c r="AJ346">
        <v>0</v>
      </c>
      <c r="AK346">
        <v>0</v>
      </c>
      <c r="AL346" t="s">
        <v>7360</v>
      </c>
      <c r="AM346">
        <v>0</v>
      </c>
      <c r="AN346" s="20">
        <v>45013</v>
      </c>
      <c r="AO346" s="20">
        <v>45013</v>
      </c>
      <c r="AP346" s="20">
        <v>45013</v>
      </c>
      <c r="AQ346">
        <v>0</v>
      </c>
      <c r="AR346">
        <v>0</v>
      </c>
      <c r="AS346">
        <v>0</v>
      </c>
      <c r="AT346">
        <v>0</v>
      </c>
      <c r="AU346">
        <v>0</v>
      </c>
      <c r="AV346" t="s">
        <v>7360</v>
      </c>
      <c r="AW346">
        <v>0</v>
      </c>
      <c r="AX346" t="s">
        <v>7360</v>
      </c>
      <c r="AY346" t="s">
        <v>7362</v>
      </c>
      <c r="BA346">
        <v>0</v>
      </c>
      <c r="BB346" s="20">
        <v>45013</v>
      </c>
      <c r="BC346">
        <v>0</v>
      </c>
      <c r="BD346" t="s">
        <v>7360</v>
      </c>
      <c r="BE346">
        <v>72</v>
      </c>
      <c r="BF346" s="20">
        <v>45013</v>
      </c>
      <c r="BG346">
        <v>0</v>
      </c>
      <c r="BH346" t="s">
        <v>7363</v>
      </c>
      <c r="BJ346" t="s">
        <v>7362</v>
      </c>
      <c r="BK346">
        <v>169</v>
      </c>
      <c r="BL346">
        <v>11</v>
      </c>
      <c r="BM346">
        <v>1</v>
      </c>
      <c r="BN346" t="s">
        <v>7364</v>
      </c>
      <c r="BO346">
        <v>0</v>
      </c>
      <c r="BP346">
        <v>0</v>
      </c>
      <c r="BQ346">
        <v>0</v>
      </c>
      <c r="BR346">
        <v>0</v>
      </c>
      <c r="BS346" t="s">
        <v>132</v>
      </c>
      <c r="BT346" t="s">
        <v>7360</v>
      </c>
      <c r="BU346" t="s">
        <v>7360</v>
      </c>
      <c r="BV346" t="s">
        <v>7360</v>
      </c>
      <c r="BX346" t="s">
        <v>7391</v>
      </c>
      <c r="BY346">
        <v>74</v>
      </c>
      <c r="BZ346" t="s">
        <v>7360</v>
      </c>
      <c r="CA346" t="s">
        <v>7360</v>
      </c>
      <c r="CB346" t="s">
        <v>7360</v>
      </c>
      <c r="CC346" s="21">
        <v>44988.534629629627</v>
      </c>
      <c r="CE346" t="s">
        <v>7392</v>
      </c>
      <c r="CF346">
        <v>1100101</v>
      </c>
      <c r="CG346">
        <v>53575</v>
      </c>
      <c r="CH346">
        <v>53575</v>
      </c>
      <c r="CI346" s="21">
        <v>44988.652245370373</v>
      </c>
      <c r="CJ346" t="s">
        <v>7393</v>
      </c>
      <c r="CK346" t="s">
        <v>7393</v>
      </c>
      <c r="CL346" t="s">
        <v>7394</v>
      </c>
      <c r="CM346" t="s">
        <v>7394</v>
      </c>
      <c r="CS346" t="s">
        <v>7361</v>
      </c>
      <c r="CT346" t="s">
        <v>7362</v>
      </c>
      <c r="CU346" t="s">
        <v>7362</v>
      </c>
      <c r="CV346" t="s">
        <v>7362</v>
      </c>
      <c r="CW346" t="s">
        <v>7362</v>
      </c>
      <c r="CX346">
        <v>30000000</v>
      </c>
      <c r="DA346">
        <v>0</v>
      </c>
      <c r="DB346">
        <v>135003</v>
      </c>
    </row>
    <row r="347" spans="1:110" x14ac:dyDescent="0.3">
      <c r="A347">
        <v>1366</v>
      </c>
      <c r="B347" t="s">
        <v>7380</v>
      </c>
      <c r="C347">
        <v>373</v>
      </c>
      <c r="D347" s="20">
        <v>44973</v>
      </c>
      <c r="E347" t="s">
        <v>7356</v>
      </c>
      <c r="F347" t="s">
        <v>5251</v>
      </c>
      <c r="G347" t="s">
        <v>7357</v>
      </c>
      <c r="H347">
        <v>1</v>
      </c>
      <c r="I347" t="s">
        <v>7358</v>
      </c>
      <c r="J347">
        <v>1</v>
      </c>
      <c r="K347" s="20">
        <v>44973</v>
      </c>
      <c r="L347" s="23">
        <v>1259604</v>
      </c>
      <c r="M347" t="s">
        <v>7359</v>
      </c>
      <c r="N347" t="s">
        <v>7360</v>
      </c>
      <c r="O347">
        <v>0</v>
      </c>
      <c r="P347">
        <v>12281</v>
      </c>
      <c r="Q347">
        <v>432009</v>
      </c>
      <c r="R347">
        <v>0</v>
      </c>
      <c r="S347">
        <v>20230216</v>
      </c>
      <c r="T347">
        <v>0</v>
      </c>
      <c r="U347" t="s">
        <v>7361</v>
      </c>
      <c r="V347" t="s">
        <v>7360</v>
      </c>
      <c r="W347" t="s">
        <v>7360</v>
      </c>
      <c r="X347" t="s">
        <v>7360</v>
      </c>
      <c r="Y347" t="s">
        <v>7360</v>
      </c>
      <c r="Z347" t="s">
        <v>7360</v>
      </c>
      <c r="AA347" t="s">
        <v>7362</v>
      </c>
      <c r="AB347" t="s">
        <v>7360</v>
      </c>
      <c r="AC347" t="s">
        <v>7360</v>
      </c>
      <c r="AD347" t="s">
        <v>7360</v>
      </c>
      <c r="AE347" t="s">
        <v>7360</v>
      </c>
      <c r="AF347" t="s">
        <v>1684</v>
      </c>
      <c r="AG347">
        <v>0</v>
      </c>
      <c r="AH347">
        <v>0</v>
      </c>
      <c r="AI347">
        <v>0</v>
      </c>
      <c r="AJ347">
        <v>0</v>
      </c>
      <c r="AK347">
        <v>0</v>
      </c>
      <c r="AL347" t="s">
        <v>7360</v>
      </c>
      <c r="AM347">
        <v>0</v>
      </c>
      <c r="AN347" s="20">
        <v>44973</v>
      </c>
      <c r="AO347" s="20">
        <v>44973</v>
      </c>
      <c r="AP347" s="20">
        <v>44973</v>
      </c>
      <c r="AQ347">
        <v>0</v>
      </c>
      <c r="AR347">
        <v>0</v>
      </c>
      <c r="AS347">
        <v>0</v>
      </c>
      <c r="AT347">
        <v>0</v>
      </c>
      <c r="AU347">
        <v>0</v>
      </c>
      <c r="AV347" t="s">
        <v>7360</v>
      </c>
      <c r="AW347">
        <v>0</v>
      </c>
      <c r="AX347" t="s">
        <v>7360</v>
      </c>
      <c r="AY347" t="s">
        <v>7363</v>
      </c>
      <c r="BA347">
        <v>0</v>
      </c>
      <c r="BB347" s="20">
        <v>44973</v>
      </c>
      <c r="BC347">
        <v>0</v>
      </c>
      <c r="BD347" t="s">
        <v>7360</v>
      </c>
      <c r="BF347" s="20">
        <v>44973</v>
      </c>
      <c r="BG347">
        <v>0</v>
      </c>
      <c r="BH347" t="s">
        <v>7363</v>
      </c>
      <c r="BJ347" t="s">
        <v>7362</v>
      </c>
      <c r="BK347">
        <v>0</v>
      </c>
      <c r="BL347">
        <v>0</v>
      </c>
      <c r="BM347">
        <v>0</v>
      </c>
      <c r="BN347">
        <v>0</v>
      </c>
      <c r="BO347">
        <v>169</v>
      </c>
      <c r="BP347">
        <v>11</v>
      </c>
      <c r="BQ347">
        <v>1</v>
      </c>
      <c r="BR347" t="s">
        <v>7364</v>
      </c>
      <c r="BS347" t="s">
        <v>7386</v>
      </c>
      <c r="BT347" t="s">
        <v>7360</v>
      </c>
      <c r="BU347" t="s">
        <v>7360</v>
      </c>
      <c r="BV347" t="s">
        <v>7360</v>
      </c>
      <c r="BX347">
        <v>0</v>
      </c>
      <c r="BY347">
        <v>0</v>
      </c>
      <c r="BZ347" t="s">
        <v>7360</v>
      </c>
      <c r="CA347" t="s">
        <v>7360</v>
      </c>
      <c r="CB347">
        <v>3380666</v>
      </c>
      <c r="CC347" s="21">
        <v>44973.724560185183</v>
      </c>
      <c r="CE347" t="s">
        <v>7366</v>
      </c>
      <c r="CF347">
        <v>0</v>
      </c>
      <c r="CG347">
        <v>702002</v>
      </c>
      <c r="CH347">
        <v>702002</v>
      </c>
      <c r="CI347" s="21">
        <v>44973.726134259261</v>
      </c>
      <c r="CJ347" t="s">
        <v>7367</v>
      </c>
      <c r="CK347" t="s">
        <v>7367</v>
      </c>
      <c r="CL347" t="s">
        <v>7368</v>
      </c>
      <c r="CM347" t="s">
        <v>7368</v>
      </c>
      <c r="CS347" t="s">
        <v>7361</v>
      </c>
      <c r="CT347" t="s">
        <v>7362</v>
      </c>
      <c r="CU347" t="s">
        <v>7362</v>
      </c>
      <c r="CV347" t="s">
        <v>7362</v>
      </c>
      <c r="CW347" t="s">
        <v>7362</v>
      </c>
      <c r="CX347">
        <v>1259604</v>
      </c>
      <c r="DA347">
        <v>0</v>
      </c>
    </row>
    <row r="348" spans="1:110" x14ac:dyDescent="0.3">
      <c r="A348">
        <v>1373</v>
      </c>
      <c r="B348" t="s">
        <v>7383</v>
      </c>
      <c r="C348">
        <v>374</v>
      </c>
      <c r="D348" s="20">
        <v>44970</v>
      </c>
      <c r="E348" t="s">
        <v>7356</v>
      </c>
      <c r="F348" t="s">
        <v>5257</v>
      </c>
      <c r="G348" t="s">
        <v>7357</v>
      </c>
      <c r="H348">
        <v>1</v>
      </c>
      <c r="I348" t="s">
        <v>7358</v>
      </c>
      <c r="J348">
        <v>1</v>
      </c>
      <c r="K348" s="20">
        <v>44973</v>
      </c>
      <c r="L348" s="23">
        <v>544320</v>
      </c>
      <c r="M348" t="s">
        <v>7359</v>
      </c>
      <c r="N348" t="s">
        <v>7360</v>
      </c>
      <c r="O348">
        <v>0</v>
      </c>
      <c r="P348">
        <v>12192</v>
      </c>
      <c r="Q348">
        <v>421014</v>
      </c>
      <c r="R348">
        <v>0</v>
      </c>
      <c r="S348">
        <v>20230213</v>
      </c>
      <c r="T348">
        <v>0</v>
      </c>
      <c r="U348" t="s">
        <v>7362</v>
      </c>
      <c r="V348" t="s">
        <v>7360</v>
      </c>
      <c r="W348" t="s">
        <v>7360</v>
      </c>
      <c r="X348" t="s">
        <v>7360</v>
      </c>
      <c r="Y348" t="s">
        <v>7360</v>
      </c>
      <c r="Z348" t="s">
        <v>7360</v>
      </c>
      <c r="AA348" t="s">
        <v>7362</v>
      </c>
      <c r="AB348" t="s">
        <v>7360</v>
      </c>
      <c r="AC348" t="s">
        <v>7360</v>
      </c>
      <c r="AD348" t="s">
        <v>7360</v>
      </c>
      <c r="AE348" t="s">
        <v>7360</v>
      </c>
      <c r="AF348" t="s">
        <v>1684</v>
      </c>
      <c r="AG348">
        <v>0</v>
      </c>
      <c r="AH348">
        <v>0</v>
      </c>
      <c r="AI348">
        <v>0</v>
      </c>
      <c r="AJ348">
        <v>0</v>
      </c>
      <c r="AK348">
        <v>0</v>
      </c>
      <c r="AL348" t="s">
        <v>7360</v>
      </c>
      <c r="AM348">
        <v>0</v>
      </c>
      <c r="AN348" s="20">
        <v>44973</v>
      </c>
      <c r="AO348" s="20">
        <v>44973</v>
      </c>
      <c r="AP348" s="20">
        <v>44973</v>
      </c>
      <c r="AQ348">
        <v>0</v>
      </c>
      <c r="AR348">
        <v>0</v>
      </c>
      <c r="AS348">
        <v>0</v>
      </c>
      <c r="AT348">
        <v>0</v>
      </c>
      <c r="AU348">
        <v>0</v>
      </c>
      <c r="AV348" t="s">
        <v>7360</v>
      </c>
      <c r="AW348">
        <v>0</v>
      </c>
      <c r="AX348" t="s">
        <v>7360</v>
      </c>
      <c r="AY348" t="s">
        <v>7362</v>
      </c>
      <c r="AZ348">
        <v>1384</v>
      </c>
      <c r="BA348">
        <v>77</v>
      </c>
      <c r="BB348" s="20">
        <v>45008</v>
      </c>
      <c r="BC348">
        <v>20230323</v>
      </c>
      <c r="BD348" t="s">
        <v>7435</v>
      </c>
      <c r="BF348" s="20">
        <v>44973</v>
      </c>
      <c r="BG348">
        <v>0</v>
      </c>
      <c r="BH348" t="s">
        <v>7363</v>
      </c>
      <c r="BJ348" t="s">
        <v>7362</v>
      </c>
      <c r="BK348">
        <v>169</v>
      </c>
      <c r="BL348">
        <v>11</v>
      </c>
      <c r="BM348">
        <v>1</v>
      </c>
      <c r="BN348" t="s">
        <v>7364</v>
      </c>
      <c r="BO348">
        <v>0</v>
      </c>
      <c r="BP348">
        <v>0</v>
      </c>
      <c r="BQ348">
        <v>0</v>
      </c>
      <c r="BR348">
        <v>0</v>
      </c>
      <c r="BS348" t="s">
        <v>7387</v>
      </c>
      <c r="BT348" t="s">
        <v>7360</v>
      </c>
      <c r="BU348" t="s">
        <v>7360</v>
      </c>
      <c r="BV348" t="s">
        <v>7360</v>
      </c>
      <c r="BX348" t="s">
        <v>7391</v>
      </c>
      <c r="BY348">
        <v>74</v>
      </c>
      <c r="BZ348" t="s">
        <v>7360</v>
      </c>
      <c r="CA348" t="s">
        <v>7360</v>
      </c>
      <c r="CB348">
        <v>5558210</v>
      </c>
      <c r="CC348" s="21">
        <v>44973.737500000003</v>
      </c>
      <c r="CE348" t="s">
        <v>7392</v>
      </c>
      <c r="CF348">
        <v>1100101</v>
      </c>
      <c r="CG348">
        <v>53575</v>
      </c>
      <c r="CH348">
        <v>53575</v>
      </c>
      <c r="CI348" s="21">
        <v>44973.738263888888</v>
      </c>
      <c r="CJ348" t="s">
        <v>7393</v>
      </c>
      <c r="CK348" t="s">
        <v>7393</v>
      </c>
      <c r="CL348" t="s">
        <v>7394</v>
      </c>
      <c r="CM348" t="s">
        <v>7394</v>
      </c>
      <c r="CS348" t="s">
        <v>7361</v>
      </c>
      <c r="CT348" t="s">
        <v>7362</v>
      </c>
      <c r="CU348" t="s">
        <v>7362</v>
      </c>
      <c r="CV348" t="s">
        <v>7362</v>
      </c>
      <c r="CW348" t="s">
        <v>7362</v>
      </c>
      <c r="CX348">
        <v>544320</v>
      </c>
      <c r="CY348" t="s">
        <v>1684</v>
      </c>
      <c r="DA348">
        <v>0</v>
      </c>
    </row>
    <row r="349" spans="1:110" x14ac:dyDescent="0.3">
      <c r="A349">
        <v>1368</v>
      </c>
      <c r="B349" t="s">
        <v>7436</v>
      </c>
      <c r="C349">
        <v>375</v>
      </c>
      <c r="D349" s="20">
        <v>44973</v>
      </c>
      <c r="E349" t="s">
        <v>7356</v>
      </c>
      <c r="F349" t="s">
        <v>5262</v>
      </c>
      <c r="G349" t="s">
        <v>7381</v>
      </c>
      <c r="H349">
        <v>2</v>
      </c>
      <c r="I349" t="s">
        <v>7428</v>
      </c>
      <c r="J349" t="s">
        <v>7437</v>
      </c>
      <c r="K349" s="20">
        <v>44973</v>
      </c>
      <c r="L349" s="23">
        <f>240*4878.24</f>
        <v>1170777.5999999999</v>
      </c>
      <c r="M349" t="s">
        <v>7359</v>
      </c>
      <c r="N349" t="s">
        <v>7360</v>
      </c>
      <c r="O349">
        <v>0</v>
      </c>
      <c r="P349">
        <v>12328</v>
      </c>
      <c r="Q349">
        <v>432038</v>
      </c>
      <c r="R349">
        <v>0</v>
      </c>
      <c r="S349">
        <v>20230216</v>
      </c>
      <c r="T349">
        <v>0</v>
      </c>
      <c r="U349" t="s">
        <v>7361</v>
      </c>
      <c r="V349" t="s">
        <v>7360</v>
      </c>
      <c r="W349" t="s">
        <v>7360</v>
      </c>
      <c r="X349" t="s">
        <v>7360</v>
      </c>
      <c r="Y349" t="s">
        <v>7360</v>
      </c>
      <c r="Z349" t="s">
        <v>7360</v>
      </c>
      <c r="AA349" t="s">
        <v>7362</v>
      </c>
      <c r="AB349" t="s">
        <v>7360</v>
      </c>
      <c r="AC349" t="s">
        <v>7360</v>
      </c>
      <c r="AD349" t="s">
        <v>7360</v>
      </c>
      <c r="AE349" t="s">
        <v>7360</v>
      </c>
      <c r="AF349" t="s">
        <v>1684</v>
      </c>
      <c r="AG349">
        <v>0</v>
      </c>
      <c r="AH349">
        <v>0</v>
      </c>
      <c r="AI349">
        <v>0</v>
      </c>
      <c r="AJ349">
        <v>0</v>
      </c>
      <c r="AK349">
        <v>0</v>
      </c>
      <c r="AL349" t="s">
        <v>7360</v>
      </c>
      <c r="AM349">
        <v>0</v>
      </c>
      <c r="AN349" s="20">
        <v>44973</v>
      </c>
      <c r="AO349" s="20">
        <v>44973</v>
      </c>
      <c r="AP349" s="20">
        <v>44973</v>
      </c>
      <c r="AQ349">
        <v>0</v>
      </c>
      <c r="AR349">
        <v>0</v>
      </c>
      <c r="AS349">
        <v>0</v>
      </c>
      <c r="AT349">
        <v>0</v>
      </c>
      <c r="AU349">
        <v>0</v>
      </c>
      <c r="AV349" t="s">
        <v>7360</v>
      </c>
      <c r="AW349">
        <v>0</v>
      </c>
      <c r="AX349" t="s">
        <v>7360</v>
      </c>
      <c r="AY349" t="s">
        <v>7363</v>
      </c>
      <c r="BA349">
        <v>0</v>
      </c>
      <c r="BB349" s="20">
        <v>44973</v>
      </c>
      <c r="BC349">
        <v>0</v>
      </c>
      <c r="BD349" t="s">
        <v>7360</v>
      </c>
      <c r="BF349" s="20">
        <v>44973</v>
      </c>
      <c r="BG349">
        <v>0</v>
      </c>
      <c r="BH349" t="s">
        <v>7363</v>
      </c>
      <c r="BJ349" t="s">
        <v>7362</v>
      </c>
      <c r="BK349">
        <v>0</v>
      </c>
      <c r="BL349">
        <v>0</v>
      </c>
      <c r="BM349">
        <v>0</v>
      </c>
      <c r="BN349">
        <v>0</v>
      </c>
      <c r="BO349">
        <v>169</v>
      </c>
      <c r="BP349">
        <v>11</v>
      </c>
      <c r="BQ349">
        <v>1</v>
      </c>
      <c r="BR349" t="s">
        <v>7364</v>
      </c>
      <c r="BS349" t="s">
        <v>7374</v>
      </c>
      <c r="BT349" t="s">
        <v>7360</v>
      </c>
      <c r="BU349" t="s">
        <v>7360</v>
      </c>
      <c r="BV349" t="s">
        <v>7360</v>
      </c>
      <c r="BX349">
        <v>0</v>
      </c>
      <c r="BY349">
        <v>0</v>
      </c>
      <c r="BZ349" t="s">
        <v>7360</v>
      </c>
      <c r="CA349" t="s">
        <v>7360</v>
      </c>
      <c r="CB349">
        <v>3380666</v>
      </c>
      <c r="CC349" s="21">
        <v>44973.742118055554</v>
      </c>
      <c r="CE349" t="s">
        <v>7366</v>
      </c>
      <c r="CF349">
        <v>0</v>
      </c>
      <c r="CG349">
        <v>702002</v>
      </c>
      <c r="CH349">
        <v>702002</v>
      </c>
      <c r="CI349" s="21">
        <v>44978.457662037035</v>
      </c>
      <c r="CJ349" t="s">
        <v>7367</v>
      </c>
      <c r="CK349" t="s">
        <v>7367</v>
      </c>
      <c r="CL349" t="s">
        <v>7368</v>
      </c>
      <c r="CM349" t="s">
        <v>7368</v>
      </c>
      <c r="CS349" t="s">
        <v>7361</v>
      </c>
      <c r="CT349" t="s">
        <v>7362</v>
      </c>
      <c r="CU349" t="s">
        <v>7362</v>
      </c>
      <c r="CV349" t="s">
        <v>7362</v>
      </c>
      <c r="CW349" t="s">
        <v>7362</v>
      </c>
      <c r="CX349">
        <v>240</v>
      </c>
      <c r="DA349">
        <v>0</v>
      </c>
    </row>
    <row r="350" spans="1:110" x14ac:dyDescent="0.3">
      <c r="A350">
        <v>1360</v>
      </c>
      <c r="B350" t="s">
        <v>7401</v>
      </c>
      <c r="C350">
        <v>376</v>
      </c>
      <c r="D350" s="20">
        <v>44973</v>
      </c>
      <c r="E350" t="s">
        <v>7356</v>
      </c>
      <c r="F350" t="s">
        <v>5267</v>
      </c>
      <c r="G350" t="s">
        <v>7357</v>
      </c>
      <c r="H350">
        <v>1</v>
      </c>
      <c r="I350" t="s">
        <v>7358</v>
      </c>
      <c r="J350">
        <v>1</v>
      </c>
      <c r="K350" s="20">
        <v>44973</v>
      </c>
      <c r="L350" s="23">
        <v>2716925</v>
      </c>
      <c r="M350" t="s">
        <v>7359</v>
      </c>
      <c r="N350" t="s">
        <v>7360</v>
      </c>
      <c r="O350">
        <v>0</v>
      </c>
      <c r="P350">
        <v>12446</v>
      </c>
      <c r="Q350">
        <v>437013</v>
      </c>
      <c r="R350">
        <v>0</v>
      </c>
      <c r="S350">
        <v>20230216</v>
      </c>
      <c r="T350">
        <v>0</v>
      </c>
      <c r="U350" t="s">
        <v>7361</v>
      </c>
      <c r="V350" t="s">
        <v>7360</v>
      </c>
      <c r="W350" t="s">
        <v>7360</v>
      </c>
      <c r="X350" t="s">
        <v>7360</v>
      </c>
      <c r="Y350" t="s">
        <v>7360</v>
      </c>
      <c r="Z350" t="s">
        <v>7360</v>
      </c>
      <c r="AA350" t="s">
        <v>7362</v>
      </c>
      <c r="AB350" t="s">
        <v>7360</v>
      </c>
      <c r="AC350" t="s">
        <v>7360</v>
      </c>
      <c r="AD350" t="s">
        <v>7360</v>
      </c>
      <c r="AE350" t="s">
        <v>7360</v>
      </c>
      <c r="AF350" t="s">
        <v>1684</v>
      </c>
      <c r="AG350">
        <v>0</v>
      </c>
      <c r="AH350">
        <v>0</v>
      </c>
      <c r="AI350">
        <v>0</v>
      </c>
      <c r="AJ350">
        <v>0</v>
      </c>
      <c r="AK350">
        <v>0</v>
      </c>
      <c r="AL350" t="s">
        <v>7360</v>
      </c>
      <c r="AM350">
        <v>0</v>
      </c>
      <c r="AN350" s="20">
        <v>44973</v>
      </c>
      <c r="AO350" s="20">
        <v>44973</v>
      </c>
      <c r="AP350" s="20">
        <v>44973</v>
      </c>
      <c r="AQ350">
        <v>0</v>
      </c>
      <c r="AR350">
        <v>0</v>
      </c>
      <c r="AS350">
        <v>0</v>
      </c>
      <c r="AT350">
        <v>0</v>
      </c>
      <c r="AU350">
        <v>0</v>
      </c>
      <c r="AV350" t="s">
        <v>7360</v>
      </c>
      <c r="AW350">
        <v>0</v>
      </c>
      <c r="AX350" t="s">
        <v>7360</v>
      </c>
      <c r="AY350" t="s">
        <v>7363</v>
      </c>
      <c r="BA350">
        <v>0</v>
      </c>
      <c r="BB350" s="20">
        <v>44973</v>
      </c>
      <c r="BC350">
        <v>0</v>
      </c>
      <c r="BD350" t="s">
        <v>7360</v>
      </c>
      <c r="BF350" s="20">
        <v>44973</v>
      </c>
      <c r="BG350">
        <v>0</v>
      </c>
      <c r="BH350" t="s">
        <v>7363</v>
      </c>
      <c r="BJ350" t="s">
        <v>7362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 t="s">
        <v>7386</v>
      </c>
      <c r="BT350" t="s">
        <v>7360</v>
      </c>
      <c r="BU350" t="s">
        <v>7360</v>
      </c>
      <c r="BV350" t="s">
        <v>7360</v>
      </c>
      <c r="BX350">
        <v>0</v>
      </c>
      <c r="BY350">
        <v>0</v>
      </c>
      <c r="BZ350" t="s">
        <v>7360</v>
      </c>
      <c r="CA350" t="s">
        <v>7360</v>
      </c>
      <c r="CB350">
        <v>3380666</v>
      </c>
      <c r="CC350" s="21">
        <v>44973.77034722222</v>
      </c>
      <c r="CE350" t="s">
        <v>7366</v>
      </c>
      <c r="CF350">
        <v>0</v>
      </c>
      <c r="CG350">
        <v>702002</v>
      </c>
      <c r="CH350">
        <v>702002</v>
      </c>
      <c r="CI350" s="21">
        <v>44973.773645833331</v>
      </c>
      <c r="CJ350" t="s">
        <v>7367</v>
      </c>
      <c r="CK350" t="s">
        <v>7367</v>
      </c>
      <c r="CL350" t="s">
        <v>7368</v>
      </c>
      <c r="CM350" t="s">
        <v>7368</v>
      </c>
      <c r="CS350" t="s">
        <v>7361</v>
      </c>
      <c r="CT350" t="s">
        <v>7362</v>
      </c>
      <c r="CU350" t="s">
        <v>7362</v>
      </c>
      <c r="CV350" t="s">
        <v>7362</v>
      </c>
      <c r="CW350" t="s">
        <v>7362</v>
      </c>
      <c r="CX350">
        <v>2716925</v>
      </c>
      <c r="DA350">
        <v>0</v>
      </c>
    </row>
    <row r="351" spans="1:110" x14ac:dyDescent="0.3">
      <c r="A351">
        <v>1375</v>
      </c>
      <c r="B351" t="s">
        <v>7399</v>
      </c>
      <c r="C351">
        <v>645</v>
      </c>
      <c r="D351" s="20">
        <v>44999</v>
      </c>
      <c r="E351" t="s">
        <v>7372</v>
      </c>
      <c r="F351" t="s">
        <v>5273</v>
      </c>
      <c r="G351" t="s">
        <v>7357</v>
      </c>
      <c r="H351">
        <v>1</v>
      </c>
      <c r="I351" t="s">
        <v>7358</v>
      </c>
      <c r="J351">
        <v>1</v>
      </c>
      <c r="K351" s="20">
        <v>44999</v>
      </c>
      <c r="L351" s="23">
        <v>23324000</v>
      </c>
      <c r="M351" t="s">
        <v>7359</v>
      </c>
      <c r="N351" t="s">
        <v>7360</v>
      </c>
      <c r="O351">
        <v>0</v>
      </c>
      <c r="P351">
        <v>13144</v>
      </c>
      <c r="Q351">
        <v>454018</v>
      </c>
      <c r="R351">
        <v>0</v>
      </c>
      <c r="S351">
        <v>20230314</v>
      </c>
      <c r="T351">
        <v>0</v>
      </c>
      <c r="U351" t="s">
        <v>7362</v>
      </c>
      <c r="V351" t="s">
        <v>7360</v>
      </c>
      <c r="W351" t="s">
        <v>7360</v>
      </c>
      <c r="X351" t="s">
        <v>7360</v>
      </c>
      <c r="Y351" t="s">
        <v>7360</v>
      </c>
      <c r="Z351" t="s">
        <v>7360</v>
      </c>
      <c r="AA351" t="s">
        <v>7362</v>
      </c>
      <c r="AB351" t="s">
        <v>7360</v>
      </c>
      <c r="AC351" t="s">
        <v>7360</v>
      </c>
      <c r="AD351" t="s">
        <v>7360</v>
      </c>
      <c r="AE351" t="s">
        <v>7360</v>
      </c>
      <c r="AF351" t="s">
        <v>1684</v>
      </c>
      <c r="AG351">
        <v>0</v>
      </c>
      <c r="AH351">
        <v>0</v>
      </c>
      <c r="AI351">
        <v>0</v>
      </c>
      <c r="AJ351">
        <v>0</v>
      </c>
      <c r="AK351">
        <v>0</v>
      </c>
      <c r="AL351" t="s">
        <v>7360</v>
      </c>
      <c r="AM351">
        <v>0</v>
      </c>
      <c r="AN351" s="20">
        <v>44999</v>
      </c>
      <c r="AO351" s="20">
        <v>44999</v>
      </c>
      <c r="AP351" s="20">
        <v>44999</v>
      </c>
      <c r="AQ351">
        <v>0</v>
      </c>
      <c r="AR351">
        <v>0</v>
      </c>
      <c r="AS351">
        <v>0</v>
      </c>
      <c r="AT351">
        <v>0</v>
      </c>
      <c r="AU351">
        <v>0</v>
      </c>
      <c r="AV351" t="s">
        <v>7360</v>
      </c>
      <c r="AW351">
        <v>0</v>
      </c>
      <c r="AX351" t="s">
        <v>7360</v>
      </c>
      <c r="AY351" t="s">
        <v>7362</v>
      </c>
      <c r="BA351">
        <v>0</v>
      </c>
      <c r="BB351" s="20">
        <v>44999</v>
      </c>
      <c r="BC351">
        <v>0</v>
      </c>
      <c r="BD351" t="s">
        <v>7360</v>
      </c>
      <c r="BF351" s="20">
        <v>44999</v>
      </c>
      <c r="BG351">
        <v>0</v>
      </c>
      <c r="BH351" t="s">
        <v>7363</v>
      </c>
      <c r="BJ351" t="s">
        <v>7362</v>
      </c>
      <c r="BK351">
        <v>0</v>
      </c>
      <c r="BL351">
        <v>0</v>
      </c>
      <c r="BM351">
        <v>0</v>
      </c>
      <c r="BN351">
        <v>0</v>
      </c>
      <c r="BO351">
        <v>169</v>
      </c>
      <c r="BP351">
        <v>11</v>
      </c>
      <c r="BQ351">
        <v>1</v>
      </c>
      <c r="BR351" t="s">
        <v>7364</v>
      </c>
      <c r="BS351" t="s">
        <v>7374</v>
      </c>
      <c r="BT351" t="s">
        <v>7360</v>
      </c>
      <c r="BU351" t="s">
        <v>7360</v>
      </c>
      <c r="BV351" t="s">
        <v>7360</v>
      </c>
      <c r="BX351">
        <v>0</v>
      </c>
      <c r="BY351">
        <v>0</v>
      </c>
      <c r="BZ351" t="s">
        <v>7360</v>
      </c>
      <c r="CA351" t="s">
        <v>7360</v>
      </c>
      <c r="CB351">
        <v>3380666</v>
      </c>
      <c r="CC351" s="21">
        <v>44991.706145833334</v>
      </c>
      <c r="CE351" t="s">
        <v>7366</v>
      </c>
      <c r="CF351">
        <v>0</v>
      </c>
      <c r="CG351">
        <v>702002</v>
      </c>
      <c r="CH351">
        <v>702002</v>
      </c>
      <c r="CI351" s="21">
        <v>44991.719965277778</v>
      </c>
      <c r="CJ351" t="s">
        <v>7367</v>
      </c>
      <c r="CK351" t="s">
        <v>7367</v>
      </c>
      <c r="CL351" t="s">
        <v>7368</v>
      </c>
      <c r="CM351" t="s">
        <v>7368</v>
      </c>
      <c r="CS351" t="s">
        <v>7361</v>
      </c>
      <c r="CT351" t="s">
        <v>7362</v>
      </c>
      <c r="CU351" t="s">
        <v>7362</v>
      </c>
      <c r="CV351" t="s">
        <v>7362</v>
      </c>
      <c r="CW351" t="s">
        <v>7362</v>
      </c>
      <c r="CX351">
        <v>23261092</v>
      </c>
      <c r="DA351">
        <v>0</v>
      </c>
    </row>
    <row r="352" spans="1:110" x14ac:dyDescent="0.3">
      <c r="A352">
        <v>1362</v>
      </c>
      <c r="B352" t="s">
        <v>7371</v>
      </c>
      <c r="C352">
        <v>469</v>
      </c>
      <c r="D352" s="20">
        <v>44979</v>
      </c>
      <c r="E352" t="s">
        <v>7372</v>
      </c>
      <c r="F352" t="s">
        <v>5278</v>
      </c>
      <c r="G352" t="s">
        <v>7357</v>
      </c>
      <c r="H352">
        <v>1</v>
      </c>
      <c r="I352" t="s">
        <v>7358</v>
      </c>
      <c r="J352">
        <v>1</v>
      </c>
      <c r="K352" s="20">
        <v>44979</v>
      </c>
      <c r="L352" s="23">
        <v>23683380</v>
      </c>
      <c r="M352" t="s">
        <v>7359</v>
      </c>
      <c r="N352" t="s">
        <v>7360</v>
      </c>
      <c r="O352">
        <v>0</v>
      </c>
      <c r="P352">
        <v>12653</v>
      </c>
      <c r="Q352">
        <v>449016</v>
      </c>
      <c r="R352">
        <v>0</v>
      </c>
      <c r="S352">
        <v>20230222</v>
      </c>
      <c r="T352">
        <v>0</v>
      </c>
      <c r="U352" t="s">
        <v>7362</v>
      </c>
      <c r="V352" t="s">
        <v>7360</v>
      </c>
      <c r="W352" t="s">
        <v>7360</v>
      </c>
      <c r="X352" t="s">
        <v>7360</v>
      </c>
      <c r="Y352" t="s">
        <v>7360</v>
      </c>
      <c r="Z352" t="s">
        <v>7360</v>
      </c>
      <c r="AA352" t="s">
        <v>7362</v>
      </c>
      <c r="AB352" t="s">
        <v>7360</v>
      </c>
      <c r="AC352" t="s">
        <v>7360</v>
      </c>
      <c r="AD352" t="s">
        <v>7360</v>
      </c>
      <c r="AE352" t="s">
        <v>7360</v>
      </c>
      <c r="AF352" t="s">
        <v>1684</v>
      </c>
      <c r="AG352">
        <v>0</v>
      </c>
      <c r="AH352">
        <v>0</v>
      </c>
      <c r="AI352">
        <v>0</v>
      </c>
      <c r="AJ352">
        <v>0</v>
      </c>
      <c r="AK352">
        <v>0</v>
      </c>
      <c r="AL352" t="s">
        <v>7360</v>
      </c>
      <c r="AM352">
        <v>0</v>
      </c>
      <c r="AN352" s="20">
        <v>44979</v>
      </c>
      <c r="AO352" s="20">
        <v>44979</v>
      </c>
      <c r="AP352" s="20">
        <v>44979</v>
      </c>
      <c r="AQ352">
        <v>0</v>
      </c>
      <c r="AR352">
        <v>0</v>
      </c>
      <c r="AS352">
        <v>0</v>
      </c>
      <c r="AT352">
        <v>0</v>
      </c>
      <c r="AU352">
        <v>0</v>
      </c>
      <c r="AV352" t="s">
        <v>7360</v>
      </c>
      <c r="AW352">
        <v>0</v>
      </c>
      <c r="AX352" t="s">
        <v>7360</v>
      </c>
      <c r="AY352" t="s">
        <v>7373</v>
      </c>
      <c r="BA352">
        <v>0</v>
      </c>
      <c r="BB352" s="20">
        <v>44979</v>
      </c>
      <c r="BC352">
        <v>0</v>
      </c>
      <c r="BD352" t="s">
        <v>7360</v>
      </c>
      <c r="BF352" s="20">
        <v>44979</v>
      </c>
      <c r="BG352">
        <v>0</v>
      </c>
      <c r="BH352" t="s">
        <v>7363</v>
      </c>
      <c r="BJ352" t="s">
        <v>7362</v>
      </c>
      <c r="BK352">
        <v>0</v>
      </c>
      <c r="BL352">
        <v>0</v>
      </c>
      <c r="BM352">
        <v>0</v>
      </c>
      <c r="BN352">
        <v>0</v>
      </c>
      <c r="BO352">
        <v>169</v>
      </c>
      <c r="BP352">
        <v>11</v>
      </c>
      <c r="BQ352">
        <v>1</v>
      </c>
      <c r="BR352" t="s">
        <v>7364</v>
      </c>
      <c r="BS352" t="s">
        <v>61</v>
      </c>
      <c r="BT352" t="s">
        <v>7360</v>
      </c>
      <c r="BU352" t="s">
        <v>7360</v>
      </c>
      <c r="BV352" t="s">
        <v>7360</v>
      </c>
      <c r="BX352">
        <v>0</v>
      </c>
      <c r="BY352">
        <v>0</v>
      </c>
      <c r="BZ352" t="s">
        <v>7360</v>
      </c>
      <c r="CA352" t="s">
        <v>7360</v>
      </c>
      <c r="CB352">
        <v>3380666</v>
      </c>
      <c r="CC352" s="21">
        <v>44993.470914351848</v>
      </c>
      <c r="CE352" t="s">
        <v>7366</v>
      </c>
      <c r="CF352">
        <v>0</v>
      </c>
      <c r="CG352">
        <v>702002</v>
      </c>
      <c r="CH352">
        <v>702002</v>
      </c>
      <c r="CI352" s="21">
        <v>44993.472175925926</v>
      </c>
      <c r="CJ352" t="s">
        <v>7367</v>
      </c>
      <c r="CK352" t="s">
        <v>7367</v>
      </c>
      <c r="CL352" t="s">
        <v>7368</v>
      </c>
      <c r="CM352" t="s">
        <v>7368</v>
      </c>
      <c r="CS352" t="s">
        <v>7361</v>
      </c>
      <c r="CT352" t="s">
        <v>7362</v>
      </c>
      <c r="CU352" t="s">
        <v>7362</v>
      </c>
      <c r="CV352" t="s">
        <v>7362</v>
      </c>
      <c r="CW352" t="s">
        <v>7362</v>
      </c>
      <c r="CX352">
        <v>16033650</v>
      </c>
      <c r="DA352">
        <v>0</v>
      </c>
      <c r="DF352" t="s">
        <v>7438</v>
      </c>
    </row>
    <row r="353" spans="1:105" x14ac:dyDescent="0.3">
      <c r="A353">
        <v>1373</v>
      </c>
      <c r="B353" t="s">
        <v>7383</v>
      </c>
      <c r="C353">
        <v>379</v>
      </c>
      <c r="D353" s="20">
        <v>44973</v>
      </c>
      <c r="E353" t="s">
        <v>7356</v>
      </c>
      <c r="F353" t="s">
        <v>5282</v>
      </c>
      <c r="G353" t="s">
        <v>7357</v>
      </c>
      <c r="H353">
        <v>1</v>
      </c>
      <c r="I353" t="s">
        <v>7358</v>
      </c>
      <c r="J353">
        <v>1</v>
      </c>
      <c r="K353" s="20">
        <v>44973</v>
      </c>
      <c r="L353" s="23">
        <v>1265997</v>
      </c>
      <c r="M353" t="s">
        <v>7359</v>
      </c>
      <c r="N353" t="s">
        <v>7360</v>
      </c>
      <c r="O353">
        <v>0</v>
      </c>
      <c r="P353">
        <v>12459</v>
      </c>
      <c r="Q353">
        <v>437023</v>
      </c>
      <c r="R353">
        <v>0</v>
      </c>
      <c r="S353">
        <v>20230216</v>
      </c>
      <c r="T353">
        <v>0</v>
      </c>
      <c r="U353" t="s">
        <v>7361</v>
      </c>
      <c r="V353" t="s">
        <v>7360</v>
      </c>
      <c r="W353" t="s">
        <v>7360</v>
      </c>
      <c r="X353" t="s">
        <v>7360</v>
      </c>
      <c r="Y353" t="s">
        <v>7360</v>
      </c>
      <c r="Z353" t="s">
        <v>7360</v>
      </c>
      <c r="AA353" t="s">
        <v>7362</v>
      </c>
      <c r="AB353" t="s">
        <v>7360</v>
      </c>
      <c r="AC353" t="s">
        <v>7360</v>
      </c>
      <c r="AD353" t="s">
        <v>7360</v>
      </c>
      <c r="AE353" t="s">
        <v>7360</v>
      </c>
      <c r="AF353" t="s">
        <v>1684</v>
      </c>
      <c r="AG353">
        <v>0</v>
      </c>
      <c r="AH353">
        <v>0</v>
      </c>
      <c r="AI353">
        <v>0</v>
      </c>
      <c r="AJ353">
        <v>0</v>
      </c>
      <c r="AK353">
        <v>0</v>
      </c>
      <c r="AL353" t="s">
        <v>7360</v>
      </c>
      <c r="AM353">
        <v>0</v>
      </c>
      <c r="AN353" s="20">
        <v>44973</v>
      </c>
      <c r="AO353" s="20">
        <v>44973</v>
      </c>
      <c r="AP353" s="20">
        <v>44973</v>
      </c>
      <c r="AQ353">
        <v>0</v>
      </c>
      <c r="AR353">
        <v>0</v>
      </c>
      <c r="AS353">
        <v>0</v>
      </c>
      <c r="AT353">
        <v>0</v>
      </c>
      <c r="AU353">
        <v>0</v>
      </c>
      <c r="AV353" t="s">
        <v>7360</v>
      </c>
      <c r="AW353">
        <v>0</v>
      </c>
      <c r="AX353" t="s">
        <v>7360</v>
      </c>
      <c r="AY353" t="s">
        <v>7363</v>
      </c>
      <c r="BA353">
        <v>0</v>
      </c>
      <c r="BB353" s="20">
        <v>44973</v>
      </c>
      <c r="BC353">
        <v>0</v>
      </c>
      <c r="BD353" t="s">
        <v>7360</v>
      </c>
      <c r="BF353" s="20">
        <v>44973</v>
      </c>
      <c r="BG353">
        <v>0</v>
      </c>
      <c r="BH353" t="s">
        <v>7363</v>
      </c>
      <c r="BJ353" t="s">
        <v>7362</v>
      </c>
      <c r="BK353">
        <v>0</v>
      </c>
      <c r="BL353">
        <v>0</v>
      </c>
      <c r="BM353">
        <v>0</v>
      </c>
      <c r="BN353">
        <v>0</v>
      </c>
      <c r="BO353">
        <v>169</v>
      </c>
      <c r="BP353">
        <v>11</v>
      </c>
      <c r="BQ353">
        <v>1</v>
      </c>
      <c r="BR353" t="s">
        <v>7364</v>
      </c>
      <c r="BS353" t="s">
        <v>61</v>
      </c>
      <c r="BT353" t="s">
        <v>7360</v>
      </c>
      <c r="BU353" t="s">
        <v>7360</v>
      </c>
      <c r="BV353" t="s">
        <v>7360</v>
      </c>
      <c r="BX353">
        <v>0</v>
      </c>
      <c r="BY353">
        <v>0</v>
      </c>
      <c r="BZ353" t="s">
        <v>7360</v>
      </c>
      <c r="CA353" t="s">
        <v>7360</v>
      </c>
      <c r="CB353">
        <v>3380666</v>
      </c>
      <c r="CC353" s="21">
        <v>44973.876400462963</v>
      </c>
      <c r="CE353" t="s">
        <v>7366</v>
      </c>
      <c r="CF353">
        <v>0</v>
      </c>
      <c r="CG353">
        <v>702002</v>
      </c>
      <c r="CH353">
        <v>702002</v>
      </c>
      <c r="CI353" s="21">
        <v>44973.879849537036</v>
      </c>
      <c r="CJ353" t="s">
        <v>7367</v>
      </c>
      <c r="CK353" t="s">
        <v>7367</v>
      </c>
      <c r="CL353" t="s">
        <v>7368</v>
      </c>
      <c r="CM353" t="s">
        <v>7368</v>
      </c>
      <c r="CS353" t="s">
        <v>7361</v>
      </c>
      <c r="CT353" t="s">
        <v>7362</v>
      </c>
      <c r="CU353" t="s">
        <v>7362</v>
      </c>
      <c r="CV353" t="s">
        <v>7362</v>
      </c>
      <c r="CW353" t="s">
        <v>7362</v>
      </c>
      <c r="CX353">
        <v>1265997</v>
      </c>
      <c r="DA353">
        <v>0</v>
      </c>
    </row>
    <row r="354" spans="1:105" x14ac:dyDescent="0.3">
      <c r="A354">
        <v>1352</v>
      </c>
      <c r="B354" t="s">
        <v>7416</v>
      </c>
      <c r="C354">
        <v>380</v>
      </c>
      <c r="D354" s="20">
        <v>44973</v>
      </c>
      <c r="E354" t="s">
        <v>7372</v>
      </c>
      <c r="F354" t="s">
        <v>5288</v>
      </c>
      <c r="G354" t="s">
        <v>7357</v>
      </c>
      <c r="H354">
        <v>1</v>
      </c>
      <c r="I354" t="s">
        <v>7358</v>
      </c>
      <c r="J354">
        <v>1</v>
      </c>
      <c r="K354" s="20">
        <v>44973</v>
      </c>
      <c r="L354" s="23">
        <v>7502330</v>
      </c>
      <c r="M354" t="s">
        <v>7359</v>
      </c>
      <c r="N354" t="s">
        <v>7360</v>
      </c>
      <c r="O354">
        <v>0</v>
      </c>
      <c r="P354">
        <v>12454</v>
      </c>
      <c r="Q354">
        <v>437020</v>
      </c>
      <c r="R354">
        <v>0</v>
      </c>
      <c r="S354">
        <v>20230216</v>
      </c>
      <c r="T354">
        <v>0</v>
      </c>
      <c r="U354" t="s">
        <v>7362</v>
      </c>
      <c r="V354" t="s">
        <v>7360</v>
      </c>
      <c r="W354" t="s">
        <v>7360</v>
      </c>
      <c r="X354" t="s">
        <v>7360</v>
      </c>
      <c r="Y354" t="s">
        <v>7360</v>
      </c>
      <c r="Z354" t="s">
        <v>7360</v>
      </c>
      <c r="AA354" t="s">
        <v>7362</v>
      </c>
      <c r="AB354" t="s">
        <v>7360</v>
      </c>
      <c r="AC354" t="s">
        <v>7360</v>
      </c>
      <c r="AD354" t="s">
        <v>7360</v>
      </c>
      <c r="AE354" t="s">
        <v>7360</v>
      </c>
      <c r="AF354" t="s">
        <v>1684</v>
      </c>
      <c r="AG354">
        <v>0</v>
      </c>
      <c r="AH354">
        <v>0</v>
      </c>
      <c r="AI354">
        <v>0</v>
      </c>
      <c r="AJ354">
        <v>0</v>
      </c>
      <c r="AK354">
        <v>0</v>
      </c>
      <c r="AL354" t="s">
        <v>7360</v>
      </c>
      <c r="AM354">
        <v>0</v>
      </c>
      <c r="AN354" s="20">
        <v>44973</v>
      </c>
      <c r="AO354" s="20">
        <v>44973</v>
      </c>
      <c r="AP354" s="20">
        <v>44973</v>
      </c>
      <c r="AQ354">
        <v>0</v>
      </c>
      <c r="AR354">
        <v>0</v>
      </c>
      <c r="AS354">
        <v>0</v>
      </c>
      <c r="AT354">
        <v>0</v>
      </c>
      <c r="AU354">
        <v>0</v>
      </c>
      <c r="AV354" t="s">
        <v>7360</v>
      </c>
      <c r="AW354">
        <v>0</v>
      </c>
      <c r="AX354" t="s">
        <v>7360</v>
      </c>
      <c r="AY354" t="s">
        <v>7373</v>
      </c>
      <c r="BA354">
        <v>0</v>
      </c>
      <c r="BB354" s="20">
        <v>44973</v>
      </c>
      <c r="BC354">
        <v>0</v>
      </c>
      <c r="BD354" t="s">
        <v>7360</v>
      </c>
      <c r="BF354" s="20">
        <v>44973</v>
      </c>
      <c r="BG354">
        <v>0</v>
      </c>
      <c r="BH354" t="s">
        <v>7363</v>
      </c>
      <c r="BJ354" t="s">
        <v>7362</v>
      </c>
      <c r="BK354">
        <v>0</v>
      </c>
      <c r="BL354">
        <v>0</v>
      </c>
      <c r="BM354">
        <v>0</v>
      </c>
      <c r="BN354">
        <v>0</v>
      </c>
      <c r="BO354">
        <v>169</v>
      </c>
      <c r="BP354">
        <v>11</v>
      </c>
      <c r="BQ354">
        <v>1</v>
      </c>
      <c r="BR354" t="s">
        <v>7364</v>
      </c>
      <c r="BS354" t="s">
        <v>61</v>
      </c>
      <c r="BT354" t="s">
        <v>7360</v>
      </c>
      <c r="BU354" t="s">
        <v>7360</v>
      </c>
      <c r="BV354" t="s">
        <v>7360</v>
      </c>
      <c r="BX354">
        <v>0</v>
      </c>
      <c r="BY354">
        <v>0</v>
      </c>
      <c r="BZ354" t="s">
        <v>7360</v>
      </c>
      <c r="CA354" t="s">
        <v>7360</v>
      </c>
      <c r="CB354">
        <v>3380666</v>
      </c>
      <c r="CC354" s="21">
        <v>44973.883553240739</v>
      </c>
      <c r="CE354" t="s">
        <v>7366</v>
      </c>
      <c r="CF354">
        <v>0</v>
      </c>
      <c r="CG354">
        <v>702002</v>
      </c>
      <c r="CH354">
        <v>702002</v>
      </c>
      <c r="CI354" s="21">
        <v>44973.885821759257</v>
      </c>
      <c r="CJ354" t="s">
        <v>7367</v>
      </c>
      <c r="CK354" t="s">
        <v>7367</v>
      </c>
      <c r="CL354" t="s">
        <v>7368</v>
      </c>
      <c r="CM354" t="s">
        <v>7368</v>
      </c>
      <c r="CS354" t="s">
        <v>7361</v>
      </c>
      <c r="CT354" t="s">
        <v>7362</v>
      </c>
      <c r="CU354" t="s">
        <v>7362</v>
      </c>
      <c r="CV354" t="s">
        <v>7362</v>
      </c>
      <c r="CW354" t="s">
        <v>7362</v>
      </c>
      <c r="CX354">
        <v>7502330</v>
      </c>
      <c r="DA354">
        <v>0</v>
      </c>
    </row>
    <row r="355" spans="1:105" x14ac:dyDescent="0.3">
      <c r="A355">
        <v>1372</v>
      </c>
      <c r="B355" t="s">
        <v>7369</v>
      </c>
      <c r="C355">
        <v>381</v>
      </c>
      <c r="D355" s="20">
        <v>44973</v>
      </c>
      <c r="E355" t="s">
        <v>7356</v>
      </c>
      <c r="F355" t="s">
        <v>5293</v>
      </c>
      <c r="G355" t="s">
        <v>7357</v>
      </c>
      <c r="H355">
        <v>1</v>
      </c>
      <c r="I355" t="s">
        <v>7358</v>
      </c>
      <c r="J355">
        <v>1</v>
      </c>
      <c r="K355" s="20">
        <v>44973</v>
      </c>
      <c r="L355" s="23">
        <v>1746920</v>
      </c>
      <c r="M355" t="s">
        <v>7359</v>
      </c>
      <c r="N355" t="s">
        <v>7360</v>
      </c>
      <c r="O355">
        <v>0</v>
      </c>
      <c r="P355">
        <v>12511</v>
      </c>
      <c r="Q355">
        <v>440003</v>
      </c>
      <c r="R355">
        <v>0</v>
      </c>
      <c r="S355">
        <v>20230216</v>
      </c>
      <c r="T355">
        <v>0</v>
      </c>
      <c r="U355" t="s">
        <v>7361</v>
      </c>
      <c r="V355" t="s">
        <v>7360</v>
      </c>
      <c r="W355" t="s">
        <v>7360</v>
      </c>
      <c r="X355" t="s">
        <v>7360</v>
      </c>
      <c r="Y355" t="s">
        <v>7360</v>
      </c>
      <c r="Z355" t="s">
        <v>7360</v>
      </c>
      <c r="AA355" t="s">
        <v>7362</v>
      </c>
      <c r="AB355" t="s">
        <v>7360</v>
      </c>
      <c r="AC355" t="s">
        <v>7360</v>
      </c>
      <c r="AD355" t="s">
        <v>7360</v>
      </c>
      <c r="AE355" t="s">
        <v>7360</v>
      </c>
      <c r="AF355" t="s">
        <v>1684</v>
      </c>
      <c r="AG355">
        <v>0</v>
      </c>
      <c r="AH355">
        <v>0</v>
      </c>
      <c r="AI355">
        <v>0</v>
      </c>
      <c r="AJ355">
        <v>0</v>
      </c>
      <c r="AK355">
        <v>0</v>
      </c>
      <c r="AL355" t="s">
        <v>7360</v>
      </c>
      <c r="AM355">
        <v>0</v>
      </c>
      <c r="AN355" s="20">
        <v>44973</v>
      </c>
      <c r="AO355" s="20">
        <v>44973</v>
      </c>
      <c r="AP355" s="20">
        <v>44973</v>
      </c>
      <c r="AQ355">
        <v>0</v>
      </c>
      <c r="AR355">
        <v>0</v>
      </c>
      <c r="AS355">
        <v>0</v>
      </c>
      <c r="AT355">
        <v>0</v>
      </c>
      <c r="AU355">
        <v>0</v>
      </c>
      <c r="AV355" t="s">
        <v>7360</v>
      </c>
      <c r="AW355">
        <v>0</v>
      </c>
      <c r="AX355" t="s">
        <v>7360</v>
      </c>
      <c r="AY355" t="s">
        <v>7363</v>
      </c>
      <c r="BA355">
        <v>0</v>
      </c>
      <c r="BB355" s="20">
        <v>44973</v>
      </c>
      <c r="BC355">
        <v>0</v>
      </c>
      <c r="BD355" t="s">
        <v>7360</v>
      </c>
      <c r="BF355" s="20">
        <v>44973</v>
      </c>
      <c r="BG355">
        <v>0</v>
      </c>
      <c r="BH355" t="s">
        <v>7363</v>
      </c>
      <c r="BJ355" t="s">
        <v>7362</v>
      </c>
      <c r="BK355">
        <v>0</v>
      </c>
      <c r="BL355">
        <v>0</v>
      </c>
      <c r="BM355">
        <v>0</v>
      </c>
      <c r="BN355">
        <v>0</v>
      </c>
      <c r="BO355">
        <v>169</v>
      </c>
      <c r="BP355">
        <v>11</v>
      </c>
      <c r="BQ355">
        <v>1</v>
      </c>
      <c r="BR355" t="s">
        <v>7364</v>
      </c>
      <c r="BS355" t="s">
        <v>7365</v>
      </c>
      <c r="BT355" t="s">
        <v>7360</v>
      </c>
      <c r="BU355" t="s">
        <v>7360</v>
      </c>
      <c r="BV355" t="s">
        <v>7360</v>
      </c>
      <c r="BX355">
        <v>0</v>
      </c>
      <c r="BY355">
        <v>0</v>
      </c>
      <c r="BZ355" t="s">
        <v>7360</v>
      </c>
      <c r="CA355" t="s">
        <v>7360</v>
      </c>
      <c r="CB355">
        <v>3380666</v>
      </c>
      <c r="CC355" s="21">
        <v>44973.888796296298</v>
      </c>
      <c r="CE355" t="s">
        <v>7366</v>
      </c>
      <c r="CF355">
        <v>0</v>
      </c>
      <c r="CG355">
        <v>702002</v>
      </c>
      <c r="CH355">
        <v>702002</v>
      </c>
      <c r="CI355" s="21">
        <v>44979.762118055558</v>
      </c>
      <c r="CJ355" t="s">
        <v>7367</v>
      </c>
      <c r="CK355" t="s">
        <v>7367</v>
      </c>
      <c r="CL355" t="s">
        <v>7368</v>
      </c>
      <c r="CM355" t="s">
        <v>7368</v>
      </c>
      <c r="CS355" t="s">
        <v>7361</v>
      </c>
      <c r="CT355" t="s">
        <v>7362</v>
      </c>
      <c r="CU355" t="s">
        <v>7362</v>
      </c>
      <c r="CV355" t="s">
        <v>7362</v>
      </c>
      <c r="CW355" t="s">
        <v>7362</v>
      </c>
      <c r="CX355">
        <v>1746920</v>
      </c>
      <c r="DA355">
        <v>0</v>
      </c>
    </row>
    <row r="356" spans="1:105" x14ac:dyDescent="0.3">
      <c r="A356">
        <v>1352</v>
      </c>
      <c r="B356" t="s">
        <v>7416</v>
      </c>
      <c r="C356">
        <v>382</v>
      </c>
      <c r="D356" s="20">
        <v>44973</v>
      </c>
      <c r="E356" t="s">
        <v>7356</v>
      </c>
      <c r="F356" t="s">
        <v>5298</v>
      </c>
      <c r="G356" t="s">
        <v>7357</v>
      </c>
      <c r="H356">
        <v>1</v>
      </c>
      <c r="I356" t="s">
        <v>7358</v>
      </c>
      <c r="J356">
        <v>1</v>
      </c>
      <c r="K356" s="20">
        <v>44973</v>
      </c>
      <c r="L356" s="23">
        <v>528360</v>
      </c>
      <c r="M356" t="s">
        <v>7359</v>
      </c>
      <c r="N356" t="s">
        <v>7360</v>
      </c>
      <c r="O356">
        <v>0</v>
      </c>
      <c r="P356">
        <v>12474</v>
      </c>
      <c r="Q356">
        <v>437031</v>
      </c>
      <c r="R356">
        <v>0</v>
      </c>
      <c r="S356">
        <v>20230216</v>
      </c>
      <c r="T356">
        <v>0</v>
      </c>
      <c r="U356" t="s">
        <v>7361</v>
      </c>
      <c r="V356" t="s">
        <v>7360</v>
      </c>
      <c r="W356" t="s">
        <v>7360</v>
      </c>
      <c r="X356" t="s">
        <v>7360</v>
      </c>
      <c r="Y356" t="s">
        <v>7360</v>
      </c>
      <c r="Z356" t="s">
        <v>7360</v>
      </c>
      <c r="AA356" t="s">
        <v>7362</v>
      </c>
      <c r="AB356" t="s">
        <v>7360</v>
      </c>
      <c r="AC356" t="s">
        <v>7360</v>
      </c>
      <c r="AD356" t="s">
        <v>7360</v>
      </c>
      <c r="AE356" t="s">
        <v>7360</v>
      </c>
      <c r="AF356" t="s">
        <v>1684</v>
      </c>
      <c r="AG356">
        <v>0</v>
      </c>
      <c r="AH356">
        <v>0</v>
      </c>
      <c r="AI356">
        <v>0</v>
      </c>
      <c r="AJ356">
        <v>0</v>
      </c>
      <c r="AK356">
        <v>0</v>
      </c>
      <c r="AL356" t="s">
        <v>7360</v>
      </c>
      <c r="AM356">
        <v>0</v>
      </c>
      <c r="AN356" s="20">
        <v>44973</v>
      </c>
      <c r="AO356" s="20">
        <v>44973</v>
      </c>
      <c r="AP356" s="20">
        <v>44973</v>
      </c>
      <c r="AQ356">
        <v>0</v>
      </c>
      <c r="AR356">
        <v>0</v>
      </c>
      <c r="AS356">
        <v>0</v>
      </c>
      <c r="AT356">
        <v>0</v>
      </c>
      <c r="AU356">
        <v>0</v>
      </c>
      <c r="AV356" t="s">
        <v>7360</v>
      </c>
      <c r="AW356">
        <v>0</v>
      </c>
      <c r="AX356" t="s">
        <v>7360</v>
      </c>
      <c r="AY356" t="s">
        <v>7363</v>
      </c>
      <c r="BA356">
        <v>0</v>
      </c>
      <c r="BB356" s="20">
        <v>44973</v>
      </c>
      <c r="BC356">
        <v>0</v>
      </c>
      <c r="BD356" t="s">
        <v>7360</v>
      </c>
      <c r="BF356" s="20">
        <v>44973</v>
      </c>
      <c r="BG356">
        <v>0</v>
      </c>
      <c r="BH356" t="s">
        <v>7363</v>
      </c>
      <c r="BJ356" t="s">
        <v>7362</v>
      </c>
      <c r="BK356">
        <v>0</v>
      </c>
      <c r="BL356">
        <v>0</v>
      </c>
      <c r="BM356">
        <v>0</v>
      </c>
      <c r="BN356">
        <v>0</v>
      </c>
      <c r="BO356">
        <v>169</v>
      </c>
      <c r="BP356">
        <v>11</v>
      </c>
      <c r="BQ356">
        <v>1</v>
      </c>
      <c r="BR356" t="s">
        <v>7364</v>
      </c>
      <c r="BS356" t="s">
        <v>61</v>
      </c>
      <c r="BT356" t="s">
        <v>7360</v>
      </c>
      <c r="BU356" t="s">
        <v>7360</v>
      </c>
      <c r="BV356" t="s">
        <v>7360</v>
      </c>
      <c r="BX356">
        <v>0</v>
      </c>
      <c r="BY356">
        <v>0</v>
      </c>
      <c r="BZ356" t="s">
        <v>7360</v>
      </c>
      <c r="CA356" t="s">
        <v>7360</v>
      </c>
      <c r="CB356">
        <v>3380666</v>
      </c>
      <c r="CC356" s="21">
        <v>44973.893680555557</v>
      </c>
      <c r="CE356" t="s">
        <v>7366</v>
      </c>
      <c r="CF356">
        <v>0</v>
      </c>
      <c r="CG356">
        <v>702002</v>
      </c>
      <c r="CH356">
        <v>702002</v>
      </c>
      <c r="CI356" s="21">
        <v>44973.895266203705</v>
      </c>
      <c r="CJ356" t="s">
        <v>7367</v>
      </c>
      <c r="CK356" t="s">
        <v>7367</v>
      </c>
      <c r="CL356" t="s">
        <v>7368</v>
      </c>
      <c r="CM356" t="s">
        <v>7368</v>
      </c>
      <c r="CS356" t="s">
        <v>7361</v>
      </c>
      <c r="CT356" t="s">
        <v>7362</v>
      </c>
      <c r="CU356" t="s">
        <v>7362</v>
      </c>
      <c r="CV356" t="s">
        <v>7362</v>
      </c>
      <c r="CW356" t="s">
        <v>7362</v>
      </c>
      <c r="CX356">
        <v>528360</v>
      </c>
      <c r="DA356">
        <v>0</v>
      </c>
    </row>
    <row r="357" spans="1:105" x14ac:dyDescent="0.3">
      <c r="A357">
        <v>1373</v>
      </c>
      <c r="B357" t="s">
        <v>7383</v>
      </c>
      <c r="C357">
        <v>383</v>
      </c>
      <c r="D357" s="20">
        <v>44973</v>
      </c>
      <c r="E357" t="s">
        <v>7356</v>
      </c>
      <c r="F357" t="s">
        <v>5246</v>
      </c>
      <c r="G357" t="s">
        <v>7357</v>
      </c>
      <c r="H357">
        <v>1</v>
      </c>
      <c r="I357" t="s">
        <v>7358</v>
      </c>
      <c r="J357">
        <v>1</v>
      </c>
      <c r="K357" s="20">
        <v>44973</v>
      </c>
      <c r="L357" s="23">
        <v>94608</v>
      </c>
      <c r="M357" t="s">
        <v>7359</v>
      </c>
      <c r="N357" t="s">
        <v>7360</v>
      </c>
      <c r="O357">
        <v>0</v>
      </c>
      <c r="P357">
        <v>12449</v>
      </c>
      <c r="Q357">
        <v>437015</v>
      </c>
      <c r="R357">
        <v>0</v>
      </c>
      <c r="S357">
        <v>20230216</v>
      </c>
      <c r="T357">
        <v>0</v>
      </c>
      <c r="U357" t="s">
        <v>7361</v>
      </c>
      <c r="V357" t="s">
        <v>7360</v>
      </c>
      <c r="W357" t="s">
        <v>7360</v>
      </c>
      <c r="X357" t="s">
        <v>7360</v>
      </c>
      <c r="Y357" t="s">
        <v>7360</v>
      </c>
      <c r="Z357" t="s">
        <v>7360</v>
      </c>
      <c r="AA357" t="s">
        <v>7362</v>
      </c>
      <c r="AB357" t="s">
        <v>7360</v>
      </c>
      <c r="AC357" t="s">
        <v>7360</v>
      </c>
      <c r="AD357" t="s">
        <v>7360</v>
      </c>
      <c r="AE357" t="s">
        <v>7360</v>
      </c>
      <c r="AF357" t="s">
        <v>1684</v>
      </c>
      <c r="AG357">
        <v>0</v>
      </c>
      <c r="AH357">
        <v>0</v>
      </c>
      <c r="AI357">
        <v>0</v>
      </c>
      <c r="AJ357">
        <v>0</v>
      </c>
      <c r="AK357">
        <v>0</v>
      </c>
      <c r="AL357" t="s">
        <v>7360</v>
      </c>
      <c r="AM357">
        <v>0</v>
      </c>
      <c r="AN357" s="20">
        <v>44973</v>
      </c>
      <c r="AO357" s="20">
        <v>44973</v>
      </c>
      <c r="AP357" s="20">
        <v>44973</v>
      </c>
      <c r="AQ357">
        <v>0</v>
      </c>
      <c r="AR357">
        <v>0</v>
      </c>
      <c r="AS357">
        <v>0</v>
      </c>
      <c r="AT357">
        <v>0</v>
      </c>
      <c r="AU357">
        <v>0</v>
      </c>
      <c r="AV357" t="s">
        <v>7360</v>
      </c>
      <c r="AW357">
        <v>0</v>
      </c>
      <c r="AX357" t="s">
        <v>7360</v>
      </c>
      <c r="AY357" t="s">
        <v>7363</v>
      </c>
      <c r="BA357">
        <v>0</v>
      </c>
      <c r="BB357" s="20">
        <v>44973</v>
      </c>
      <c r="BC357">
        <v>0</v>
      </c>
      <c r="BD357" t="s">
        <v>7360</v>
      </c>
      <c r="BF357" s="20">
        <v>44973</v>
      </c>
      <c r="BG357">
        <v>0</v>
      </c>
      <c r="BH357" t="s">
        <v>7363</v>
      </c>
      <c r="BJ357" t="s">
        <v>7362</v>
      </c>
      <c r="BK357">
        <v>0</v>
      </c>
      <c r="BL357">
        <v>0</v>
      </c>
      <c r="BM357">
        <v>0</v>
      </c>
      <c r="BN357">
        <v>0</v>
      </c>
      <c r="BO357">
        <v>169</v>
      </c>
      <c r="BP357">
        <v>11</v>
      </c>
      <c r="BQ357">
        <v>1</v>
      </c>
      <c r="BR357" t="s">
        <v>7364</v>
      </c>
      <c r="BS357" t="s">
        <v>61</v>
      </c>
      <c r="BT357" t="s">
        <v>7360</v>
      </c>
      <c r="BU357" t="s">
        <v>7360</v>
      </c>
      <c r="BV357" t="s">
        <v>7360</v>
      </c>
      <c r="BX357">
        <v>0</v>
      </c>
      <c r="BY357">
        <v>0</v>
      </c>
      <c r="BZ357" t="s">
        <v>7360</v>
      </c>
      <c r="CA357" t="s">
        <v>7360</v>
      </c>
      <c r="CB357">
        <v>3380666</v>
      </c>
      <c r="CC357" s="21">
        <v>44973.898530092592</v>
      </c>
      <c r="CE357" t="s">
        <v>7366</v>
      </c>
      <c r="CF357">
        <v>0</v>
      </c>
      <c r="CG357">
        <v>702002</v>
      </c>
      <c r="CH357">
        <v>702002</v>
      </c>
      <c r="CI357" s="21">
        <v>44973.90042824074</v>
      </c>
      <c r="CJ357" t="s">
        <v>7367</v>
      </c>
      <c r="CK357" t="s">
        <v>7367</v>
      </c>
      <c r="CL357" t="s">
        <v>7368</v>
      </c>
      <c r="CM357" t="s">
        <v>7368</v>
      </c>
      <c r="CS357" t="s">
        <v>7361</v>
      </c>
      <c r="CT357" t="s">
        <v>7362</v>
      </c>
      <c r="CU357" t="s">
        <v>7362</v>
      </c>
      <c r="CV357" t="s">
        <v>7362</v>
      </c>
      <c r="CW357" t="s">
        <v>7362</v>
      </c>
      <c r="CX357">
        <v>94608</v>
      </c>
      <c r="DA357">
        <v>0</v>
      </c>
    </row>
    <row r="358" spans="1:105" x14ac:dyDescent="0.3">
      <c r="A358">
        <v>1373</v>
      </c>
      <c r="B358" t="s">
        <v>7383</v>
      </c>
      <c r="C358">
        <v>384</v>
      </c>
      <c r="D358" s="20">
        <v>44973</v>
      </c>
      <c r="E358" t="s">
        <v>7356</v>
      </c>
      <c r="F358" t="s">
        <v>5246</v>
      </c>
      <c r="G358" t="s">
        <v>7357</v>
      </c>
      <c r="H358">
        <v>1</v>
      </c>
      <c r="I358" t="s">
        <v>7358</v>
      </c>
      <c r="J358">
        <v>1</v>
      </c>
      <c r="K358" s="20">
        <v>44973</v>
      </c>
      <c r="L358" s="23">
        <v>758808</v>
      </c>
      <c r="M358" t="s">
        <v>7359</v>
      </c>
      <c r="N358" t="s">
        <v>7360</v>
      </c>
      <c r="O358">
        <v>0</v>
      </c>
      <c r="P358">
        <v>12443</v>
      </c>
      <c r="Q358">
        <v>437010</v>
      </c>
      <c r="R358">
        <v>0</v>
      </c>
      <c r="S358">
        <v>20230216</v>
      </c>
      <c r="T358">
        <v>0</v>
      </c>
      <c r="U358" t="s">
        <v>7361</v>
      </c>
      <c r="V358" t="s">
        <v>7360</v>
      </c>
      <c r="W358" t="s">
        <v>7360</v>
      </c>
      <c r="X358" t="s">
        <v>7360</v>
      </c>
      <c r="Y358" t="s">
        <v>7360</v>
      </c>
      <c r="Z358" t="s">
        <v>7360</v>
      </c>
      <c r="AA358" t="s">
        <v>7362</v>
      </c>
      <c r="AB358" t="s">
        <v>7360</v>
      </c>
      <c r="AC358" t="s">
        <v>7360</v>
      </c>
      <c r="AD358" t="s">
        <v>7360</v>
      </c>
      <c r="AE358" t="s">
        <v>7360</v>
      </c>
      <c r="AF358" t="s">
        <v>1684</v>
      </c>
      <c r="AG358">
        <v>0</v>
      </c>
      <c r="AH358">
        <v>0</v>
      </c>
      <c r="AI358">
        <v>0</v>
      </c>
      <c r="AJ358">
        <v>0</v>
      </c>
      <c r="AK358">
        <v>0</v>
      </c>
      <c r="AL358" t="s">
        <v>7360</v>
      </c>
      <c r="AM358">
        <v>0</v>
      </c>
      <c r="AN358" s="20">
        <v>44973</v>
      </c>
      <c r="AO358" s="20">
        <v>44973</v>
      </c>
      <c r="AP358" s="20">
        <v>44973</v>
      </c>
      <c r="AQ358">
        <v>0</v>
      </c>
      <c r="AR358">
        <v>0</v>
      </c>
      <c r="AS358">
        <v>0</v>
      </c>
      <c r="AT358">
        <v>0</v>
      </c>
      <c r="AU358">
        <v>0</v>
      </c>
      <c r="AV358" t="s">
        <v>7360</v>
      </c>
      <c r="AW358">
        <v>0</v>
      </c>
      <c r="AX358" t="s">
        <v>7360</v>
      </c>
      <c r="AY358" t="s">
        <v>7363</v>
      </c>
      <c r="BA358">
        <v>0</v>
      </c>
      <c r="BB358" s="20">
        <v>44973</v>
      </c>
      <c r="BC358">
        <v>0</v>
      </c>
      <c r="BD358" t="s">
        <v>7360</v>
      </c>
      <c r="BF358" s="20">
        <v>44973</v>
      </c>
      <c r="BG358">
        <v>0</v>
      </c>
      <c r="BH358" t="s">
        <v>7363</v>
      </c>
      <c r="BJ358" t="s">
        <v>7362</v>
      </c>
      <c r="BK358">
        <v>0</v>
      </c>
      <c r="BL358">
        <v>0</v>
      </c>
      <c r="BM358">
        <v>0</v>
      </c>
      <c r="BN358">
        <v>0</v>
      </c>
      <c r="BO358">
        <v>169</v>
      </c>
      <c r="BP358">
        <v>11</v>
      </c>
      <c r="BQ358">
        <v>1</v>
      </c>
      <c r="BR358" t="s">
        <v>7364</v>
      </c>
      <c r="BS358" t="s">
        <v>61</v>
      </c>
      <c r="BT358" t="s">
        <v>7360</v>
      </c>
      <c r="BU358" t="s">
        <v>7360</v>
      </c>
      <c r="BV358" t="s">
        <v>7360</v>
      </c>
      <c r="BX358">
        <v>0</v>
      </c>
      <c r="BY358">
        <v>0</v>
      </c>
      <c r="BZ358" t="s">
        <v>7360</v>
      </c>
      <c r="CA358" t="s">
        <v>7360</v>
      </c>
      <c r="CB358">
        <v>3380666</v>
      </c>
      <c r="CC358" s="21">
        <v>44973.90761574074</v>
      </c>
      <c r="CE358" t="s">
        <v>7366</v>
      </c>
      <c r="CF358">
        <v>0</v>
      </c>
      <c r="CG358">
        <v>702002</v>
      </c>
      <c r="CH358">
        <v>702002</v>
      </c>
      <c r="CI358" s="21">
        <v>44973.909432870372</v>
      </c>
      <c r="CJ358" t="s">
        <v>7367</v>
      </c>
      <c r="CK358" t="s">
        <v>7367</v>
      </c>
      <c r="CL358" t="s">
        <v>7368</v>
      </c>
      <c r="CM358" t="s">
        <v>7368</v>
      </c>
      <c r="CS358" t="s">
        <v>7361</v>
      </c>
      <c r="CT358" t="s">
        <v>7362</v>
      </c>
      <c r="CU358" t="s">
        <v>7362</v>
      </c>
      <c r="CV358" t="s">
        <v>7362</v>
      </c>
      <c r="CW358" t="s">
        <v>7362</v>
      </c>
      <c r="CX358">
        <v>758808</v>
      </c>
      <c r="DA358">
        <v>0</v>
      </c>
    </row>
    <row r="359" spans="1:105" x14ac:dyDescent="0.3">
      <c r="A359">
        <v>1372</v>
      </c>
      <c r="B359" t="s">
        <v>7369</v>
      </c>
      <c r="C359">
        <v>385</v>
      </c>
      <c r="D359" s="20">
        <v>45026</v>
      </c>
      <c r="E359" t="s">
        <v>7397</v>
      </c>
      <c r="F359" t="s">
        <v>5251</v>
      </c>
      <c r="G359" t="s">
        <v>7357</v>
      </c>
      <c r="H359">
        <v>1</v>
      </c>
      <c r="I359" t="s">
        <v>7358</v>
      </c>
      <c r="J359">
        <v>1</v>
      </c>
      <c r="K359" s="20">
        <v>44973</v>
      </c>
      <c r="L359" s="23">
        <v>389368</v>
      </c>
      <c r="M359" t="s">
        <v>7359</v>
      </c>
      <c r="N359" t="s">
        <v>7360</v>
      </c>
      <c r="O359">
        <v>0</v>
      </c>
      <c r="P359">
        <v>12463</v>
      </c>
      <c r="Q359">
        <v>0</v>
      </c>
      <c r="R359">
        <v>0</v>
      </c>
      <c r="S359">
        <v>20230410</v>
      </c>
      <c r="T359">
        <v>0</v>
      </c>
      <c r="U359" t="s">
        <v>7362</v>
      </c>
      <c r="V359" t="s">
        <v>7360</v>
      </c>
      <c r="W359" t="s">
        <v>7360</v>
      </c>
      <c r="X359" t="s">
        <v>7360</v>
      </c>
      <c r="Y359" t="s">
        <v>7360</v>
      </c>
      <c r="Z359" t="s">
        <v>7360</v>
      </c>
      <c r="AA359" t="s">
        <v>1684</v>
      </c>
      <c r="AB359" t="s">
        <v>7360</v>
      </c>
      <c r="AC359" t="s">
        <v>7360</v>
      </c>
      <c r="AD359" t="s">
        <v>7360</v>
      </c>
      <c r="AE359" t="s">
        <v>7360</v>
      </c>
      <c r="AF359" t="s">
        <v>1684</v>
      </c>
      <c r="AG359">
        <v>0</v>
      </c>
      <c r="AH359">
        <v>0</v>
      </c>
      <c r="AI359">
        <v>0</v>
      </c>
      <c r="AJ359">
        <v>0</v>
      </c>
      <c r="AK359">
        <v>0</v>
      </c>
      <c r="AL359" t="s">
        <v>7360</v>
      </c>
      <c r="AM359">
        <v>0</v>
      </c>
      <c r="AN359" s="20">
        <v>44973</v>
      </c>
      <c r="AO359" s="20">
        <v>44973</v>
      </c>
      <c r="AP359" s="20">
        <v>44973</v>
      </c>
      <c r="AQ359">
        <v>0</v>
      </c>
      <c r="AR359">
        <v>0</v>
      </c>
      <c r="AS359">
        <v>0</v>
      </c>
      <c r="AT359">
        <v>0</v>
      </c>
      <c r="AU359">
        <v>0</v>
      </c>
      <c r="AV359" t="s">
        <v>7360</v>
      </c>
      <c r="AW359">
        <v>0</v>
      </c>
      <c r="AX359" t="s">
        <v>7360</v>
      </c>
      <c r="AY359" t="s">
        <v>7362</v>
      </c>
      <c r="BA359">
        <v>0</v>
      </c>
      <c r="BB359" s="20">
        <v>44973</v>
      </c>
      <c r="BC359">
        <v>0</v>
      </c>
      <c r="BD359" t="s">
        <v>7360</v>
      </c>
      <c r="BF359" s="20">
        <v>44973</v>
      </c>
      <c r="BG359">
        <v>0</v>
      </c>
      <c r="BH359" t="s">
        <v>7363</v>
      </c>
      <c r="BJ359" t="s">
        <v>7362</v>
      </c>
      <c r="BK359">
        <v>0</v>
      </c>
      <c r="BL359">
        <v>0</v>
      </c>
      <c r="BM359">
        <v>0</v>
      </c>
      <c r="BN359">
        <v>0</v>
      </c>
      <c r="BO359">
        <v>169</v>
      </c>
      <c r="BP359">
        <v>11</v>
      </c>
      <c r="BQ359">
        <v>1</v>
      </c>
      <c r="BR359" t="s">
        <v>7364</v>
      </c>
      <c r="BS359" t="s">
        <v>61</v>
      </c>
      <c r="BT359" t="s">
        <v>7360</v>
      </c>
      <c r="BU359" t="s">
        <v>7360</v>
      </c>
      <c r="BV359" t="s">
        <v>7360</v>
      </c>
      <c r="BX359">
        <v>0</v>
      </c>
      <c r="BY359">
        <v>0</v>
      </c>
      <c r="BZ359" t="s">
        <v>7360</v>
      </c>
      <c r="CA359" t="s">
        <v>7360</v>
      </c>
      <c r="CB359">
        <v>3380666</v>
      </c>
      <c r="CC359" s="21">
        <v>44973.914027777777</v>
      </c>
      <c r="CE359" t="s">
        <v>7366</v>
      </c>
      <c r="CF359">
        <v>0</v>
      </c>
      <c r="CG359">
        <v>702002</v>
      </c>
      <c r="CH359">
        <v>702002</v>
      </c>
      <c r="CI359" s="21">
        <v>44973.916122685187</v>
      </c>
      <c r="CJ359" t="s">
        <v>7367</v>
      </c>
      <c r="CK359" t="s">
        <v>7367</v>
      </c>
      <c r="CL359" t="s">
        <v>7368</v>
      </c>
      <c r="CM359" t="s">
        <v>7368</v>
      </c>
      <c r="CS359" t="s">
        <v>7361</v>
      </c>
      <c r="CT359" t="s">
        <v>7362</v>
      </c>
      <c r="CU359" t="s">
        <v>7362</v>
      </c>
      <c r="CV359" t="s">
        <v>7362</v>
      </c>
      <c r="CW359" t="s">
        <v>7361</v>
      </c>
      <c r="CX359">
        <v>389368</v>
      </c>
      <c r="DA359">
        <v>0</v>
      </c>
    </row>
    <row r="360" spans="1:105" x14ac:dyDescent="0.3">
      <c r="A360">
        <v>1372</v>
      </c>
      <c r="B360" t="s">
        <v>7369</v>
      </c>
      <c r="C360">
        <v>386</v>
      </c>
      <c r="D360" s="20">
        <v>44973</v>
      </c>
      <c r="E360" t="s">
        <v>7372</v>
      </c>
      <c r="F360" t="s">
        <v>5257</v>
      </c>
      <c r="G360" t="s">
        <v>7357</v>
      </c>
      <c r="H360">
        <v>1</v>
      </c>
      <c r="I360" t="s">
        <v>7358</v>
      </c>
      <c r="J360">
        <v>1</v>
      </c>
      <c r="K360" s="20">
        <v>44973</v>
      </c>
      <c r="L360" s="23">
        <v>1041464</v>
      </c>
      <c r="M360" t="s">
        <v>7359</v>
      </c>
      <c r="N360" t="s">
        <v>7360</v>
      </c>
      <c r="O360">
        <v>0</v>
      </c>
      <c r="P360">
        <v>12470</v>
      </c>
      <c r="Q360">
        <v>437028</v>
      </c>
      <c r="R360">
        <v>0</v>
      </c>
      <c r="S360">
        <v>20230216</v>
      </c>
      <c r="T360">
        <v>0</v>
      </c>
      <c r="U360" t="s">
        <v>7362</v>
      </c>
      <c r="V360" t="s">
        <v>7360</v>
      </c>
      <c r="W360" t="s">
        <v>7360</v>
      </c>
      <c r="X360" t="s">
        <v>7360</v>
      </c>
      <c r="Y360" t="s">
        <v>7360</v>
      </c>
      <c r="Z360" t="s">
        <v>7360</v>
      </c>
      <c r="AA360" t="s">
        <v>7362</v>
      </c>
      <c r="AB360" t="s">
        <v>7360</v>
      </c>
      <c r="AC360" t="s">
        <v>7360</v>
      </c>
      <c r="AD360" t="s">
        <v>7360</v>
      </c>
      <c r="AE360" t="s">
        <v>7360</v>
      </c>
      <c r="AF360" t="s">
        <v>1684</v>
      </c>
      <c r="AG360">
        <v>0</v>
      </c>
      <c r="AH360">
        <v>0</v>
      </c>
      <c r="AI360">
        <v>0</v>
      </c>
      <c r="AJ360">
        <v>0</v>
      </c>
      <c r="AK360">
        <v>0</v>
      </c>
      <c r="AL360" t="s">
        <v>7360</v>
      </c>
      <c r="AM360">
        <v>0</v>
      </c>
      <c r="AN360" s="20">
        <v>44973</v>
      </c>
      <c r="AO360" s="20">
        <v>44973</v>
      </c>
      <c r="AP360" s="20">
        <v>44973</v>
      </c>
      <c r="AQ360">
        <v>0</v>
      </c>
      <c r="AR360">
        <v>0</v>
      </c>
      <c r="AS360">
        <v>0</v>
      </c>
      <c r="AT360">
        <v>0</v>
      </c>
      <c r="AU360">
        <v>0</v>
      </c>
      <c r="AV360" t="s">
        <v>7360</v>
      </c>
      <c r="AW360">
        <v>0</v>
      </c>
      <c r="AX360" t="s">
        <v>7360</v>
      </c>
      <c r="AY360" t="s">
        <v>7362</v>
      </c>
      <c r="BA360">
        <v>0</v>
      </c>
      <c r="BB360" s="20">
        <v>44973</v>
      </c>
      <c r="BC360">
        <v>0</v>
      </c>
      <c r="BD360" t="s">
        <v>7360</v>
      </c>
      <c r="BF360" s="20">
        <v>44973</v>
      </c>
      <c r="BG360">
        <v>0</v>
      </c>
      <c r="BH360" t="s">
        <v>7363</v>
      </c>
      <c r="BJ360" t="s">
        <v>7362</v>
      </c>
      <c r="BK360">
        <v>0</v>
      </c>
      <c r="BL360">
        <v>0</v>
      </c>
      <c r="BM360">
        <v>0</v>
      </c>
      <c r="BN360">
        <v>0</v>
      </c>
      <c r="BO360">
        <v>169</v>
      </c>
      <c r="BP360">
        <v>11</v>
      </c>
      <c r="BQ360">
        <v>1</v>
      </c>
      <c r="BR360" t="s">
        <v>7364</v>
      </c>
      <c r="BS360" t="s">
        <v>61</v>
      </c>
      <c r="BT360" t="s">
        <v>7360</v>
      </c>
      <c r="BU360" t="s">
        <v>7360</v>
      </c>
      <c r="BV360" t="s">
        <v>7360</v>
      </c>
      <c r="BX360">
        <v>0</v>
      </c>
      <c r="BY360">
        <v>0</v>
      </c>
      <c r="BZ360" t="s">
        <v>7360</v>
      </c>
      <c r="CA360" t="s">
        <v>7360</v>
      </c>
      <c r="CB360">
        <v>3380666</v>
      </c>
      <c r="CC360" s="21">
        <v>44973.919178240743</v>
      </c>
      <c r="CE360" t="s">
        <v>7366</v>
      </c>
      <c r="CF360">
        <v>0</v>
      </c>
      <c r="CG360">
        <v>702002</v>
      </c>
      <c r="CH360">
        <v>702002</v>
      </c>
      <c r="CI360" s="21">
        <v>44973.921157407407</v>
      </c>
      <c r="CJ360" t="s">
        <v>7367</v>
      </c>
      <c r="CK360" t="s">
        <v>7367</v>
      </c>
      <c r="CL360" t="s">
        <v>7368</v>
      </c>
      <c r="CM360" t="s">
        <v>7368</v>
      </c>
      <c r="CS360" t="s">
        <v>7361</v>
      </c>
      <c r="CT360" t="s">
        <v>7362</v>
      </c>
      <c r="CU360" t="s">
        <v>7362</v>
      </c>
      <c r="CV360" t="s">
        <v>7362</v>
      </c>
      <c r="CW360" t="s">
        <v>7362</v>
      </c>
      <c r="CX360">
        <v>1041464</v>
      </c>
      <c r="DA360">
        <v>0</v>
      </c>
    </row>
    <row r="361" spans="1:105" x14ac:dyDescent="0.3">
      <c r="A361">
        <v>1372</v>
      </c>
      <c r="B361" t="s">
        <v>7369</v>
      </c>
      <c r="C361">
        <v>387</v>
      </c>
      <c r="D361" s="20">
        <v>44973</v>
      </c>
      <c r="E361" t="s">
        <v>7356</v>
      </c>
      <c r="F361" t="s">
        <v>5262</v>
      </c>
      <c r="G361" t="s">
        <v>7357</v>
      </c>
      <c r="H361">
        <v>1</v>
      </c>
      <c r="I361" t="s">
        <v>7358</v>
      </c>
      <c r="J361">
        <v>1</v>
      </c>
      <c r="K361" s="20">
        <v>44973</v>
      </c>
      <c r="L361" s="23">
        <v>5238029</v>
      </c>
      <c r="M361" t="s">
        <v>7359</v>
      </c>
      <c r="N361" t="s">
        <v>7360</v>
      </c>
      <c r="O361">
        <v>0</v>
      </c>
      <c r="P361">
        <v>12460</v>
      </c>
      <c r="Q361">
        <v>437025</v>
      </c>
      <c r="R361">
        <v>0</v>
      </c>
      <c r="S361">
        <v>20230216</v>
      </c>
      <c r="T361">
        <v>0</v>
      </c>
      <c r="U361" t="s">
        <v>7361</v>
      </c>
      <c r="V361" t="s">
        <v>7360</v>
      </c>
      <c r="W361" t="s">
        <v>7360</v>
      </c>
      <c r="X361" t="s">
        <v>7360</v>
      </c>
      <c r="Y361" t="s">
        <v>7360</v>
      </c>
      <c r="Z361" t="s">
        <v>7360</v>
      </c>
      <c r="AA361" t="s">
        <v>7362</v>
      </c>
      <c r="AB361" t="s">
        <v>7360</v>
      </c>
      <c r="AC361" t="s">
        <v>7360</v>
      </c>
      <c r="AD361" t="s">
        <v>7360</v>
      </c>
      <c r="AE361" t="s">
        <v>7360</v>
      </c>
      <c r="AF361" t="s">
        <v>1684</v>
      </c>
      <c r="AG361">
        <v>0</v>
      </c>
      <c r="AH361">
        <v>0</v>
      </c>
      <c r="AI361">
        <v>0</v>
      </c>
      <c r="AJ361">
        <v>0</v>
      </c>
      <c r="AK361">
        <v>0</v>
      </c>
      <c r="AL361" t="s">
        <v>7360</v>
      </c>
      <c r="AM361">
        <v>0</v>
      </c>
      <c r="AN361" s="20">
        <v>44973</v>
      </c>
      <c r="AO361" s="20">
        <v>44973</v>
      </c>
      <c r="AP361" s="20">
        <v>44973</v>
      </c>
      <c r="AQ361">
        <v>0</v>
      </c>
      <c r="AR361">
        <v>0</v>
      </c>
      <c r="AS361">
        <v>0</v>
      </c>
      <c r="AT361">
        <v>0</v>
      </c>
      <c r="AU361">
        <v>0</v>
      </c>
      <c r="AV361" t="s">
        <v>7360</v>
      </c>
      <c r="AW361">
        <v>0</v>
      </c>
      <c r="AX361" t="s">
        <v>7360</v>
      </c>
      <c r="AY361" t="s">
        <v>7363</v>
      </c>
      <c r="BA361">
        <v>0</v>
      </c>
      <c r="BB361" s="20">
        <v>44973</v>
      </c>
      <c r="BC361">
        <v>0</v>
      </c>
      <c r="BD361" t="s">
        <v>7360</v>
      </c>
      <c r="BF361" s="20">
        <v>44973</v>
      </c>
      <c r="BG361">
        <v>0</v>
      </c>
      <c r="BH361" t="s">
        <v>7363</v>
      </c>
      <c r="BJ361" t="s">
        <v>7362</v>
      </c>
      <c r="BK361">
        <v>0</v>
      </c>
      <c r="BL361">
        <v>0</v>
      </c>
      <c r="BM361">
        <v>0</v>
      </c>
      <c r="BN361">
        <v>0</v>
      </c>
      <c r="BO361">
        <v>169</v>
      </c>
      <c r="BP361">
        <v>11</v>
      </c>
      <c r="BQ361">
        <v>1</v>
      </c>
      <c r="BR361" t="s">
        <v>7364</v>
      </c>
      <c r="BS361" t="s">
        <v>61</v>
      </c>
      <c r="BT361" t="s">
        <v>7360</v>
      </c>
      <c r="BU361" t="s">
        <v>7360</v>
      </c>
      <c r="BV361" t="s">
        <v>7360</v>
      </c>
      <c r="BX361">
        <v>0</v>
      </c>
      <c r="BY361">
        <v>0</v>
      </c>
      <c r="BZ361" t="s">
        <v>7360</v>
      </c>
      <c r="CA361" t="s">
        <v>7360</v>
      </c>
      <c r="CB361">
        <v>3380666</v>
      </c>
      <c r="CC361" s="21">
        <v>44973.924259259256</v>
      </c>
      <c r="CE361" t="s">
        <v>7366</v>
      </c>
      <c r="CF361">
        <v>0</v>
      </c>
      <c r="CG361">
        <v>702002</v>
      </c>
      <c r="CH361">
        <v>702002</v>
      </c>
      <c r="CI361" s="21">
        <v>44973.925844907404</v>
      </c>
      <c r="CJ361" t="s">
        <v>7367</v>
      </c>
      <c r="CK361" t="s">
        <v>7367</v>
      </c>
      <c r="CL361" t="s">
        <v>7368</v>
      </c>
      <c r="CM361" t="s">
        <v>7368</v>
      </c>
      <c r="CS361" t="s">
        <v>7361</v>
      </c>
      <c r="CT361" t="s">
        <v>7362</v>
      </c>
      <c r="CU361" t="s">
        <v>7362</v>
      </c>
      <c r="CV361" t="s">
        <v>7362</v>
      </c>
      <c r="CW361" t="s">
        <v>7362</v>
      </c>
      <c r="CX361">
        <v>5238029</v>
      </c>
      <c r="DA361">
        <v>0</v>
      </c>
    </row>
    <row r="362" spans="1:105" x14ac:dyDescent="0.3">
      <c r="A362">
        <v>1374</v>
      </c>
      <c r="B362" t="s">
        <v>7413</v>
      </c>
      <c r="C362">
        <v>388</v>
      </c>
      <c r="D362" s="20">
        <v>44974</v>
      </c>
      <c r="E362" t="s">
        <v>7356</v>
      </c>
      <c r="F362" t="s">
        <v>5267</v>
      </c>
      <c r="G362" t="s">
        <v>7357</v>
      </c>
      <c r="H362">
        <v>1</v>
      </c>
      <c r="I362" t="s">
        <v>7358</v>
      </c>
      <c r="J362">
        <v>1</v>
      </c>
      <c r="K362" s="20">
        <v>44974</v>
      </c>
      <c r="L362" s="23">
        <v>2000000</v>
      </c>
      <c r="M362" t="s">
        <v>7359</v>
      </c>
      <c r="N362" t="s">
        <v>7360</v>
      </c>
      <c r="O362">
        <v>0</v>
      </c>
      <c r="P362">
        <v>12403</v>
      </c>
      <c r="Q362">
        <v>435007</v>
      </c>
      <c r="R362">
        <v>0</v>
      </c>
      <c r="S362">
        <v>20230217</v>
      </c>
      <c r="T362">
        <v>0</v>
      </c>
      <c r="U362" t="s">
        <v>7361</v>
      </c>
      <c r="V362" t="s">
        <v>7360</v>
      </c>
      <c r="W362" t="s">
        <v>7360</v>
      </c>
      <c r="X362" t="s">
        <v>7360</v>
      </c>
      <c r="Y362" t="s">
        <v>7360</v>
      </c>
      <c r="Z362" t="s">
        <v>7360</v>
      </c>
      <c r="AA362" t="s">
        <v>7362</v>
      </c>
      <c r="AB362" t="s">
        <v>7360</v>
      </c>
      <c r="AC362" t="s">
        <v>7360</v>
      </c>
      <c r="AD362" t="s">
        <v>7360</v>
      </c>
      <c r="AE362" t="s">
        <v>7360</v>
      </c>
      <c r="AF362" t="s">
        <v>1684</v>
      </c>
      <c r="AG362">
        <v>0</v>
      </c>
      <c r="AH362">
        <v>0</v>
      </c>
      <c r="AI362">
        <v>0</v>
      </c>
      <c r="AJ362">
        <v>0</v>
      </c>
      <c r="AK362">
        <v>0</v>
      </c>
      <c r="AL362" t="s">
        <v>7360</v>
      </c>
      <c r="AM362">
        <v>0</v>
      </c>
      <c r="AN362" s="20">
        <v>44974</v>
      </c>
      <c r="AO362" s="20">
        <v>44974</v>
      </c>
      <c r="AP362" s="20">
        <v>44974</v>
      </c>
      <c r="AQ362">
        <v>0</v>
      </c>
      <c r="AR362">
        <v>0</v>
      </c>
      <c r="AS362">
        <v>0</v>
      </c>
      <c r="AT362">
        <v>0</v>
      </c>
      <c r="AU362">
        <v>0</v>
      </c>
      <c r="AV362" t="s">
        <v>7360</v>
      </c>
      <c r="AW362">
        <v>0</v>
      </c>
      <c r="AX362" t="s">
        <v>7360</v>
      </c>
      <c r="AY362" t="s">
        <v>7363</v>
      </c>
      <c r="BA362">
        <v>0</v>
      </c>
      <c r="BB362" s="20">
        <v>44974</v>
      </c>
      <c r="BC362">
        <v>0</v>
      </c>
      <c r="BD362" t="s">
        <v>7360</v>
      </c>
      <c r="BF362" s="20">
        <v>44974</v>
      </c>
      <c r="BG362">
        <v>0</v>
      </c>
      <c r="BH362" t="s">
        <v>7363</v>
      </c>
      <c r="BJ362" t="s">
        <v>7362</v>
      </c>
      <c r="BK362">
        <v>169</v>
      </c>
      <c r="BL362">
        <v>11</v>
      </c>
      <c r="BM362">
        <v>1</v>
      </c>
      <c r="BN362" t="s">
        <v>7364</v>
      </c>
      <c r="BO362">
        <v>169</v>
      </c>
      <c r="BP362">
        <v>11</v>
      </c>
      <c r="BQ362">
        <v>1</v>
      </c>
      <c r="BR362" t="s">
        <v>7364</v>
      </c>
      <c r="BS362" t="s">
        <v>7439</v>
      </c>
      <c r="BT362" t="s">
        <v>7360</v>
      </c>
      <c r="BU362" t="s">
        <v>7360</v>
      </c>
      <c r="BV362" t="s">
        <v>7360</v>
      </c>
      <c r="BX362" t="s">
        <v>7391</v>
      </c>
      <c r="BY362">
        <v>74</v>
      </c>
      <c r="BZ362" t="s">
        <v>7360</v>
      </c>
      <c r="CA362" t="s">
        <v>7360</v>
      </c>
      <c r="CB362">
        <v>5558210</v>
      </c>
      <c r="CC362" s="21">
        <v>44974.353136574071</v>
      </c>
      <c r="CE362" t="s">
        <v>7392</v>
      </c>
      <c r="CF362">
        <v>1100101</v>
      </c>
      <c r="CG362">
        <v>53575</v>
      </c>
      <c r="CH362">
        <v>53575</v>
      </c>
      <c r="CI362" s="21">
        <v>44974.356990740744</v>
      </c>
      <c r="CJ362" t="s">
        <v>7393</v>
      </c>
      <c r="CK362" t="s">
        <v>7393</v>
      </c>
      <c r="CL362" t="s">
        <v>7394</v>
      </c>
      <c r="CM362" t="s">
        <v>7394</v>
      </c>
      <c r="CS362" t="s">
        <v>7361</v>
      </c>
      <c r="CT362" t="s">
        <v>7362</v>
      </c>
      <c r="CU362" t="s">
        <v>7362</v>
      </c>
      <c r="CV362" t="s">
        <v>7362</v>
      </c>
      <c r="CW362" t="s">
        <v>7362</v>
      </c>
      <c r="CX362">
        <v>2000000</v>
      </c>
      <c r="DA362">
        <v>0</v>
      </c>
    </row>
    <row r="363" spans="1:105" x14ac:dyDescent="0.3">
      <c r="A363">
        <v>1354</v>
      </c>
      <c r="B363" t="s">
        <v>7396</v>
      </c>
      <c r="C363">
        <v>389</v>
      </c>
      <c r="D363" s="20">
        <v>44974</v>
      </c>
      <c r="E363" t="s">
        <v>7356</v>
      </c>
      <c r="F363" t="s">
        <v>5273</v>
      </c>
      <c r="G363" t="s">
        <v>7370</v>
      </c>
      <c r="H363">
        <v>1</v>
      </c>
      <c r="I363" t="s">
        <v>7358</v>
      </c>
      <c r="J363">
        <v>1</v>
      </c>
      <c r="K363" s="20">
        <v>44974</v>
      </c>
      <c r="L363" s="23">
        <v>4000000</v>
      </c>
      <c r="M363" t="s">
        <v>7359</v>
      </c>
      <c r="N363" t="s">
        <v>7360</v>
      </c>
      <c r="O363">
        <v>0</v>
      </c>
      <c r="P363">
        <v>12138</v>
      </c>
      <c r="Q363">
        <v>420007</v>
      </c>
      <c r="R363">
        <v>0</v>
      </c>
      <c r="S363">
        <v>20230217</v>
      </c>
      <c r="T363">
        <v>0</v>
      </c>
      <c r="U363" t="s">
        <v>7361</v>
      </c>
      <c r="V363" t="s">
        <v>7360</v>
      </c>
      <c r="W363" t="s">
        <v>7360</v>
      </c>
      <c r="X363" t="s">
        <v>7360</v>
      </c>
      <c r="Y363" t="s">
        <v>7360</v>
      </c>
      <c r="Z363" t="s">
        <v>7360</v>
      </c>
      <c r="AA363" t="s">
        <v>7362</v>
      </c>
      <c r="AB363" t="s">
        <v>7360</v>
      </c>
      <c r="AC363" t="s">
        <v>7360</v>
      </c>
      <c r="AD363" t="s">
        <v>7360</v>
      </c>
      <c r="AE363" t="s">
        <v>7360</v>
      </c>
      <c r="AF363" t="s">
        <v>1684</v>
      </c>
      <c r="AG363">
        <v>0</v>
      </c>
      <c r="AH363">
        <v>0</v>
      </c>
      <c r="AI363">
        <v>0</v>
      </c>
      <c r="AJ363">
        <v>0</v>
      </c>
      <c r="AK363">
        <v>0</v>
      </c>
      <c r="AL363" t="s">
        <v>7360</v>
      </c>
      <c r="AM363">
        <v>0</v>
      </c>
      <c r="AN363" s="20">
        <v>44974</v>
      </c>
      <c r="AO363" s="20">
        <v>44974</v>
      </c>
      <c r="AP363" s="20">
        <v>44974</v>
      </c>
      <c r="AQ363">
        <v>0</v>
      </c>
      <c r="AR363">
        <v>0</v>
      </c>
      <c r="AS363">
        <v>0</v>
      </c>
      <c r="AT363">
        <v>0</v>
      </c>
      <c r="AU363">
        <v>0</v>
      </c>
      <c r="AV363" t="s">
        <v>7360</v>
      </c>
      <c r="AW363">
        <v>0</v>
      </c>
      <c r="AX363" t="s">
        <v>7360</v>
      </c>
      <c r="AY363" t="s">
        <v>7363</v>
      </c>
      <c r="BA363">
        <v>0</v>
      </c>
      <c r="BB363" s="20">
        <v>44974</v>
      </c>
      <c r="BC363">
        <v>0</v>
      </c>
      <c r="BD363" t="s">
        <v>7360</v>
      </c>
      <c r="BF363" s="20">
        <v>44974</v>
      </c>
      <c r="BG363">
        <v>0</v>
      </c>
      <c r="BH363" t="s">
        <v>7363</v>
      </c>
      <c r="BJ363" t="s">
        <v>7362</v>
      </c>
      <c r="BK363">
        <v>169</v>
      </c>
      <c r="BL363">
        <v>11</v>
      </c>
      <c r="BM363">
        <v>1</v>
      </c>
      <c r="BN363" t="s">
        <v>7364</v>
      </c>
      <c r="BO363">
        <v>169</v>
      </c>
      <c r="BP363">
        <v>11</v>
      </c>
      <c r="BQ363">
        <v>1</v>
      </c>
      <c r="BR363" t="s">
        <v>7364</v>
      </c>
      <c r="BS363" t="s">
        <v>132</v>
      </c>
      <c r="BT363" t="s">
        <v>7360</v>
      </c>
      <c r="BU363" t="s">
        <v>7360</v>
      </c>
      <c r="BV363" t="s">
        <v>7360</v>
      </c>
      <c r="BX363" t="s">
        <v>7391</v>
      </c>
      <c r="BY363">
        <v>74</v>
      </c>
      <c r="BZ363" t="s">
        <v>7360</v>
      </c>
      <c r="CA363" t="s">
        <v>7360</v>
      </c>
      <c r="CB363">
        <v>3380666</v>
      </c>
      <c r="CC363" s="21">
        <v>44974.378217592595</v>
      </c>
      <c r="CE363" t="s">
        <v>7392</v>
      </c>
      <c r="CF363">
        <v>1100101</v>
      </c>
      <c r="CG363">
        <v>51669</v>
      </c>
      <c r="CH363">
        <v>51669</v>
      </c>
      <c r="CI363" s="21">
        <v>44974.37945601852</v>
      </c>
      <c r="CJ363" t="s">
        <v>7406</v>
      </c>
      <c r="CK363" t="s">
        <v>7406</v>
      </c>
      <c r="CL363" t="s">
        <v>7407</v>
      </c>
      <c r="CM363" t="s">
        <v>7407</v>
      </c>
      <c r="CS363" t="s">
        <v>7361</v>
      </c>
      <c r="CT363" t="s">
        <v>7362</v>
      </c>
      <c r="CU363" t="s">
        <v>7362</v>
      </c>
      <c r="CV363" t="s">
        <v>7362</v>
      </c>
      <c r="CW363" t="s">
        <v>7362</v>
      </c>
      <c r="CX363">
        <v>4000000</v>
      </c>
      <c r="DA363">
        <v>0</v>
      </c>
    </row>
    <row r="364" spans="1:105" x14ac:dyDescent="0.3">
      <c r="A364">
        <v>1354</v>
      </c>
      <c r="B364" t="s">
        <v>7396</v>
      </c>
      <c r="C364">
        <v>390</v>
      </c>
      <c r="D364" s="20">
        <v>44974</v>
      </c>
      <c r="E364" t="s">
        <v>7356</v>
      </c>
      <c r="F364" t="s">
        <v>5278</v>
      </c>
      <c r="G364" t="s">
        <v>7370</v>
      </c>
      <c r="H364">
        <v>1</v>
      </c>
      <c r="I364" t="s">
        <v>7358</v>
      </c>
      <c r="J364">
        <v>1</v>
      </c>
      <c r="K364" s="20">
        <v>44974</v>
      </c>
      <c r="L364" s="23">
        <v>1350000</v>
      </c>
      <c r="M364" t="s">
        <v>7359</v>
      </c>
      <c r="N364" t="s">
        <v>7360</v>
      </c>
      <c r="O364">
        <v>0</v>
      </c>
      <c r="P364">
        <v>12253</v>
      </c>
      <c r="Q364">
        <v>428001</v>
      </c>
      <c r="R364">
        <v>0</v>
      </c>
      <c r="S364">
        <v>20230217</v>
      </c>
      <c r="T364">
        <v>0</v>
      </c>
      <c r="U364" t="s">
        <v>7361</v>
      </c>
      <c r="V364" t="s">
        <v>7360</v>
      </c>
      <c r="W364" t="s">
        <v>7360</v>
      </c>
      <c r="X364" t="s">
        <v>7360</v>
      </c>
      <c r="Y364" t="s">
        <v>7360</v>
      </c>
      <c r="Z364" t="s">
        <v>7360</v>
      </c>
      <c r="AA364" t="s">
        <v>7362</v>
      </c>
      <c r="AB364" t="s">
        <v>7360</v>
      </c>
      <c r="AC364" t="s">
        <v>7360</v>
      </c>
      <c r="AD364" t="s">
        <v>7360</v>
      </c>
      <c r="AE364" t="s">
        <v>7360</v>
      </c>
      <c r="AF364" t="s">
        <v>1684</v>
      </c>
      <c r="AG364">
        <v>0</v>
      </c>
      <c r="AH364">
        <v>0</v>
      </c>
      <c r="AI364">
        <v>0</v>
      </c>
      <c r="AJ364">
        <v>0</v>
      </c>
      <c r="AK364">
        <v>0</v>
      </c>
      <c r="AL364" t="s">
        <v>7360</v>
      </c>
      <c r="AM364">
        <v>0</v>
      </c>
      <c r="AN364" s="20">
        <v>44974</v>
      </c>
      <c r="AO364" s="20">
        <v>44974</v>
      </c>
      <c r="AP364" s="20">
        <v>44974</v>
      </c>
      <c r="AQ364">
        <v>0</v>
      </c>
      <c r="AR364">
        <v>0</v>
      </c>
      <c r="AS364">
        <v>0</v>
      </c>
      <c r="AT364">
        <v>0</v>
      </c>
      <c r="AU364">
        <v>0</v>
      </c>
      <c r="AV364" t="s">
        <v>7360</v>
      </c>
      <c r="AW364">
        <v>0</v>
      </c>
      <c r="AX364" t="s">
        <v>7360</v>
      </c>
      <c r="AY364" t="s">
        <v>7363</v>
      </c>
      <c r="BA364">
        <v>0</v>
      </c>
      <c r="BB364" s="20">
        <v>44974</v>
      </c>
      <c r="BC364">
        <v>0</v>
      </c>
      <c r="BD364" t="s">
        <v>7360</v>
      </c>
      <c r="BF364" s="20">
        <v>44974</v>
      </c>
      <c r="BG364">
        <v>0</v>
      </c>
      <c r="BH364" t="s">
        <v>7363</v>
      </c>
      <c r="BJ364" t="s">
        <v>7362</v>
      </c>
      <c r="BK364">
        <v>169</v>
      </c>
      <c r="BL364">
        <v>11</v>
      </c>
      <c r="BM364">
        <v>1</v>
      </c>
      <c r="BN364" t="s">
        <v>7364</v>
      </c>
      <c r="BO364">
        <v>169</v>
      </c>
      <c r="BP364">
        <v>11</v>
      </c>
      <c r="BQ364">
        <v>1</v>
      </c>
      <c r="BR364" t="s">
        <v>7364</v>
      </c>
      <c r="BS364" t="s">
        <v>132</v>
      </c>
      <c r="BT364" t="s">
        <v>7360</v>
      </c>
      <c r="BU364" t="s">
        <v>7360</v>
      </c>
      <c r="BV364" t="s">
        <v>7360</v>
      </c>
      <c r="BX364" t="s">
        <v>7391</v>
      </c>
      <c r="BY364">
        <v>74</v>
      </c>
      <c r="BZ364" t="s">
        <v>7360</v>
      </c>
      <c r="CA364" t="s">
        <v>7360</v>
      </c>
      <c r="CB364">
        <v>3380666</v>
      </c>
      <c r="CC364" s="21">
        <v>44974.388935185183</v>
      </c>
      <c r="CE364" t="s">
        <v>7392</v>
      </c>
      <c r="CF364">
        <v>1100101</v>
      </c>
      <c r="CG364">
        <v>51669</v>
      </c>
      <c r="CH364">
        <v>51669</v>
      </c>
      <c r="CI364" s="21">
        <v>44974.390949074077</v>
      </c>
      <c r="CJ364" t="s">
        <v>7406</v>
      </c>
      <c r="CK364" t="s">
        <v>7406</v>
      </c>
      <c r="CL364" t="s">
        <v>7407</v>
      </c>
      <c r="CM364" t="s">
        <v>7407</v>
      </c>
      <c r="CS364" t="s">
        <v>7361</v>
      </c>
      <c r="CT364" t="s">
        <v>7362</v>
      </c>
      <c r="CU364" t="s">
        <v>7362</v>
      </c>
      <c r="CV364" t="s">
        <v>7362</v>
      </c>
      <c r="CW364" t="s">
        <v>7362</v>
      </c>
      <c r="CX364">
        <v>1350000</v>
      </c>
      <c r="DA364">
        <v>0</v>
      </c>
    </row>
    <row r="365" spans="1:105" x14ac:dyDescent="0.3">
      <c r="A365">
        <v>1354</v>
      </c>
      <c r="B365" t="s">
        <v>7396</v>
      </c>
      <c r="C365">
        <v>391</v>
      </c>
      <c r="D365" s="20">
        <v>44974</v>
      </c>
      <c r="E365" t="s">
        <v>7372</v>
      </c>
      <c r="F365" t="s">
        <v>5282</v>
      </c>
      <c r="G365" t="s">
        <v>7370</v>
      </c>
      <c r="H365">
        <v>1</v>
      </c>
      <c r="I365" t="s">
        <v>7358</v>
      </c>
      <c r="J365">
        <v>1</v>
      </c>
      <c r="K365" s="20">
        <v>44974</v>
      </c>
      <c r="L365" s="23">
        <v>6283200</v>
      </c>
      <c r="M365" t="s">
        <v>7359</v>
      </c>
      <c r="N365" t="s">
        <v>7360</v>
      </c>
      <c r="O365">
        <v>0</v>
      </c>
      <c r="P365">
        <v>12410</v>
      </c>
      <c r="Q365">
        <v>435009</v>
      </c>
      <c r="R365">
        <v>0</v>
      </c>
      <c r="S365">
        <v>20230217</v>
      </c>
      <c r="T365">
        <v>0</v>
      </c>
      <c r="U365" t="s">
        <v>7362</v>
      </c>
      <c r="V365" t="s">
        <v>7360</v>
      </c>
      <c r="W365" t="s">
        <v>7360</v>
      </c>
      <c r="X365" t="s">
        <v>7360</v>
      </c>
      <c r="Y365" t="s">
        <v>7360</v>
      </c>
      <c r="Z365" t="s">
        <v>7360</v>
      </c>
      <c r="AA365" t="s">
        <v>7362</v>
      </c>
      <c r="AB365" t="s">
        <v>7360</v>
      </c>
      <c r="AC365" t="s">
        <v>7360</v>
      </c>
      <c r="AD365" t="s">
        <v>7360</v>
      </c>
      <c r="AE365" t="s">
        <v>7360</v>
      </c>
      <c r="AF365" t="s">
        <v>1684</v>
      </c>
      <c r="AG365">
        <v>0</v>
      </c>
      <c r="AH365">
        <v>0</v>
      </c>
      <c r="AI365">
        <v>0</v>
      </c>
      <c r="AJ365">
        <v>0</v>
      </c>
      <c r="AK365">
        <v>0</v>
      </c>
      <c r="AL365" t="s">
        <v>7360</v>
      </c>
      <c r="AM365">
        <v>0</v>
      </c>
      <c r="AN365" s="20">
        <v>44974</v>
      </c>
      <c r="AO365" s="20">
        <v>44974</v>
      </c>
      <c r="AP365" s="20">
        <v>44974</v>
      </c>
      <c r="AQ365">
        <v>0</v>
      </c>
      <c r="AR365">
        <v>0</v>
      </c>
      <c r="AS365">
        <v>0</v>
      </c>
      <c r="AT365">
        <v>0</v>
      </c>
      <c r="AU365">
        <v>0</v>
      </c>
      <c r="AV365" t="s">
        <v>7360</v>
      </c>
      <c r="AW365">
        <v>0</v>
      </c>
      <c r="AX365" t="s">
        <v>7360</v>
      </c>
      <c r="AY365" t="s">
        <v>7362</v>
      </c>
      <c r="BA365">
        <v>0</v>
      </c>
      <c r="BB365" s="20">
        <v>44974</v>
      </c>
      <c r="BC365">
        <v>0</v>
      </c>
      <c r="BD365" t="s">
        <v>7360</v>
      </c>
      <c r="BF365" s="20">
        <v>44974</v>
      </c>
      <c r="BG365">
        <v>0</v>
      </c>
      <c r="BH365" t="s">
        <v>7363</v>
      </c>
      <c r="BJ365" t="s">
        <v>7362</v>
      </c>
      <c r="BK365">
        <v>169</v>
      </c>
      <c r="BL365">
        <v>11</v>
      </c>
      <c r="BM365">
        <v>1</v>
      </c>
      <c r="BN365" t="s">
        <v>7364</v>
      </c>
      <c r="BO365">
        <v>0</v>
      </c>
      <c r="BP365">
        <v>0</v>
      </c>
      <c r="BQ365">
        <v>0</v>
      </c>
      <c r="BR365">
        <v>0</v>
      </c>
      <c r="BS365" t="s">
        <v>7388</v>
      </c>
      <c r="BT365" t="s">
        <v>7360</v>
      </c>
      <c r="BU365" t="s">
        <v>7360</v>
      </c>
      <c r="BV365" t="s">
        <v>7360</v>
      </c>
      <c r="BX365" t="s">
        <v>7391</v>
      </c>
      <c r="BY365">
        <v>74</v>
      </c>
      <c r="BZ365" t="s">
        <v>7360</v>
      </c>
      <c r="CA365" t="s">
        <v>7360</v>
      </c>
      <c r="CB365">
        <v>5558210</v>
      </c>
      <c r="CC365" s="21">
        <v>44974.401331018518</v>
      </c>
      <c r="CE365" t="s">
        <v>7392</v>
      </c>
      <c r="CF365">
        <v>1100101</v>
      </c>
      <c r="CG365">
        <v>53575</v>
      </c>
      <c r="CH365">
        <v>53575</v>
      </c>
      <c r="CI365" s="21">
        <v>44974.402395833335</v>
      </c>
      <c r="CJ365" t="s">
        <v>7393</v>
      </c>
      <c r="CK365" t="s">
        <v>7393</v>
      </c>
      <c r="CL365" t="s">
        <v>7394</v>
      </c>
      <c r="CM365" t="s">
        <v>7394</v>
      </c>
      <c r="CS365" t="s">
        <v>7361</v>
      </c>
      <c r="CT365" t="s">
        <v>7362</v>
      </c>
      <c r="CU365" t="s">
        <v>7362</v>
      </c>
      <c r="CV365" t="s">
        <v>7362</v>
      </c>
      <c r="CW365" t="s">
        <v>7362</v>
      </c>
      <c r="CX365">
        <v>6283200</v>
      </c>
      <c r="DA365">
        <v>0</v>
      </c>
    </row>
    <row r="366" spans="1:105" x14ac:dyDescent="0.3">
      <c r="A366">
        <v>1354</v>
      </c>
      <c r="B366" t="s">
        <v>7396</v>
      </c>
      <c r="C366">
        <v>392</v>
      </c>
      <c r="D366" s="20">
        <v>44974</v>
      </c>
      <c r="E366" t="s">
        <v>7372</v>
      </c>
      <c r="F366" t="s">
        <v>5288</v>
      </c>
      <c r="G366" t="s">
        <v>7370</v>
      </c>
      <c r="H366">
        <v>1</v>
      </c>
      <c r="I366" t="s">
        <v>7358</v>
      </c>
      <c r="J366">
        <v>1</v>
      </c>
      <c r="K366" s="20">
        <v>44974</v>
      </c>
      <c r="L366" s="23">
        <v>2856000</v>
      </c>
      <c r="M366" t="s">
        <v>7359</v>
      </c>
      <c r="N366" t="s">
        <v>7360</v>
      </c>
      <c r="O366">
        <v>0</v>
      </c>
      <c r="P366">
        <v>12333</v>
      </c>
      <c r="Q366">
        <v>433002</v>
      </c>
      <c r="R366">
        <v>0</v>
      </c>
      <c r="S366">
        <v>20230217</v>
      </c>
      <c r="T366">
        <v>0</v>
      </c>
      <c r="U366" t="s">
        <v>7362</v>
      </c>
      <c r="V366" t="s">
        <v>7360</v>
      </c>
      <c r="W366" t="s">
        <v>7360</v>
      </c>
      <c r="X366" t="s">
        <v>7360</v>
      </c>
      <c r="Y366" t="s">
        <v>7360</v>
      </c>
      <c r="Z366" t="s">
        <v>7360</v>
      </c>
      <c r="AA366" t="s">
        <v>7362</v>
      </c>
      <c r="AB366" t="s">
        <v>7360</v>
      </c>
      <c r="AC366" t="s">
        <v>7360</v>
      </c>
      <c r="AD366" t="s">
        <v>7360</v>
      </c>
      <c r="AE366" t="s">
        <v>7360</v>
      </c>
      <c r="AF366" t="s">
        <v>1684</v>
      </c>
      <c r="AG366">
        <v>0</v>
      </c>
      <c r="AH366">
        <v>0</v>
      </c>
      <c r="AI366">
        <v>0</v>
      </c>
      <c r="AJ366">
        <v>0</v>
      </c>
      <c r="AK366">
        <v>0</v>
      </c>
      <c r="AL366" t="s">
        <v>7360</v>
      </c>
      <c r="AM366">
        <v>0</v>
      </c>
      <c r="AN366" s="20">
        <v>44974</v>
      </c>
      <c r="AO366" s="20">
        <v>44974</v>
      </c>
      <c r="AP366" s="20">
        <v>44974</v>
      </c>
      <c r="AQ366">
        <v>0</v>
      </c>
      <c r="AR366">
        <v>0</v>
      </c>
      <c r="AS366">
        <v>0</v>
      </c>
      <c r="AT366">
        <v>0</v>
      </c>
      <c r="AU366">
        <v>0</v>
      </c>
      <c r="AV366" t="s">
        <v>7360</v>
      </c>
      <c r="AW366">
        <v>0</v>
      </c>
      <c r="AX366" t="s">
        <v>7360</v>
      </c>
      <c r="AY366" t="s">
        <v>7362</v>
      </c>
      <c r="BA366">
        <v>0</v>
      </c>
      <c r="BB366" s="20">
        <v>44974</v>
      </c>
      <c r="BC366">
        <v>0</v>
      </c>
      <c r="BD366" t="s">
        <v>7360</v>
      </c>
      <c r="BF366" s="20">
        <v>44974</v>
      </c>
      <c r="BG366">
        <v>0</v>
      </c>
      <c r="BH366" t="s">
        <v>7363</v>
      </c>
      <c r="BJ366" t="s">
        <v>7362</v>
      </c>
      <c r="BK366">
        <v>169</v>
      </c>
      <c r="BL366">
        <v>11</v>
      </c>
      <c r="BM366">
        <v>1</v>
      </c>
      <c r="BN366" t="s">
        <v>7364</v>
      </c>
      <c r="BO366">
        <v>0</v>
      </c>
      <c r="BP366">
        <v>0</v>
      </c>
      <c r="BQ366">
        <v>0</v>
      </c>
      <c r="BR366">
        <v>0</v>
      </c>
      <c r="BS366" t="s">
        <v>7388</v>
      </c>
      <c r="BT366" t="s">
        <v>7360</v>
      </c>
      <c r="BU366" t="s">
        <v>7360</v>
      </c>
      <c r="BV366" t="s">
        <v>7360</v>
      </c>
      <c r="BX366" t="s">
        <v>7391</v>
      </c>
      <c r="BY366">
        <v>74</v>
      </c>
      <c r="BZ366" t="s">
        <v>7360</v>
      </c>
      <c r="CA366" t="s">
        <v>7360</v>
      </c>
      <c r="CB366" t="s">
        <v>7360</v>
      </c>
      <c r="CC366" s="21">
        <v>44974.407916666663</v>
      </c>
      <c r="CE366" t="s">
        <v>7392</v>
      </c>
      <c r="CF366">
        <v>1100101</v>
      </c>
      <c r="CG366">
        <v>53575</v>
      </c>
      <c r="CH366">
        <v>53575</v>
      </c>
      <c r="CI366" s="21">
        <v>44974.409444444442</v>
      </c>
      <c r="CJ366" t="s">
        <v>7393</v>
      </c>
      <c r="CK366" t="s">
        <v>7393</v>
      </c>
      <c r="CL366" t="s">
        <v>7394</v>
      </c>
      <c r="CM366" t="s">
        <v>7394</v>
      </c>
      <c r="CS366" t="s">
        <v>7361</v>
      </c>
      <c r="CT366" t="s">
        <v>7362</v>
      </c>
      <c r="CU366" t="s">
        <v>7362</v>
      </c>
      <c r="CV366" t="s">
        <v>7362</v>
      </c>
      <c r="CW366" t="s">
        <v>7362</v>
      </c>
      <c r="CX366">
        <v>2856000</v>
      </c>
      <c r="DA366">
        <v>0</v>
      </c>
    </row>
    <row r="367" spans="1:105" x14ac:dyDescent="0.3">
      <c r="A367">
        <v>1354</v>
      </c>
      <c r="B367" t="s">
        <v>7396</v>
      </c>
      <c r="C367">
        <v>393</v>
      </c>
      <c r="D367" s="20">
        <v>44974</v>
      </c>
      <c r="E367" t="s">
        <v>7372</v>
      </c>
      <c r="F367" t="s">
        <v>5293</v>
      </c>
      <c r="G367" t="s">
        <v>7370</v>
      </c>
      <c r="H367">
        <v>1</v>
      </c>
      <c r="I367" t="s">
        <v>7358</v>
      </c>
      <c r="J367">
        <v>1</v>
      </c>
      <c r="K367" s="20">
        <v>44974</v>
      </c>
      <c r="L367" s="23">
        <v>1350000</v>
      </c>
      <c r="M367" t="s">
        <v>7359</v>
      </c>
      <c r="N367" t="s">
        <v>7360</v>
      </c>
      <c r="O367">
        <v>0</v>
      </c>
      <c r="P367">
        <v>12256</v>
      </c>
      <c r="Q367">
        <v>431001</v>
      </c>
      <c r="R367">
        <v>0</v>
      </c>
      <c r="S367">
        <v>20230217</v>
      </c>
      <c r="T367">
        <v>0</v>
      </c>
      <c r="U367" t="s">
        <v>7362</v>
      </c>
      <c r="V367" t="s">
        <v>7360</v>
      </c>
      <c r="W367" t="s">
        <v>7360</v>
      </c>
      <c r="X367" t="s">
        <v>7360</v>
      </c>
      <c r="Y367" t="s">
        <v>7360</v>
      </c>
      <c r="Z367" t="s">
        <v>7360</v>
      </c>
      <c r="AA367" t="s">
        <v>7362</v>
      </c>
      <c r="AB367" t="s">
        <v>7360</v>
      </c>
      <c r="AC367" t="s">
        <v>7360</v>
      </c>
      <c r="AD367" t="s">
        <v>7360</v>
      </c>
      <c r="AE367" t="s">
        <v>7360</v>
      </c>
      <c r="AF367" t="s">
        <v>1684</v>
      </c>
      <c r="AG367">
        <v>0</v>
      </c>
      <c r="AH367">
        <v>0</v>
      </c>
      <c r="AI367">
        <v>0</v>
      </c>
      <c r="AJ367">
        <v>0</v>
      </c>
      <c r="AK367">
        <v>0</v>
      </c>
      <c r="AL367" t="s">
        <v>7360</v>
      </c>
      <c r="AM367">
        <v>0</v>
      </c>
      <c r="AN367" s="20">
        <v>44974</v>
      </c>
      <c r="AO367" s="20">
        <v>44974</v>
      </c>
      <c r="AP367" s="20">
        <v>44974</v>
      </c>
      <c r="AQ367">
        <v>0</v>
      </c>
      <c r="AR367">
        <v>0</v>
      </c>
      <c r="AS367">
        <v>0</v>
      </c>
      <c r="AT367">
        <v>0</v>
      </c>
      <c r="AU367">
        <v>0</v>
      </c>
      <c r="AV367" t="s">
        <v>7360</v>
      </c>
      <c r="AW367">
        <v>0</v>
      </c>
      <c r="AX367" t="s">
        <v>7360</v>
      </c>
      <c r="AY367" t="s">
        <v>7362</v>
      </c>
      <c r="BA367">
        <v>0</v>
      </c>
      <c r="BB367" s="20">
        <v>44974</v>
      </c>
      <c r="BC367">
        <v>0</v>
      </c>
      <c r="BD367" t="s">
        <v>7360</v>
      </c>
      <c r="BF367" s="20">
        <v>44974</v>
      </c>
      <c r="BG367">
        <v>0</v>
      </c>
      <c r="BH367" t="s">
        <v>7363</v>
      </c>
      <c r="BJ367" t="s">
        <v>7362</v>
      </c>
      <c r="BK367">
        <v>169</v>
      </c>
      <c r="BL367">
        <v>11</v>
      </c>
      <c r="BM367">
        <v>1</v>
      </c>
      <c r="BN367" t="s">
        <v>7364</v>
      </c>
      <c r="BO367">
        <v>169</v>
      </c>
      <c r="BP367">
        <v>11</v>
      </c>
      <c r="BQ367">
        <v>1</v>
      </c>
      <c r="BR367" t="s">
        <v>7364</v>
      </c>
      <c r="BS367" t="s">
        <v>132</v>
      </c>
      <c r="BT367" t="s">
        <v>7360</v>
      </c>
      <c r="BU367" t="s">
        <v>7360</v>
      </c>
      <c r="BV367" t="s">
        <v>7360</v>
      </c>
      <c r="BX367" t="s">
        <v>7391</v>
      </c>
      <c r="BY367">
        <v>74</v>
      </c>
      <c r="BZ367" t="s">
        <v>7360</v>
      </c>
      <c r="CA367" t="s">
        <v>7360</v>
      </c>
      <c r="CB367">
        <v>3380666</v>
      </c>
      <c r="CC367" s="21">
        <v>44974.423900462964</v>
      </c>
      <c r="CE367" t="s">
        <v>7392</v>
      </c>
      <c r="CF367">
        <v>1100101</v>
      </c>
      <c r="CG367">
        <v>51669</v>
      </c>
      <c r="CH367">
        <v>51669</v>
      </c>
      <c r="CI367" s="21">
        <v>44974.425069444442</v>
      </c>
      <c r="CJ367" t="s">
        <v>7406</v>
      </c>
      <c r="CK367" t="s">
        <v>7406</v>
      </c>
      <c r="CL367" t="s">
        <v>7407</v>
      </c>
      <c r="CM367" t="s">
        <v>7407</v>
      </c>
      <c r="CS367" t="s">
        <v>7361</v>
      </c>
      <c r="CT367" t="s">
        <v>7362</v>
      </c>
      <c r="CU367" t="s">
        <v>7362</v>
      </c>
      <c r="CV367" t="s">
        <v>7362</v>
      </c>
      <c r="CW367" t="s">
        <v>7362</v>
      </c>
      <c r="CX367">
        <v>1350000</v>
      </c>
      <c r="DA367">
        <v>0</v>
      </c>
    </row>
    <row r="368" spans="1:105" x14ac:dyDescent="0.3">
      <c r="A368">
        <v>1354</v>
      </c>
      <c r="B368" t="s">
        <v>7396</v>
      </c>
      <c r="C368">
        <v>394</v>
      </c>
      <c r="D368" s="20">
        <v>44974</v>
      </c>
      <c r="E368" t="s">
        <v>7372</v>
      </c>
      <c r="F368" t="s">
        <v>5298</v>
      </c>
      <c r="G368" t="s">
        <v>7370</v>
      </c>
      <c r="H368">
        <v>1</v>
      </c>
      <c r="I368" t="s">
        <v>7358</v>
      </c>
      <c r="J368">
        <v>1</v>
      </c>
      <c r="K368" s="20">
        <v>44974</v>
      </c>
      <c r="L368" s="23">
        <v>7854000</v>
      </c>
      <c r="M368" t="s">
        <v>7359</v>
      </c>
      <c r="N368" t="s">
        <v>7360</v>
      </c>
      <c r="O368">
        <v>0</v>
      </c>
      <c r="P368">
        <v>12334</v>
      </c>
      <c r="Q368">
        <v>433003</v>
      </c>
      <c r="R368">
        <v>0</v>
      </c>
      <c r="S368">
        <v>20230217</v>
      </c>
      <c r="T368">
        <v>0</v>
      </c>
      <c r="U368" t="s">
        <v>7362</v>
      </c>
      <c r="V368" t="s">
        <v>7360</v>
      </c>
      <c r="W368" t="s">
        <v>7360</v>
      </c>
      <c r="X368" t="s">
        <v>7360</v>
      </c>
      <c r="Y368" t="s">
        <v>7360</v>
      </c>
      <c r="Z368" t="s">
        <v>7360</v>
      </c>
      <c r="AA368" t="s">
        <v>7362</v>
      </c>
      <c r="AB368" t="s">
        <v>7360</v>
      </c>
      <c r="AC368" t="s">
        <v>7360</v>
      </c>
      <c r="AD368" t="s">
        <v>7360</v>
      </c>
      <c r="AE368" t="s">
        <v>7360</v>
      </c>
      <c r="AF368" t="s">
        <v>1684</v>
      </c>
      <c r="AG368">
        <v>0</v>
      </c>
      <c r="AH368">
        <v>0</v>
      </c>
      <c r="AI368">
        <v>0</v>
      </c>
      <c r="AJ368">
        <v>0</v>
      </c>
      <c r="AK368">
        <v>0</v>
      </c>
      <c r="AL368" t="s">
        <v>7360</v>
      </c>
      <c r="AM368">
        <v>0</v>
      </c>
      <c r="AN368" s="20">
        <v>44974</v>
      </c>
      <c r="AO368" s="20">
        <v>44974</v>
      </c>
      <c r="AP368" s="20">
        <v>44974</v>
      </c>
      <c r="AQ368">
        <v>0</v>
      </c>
      <c r="AR368">
        <v>0</v>
      </c>
      <c r="AS368">
        <v>0</v>
      </c>
      <c r="AT368">
        <v>0</v>
      </c>
      <c r="AU368">
        <v>0</v>
      </c>
      <c r="AV368" t="s">
        <v>7360</v>
      </c>
      <c r="AW368">
        <v>0</v>
      </c>
      <c r="AX368" t="s">
        <v>7360</v>
      </c>
      <c r="AY368" t="s">
        <v>7373</v>
      </c>
      <c r="BA368">
        <v>0</v>
      </c>
      <c r="BB368" s="20">
        <v>44974</v>
      </c>
      <c r="BC368">
        <v>0</v>
      </c>
      <c r="BD368" t="s">
        <v>7360</v>
      </c>
      <c r="BF368" s="20">
        <v>44974</v>
      </c>
      <c r="BG368">
        <v>0</v>
      </c>
      <c r="BH368" t="s">
        <v>7363</v>
      </c>
      <c r="BJ368" t="s">
        <v>7362</v>
      </c>
      <c r="BK368">
        <v>169</v>
      </c>
      <c r="BL368">
        <v>11</v>
      </c>
      <c r="BM368">
        <v>1</v>
      </c>
      <c r="BN368" t="s">
        <v>7364</v>
      </c>
      <c r="BO368">
        <v>0</v>
      </c>
      <c r="BP368">
        <v>0</v>
      </c>
      <c r="BQ368">
        <v>0</v>
      </c>
      <c r="BR368">
        <v>0</v>
      </c>
      <c r="BS368" t="s">
        <v>7388</v>
      </c>
      <c r="BT368" t="s">
        <v>7360</v>
      </c>
      <c r="BU368" t="s">
        <v>7360</v>
      </c>
      <c r="BV368" t="s">
        <v>7360</v>
      </c>
      <c r="BX368" t="s">
        <v>7391</v>
      </c>
      <c r="BY368">
        <v>74</v>
      </c>
      <c r="BZ368" t="s">
        <v>7360</v>
      </c>
      <c r="CA368" t="s">
        <v>7360</v>
      </c>
      <c r="CB368" t="s">
        <v>7360</v>
      </c>
      <c r="CC368" s="21">
        <v>44974.435486111113</v>
      </c>
      <c r="CE368" t="s">
        <v>7392</v>
      </c>
      <c r="CF368">
        <v>1100101</v>
      </c>
      <c r="CG368">
        <v>53575</v>
      </c>
      <c r="CH368">
        <v>53575</v>
      </c>
      <c r="CI368" s="21">
        <v>44974.437662037039</v>
      </c>
      <c r="CJ368" t="s">
        <v>7393</v>
      </c>
      <c r="CK368" t="s">
        <v>7393</v>
      </c>
      <c r="CL368" t="s">
        <v>7394</v>
      </c>
      <c r="CM368" t="s">
        <v>7394</v>
      </c>
      <c r="CS368" t="s">
        <v>7361</v>
      </c>
      <c r="CT368" t="s">
        <v>7362</v>
      </c>
      <c r="CU368" t="s">
        <v>7362</v>
      </c>
      <c r="CV368" t="s">
        <v>7362</v>
      </c>
      <c r="CW368" t="s">
        <v>7362</v>
      </c>
      <c r="CX368">
        <v>7854000</v>
      </c>
      <c r="DA368">
        <v>0</v>
      </c>
    </row>
    <row r="369" spans="1:105" x14ac:dyDescent="0.3">
      <c r="A369">
        <v>1356</v>
      </c>
      <c r="B369" t="s">
        <v>7402</v>
      </c>
      <c r="C369">
        <v>395</v>
      </c>
      <c r="D369" s="20">
        <v>44974</v>
      </c>
      <c r="E369" t="s">
        <v>7356</v>
      </c>
      <c r="F369" t="s">
        <v>5246</v>
      </c>
      <c r="G369" t="s">
        <v>7357</v>
      </c>
      <c r="H369">
        <v>1</v>
      </c>
      <c r="I369" t="s">
        <v>7358</v>
      </c>
      <c r="J369">
        <v>1</v>
      </c>
      <c r="K369" s="20">
        <v>44974</v>
      </c>
      <c r="L369" s="23">
        <v>2142000</v>
      </c>
      <c r="M369" t="s">
        <v>7359</v>
      </c>
      <c r="N369" t="s">
        <v>7360</v>
      </c>
      <c r="O369">
        <v>0</v>
      </c>
      <c r="P369">
        <v>12499</v>
      </c>
      <c r="Q369">
        <v>439015</v>
      </c>
      <c r="R369">
        <v>0</v>
      </c>
      <c r="S369">
        <v>20230217</v>
      </c>
      <c r="T369">
        <v>0</v>
      </c>
      <c r="U369" t="s">
        <v>7361</v>
      </c>
      <c r="V369" t="s">
        <v>7360</v>
      </c>
      <c r="W369" t="s">
        <v>7360</v>
      </c>
      <c r="X369" t="s">
        <v>7360</v>
      </c>
      <c r="Y369" t="s">
        <v>7360</v>
      </c>
      <c r="Z369" t="s">
        <v>7360</v>
      </c>
      <c r="AA369" t="s">
        <v>7362</v>
      </c>
      <c r="AB369" t="s">
        <v>7360</v>
      </c>
      <c r="AC369" t="s">
        <v>7360</v>
      </c>
      <c r="AD369" t="s">
        <v>7360</v>
      </c>
      <c r="AE369" t="s">
        <v>7360</v>
      </c>
      <c r="AF369" t="s">
        <v>1684</v>
      </c>
      <c r="AG369">
        <v>0</v>
      </c>
      <c r="AH369">
        <v>0</v>
      </c>
      <c r="AI369">
        <v>0</v>
      </c>
      <c r="AJ369">
        <v>0</v>
      </c>
      <c r="AK369">
        <v>0</v>
      </c>
      <c r="AL369" t="s">
        <v>7360</v>
      </c>
      <c r="AM369">
        <v>0</v>
      </c>
      <c r="AN369" s="20">
        <v>44974</v>
      </c>
      <c r="AO369" s="20">
        <v>44974</v>
      </c>
      <c r="AP369" s="20">
        <v>44974</v>
      </c>
      <c r="AQ369">
        <v>0</v>
      </c>
      <c r="AR369">
        <v>0</v>
      </c>
      <c r="AS369">
        <v>0</v>
      </c>
      <c r="AT369">
        <v>0</v>
      </c>
      <c r="AU369">
        <v>0</v>
      </c>
      <c r="AV369" t="s">
        <v>7360</v>
      </c>
      <c r="AW369">
        <v>0</v>
      </c>
      <c r="AX369" t="s">
        <v>7360</v>
      </c>
      <c r="AY369" t="s">
        <v>7363</v>
      </c>
      <c r="BA369">
        <v>0</v>
      </c>
      <c r="BB369" s="20">
        <v>44974</v>
      </c>
      <c r="BC369">
        <v>0</v>
      </c>
      <c r="BD369" t="s">
        <v>7360</v>
      </c>
      <c r="BF369" s="20">
        <v>44974</v>
      </c>
      <c r="BG369">
        <v>0</v>
      </c>
      <c r="BH369" t="s">
        <v>1729</v>
      </c>
      <c r="BJ369" t="s">
        <v>7362</v>
      </c>
      <c r="BK369">
        <v>169</v>
      </c>
      <c r="BL369">
        <v>11</v>
      </c>
      <c r="BM369">
        <v>1</v>
      </c>
      <c r="BN369" t="s">
        <v>7364</v>
      </c>
      <c r="BO369">
        <v>169</v>
      </c>
      <c r="BP369">
        <v>11</v>
      </c>
      <c r="BQ369">
        <v>1</v>
      </c>
      <c r="BR369" t="s">
        <v>7364</v>
      </c>
      <c r="BS369" t="s">
        <v>7427</v>
      </c>
      <c r="BT369" t="s">
        <v>7360</v>
      </c>
      <c r="BU369" t="s">
        <v>7360</v>
      </c>
      <c r="BV369" t="s">
        <v>7360</v>
      </c>
      <c r="BX369" t="s">
        <v>7391</v>
      </c>
      <c r="BY369">
        <v>74</v>
      </c>
      <c r="BZ369" t="s">
        <v>7360</v>
      </c>
      <c r="CA369" t="s">
        <v>7360</v>
      </c>
      <c r="CB369">
        <v>338066</v>
      </c>
      <c r="CC369" s="21">
        <v>44974.440601851849</v>
      </c>
      <c r="CE369" t="s">
        <v>7392</v>
      </c>
      <c r="CF369">
        <v>1100101</v>
      </c>
      <c r="CG369">
        <v>51669</v>
      </c>
      <c r="CH369">
        <v>51669</v>
      </c>
      <c r="CI369" s="21">
        <v>44974.511319444442</v>
      </c>
      <c r="CJ369" t="s">
        <v>7406</v>
      </c>
      <c r="CK369" t="s">
        <v>7406</v>
      </c>
      <c r="CL369" t="s">
        <v>7407</v>
      </c>
      <c r="CM369" t="s">
        <v>7407</v>
      </c>
      <c r="CS369" t="s">
        <v>7361</v>
      </c>
      <c r="CT369" t="s">
        <v>7362</v>
      </c>
      <c r="CU369" t="s">
        <v>7362</v>
      </c>
      <c r="CV369" t="s">
        <v>7362</v>
      </c>
      <c r="CW369" t="s">
        <v>7362</v>
      </c>
      <c r="CX369">
        <v>2142000</v>
      </c>
      <c r="DA369">
        <v>0</v>
      </c>
    </row>
    <row r="370" spans="1:105" x14ac:dyDescent="0.3">
      <c r="A370">
        <v>1354</v>
      </c>
      <c r="B370" t="s">
        <v>7396</v>
      </c>
      <c r="C370">
        <v>396</v>
      </c>
      <c r="D370" s="20">
        <v>44974</v>
      </c>
      <c r="E370" t="s">
        <v>7372</v>
      </c>
      <c r="F370" t="s">
        <v>5246</v>
      </c>
      <c r="G370" t="s">
        <v>7370</v>
      </c>
      <c r="H370">
        <v>1</v>
      </c>
      <c r="I370" t="s">
        <v>7358</v>
      </c>
      <c r="J370">
        <v>1</v>
      </c>
      <c r="K370" s="20">
        <v>44974</v>
      </c>
      <c r="L370" s="23">
        <v>10995600</v>
      </c>
      <c r="M370" t="s">
        <v>7359</v>
      </c>
      <c r="N370" t="s">
        <v>7360</v>
      </c>
      <c r="O370">
        <v>0</v>
      </c>
      <c r="P370">
        <v>12409</v>
      </c>
      <c r="Q370">
        <v>435008</v>
      </c>
      <c r="R370">
        <v>0</v>
      </c>
      <c r="S370">
        <v>20230217</v>
      </c>
      <c r="T370">
        <v>0</v>
      </c>
      <c r="U370" t="s">
        <v>7362</v>
      </c>
      <c r="V370" t="s">
        <v>7360</v>
      </c>
      <c r="W370" t="s">
        <v>7360</v>
      </c>
      <c r="X370" t="s">
        <v>7360</v>
      </c>
      <c r="Y370" t="s">
        <v>7360</v>
      </c>
      <c r="Z370" t="s">
        <v>7360</v>
      </c>
      <c r="AA370" t="s">
        <v>7362</v>
      </c>
      <c r="AB370" t="s">
        <v>7360</v>
      </c>
      <c r="AC370" t="s">
        <v>7360</v>
      </c>
      <c r="AD370" t="s">
        <v>7360</v>
      </c>
      <c r="AE370" t="s">
        <v>7360</v>
      </c>
      <c r="AF370" t="s">
        <v>1684</v>
      </c>
      <c r="AG370">
        <v>0</v>
      </c>
      <c r="AH370">
        <v>0</v>
      </c>
      <c r="AI370">
        <v>0</v>
      </c>
      <c r="AJ370">
        <v>0</v>
      </c>
      <c r="AK370">
        <v>0</v>
      </c>
      <c r="AL370" t="s">
        <v>7360</v>
      </c>
      <c r="AM370">
        <v>0</v>
      </c>
      <c r="AN370" s="20">
        <v>44974</v>
      </c>
      <c r="AO370" s="20">
        <v>44974</v>
      </c>
      <c r="AP370" s="20">
        <v>44974</v>
      </c>
      <c r="AQ370">
        <v>0</v>
      </c>
      <c r="AR370">
        <v>0</v>
      </c>
      <c r="AS370">
        <v>0</v>
      </c>
      <c r="AT370">
        <v>0</v>
      </c>
      <c r="AU370">
        <v>0</v>
      </c>
      <c r="AV370" t="s">
        <v>7360</v>
      </c>
      <c r="AW370">
        <v>0</v>
      </c>
      <c r="AX370" t="s">
        <v>7360</v>
      </c>
      <c r="AY370" t="s">
        <v>7362</v>
      </c>
      <c r="BA370">
        <v>0</v>
      </c>
      <c r="BB370" s="20">
        <v>44974</v>
      </c>
      <c r="BC370">
        <v>0</v>
      </c>
      <c r="BD370" t="s">
        <v>7360</v>
      </c>
      <c r="BF370" s="20">
        <v>44974</v>
      </c>
      <c r="BG370">
        <v>0</v>
      </c>
      <c r="BH370" t="s">
        <v>7363</v>
      </c>
      <c r="BJ370" t="s">
        <v>7362</v>
      </c>
      <c r="BK370">
        <v>169</v>
      </c>
      <c r="BL370">
        <v>11</v>
      </c>
      <c r="BM370">
        <v>1</v>
      </c>
      <c r="BN370" t="s">
        <v>7364</v>
      </c>
      <c r="BO370">
        <v>0</v>
      </c>
      <c r="BP370">
        <v>0</v>
      </c>
      <c r="BQ370">
        <v>0</v>
      </c>
      <c r="BR370">
        <v>0</v>
      </c>
      <c r="BS370" t="s">
        <v>7388</v>
      </c>
      <c r="BT370" t="s">
        <v>7360</v>
      </c>
      <c r="BU370" t="s">
        <v>7360</v>
      </c>
      <c r="BV370" t="s">
        <v>7360</v>
      </c>
      <c r="BX370" t="s">
        <v>7391</v>
      </c>
      <c r="BY370">
        <v>74</v>
      </c>
      <c r="BZ370" t="s">
        <v>7360</v>
      </c>
      <c r="CA370" t="s">
        <v>7360</v>
      </c>
      <c r="CC370" s="21">
        <v>44974.446261574078</v>
      </c>
      <c r="CE370" t="s">
        <v>7392</v>
      </c>
      <c r="CF370">
        <v>1100101</v>
      </c>
      <c r="CG370">
        <v>53575</v>
      </c>
      <c r="CH370">
        <v>53575</v>
      </c>
      <c r="CI370" s="21">
        <v>44974.447199074071</v>
      </c>
      <c r="CJ370" t="s">
        <v>7393</v>
      </c>
      <c r="CK370" t="s">
        <v>7393</v>
      </c>
      <c r="CL370" t="s">
        <v>7394</v>
      </c>
      <c r="CM370" t="s">
        <v>7394</v>
      </c>
      <c r="CS370" t="s">
        <v>7361</v>
      </c>
      <c r="CT370" t="s">
        <v>7362</v>
      </c>
      <c r="CU370" t="s">
        <v>7362</v>
      </c>
      <c r="CV370" t="s">
        <v>7362</v>
      </c>
      <c r="CW370" t="s">
        <v>7362</v>
      </c>
      <c r="CX370">
        <v>10995600</v>
      </c>
      <c r="DA370">
        <v>0</v>
      </c>
    </row>
    <row r="371" spans="1:105" x14ac:dyDescent="0.3">
      <c r="A371">
        <v>1354</v>
      </c>
      <c r="B371" t="s">
        <v>7396</v>
      </c>
      <c r="C371">
        <v>397</v>
      </c>
      <c r="D371" s="20">
        <v>44974</v>
      </c>
      <c r="E371" t="s">
        <v>7372</v>
      </c>
      <c r="F371" t="s">
        <v>5251</v>
      </c>
      <c r="G371" t="s">
        <v>7370</v>
      </c>
      <c r="H371">
        <v>1</v>
      </c>
      <c r="I371" t="s">
        <v>7358</v>
      </c>
      <c r="J371">
        <v>1</v>
      </c>
      <c r="K371" s="20">
        <v>44974</v>
      </c>
      <c r="L371" s="23">
        <v>2272000</v>
      </c>
      <c r="M371" t="s">
        <v>7359</v>
      </c>
      <c r="N371" t="s">
        <v>7360</v>
      </c>
      <c r="O371">
        <v>0</v>
      </c>
      <c r="P371">
        <v>12319</v>
      </c>
      <c r="Q371">
        <v>432031</v>
      </c>
      <c r="R371">
        <v>0</v>
      </c>
      <c r="S371">
        <v>20230217</v>
      </c>
      <c r="T371">
        <v>0</v>
      </c>
      <c r="U371" t="s">
        <v>7362</v>
      </c>
      <c r="V371" t="s">
        <v>7360</v>
      </c>
      <c r="W371" t="s">
        <v>7360</v>
      </c>
      <c r="X371" t="s">
        <v>7360</v>
      </c>
      <c r="Y371" t="s">
        <v>7360</v>
      </c>
      <c r="Z371" t="s">
        <v>7360</v>
      </c>
      <c r="AA371" t="s">
        <v>7362</v>
      </c>
      <c r="AB371" t="s">
        <v>7360</v>
      </c>
      <c r="AC371" t="s">
        <v>7360</v>
      </c>
      <c r="AD371" t="s">
        <v>7360</v>
      </c>
      <c r="AE371" t="s">
        <v>7360</v>
      </c>
      <c r="AF371" t="s">
        <v>1684</v>
      </c>
      <c r="AG371">
        <v>0</v>
      </c>
      <c r="AH371">
        <v>0</v>
      </c>
      <c r="AI371">
        <v>0</v>
      </c>
      <c r="AJ371">
        <v>0</v>
      </c>
      <c r="AK371">
        <v>0</v>
      </c>
      <c r="AL371" t="s">
        <v>7360</v>
      </c>
      <c r="AM371">
        <v>0</v>
      </c>
      <c r="AN371" s="20">
        <v>44974</v>
      </c>
      <c r="AO371" s="20">
        <v>44974</v>
      </c>
      <c r="AP371" s="20">
        <v>44974</v>
      </c>
      <c r="AQ371">
        <v>0</v>
      </c>
      <c r="AR371">
        <v>0</v>
      </c>
      <c r="AS371">
        <v>0</v>
      </c>
      <c r="AT371">
        <v>0</v>
      </c>
      <c r="AU371">
        <v>0</v>
      </c>
      <c r="AV371" t="s">
        <v>7360</v>
      </c>
      <c r="AW371">
        <v>0</v>
      </c>
      <c r="AX371" t="s">
        <v>7360</v>
      </c>
      <c r="AY371" t="s">
        <v>7362</v>
      </c>
      <c r="BA371">
        <v>0</v>
      </c>
      <c r="BB371" s="20">
        <v>44974</v>
      </c>
      <c r="BC371">
        <v>0</v>
      </c>
      <c r="BD371" t="s">
        <v>7360</v>
      </c>
      <c r="BF371" s="20">
        <v>44974</v>
      </c>
      <c r="BG371">
        <v>0</v>
      </c>
      <c r="BH371" t="s">
        <v>7363</v>
      </c>
      <c r="BJ371" t="s">
        <v>7362</v>
      </c>
      <c r="BK371">
        <v>169</v>
      </c>
      <c r="BL371">
        <v>11</v>
      </c>
      <c r="BM371">
        <v>1</v>
      </c>
      <c r="BN371" t="s">
        <v>7364</v>
      </c>
      <c r="BO371">
        <v>169</v>
      </c>
      <c r="BP371">
        <v>11</v>
      </c>
      <c r="BQ371">
        <v>1</v>
      </c>
      <c r="BR371" t="s">
        <v>7364</v>
      </c>
      <c r="BS371" t="s">
        <v>7427</v>
      </c>
      <c r="BT371" t="s">
        <v>7360</v>
      </c>
      <c r="BU371" t="s">
        <v>7360</v>
      </c>
      <c r="BV371" t="s">
        <v>7360</v>
      </c>
      <c r="BX371" t="s">
        <v>7391</v>
      </c>
      <c r="BY371">
        <v>74</v>
      </c>
      <c r="BZ371" t="s">
        <v>7360</v>
      </c>
      <c r="CA371" t="s">
        <v>7360</v>
      </c>
      <c r="CB371">
        <v>3380666</v>
      </c>
      <c r="CC371" s="21">
        <v>44974.450196759259</v>
      </c>
      <c r="CE371" t="s">
        <v>7392</v>
      </c>
      <c r="CF371">
        <v>1100101</v>
      </c>
      <c r="CG371">
        <v>51669</v>
      </c>
      <c r="CH371">
        <v>51669</v>
      </c>
      <c r="CI371" s="21">
        <v>44974.451574074075</v>
      </c>
      <c r="CJ371" t="s">
        <v>7406</v>
      </c>
      <c r="CK371" t="s">
        <v>7406</v>
      </c>
      <c r="CL371" t="s">
        <v>7407</v>
      </c>
      <c r="CM371" t="s">
        <v>7407</v>
      </c>
      <c r="CS371" t="s">
        <v>7361</v>
      </c>
      <c r="CT371" t="s">
        <v>7362</v>
      </c>
      <c r="CU371" t="s">
        <v>7362</v>
      </c>
      <c r="CV371" t="s">
        <v>7362</v>
      </c>
      <c r="CW371" t="s">
        <v>7362</v>
      </c>
      <c r="CX371">
        <v>2272000</v>
      </c>
      <c r="DA371">
        <v>0</v>
      </c>
    </row>
    <row r="372" spans="1:105" x14ac:dyDescent="0.3">
      <c r="A372">
        <v>1354</v>
      </c>
      <c r="B372" t="s">
        <v>7396</v>
      </c>
      <c r="C372">
        <v>398</v>
      </c>
      <c r="D372" s="20">
        <v>44974</v>
      </c>
      <c r="E372" t="s">
        <v>7356</v>
      </c>
      <c r="F372" t="s">
        <v>5257</v>
      </c>
      <c r="G372" t="s">
        <v>7370</v>
      </c>
      <c r="H372">
        <v>1</v>
      </c>
      <c r="I372" t="s">
        <v>7358</v>
      </c>
      <c r="J372">
        <v>1</v>
      </c>
      <c r="K372" s="20">
        <v>44974</v>
      </c>
      <c r="L372" s="23">
        <v>1200000</v>
      </c>
      <c r="M372" t="s">
        <v>7359</v>
      </c>
      <c r="N372" t="s">
        <v>7360</v>
      </c>
      <c r="O372">
        <v>0</v>
      </c>
      <c r="P372">
        <v>12335</v>
      </c>
      <c r="Q372">
        <v>433004</v>
      </c>
      <c r="R372">
        <v>0</v>
      </c>
      <c r="S372">
        <v>20230217</v>
      </c>
      <c r="T372">
        <v>0</v>
      </c>
      <c r="U372" t="s">
        <v>7361</v>
      </c>
      <c r="V372" t="s">
        <v>7360</v>
      </c>
      <c r="W372" t="s">
        <v>7360</v>
      </c>
      <c r="X372" t="s">
        <v>7360</v>
      </c>
      <c r="Y372" t="s">
        <v>7360</v>
      </c>
      <c r="Z372" t="s">
        <v>7360</v>
      </c>
      <c r="AA372" t="s">
        <v>7362</v>
      </c>
      <c r="AB372" t="s">
        <v>7360</v>
      </c>
      <c r="AC372" t="s">
        <v>7360</v>
      </c>
      <c r="AD372" t="s">
        <v>7360</v>
      </c>
      <c r="AE372" t="s">
        <v>7360</v>
      </c>
      <c r="AF372" t="s">
        <v>1684</v>
      </c>
      <c r="AG372">
        <v>0</v>
      </c>
      <c r="AH372">
        <v>0</v>
      </c>
      <c r="AI372">
        <v>0</v>
      </c>
      <c r="AJ372">
        <v>0</v>
      </c>
      <c r="AK372">
        <v>0</v>
      </c>
      <c r="AL372" t="s">
        <v>7360</v>
      </c>
      <c r="AM372">
        <v>0</v>
      </c>
      <c r="AN372" s="20">
        <v>44974</v>
      </c>
      <c r="AO372" s="20">
        <v>44974</v>
      </c>
      <c r="AP372" s="20">
        <v>44974</v>
      </c>
      <c r="AQ372">
        <v>0</v>
      </c>
      <c r="AR372">
        <v>0</v>
      </c>
      <c r="AS372">
        <v>0</v>
      </c>
      <c r="AT372">
        <v>0</v>
      </c>
      <c r="AU372">
        <v>0</v>
      </c>
      <c r="AV372" t="s">
        <v>7360</v>
      </c>
      <c r="AW372">
        <v>0</v>
      </c>
      <c r="AX372" t="s">
        <v>7360</v>
      </c>
      <c r="AY372" t="s">
        <v>7363</v>
      </c>
      <c r="BA372">
        <v>0</v>
      </c>
      <c r="BB372" s="20">
        <v>44974</v>
      </c>
      <c r="BC372">
        <v>0</v>
      </c>
      <c r="BD372" t="s">
        <v>7360</v>
      </c>
      <c r="BF372" s="20">
        <v>44974</v>
      </c>
      <c r="BG372">
        <v>0</v>
      </c>
      <c r="BH372" t="s">
        <v>7363</v>
      </c>
      <c r="BJ372" t="s">
        <v>7362</v>
      </c>
      <c r="BK372">
        <v>169</v>
      </c>
      <c r="BL372">
        <v>11</v>
      </c>
      <c r="BM372">
        <v>1</v>
      </c>
      <c r="BN372" t="s">
        <v>7364</v>
      </c>
      <c r="BO372">
        <v>169</v>
      </c>
      <c r="BP372">
        <v>11</v>
      </c>
      <c r="BQ372">
        <v>1</v>
      </c>
      <c r="BR372" t="s">
        <v>7364</v>
      </c>
      <c r="BS372" t="s">
        <v>7427</v>
      </c>
      <c r="BT372" t="s">
        <v>7360</v>
      </c>
      <c r="BU372" t="s">
        <v>7360</v>
      </c>
      <c r="BV372" t="s">
        <v>7360</v>
      </c>
      <c r="BX372" t="s">
        <v>7391</v>
      </c>
      <c r="BY372">
        <v>74</v>
      </c>
      <c r="BZ372" t="s">
        <v>7360</v>
      </c>
      <c r="CA372" t="s">
        <v>7360</v>
      </c>
      <c r="CB372">
        <v>3380666</v>
      </c>
      <c r="CC372" s="21">
        <v>44974.454467592594</v>
      </c>
      <c r="CE372" t="s">
        <v>7392</v>
      </c>
      <c r="CF372">
        <v>1100101</v>
      </c>
      <c r="CG372">
        <v>51669</v>
      </c>
      <c r="CH372">
        <v>51669</v>
      </c>
      <c r="CI372" s="21">
        <v>44974.456724537034</v>
      </c>
      <c r="CJ372" t="s">
        <v>7406</v>
      </c>
      <c r="CK372" t="s">
        <v>7406</v>
      </c>
      <c r="CL372" t="s">
        <v>7407</v>
      </c>
      <c r="CM372" t="s">
        <v>7407</v>
      </c>
      <c r="CS372" t="s">
        <v>7361</v>
      </c>
      <c r="CT372" t="s">
        <v>7362</v>
      </c>
      <c r="CU372" t="s">
        <v>7362</v>
      </c>
      <c r="CV372" t="s">
        <v>7362</v>
      </c>
      <c r="CW372" t="s">
        <v>7362</v>
      </c>
      <c r="CX372">
        <v>1200000</v>
      </c>
      <c r="DA372">
        <v>0</v>
      </c>
    </row>
    <row r="373" spans="1:105" x14ac:dyDescent="0.3">
      <c r="A373">
        <v>1354</v>
      </c>
      <c r="B373" t="s">
        <v>7396</v>
      </c>
      <c r="C373">
        <v>399</v>
      </c>
      <c r="D373" s="20">
        <v>44974</v>
      </c>
      <c r="E373" t="s">
        <v>7356</v>
      </c>
      <c r="F373" t="s">
        <v>5262</v>
      </c>
      <c r="G373" t="s">
        <v>7370</v>
      </c>
      <c r="H373">
        <v>1</v>
      </c>
      <c r="I373" t="s">
        <v>7358</v>
      </c>
      <c r="J373">
        <v>1</v>
      </c>
      <c r="K373" s="20">
        <v>44974</v>
      </c>
      <c r="L373" s="23">
        <v>1200000</v>
      </c>
      <c r="M373" t="s">
        <v>7359</v>
      </c>
      <c r="N373" t="s">
        <v>7360</v>
      </c>
      <c r="O373">
        <v>0</v>
      </c>
      <c r="P373">
        <v>12336</v>
      </c>
      <c r="Q373">
        <v>433005</v>
      </c>
      <c r="R373">
        <v>0</v>
      </c>
      <c r="S373">
        <v>20230217</v>
      </c>
      <c r="T373">
        <v>0</v>
      </c>
      <c r="U373" t="s">
        <v>7361</v>
      </c>
      <c r="V373" t="s">
        <v>7360</v>
      </c>
      <c r="W373" t="s">
        <v>7360</v>
      </c>
      <c r="X373" t="s">
        <v>7360</v>
      </c>
      <c r="Y373" t="s">
        <v>7360</v>
      </c>
      <c r="Z373" t="s">
        <v>7360</v>
      </c>
      <c r="AA373" t="s">
        <v>7362</v>
      </c>
      <c r="AB373" t="s">
        <v>7360</v>
      </c>
      <c r="AC373" t="s">
        <v>7360</v>
      </c>
      <c r="AD373" t="s">
        <v>7360</v>
      </c>
      <c r="AE373" t="s">
        <v>7360</v>
      </c>
      <c r="AF373" t="s">
        <v>1684</v>
      </c>
      <c r="AG373">
        <v>0</v>
      </c>
      <c r="AH373">
        <v>0</v>
      </c>
      <c r="AI373">
        <v>0</v>
      </c>
      <c r="AJ373">
        <v>0</v>
      </c>
      <c r="AK373">
        <v>0</v>
      </c>
      <c r="AL373" t="s">
        <v>7360</v>
      </c>
      <c r="AM373">
        <v>0</v>
      </c>
      <c r="AN373" s="20">
        <v>44974</v>
      </c>
      <c r="AO373" s="20">
        <v>44974</v>
      </c>
      <c r="AP373" s="20">
        <v>44974</v>
      </c>
      <c r="AQ373">
        <v>0</v>
      </c>
      <c r="AR373">
        <v>0</v>
      </c>
      <c r="AS373">
        <v>0</v>
      </c>
      <c r="AT373">
        <v>0</v>
      </c>
      <c r="AU373">
        <v>0</v>
      </c>
      <c r="AV373" t="s">
        <v>7360</v>
      </c>
      <c r="AW373">
        <v>0</v>
      </c>
      <c r="AX373" t="s">
        <v>7360</v>
      </c>
      <c r="AY373" t="s">
        <v>7363</v>
      </c>
      <c r="BA373">
        <v>0</v>
      </c>
      <c r="BB373" s="20">
        <v>44974</v>
      </c>
      <c r="BC373">
        <v>0</v>
      </c>
      <c r="BD373" t="s">
        <v>7360</v>
      </c>
      <c r="BF373" s="20">
        <v>44974</v>
      </c>
      <c r="BG373">
        <v>0</v>
      </c>
      <c r="BH373" t="s">
        <v>7363</v>
      </c>
      <c r="BJ373" t="s">
        <v>7362</v>
      </c>
      <c r="BK373">
        <v>169</v>
      </c>
      <c r="BL373">
        <v>11</v>
      </c>
      <c r="BM373">
        <v>1</v>
      </c>
      <c r="BN373" t="s">
        <v>7364</v>
      </c>
      <c r="BO373">
        <v>169</v>
      </c>
      <c r="BP373">
        <v>11</v>
      </c>
      <c r="BQ373">
        <v>1</v>
      </c>
      <c r="BR373" t="s">
        <v>7364</v>
      </c>
      <c r="BS373" t="s">
        <v>7427</v>
      </c>
      <c r="BT373" t="s">
        <v>7360</v>
      </c>
      <c r="BU373" t="s">
        <v>7360</v>
      </c>
      <c r="BV373" t="s">
        <v>7360</v>
      </c>
      <c r="BX373" t="s">
        <v>7391</v>
      </c>
      <c r="BY373">
        <v>74</v>
      </c>
      <c r="BZ373" t="s">
        <v>7360</v>
      </c>
      <c r="CA373" t="s">
        <v>7360</v>
      </c>
      <c r="CB373">
        <v>3380666</v>
      </c>
      <c r="CC373" s="21">
        <v>44974.465509259258</v>
      </c>
      <c r="CE373" t="s">
        <v>7392</v>
      </c>
      <c r="CF373">
        <v>1100101</v>
      </c>
      <c r="CG373">
        <v>51669</v>
      </c>
      <c r="CH373">
        <v>51669</v>
      </c>
      <c r="CI373" s="21">
        <v>44974.466377314813</v>
      </c>
      <c r="CJ373" t="s">
        <v>7406</v>
      </c>
      <c r="CK373" t="s">
        <v>7406</v>
      </c>
      <c r="CL373" t="s">
        <v>7407</v>
      </c>
      <c r="CM373" t="s">
        <v>7407</v>
      </c>
      <c r="CS373" t="s">
        <v>7361</v>
      </c>
      <c r="CT373" t="s">
        <v>7362</v>
      </c>
      <c r="CU373" t="s">
        <v>7362</v>
      </c>
      <c r="CV373" t="s">
        <v>7362</v>
      </c>
      <c r="CW373" t="s">
        <v>7362</v>
      </c>
      <c r="CX373">
        <v>1200000</v>
      </c>
      <c r="DA373">
        <v>0</v>
      </c>
    </row>
    <row r="374" spans="1:105" x14ac:dyDescent="0.3">
      <c r="A374">
        <v>1354</v>
      </c>
      <c r="B374" t="s">
        <v>7396</v>
      </c>
      <c r="C374">
        <v>400</v>
      </c>
      <c r="D374" s="20">
        <v>44974</v>
      </c>
      <c r="E374" t="s">
        <v>7356</v>
      </c>
      <c r="F374" t="s">
        <v>5267</v>
      </c>
      <c r="G374" t="s">
        <v>7370</v>
      </c>
      <c r="H374">
        <v>1</v>
      </c>
      <c r="I374" t="s">
        <v>7358</v>
      </c>
      <c r="J374">
        <v>1</v>
      </c>
      <c r="K374" s="20">
        <v>44974</v>
      </c>
      <c r="L374" s="23">
        <v>1575000</v>
      </c>
      <c r="M374" t="s">
        <v>7359</v>
      </c>
      <c r="N374" t="s">
        <v>7360</v>
      </c>
      <c r="O374">
        <v>0</v>
      </c>
      <c r="P374">
        <v>12343</v>
      </c>
      <c r="Q374">
        <v>433010</v>
      </c>
      <c r="R374">
        <v>0</v>
      </c>
      <c r="S374">
        <v>20230217</v>
      </c>
      <c r="T374">
        <v>0</v>
      </c>
      <c r="U374" t="s">
        <v>7361</v>
      </c>
      <c r="V374" t="s">
        <v>7360</v>
      </c>
      <c r="W374" t="s">
        <v>7360</v>
      </c>
      <c r="X374" t="s">
        <v>7360</v>
      </c>
      <c r="Y374" t="s">
        <v>7360</v>
      </c>
      <c r="Z374" t="s">
        <v>7360</v>
      </c>
      <c r="AA374" t="s">
        <v>7362</v>
      </c>
      <c r="AB374" t="s">
        <v>7360</v>
      </c>
      <c r="AC374" t="s">
        <v>7360</v>
      </c>
      <c r="AD374" t="s">
        <v>7360</v>
      </c>
      <c r="AE374" t="s">
        <v>7360</v>
      </c>
      <c r="AF374" t="s">
        <v>1684</v>
      </c>
      <c r="AG374">
        <v>0</v>
      </c>
      <c r="AH374">
        <v>0</v>
      </c>
      <c r="AI374">
        <v>0</v>
      </c>
      <c r="AJ374">
        <v>0</v>
      </c>
      <c r="AK374">
        <v>0</v>
      </c>
      <c r="AL374" t="s">
        <v>7360</v>
      </c>
      <c r="AM374">
        <v>0</v>
      </c>
      <c r="AN374" s="20">
        <v>44974</v>
      </c>
      <c r="AO374" s="20">
        <v>44974</v>
      </c>
      <c r="AP374" s="20">
        <v>44974</v>
      </c>
      <c r="AQ374">
        <v>0</v>
      </c>
      <c r="AR374">
        <v>0</v>
      </c>
      <c r="AS374">
        <v>0</v>
      </c>
      <c r="AT374">
        <v>0</v>
      </c>
      <c r="AU374">
        <v>0</v>
      </c>
      <c r="AV374" t="s">
        <v>7360</v>
      </c>
      <c r="AW374">
        <v>0</v>
      </c>
      <c r="AX374" t="s">
        <v>7360</v>
      </c>
      <c r="AY374" t="s">
        <v>7363</v>
      </c>
      <c r="BA374">
        <v>0</v>
      </c>
      <c r="BB374" s="20">
        <v>44974</v>
      </c>
      <c r="BC374">
        <v>0</v>
      </c>
      <c r="BD374" t="s">
        <v>7360</v>
      </c>
      <c r="BF374" s="20">
        <v>44974</v>
      </c>
      <c r="BG374">
        <v>0</v>
      </c>
      <c r="BH374" t="s">
        <v>7363</v>
      </c>
      <c r="BJ374" t="s">
        <v>7362</v>
      </c>
      <c r="BK374">
        <v>169</v>
      </c>
      <c r="BL374">
        <v>11</v>
      </c>
      <c r="BM374">
        <v>1</v>
      </c>
      <c r="BN374" t="s">
        <v>7364</v>
      </c>
      <c r="BO374">
        <v>169</v>
      </c>
      <c r="BP374">
        <v>11</v>
      </c>
      <c r="BQ374">
        <v>1</v>
      </c>
      <c r="BR374" t="s">
        <v>7364</v>
      </c>
      <c r="BS374" t="s">
        <v>7427</v>
      </c>
      <c r="BT374" t="s">
        <v>7360</v>
      </c>
      <c r="BU374" t="s">
        <v>7360</v>
      </c>
      <c r="BV374" t="s">
        <v>7360</v>
      </c>
      <c r="BX374" t="s">
        <v>7391</v>
      </c>
      <c r="BY374">
        <v>74</v>
      </c>
      <c r="BZ374" t="s">
        <v>7360</v>
      </c>
      <c r="CA374" t="s">
        <v>7360</v>
      </c>
      <c r="CB374">
        <v>3380666</v>
      </c>
      <c r="CC374" s="21">
        <v>44974.472557870373</v>
      </c>
      <c r="CE374" t="s">
        <v>7392</v>
      </c>
      <c r="CF374">
        <v>1100101</v>
      </c>
      <c r="CG374">
        <v>51669</v>
      </c>
      <c r="CH374">
        <v>51669</v>
      </c>
      <c r="CI374" s="21">
        <v>44974.47378472222</v>
      </c>
      <c r="CJ374" t="s">
        <v>7406</v>
      </c>
      <c r="CK374" t="s">
        <v>7406</v>
      </c>
      <c r="CL374" t="s">
        <v>7407</v>
      </c>
      <c r="CM374" t="s">
        <v>7407</v>
      </c>
      <c r="CS374" t="s">
        <v>7361</v>
      </c>
      <c r="CT374" t="s">
        <v>7362</v>
      </c>
      <c r="CU374" t="s">
        <v>7362</v>
      </c>
      <c r="CV374" t="s">
        <v>7362</v>
      </c>
      <c r="CW374" t="s">
        <v>7362</v>
      </c>
      <c r="CX374">
        <v>1575000</v>
      </c>
      <c r="DA374">
        <v>0</v>
      </c>
    </row>
    <row r="375" spans="1:105" x14ac:dyDescent="0.3">
      <c r="A375">
        <v>1356</v>
      </c>
      <c r="B375" t="s">
        <v>7402</v>
      </c>
      <c r="C375">
        <v>401</v>
      </c>
      <c r="D375" s="20">
        <v>44974</v>
      </c>
      <c r="E375" t="s">
        <v>7356</v>
      </c>
      <c r="F375" t="s">
        <v>5273</v>
      </c>
      <c r="G375" t="s">
        <v>7370</v>
      </c>
      <c r="H375">
        <v>1</v>
      </c>
      <c r="I375" t="s">
        <v>7358</v>
      </c>
      <c r="J375">
        <v>1</v>
      </c>
      <c r="K375" s="20">
        <v>44974</v>
      </c>
      <c r="L375" s="23">
        <v>1960000</v>
      </c>
      <c r="M375" t="s">
        <v>7359</v>
      </c>
      <c r="N375" t="s">
        <v>7360</v>
      </c>
      <c r="O375">
        <v>0</v>
      </c>
      <c r="P375">
        <v>12496</v>
      </c>
      <c r="Q375">
        <v>439013</v>
      </c>
      <c r="R375">
        <v>0</v>
      </c>
      <c r="S375">
        <v>20230217</v>
      </c>
      <c r="T375">
        <v>0</v>
      </c>
      <c r="U375" t="s">
        <v>7361</v>
      </c>
      <c r="V375" t="s">
        <v>7360</v>
      </c>
      <c r="W375" t="s">
        <v>7360</v>
      </c>
      <c r="X375" t="s">
        <v>7360</v>
      </c>
      <c r="Y375" t="s">
        <v>7360</v>
      </c>
      <c r="Z375" t="s">
        <v>7360</v>
      </c>
      <c r="AA375" t="s">
        <v>7362</v>
      </c>
      <c r="AB375" t="s">
        <v>7360</v>
      </c>
      <c r="AC375" t="s">
        <v>7360</v>
      </c>
      <c r="AD375" t="s">
        <v>7360</v>
      </c>
      <c r="AE375" t="s">
        <v>7360</v>
      </c>
      <c r="AF375" t="s">
        <v>1684</v>
      </c>
      <c r="AG375">
        <v>0</v>
      </c>
      <c r="AH375">
        <v>0</v>
      </c>
      <c r="AI375">
        <v>0</v>
      </c>
      <c r="AJ375">
        <v>0</v>
      </c>
      <c r="AK375">
        <v>0</v>
      </c>
      <c r="AL375" t="s">
        <v>7360</v>
      </c>
      <c r="AM375">
        <v>0</v>
      </c>
      <c r="AN375" s="20">
        <v>44974</v>
      </c>
      <c r="AO375" s="20">
        <v>44974</v>
      </c>
      <c r="AP375" s="20">
        <v>44974</v>
      </c>
      <c r="AQ375">
        <v>0</v>
      </c>
      <c r="AR375">
        <v>0</v>
      </c>
      <c r="AS375">
        <v>0</v>
      </c>
      <c r="AT375">
        <v>0</v>
      </c>
      <c r="AU375">
        <v>0</v>
      </c>
      <c r="AV375" t="s">
        <v>7360</v>
      </c>
      <c r="AW375">
        <v>0</v>
      </c>
      <c r="AX375" t="s">
        <v>7360</v>
      </c>
      <c r="AY375" t="s">
        <v>7363</v>
      </c>
      <c r="BA375">
        <v>0</v>
      </c>
      <c r="BB375" s="20">
        <v>44974</v>
      </c>
      <c r="BC375">
        <v>0</v>
      </c>
      <c r="BD375" t="s">
        <v>7360</v>
      </c>
      <c r="BF375" s="20">
        <v>44974</v>
      </c>
      <c r="BG375">
        <v>0</v>
      </c>
      <c r="BH375" t="s">
        <v>1729</v>
      </c>
      <c r="BJ375" t="s">
        <v>7362</v>
      </c>
      <c r="BK375">
        <v>169</v>
      </c>
      <c r="BL375">
        <v>11</v>
      </c>
      <c r="BM375">
        <v>1</v>
      </c>
      <c r="BN375" t="s">
        <v>7364</v>
      </c>
      <c r="BO375">
        <v>169</v>
      </c>
      <c r="BP375">
        <v>11</v>
      </c>
      <c r="BQ375">
        <v>1</v>
      </c>
      <c r="BR375" t="s">
        <v>7364</v>
      </c>
      <c r="BS375" t="s">
        <v>7427</v>
      </c>
      <c r="BT375" t="s">
        <v>7360</v>
      </c>
      <c r="BU375" t="s">
        <v>7360</v>
      </c>
      <c r="BV375" t="s">
        <v>7360</v>
      </c>
      <c r="BX375" t="s">
        <v>7391</v>
      </c>
      <c r="BY375">
        <v>74</v>
      </c>
      <c r="BZ375" t="s">
        <v>7360</v>
      </c>
      <c r="CA375" t="s">
        <v>7360</v>
      </c>
      <c r="CB375">
        <v>3380666</v>
      </c>
      <c r="CC375" s="21">
        <v>44974.506064814814</v>
      </c>
      <c r="CE375" t="s">
        <v>7392</v>
      </c>
      <c r="CF375">
        <v>1100101</v>
      </c>
      <c r="CG375">
        <v>51669</v>
      </c>
      <c r="CH375">
        <v>51669</v>
      </c>
      <c r="CI375" s="21">
        <v>44974.508263888885</v>
      </c>
      <c r="CJ375" t="s">
        <v>7406</v>
      </c>
      <c r="CK375" t="s">
        <v>7406</v>
      </c>
      <c r="CL375" t="s">
        <v>7407</v>
      </c>
      <c r="CM375" t="s">
        <v>7407</v>
      </c>
      <c r="CS375" t="s">
        <v>7361</v>
      </c>
      <c r="CT375" t="s">
        <v>7362</v>
      </c>
      <c r="CU375" t="s">
        <v>7362</v>
      </c>
      <c r="CV375" t="s">
        <v>7362</v>
      </c>
      <c r="CW375" t="s">
        <v>7362</v>
      </c>
      <c r="CX375">
        <v>1960000</v>
      </c>
      <c r="DA375">
        <v>0</v>
      </c>
    </row>
    <row r="376" spans="1:105" x14ac:dyDescent="0.3">
      <c r="A376">
        <v>1354</v>
      </c>
      <c r="B376" t="s">
        <v>7396</v>
      </c>
      <c r="C376">
        <v>402</v>
      </c>
      <c r="D376" s="20">
        <v>44974</v>
      </c>
      <c r="E376" t="s">
        <v>7356</v>
      </c>
      <c r="F376" t="s">
        <v>5278</v>
      </c>
      <c r="G376" t="s">
        <v>7357</v>
      </c>
      <c r="H376">
        <v>1</v>
      </c>
      <c r="I376" t="s">
        <v>7358</v>
      </c>
      <c r="J376">
        <v>1</v>
      </c>
      <c r="K376" s="20">
        <v>44974</v>
      </c>
      <c r="L376" s="23">
        <v>2238000</v>
      </c>
      <c r="M376" t="s">
        <v>7359</v>
      </c>
      <c r="N376" t="s">
        <v>7360</v>
      </c>
      <c r="O376">
        <v>0</v>
      </c>
      <c r="P376">
        <v>12441</v>
      </c>
      <c r="Q376">
        <v>437009</v>
      </c>
      <c r="R376">
        <v>0</v>
      </c>
      <c r="S376">
        <v>20230217</v>
      </c>
      <c r="T376">
        <v>0</v>
      </c>
      <c r="U376" t="s">
        <v>7361</v>
      </c>
      <c r="V376" t="s">
        <v>7360</v>
      </c>
      <c r="W376" t="s">
        <v>7360</v>
      </c>
      <c r="X376" t="s">
        <v>7360</v>
      </c>
      <c r="Y376" t="s">
        <v>7360</v>
      </c>
      <c r="Z376" t="s">
        <v>7360</v>
      </c>
      <c r="AA376" t="s">
        <v>7362</v>
      </c>
      <c r="AB376" t="s">
        <v>7360</v>
      </c>
      <c r="AC376" t="s">
        <v>7360</v>
      </c>
      <c r="AD376" t="s">
        <v>7360</v>
      </c>
      <c r="AE376" t="s">
        <v>7360</v>
      </c>
      <c r="AF376" t="s">
        <v>1684</v>
      </c>
      <c r="AG376">
        <v>0</v>
      </c>
      <c r="AH376">
        <v>0</v>
      </c>
      <c r="AI376">
        <v>0</v>
      </c>
      <c r="AJ376">
        <v>0</v>
      </c>
      <c r="AK376">
        <v>0</v>
      </c>
      <c r="AL376" t="s">
        <v>7360</v>
      </c>
      <c r="AM376">
        <v>0</v>
      </c>
      <c r="AN376" s="20">
        <v>44974</v>
      </c>
      <c r="AO376" s="20">
        <v>44974</v>
      </c>
      <c r="AP376" s="20">
        <v>44974</v>
      </c>
      <c r="AQ376">
        <v>0</v>
      </c>
      <c r="AR376">
        <v>0</v>
      </c>
      <c r="AS376">
        <v>0</v>
      </c>
      <c r="AT376">
        <v>0</v>
      </c>
      <c r="AU376">
        <v>0</v>
      </c>
      <c r="AV376" t="s">
        <v>7360</v>
      </c>
      <c r="AW376">
        <v>0</v>
      </c>
      <c r="AX376" t="s">
        <v>7360</v>
      </c>
      <c r="AY376" t="s">
        <v>7363</v>
      </c>
      <c r="BA376">
        <v>0</v>
      </c>
      <c r="BB376" s="20">
        <v>44974</v>
      </c>
      <c r="BC376">
        <v>0</v>
      </c>
      <c r="BD376" t="s">
        <v>7360</v>
      </c>
      <c r="BF376" s="20">
        <v>44974</v>
      </c>
      <c r="BG376">
        <v>0</v>
      </c>
      <c r="BH376" t="s">
        <v>7363</v>
      </c>
      <c r="BJ376" t="s">
        <v>7362</v>
      </c>
      <c r="BK376">
        <v>0</v>
      </c>
      <c r="BL376">
        <v>0</v>
      </c>
      <c r="BM376">
        <v>0</v>
      </c>
      <c r="BN376">
        <v>0</v>
      </c>
      <c r="BO376">
        <v>169</v>
      </c>
      <c r="BP376">
        <v>11</v>
      </c>
      <c r="BQ376">
        <v>1</v>
      </c>
      <c r="BR376" t="s">
        <v>7364</v>
      </c>
      <c r="BS376" t="s">
        <v>7365</v>
      </c>
      <c r="BT376" t="s">
        <v>7360</v>
      </c>
      <c r="BU376" t="s">
        <v>7360</v>
      </c>
      <c r="BV376" t="s">
        <v>7360</v>
      </c>
      <c r="BX376">
        <v>0</v>
      </c>
      <c r="BY376">
        <v>0</v>
      </c>
      <c r="BZ376" t="s">
        <v>7360</v>
      </c>
      <c r="CA376" t="s">
        <v>7360</v>
      </c>
      <c r="CB376">
        <v>3380666</v>
      </c>
      <c r="CC376" s="21">
        <v>44974.509189814817</v>
      </c>
      <c r="CE376" t="s">
        <v>7366</v>
      </c>
      <c r="CF376">
        <v>0</v>
      </c>
      <c r="CG376">
        <v>702002</v>
      </c>
      <c r="CH376">
        <v>702002</v>
      </c>
      <c r="CI376" s="21">
        <v>44974.517604166664</v>
      </c>
      <c r="CJ376" t="s">
        <v>7367</v>
      </c>
      <c r="CK376" t="s">
        <v>7367</v>
      </c>
      <c r="CL376" t="s">
        <v>7368</v>
      </c>
      <c r="CM376" t="s">
        <v>7368</v>
      </c>
      <c r="CS376" t="s">
        <v>7361</v>
      </c>
      <c r="CT376" t="s">
        <v>7362</v>
      </c>
      <c r="CU376" t="s">
        <v>7362</v>
      </c>
      <c r="CV376" t="s">
        <v>7362</v>
      </c>
      <c r="CW376" t="s">
        <v>7362</v>
      </c>
      <c r="CX376">
        <v>2238000</v>
      </c>
      <c r="DA376">
        <v>0</v>
      </c>
    </row>
    <row r="377" spans="1:105" x14ac:dyDescent="0.3">
      <c r="A377">
        <v>1354</v>
      </c>
      <c r="B377" t="s">
        <v>7396</v>
      </c>
      <c r="C377">
        <v>403</v>
      </c>
      <c r="D377" s="20">
        <v>44974</v>
      </c>
      <c r="E377" t="s">
        <v>7356</v>
      </c>
      <c r="F377" t="s">
        <v>5282</v>
      </c>
      <c r="G377" t="s">
        <v>7370</v>
      </c>
      <c r="H377">
        <v>1</v>
      </c>
      <c r="I377" t="s">
        <v>7358</v>
      </c>
      <c r="J377">
        <v>1</v>
      </c>
      <c r="K377" s="20">
        <v>44974</v>
      </c>
      <c r="L377" s="23">
        <v>1440000</v>
      </c>
      <c r="M377" t="s">
        <v>7359</v>
      </c>
      <c r="N377" t="s">
        <v>7360</v>
      </c>
      <c r="O377">
        <v>0</v>
      </c>
      <c r="P377">
        <v>12338</v>
      </c>
      <c r="Q377">
        <v>433006</v>
      </c>
      <c r="R377">
        <v>0</v>
      </c>
      <c r="S377">
        <v>20230217</v>
      </c>
      <c r="T377">
        <v>0</v>
      </c>
      <c r="U377" t="s">
        <v>7361</v>
      </c>
      <c r="V377" t="s">
        <v>7360</v>
      </c>
      <c r="W377" t="s">
        <v>7360</v>
      </c>
      <c r="X377" t="s">
        <v>7360</v>
      </c>
      <c r="Y377" t="s">
        <v>7360</v>
      </c>
      <c r="Z377" t="s">
        <v>7360</v>
      </c>
      <c r="AA377" t="s">
        <v>7362</v>
      </c>
      <c r="AB377" t="s">
        <v>7360</v>
      </c>
      <c r="AC377" t="s">
        <v>7360</v>
      </c>
      <c r="AD377" t="s">
        <v>7360</v>
      </c>
      <c r="AE377" t="s">
        <v>7360</v>
      </c>
      <c r="AF377" t="s">
        <v>1684</v>
      </c>
      <c r="AG377">
        <v>0</v>
      </c>
      <c r="AH377">
        <v>0</v>
      </c>
      <c r="AI377">
        <v>0</v>
      </c>
      <c r="AJ377">
        <v>0</v>
      </c>
      <c r="AK377">
        <v>0</v>
      </c>
      <c r="AL377" t="s">
        <v>7360</v>
      </c>
      <c r="AM377">
        <v>0</v>
      </c>
      <c r="AN377" s="20">
        <v>44974</v>
      </c>
      <c r="AO377" s="20">
        <v>44974</v>
      </c>
      <c r="AP377" s="20">
        <v>44974</v>
      </c>
      <c r="AQ377">
        <v>0</v>
      </c>
      <c r="AR377">
        <v>0</v>
      </c>
      <c r="AS377">
        <v>0</v>
      </c>
      <c r="AT377">
        <v>0</v>
      </c>
      <c r="AU377">
        <v>0</v>
      </c>
      <c r="AV377" t="s">
        <v>7360</v>
      </c>
      <c r="AW377">
        <v>0</v>
      </c>
      <c r="AX377" t="s">
        <v>7360</v>
      </c>
      <c r="AY377" t="s">
        <v>7363</v>
      </c>
      <c r="BA377">
        <v>0</v>
      </c>
      <c r="BB377" s="20">
        <v>44974</v>
      </c>
      <c r="BC377">
        <v>0</v>
      </c>
      <c r="BD377" t="s">
        <v>7360</v>
      </c>
      <c r="BF377" s="20">
        <v>44974</v>
      </c>
      <c r="BG377">
        <v>0</v>
      </c>
      <c r="BH377" t="s">
        <v>7363</v>
      </c>
      <c r="BJ377" t="s">
        <v>7362</v>
      </c>
      <c r="BK377">
        <v>169</v>
      </c>
      <c r="BL377">
        <v>11</v>
      </c>
      <c r="BM377">
        <v>1</v>
      </c>
      <c r="BN377" t="s">
        <v>7364</v>
      </c>
      <c r="BO377">
        <v>169</v>
      </c>
      <c r="BP377">
        <v>11</v>
      </c>
      <c r="BQ377">
        <v>1</v>
      </c>
      <c r="BR377" t="s">
        <v>7364</v>
      </c>
      <c r="BS377" t="s">
        <v>7427</v>
      </c>
      <c r="BT377" t="s">
        <v>7360</v>
      </c>
      <c r="BU377" t="s">
        <v>7360</v>
      </c>
      <c r="BV377" t="s">
        <v>7360</v>
      </c>
      <c r="BX377" t="s">
        <v>7391</v>
      </c>
      <c r="BY377">
        <v>74</v>
      </c>
      <c r="BZ377" t="s">
        <v>7360</v>
      </c>
      <c r="CA377" t="s">
        <v>7360</v>
      </c>
      <c r="CB377">
        <v>3380666</v>
      </c>
      <c r="CC377" s="21">
        <v>44974.515902777777</v>
      </c>
      <c r="CE377" t="s">
        <v>7392</v>
      </c>
      <c r="CF377">
        <v>1100101</v>
      </c>
      <c r="CG377">
        <v>51669</v>
      </c>
      <c r="CH377">
        <v>51669</v>
      </c>
      <c r="CI377" s="21">
        <v>44974.516574074078</v>
      </c>
      <c r="CJ377" t="s">
        <v>7406</v>
      </c>
      <c r="CK377" t="s">
        <v>7406</v>
      </c>
      <c r="CL377" t="s">
        <v>7407</v>
      </c>
      <c r="CM377" t="s">
        <v>7407</v>
      </c>
      <c r="CS377" t="s">
        <v>7361</v>
      </c>
      <c r="CT377" t="s">
        <v>7362</v>
      </c>
      <c r="CU377" t="s">
        <v>7362</v>
      </c>
      <c r="CV377" t="s">
        <v>7362</v>
      </c>
      <c r="CW377" t="s">
        <v>7362</v>
      </c>
      <c r="CX377">
        <v>1440000</v>
      </c>
      <c r="DA377">
        <v>0</v>
      </c>
    </row>
    <row r="378" spans="1:105" x14ac:dyDescent="0.3">
      <c r="A378">
        <v>1354</v>
      </c>
      <c r="B378" t="s">
        <v>7396</v>
      </c>
      <c r="C378">
        <v>404</v>
      </c>
      <c r="D378" s="20">
        <v>44974</v>
      </c>
      <c r="E378" t="s">
        <v>7372</v>
      </c>
      <c r="F378" t="s">
        <v>5288</v>
      </c>
      <c r="G378" t="s">
        <v>7370</v>
      </c>
      <c r="H378">
        <v>1</v>
      </c>
      <c r="I378" t="s">
        <v>7358</v>
      </c>
      <c r="J378">
        <v>1</v>
      </c>
      <c r="K378" s="20">
        <v>44974</v>
      </c>
      <c r="L378" s="23">
        <v>9424800</v>
      </c>
      <c r="M378" t="s">
        <v>7359</v>
      </c>
      <c r="N378" t="s">
        <v>7360</v>
      </c>
      <c r="O378">
        <v>0</v>
      </c>
      <c r="P378">
        <v>12425</v>
      </c>
      <c r="Q378">
        <v>435019</v>
      </c>
      <c r="R378">
        <v>0</v>
      </c>
      <c r="S378">
        <v>20230217</v>
      </c>
      <c r="T378">
        <v>0</v>
      </c>
      <c r="U378" t="s">
        <v>7362</v>
      </c>
      <c r="V378" t="s">
        <v>7360</v>
      </c>
      <c r="W378" t="s">
        <v>7360</v>
      </c>
      <c r="X378" t="s">
        <v>7360</v>
      </c>
      <c r="Y378" t="s">
        <v>7360</v>
      </c>
      <c r="Z378" t="s">
        <v>7360</v>
      </c>
      <c r="AA378" t="s">
        <v>7362</v>
      </c>
      <c r="AB378" t="s">
        <v>7360</v>
      </c>
      <c r="AC378" t="s">
        <v>7360</v>
      </c>
      <c r="AD378" t="s">
        <v>7360</v>
      </c>
      <c r="AE378" t="s">
        <v>7360</v>
      </c>
      <c r="AF378" t="s">
        <v>1684</v>
      </c>
      <c r="AG378">
        <v>0</v>
      </c>
      <c r="AH378">
        <v>0</v>
      </c>
      <c r="AI378">
        <v>0</v>
      </c>
      <c r="AJ378">
        <v>0</v>
      </c>
      <c r="AK378">
        <v>0</v>
      </c>
      <c r="AL378" t="s">
        <v>7360</v>
      </c>
      <c r="AM378">
        <v>0</v>
      </c>
      <c r="AN378" s="20">
        <v>44974</v>
      </c>
      <c r="AO378" s="20">
        <v>44974</v>
      </c>
      <c r="AP378" s="20">
        <v>44974</v>
      </c>
      <c r="AQ378">
        <v>0</v>
      </c>
      <c r="AR378">
        <v>0</v>
      </c>
      <c r="AS378">
        <v>0</v>
      </c>
      <c r="AT378">
        <v>0</v>
      </c>
      <c r="AU378">
        <v>0</v>
      </c>
      <c r="AV378" t="s">
        <v>7360</v>
      </c>
      <c r="AW378">
        <v>0</v>
      </c>
      <c r="AX378" t="s">
        <v>7360</v>
      </c>
      <c r="AY378" t="s">
        <v>7362</v>
      </c>
      <c r="BA378">
        <v>0</v>
      </c>
      <c r="BB378" s="20">
        <v>44974</v>
      </c>
      <c r="BC378">
        <v>0</v>
      </c>
      <c r="BD378" t="s">
        <v>7360</v>
      </c>
      <c r="BF378" s="20">
        <v>44974</v>
      </c>
      <c r="BG378">
        <v>0</v>
      </c>
      <c r="BH378" t="s">
        <v>7363</v>
      </c>
      <c r="BJ378" t="s">
        <v>7362</v>
      </c>
      <c r="BK378">
        <v>169</v>
      </c>
      <c r="BL378">
        <v>11</v>
      </c>
      <c r="BM378">
        <v>1</v>
      </c>
      <c r="BN378" t="s">
        <v>7364</v>
      </c>
      <c r="BO378">
        <v>0</v>
      </c>
      <c r="BP378">
        <v>0</v>
      </c>
      <c r="BQ378">
        <v>0</v>
      </c>
      <c r="BR378">
        <v>0</v>
      </c>
      <c r="BS378" t="s">
        <v>7388</v>
      </c>
      <c r="BT378" t="s">
        <v>7360</v>
      </c>
      <c r="BU378" t="s">
        <v>7360</v>
      </c>
      <c r="BV378" t="s">
        <v>7360</v>
      </c>
      <c r="BX378" t="s">
        <v>7391</v>
      </c>
      <c r="BY378">
        <v>74</v>
      </c>
      <c r="BZ378" t="s">
        <v>7360</v>
      </c>
      <c r="CA378" t="s">
        <v>7360</v>
      </c>
      <c r="CB378" t="s">
        <v>7360</v>
      </c>
      <c r="CC378" s="21">
        <v>44974.523344907408</v>
      </c>
      <c r="CE378" t="s">
        <v>7392</v>
      </c>
      <c r="CF378">
        <v>1100101</v>
      </c>
      <c r="CG378">
        <v>53575</v>
      </c>
      <c r="CH378">
        <v>53575</v>
      </c>
      <c r="CI378" s="21">
        <v>44974.523912037039</v>
      </c>
      <c r="CJ378" t="s">
        <v>7393</v>
      </c>
      <c r="CK378" t="s">
        <v>7393</v>
      </c>
      <c r="CL378" t="s">
        <v>7394</v>
      </c>
      <c r="CM378" t="s">
        <v>7394</v>
      </c>
      <c r="CS378" t="s">
        <v>7361</v>
      </c>
      <c r="CT378" t="s">
        <v>7362</v>
      </c>
      <c r="CU378" t="s">
        <v>7362</v>
      </c>
      <c r="CV378" t="s">
        <v>7362</v>
      </c>
      <c r="CW378" t="s">
        <v>7362</v>
      </c>
      <c r="CX378">
        <v>9424800</v>
      </c>
      <c r="DA378">
        <v>0</v>
      </c>
    </row>
    <row r="379" spans="1:105" x14ac:dyDescent="0.3">
      <c r="A379">
        <v>1352</v>
      </c>
      <c r="B379" t="s">
        <v>7416</v>
      </c>
      <c r="C379">
        <v>405</v>
      </c>
      <c r="D379" s="20">
        <v>44974</v>
      </c>
      <c r="E379" t="s">
        <v>7356</v>
      </c>
      <c r="F379" t="s">
        <v>5293</v>
      </c>
      <c r="G379" t="s">
        <v>7357</v>
      </c>
      <c r="H379">
        <v>1</v>
      </c>
      <c r="I379" t="s">
        <v>7358</v>
      </c>
      <c r="J379">
        <v>1</v>
      </c>
      <c r="K379" s="20">
        <v>44974</v>
      </c>
      <c r="L379" s="23">
        <v>2613514</v>
      </c>
      <c r="M379" t="s">
        <v>7359</v>
      </c>
      <c r="N379" t="s">
        <v>7360</v>
      </c>
      <c r="O379">
        <v>0</v>
      </c>
      <c r="P379">
        <v>12473</v>
      </c>
      <c r="Q379">
        <v>437030</v>
      </c>
      <c r="R379">
        <v>0</v>
      </c>
      <c r="S379">
        <v>20230217</v>
      </c>
      <c r="T379">
        <v>0</v>
      </c>
      <c r="U379" t="s">
        <v>7361</v>
      </c>
      <c r="V379" t="s">
        <v>7360</v>
      </c>
      <c r="W379" t="s">
        <v>7360</v>
      </c>
      <c r="X379" t="s">
        <v>7360</v>
      </c>
      <c r="Y379" t="s">
        <v>7360</v>
      </c>
      <c r="Z379" t="s">
        <v>7360</v>
      </c>
      <c r="AA379" t="s">
        <v>7362</v>
      </c>
      <c r="AB379" t="s">
        <v>7360</v>
      </c>
      <c r="AC379" t="s">
        <v>7360</v>
      </c>
      <c r="AD379" t="s">
        <v>7360</v>
      </c>
      <c r="AE379" t="s">
        <v>7360</v>
      </c>
      <c r="AF379" t="s">
        <v>1684</v>
      </c>
      <c r="AG379">
        <v>0</v>
      </c>
      <c r="AH379">
        <v>0</v>
      </c>
      <c r="AI379">
        <v>0</v>
      </c>
      <c r="AJ379">
        <v>0</v>
      </c>
      <c r="AK379">
        <v>0</v>
      </c>
      <c r="AL379" t="s">
        <v>7360</v>
      </c>
      <c r="AM379">
        <v>0</v>
      </c>
      <c r="AN379" s="20">
        <v>44974</v>
      </c>
      <c r="AO379" s="20">
        <v>44974</v>
      </c>
      <c r="AP379" s="20">
        <v>44974</v>
      </c>
      <c r="AQ379">
        <v>0</v>
      </c>
      <c r="AR379">
        <v>0</v>
      </c>
      <c r="AS379">
        <v>0</v>
      </c>
      <c r="AT379">
        <v>0</v>
      </c>
      <c r="AU379">
        <v>0</v>
      </c>
      <c r="AV379" t="s">
        <v>7360</v>
      </c>
      <c r="AW379">
        <v>0</v>
      </c>
      <c r="AX379" t="s">
        <v>7360</v>
      </c>
      <c r="AY379" t="s">
        <v>7363</v>
      </c>
      <c r="BA379">
        <v>0</v>
      </c>
      <c r="BB379" s="20">
        <v>44974</v>
      </c>
      <c r="BC379">
        <v>0</v>
      </c>
      <c r="BD379" t="s">
        <v>7360</v>
      </c>
      <c r="BF379" s="20">
        <v>44974</v>
      </c>
      <c r="BG379">
        <v>0</v>
      </c>
      <c r="BH379" t="s">
        <v>7363</v>
      </c>
      <c r="BJ379" t="s">
        <v>7362</v>
      </c>
      <c r="BK379">
        <v>0</v>
      </c>
      <c r="BL379">
        <v>0</v>
      </c>
      <c r="BM379">
        <v>0</v>
      </c>
      <c r="BN379">
        <v>0</v>
      </c>
      <c r="BO379">
        <v>169</v>
      </c>
      <c r="BP379">
        <v>11</v>
      </c>
      <c r="BQ379">
        <v>1</v>
      </c>
      <c r="BR379" t="s">
        <v>7364</v>
      </c>
      <c r="BS379" t="s">
        <v>61</v>
      </c>
      <c r="BT379" t="s">
        <v>7360</v>
      </c>
      <c r="BU379" t="s">
        <v>7360</v>
      </c>
      <c r="BV379" t="s">
        <v>7360</v>
      </c>
      <c r="BX379">
        <v>0</v>
      </c>
      <c r="BY379">
        <v>0</v>
      </c>
      <c r="BZ379" t="s">
        <v>7360</v>
      </c>
      <c r="CA379" t="s">
        <v>7360</v>
      </c>
      <c r="CB379">
        <v>3380666</v>
      </c>
      <c r="CC379" s="21">
        <v>44974.52511574074</v>
      </c>
      <c r="CE379" t="s">
        <v>7366</v>
      </c>
      <c r="CF379">
        <v>0</v>
      </c>
      <c r="CG379">
        <v>702002</v>
      </c>
      <c r="CH379">
        <v>702002</v>
      </c>
      <c r="CI379" s="21">
        <v>44974.526574074072</v>
      </c>
      <c r="CJ379" t="s">
        <v>7367</v>
      </c>
      <c r="CK379" t="s">
        <v>7367</v>
      </c>
      <c r="CL379" t="s">
        <v>7368</v>
      </c>
      <c r="CM379" t="s">
        <v>7368</v>
      </c>
      <c r="CS379" t="s">
        <v>7361</v>
      </c>
      <c r="CT379" t="s">
        <v>7362</v>
      </c>
      <c r="CU379" t="s">
        <v>7362</v>
      </c>
      <c r="CV379" t="s">
        <v>7362</v>
      </c>
      <c r="CW379" t="s">
        <v>7362</v>
      </c>
      <c r="CX379">
        <v>2613514</v>
      </c>
      <c r="DA379">
        <v>0</v>
      </c>
    </row>
    <row r="380" spans="1:105" x14ac:dyDescent="0.3">
      <c r="A380">
        <v>1354</v>
      </c>
      <c r="B380" t="s">
        <v>7396</v>
      </c>
      <c r="C380">
        <v>406</v>
      </c>
      <c r="D380" s="20">
        <v>44974</v>
      </c>
      <c r="E380" t="s">
        <v>7372</v>
      </c>
      <c r="F380" t="s">
        <v>5298</v>
      </c>
      <c r="G380" t="s">
        <v>7370</v>
      </c>
      <c r="H380">
        <v>1</v>
      </c>
      <c r="I380" t="s">
        <v>7358</v>
      </c>
      <c r="J380">
        <v>1</v>
      </c>
      <c r="K380" s="20">
        <v>44974</v>
      </c>
      <c r="L380" s="23">
        <v>6283200</v>
      </c>
      <c r="M380" t="s">
        <v>7359</v>
      </c>
      <c r="N380" t="s">
        <v>7360</v>
      </c>
      <c r="O380">
        <v>0</v>
      </c>
      <c r="P380">
        <v>12426</v>
      </c>
      <c r="Q380">
        <v>435020</v>
      </c>
      <c r="R380">
        <v>0</v>
      </c>
      <c r="S380">
        <v>20230217</v>
      </c>
      <c r="T380">
        <v>0</v>
      </c>
      <c r="U380" t="s">
        <v>7362</v>
      </c>
      <c r="V380" t="s">
        <v>7360</v>
      </c>
      <c r="W380" t="s">
        <v>7360</v>
      </c>
      <c r="X380" t="s">
        <v>7360</v>
      </c>
      <c r="Y380" t="s">
        <v>7360</v>
      </c>
      <c r="Z380" t="s">
        <v>7360</v>
      </c>
      <c r="AA380" t="s">
        <v>7362</v>
      </c>
      <c r="AB380" t="s">
        <v>7360</v>
      </c>
      <c r="AC380" t="s">
        <v>7360</v>
      </c>
      <c r="AD380" t="s">
        <v>7360</v>
      </c>
      <c r="AE380" t="s">
        <v>7360</v>
      </c>
      <c r="AF380" t="s">
        <v>1684</v>
      </c>
      <c r="AG380">
        <v>0</v>
      </c>
      <c r="AH380">
        <v>0</v>
      </c>
      <c r="AI380">
        <v>0</v>
      </c>
      <c r="AJ380">
        <v>0</v>
      </c>
      <c r="AK380">
        <v>0</v>
      </c>
      <c r="AL380" t="s">
        <v>7360</v>
      </c>
      <c r="AM380">
        <v>0</v>
      </c>
      <c r="AN380" s="20">
        <v>44974</v>
      </c>
      <c r="AO380" s="20">
        <v>44974</v>
      </c>
      <c r="AP380" s="20">
        <v>44974</v>
      </c>
      <c r="AQ380">
        <v>0</v>
      </c>
      <c r="AR380">
        <v>0</v>
      </c>
      <c r="AS380">
        <v>0</v>
      </c>
      <c r="AT380">
        <v>0</v>
      </c>
      <c r="AU380">
        <v>0</v>
      </c>
      <c r="AV380" t="s">
        <v>7360</v>
      </c>
      <c r="AW380">
        <v>0</v>
      </c>
      <c r="AX380" t="s">
        <v>7360</v>
      </c>
      <c r="AY380" t="s">
        <v>7362</v>
      </c>
      <c r="BA380">
        <v>0</v>
      </c>
      <c r="BB380" s="20">
        <v>44974</v>
      </c>
      <c r="BC380">
        <v>0</v>
      </c>
      <c r="BD380" t="s">
        <v>7360</v>
      </c>
      <c r="BF380" s="20">
        <v>44974</v>
      </c>
      <c r="BG380">
        <v>0</v>
      </c>
      <c r="BH380" t="s">
        <v>7363</v>
      </c>
      <c r="BJ380" t="s">
        <v>7362</v>
      </c>
      <c r="BK380">
        <v>169</v>
      </c>
      <c r="BL380">
        <v>11</v>
      </c>
      <c r="BM380">
        <v>1</v>
      </c>
      <c r="BN380" t="s">
        <v>7364</v>
      </c>
      <c r="BO380">
        <v>0</v>
      </c>
      <c r="BP380">
        <v>0</v>
      </c>
      <c r="BQ380">
        <v>0</v>
      </c>
      <c r="BR380">
        <v>0</v>
      </c>
      <c r="BS380" t="s">
        <v>7388</v>
      </c>
      <c r="BT380" t="s">
        <v>7360</v>
      </c>
      <c r="BU380" t="s">
        <v>7360</v>
      </c>
      <c r="BV380" t="s">
        <v>7360</v>
      </c>
      <c r="BX380" t="s">
        <v>7391</v>
      </c>
      <c r="BY380">
        <v>74</v>
      </c>
      <c r="BZ380" t="s">
        <v>7360</v>
      </c>
      <c r="CA380" t="s">
        <v>7360</v>
      </c>
      <c r="CC380" s="21">
        <v>44974.53019675926</v>
      </c>
      <c r="CE380" t="s">
        <v>7392</v>
      </c>
      <c r="CF380">
        <v>1100101</v>
      </c>
      <c r="CG380">
        <v>53575</v>
      </c>
      <c r="CH380">
        <v>53575</v>
      </c>
      <c r="CI380" s="21">
        <v>44974.531898148147</v>
      </c>
      <c r="CJ380" t="s">
        <v>7393</v>
      </c>
      <c r="CK380" t="s">
        <v>7393</v>
      </c>
      <c r="CL380" t="s">
        <v>7394</v>
      </c>
      <c r="CM380" t="s">
        <v>7394</v>
      </c>
      <c r="CS380" t="s">
        <v>7361</v>
      </c>
      <c r="CT380" t="s">
        <v>7362</v>
      </c>
      <c r="CU380" t="s">
        <v>7362</v>
      </c>
      <c r="CV380" t="s">
        <v>7362</v>
      </c>
      <c r="CW380" t="s">
        <v>7362</v>
      </c>
      <c r="CX380">
        <v>6283200</v>
      </c>
      <c r="DA380">
        <v>0</v>
      </c>
    </row>
    <row r="381" spans="1:105" x14ac:dyDescent="0.3">
      <c r="A381">
        <v>1366</v>
      </c>
      <c r="B381" t="s">
        <v>7380</v>
      </c>
      <c r="C381">
        <v>407</v>
      </c>
      <c r="D381" s="20">
        <v>44974</v>
      </c>
      <c r="E381" t="s">
        <v>7356</v>
      </c>
      <c r="F381" t="s">
        <v>5246</v>
      </c>
      <c r="G381" t="s">
        <v>7357</v>
      </c>
      <c r="H381">
        <v>1</v>
      </c>
      <c r="I381" t="s">
        <v>7358</v>
      </c>
      <c r="J381">
        <v>1</v>
      </c>
      <c r="K381" s="20">
        <v>44974</v>
      </c>
      <c r="L381" s="23">
        <v>544425</v>
      </c>
      <c r="M381" t="s">
        <v>7359</v>
      </c>
      <c r="N381" t="s">
        <v>7360</v>
      </c>
      <c r="O381">
        <v>0</v>
      </c>
      <c r="P381">
        <v>12456</v>
      </c>
      <c r="Q381">
        <v>437021</v>
      </c>
      <c r="R381">
        <v>0</v>
      </c>
      <c r="S381">
        <v>20230217</v>
      </c>
      <c r="T381">
        <v>0</v>
      </c>
      <c r="U381" t="s">
        <v>7361</v>
      </c>
      <c r="V381" t="s">
        <v>7360</v>
      </c>
      <c r="W381" t="s">
        <v>7360</v>
      </c>
      <c r="X381" t="s">
        <v>7360</v>
      </c>
      <c r="Y381" t="s">
        <v>7360</v>
      </c>
      <c r="Z381" t="s">
        <v>7360</v>
      </c>
      <c r="AA381" t="s">
        <v>7362</v>
      </c>
      <c r="AB381" t="s">
        <v>7360</v>
      </c>
      <c r="AC381" t="s">
        <v>7360</v>
      </c>
      <c r="AD381" t="s">
        <v>7360</v>
      </c>
      <c r="AE381" t="s">
        <v>7360</v>
      </c>
      <c r="AF381" t="s">
        <v>1684</v>
      </c>
      <c r="AG381">
        <v>0</v>
      </c>
      <c r="AH381">
        <v>0</v>
      </c>
      <c r="AI381">
        <v>0</v>
      </c>
      <c r="AJ381">
        <v>0</v>
      </c>
      <c r="AK381">
        <v>0</v>
      </c>
      <c r="AL381" t="s">
        <v>7360</v>
      </c>
      <c r="AM381">
        <v>0</v>
      </c>
      <c r="AN381" s="20">
        <v>44974</v>
      </c>
      <c r="AO381" s="20">
        <v>44974</v>
      </c>
      <c r="AP381" s="20">
        <v>44974</v>
      </c>
      <c r="AQ381">
        <v>0</v>
      </c>
      <c r="AR381">
        <v>0</v>
      </c>
      <c r="AS381">
        <v>0</v>
      </c>
      <c r="AT381">
        <v>0</v>
      </c>
      <c r="AU381">
        <v>0</v>
      </c>
      <c r="AV381" t="s">
        <v>7360</v>
      </c>
      <c r="AW381">
        <v>0</v>
      </c>
      <c r="AX381" t="s">
        <v>7360</v>
      </c>
      <c r="AY381" t="s">
        <v>7363</v>
      </c>
      <c r="BA381">
        <v>0</v>
      </c>
      <c r="BB381" s="20">
        <v>44974</v>
      </c>
      <c r="BC381">
        <v>0</v>
      </c>
      <c r="BD381" t="s">
        <v>7360</v>
      </c>
      <c r="BF381" s="20">
        <v>44974</v>
      </c>
      <c r="BG381">
        <v>0</v>
      </c>
      <c r="BH381" t="s">
        <v>7363</v>
      </c>
      <c r="BJ381" t="s">
        <v>7362</v>
      </c>
      <c r="BK381">
        <v>169</v>
      </c>
      <c r="BL381">
        <v>11</v>
      </c>
      <c r="BM381">
        <v>1</v>
      </c>
      <c r="BN381" t="s">
        <v>7364</v>
      </c>
      <c r="BO381">
        <v>0</v>
      </c>
      <c r="BP381">
        <v>0</v>
      </c>
      <c r="BQ381">
        <v>0</v>
      </c>
      <c r="BR381">
        <v>0</v>
      </c>
      <c r="BS381" t="s">
        <v>7388</v>
      </c>
      <c r="BT381" t="s">
        <v>7360</v>
      </c>
      <c r="BU381" t="s">
        <v>7360</v>
      </c>
      <c r="BV381" t="s">
        <v>7360</v>
      </c>
      <c r="BX381" t="s">
        <v>7391</v>
      </c>
      <c r="BY381">
        <v>74</v>
      </c>
      <c r="BZ381" t="s">
        <v>7360</v>
      </c>
      <c r="CA381" t="s">
        <v>7360</v>
      </c>
      <c r="CB381" t="s">
        <v>7360</v>
      </c>
      <c r="CC381" s="21">
        <v>44974.538923611108</v>
      </c>
      <c r="CE381" t="s">
        <v>7392</v>
      </c>
      <c r="CF381">
        <v>1100101</v>
      </c>
      <c r="CG381">
        <v>53575</v>
      </c>
      <c r="CH381">
        <v>53575</v>
      </c>
      <c r="CI381" s="21">
        <v>44974.540034722224</v>
      </c>
      <c r="CJ381" t="s">
        <v>7393</v>
      </c>
      <c r="CK381" t="s">
        <v>7393</v>
      </c>
      <c r="CL381" t="s">
        <v>7394</v>
      </c>
      <c r="CM381" t="s">
        <v>7394</v>
      </c>
      <c r="CS381" t="s">
        <v>7361</v>
      </c>
      <c r="CT381" t="s">
        <v>7362</v>
      </c>
      <c r="CU381" t="s">
        <v>7362</v>
      </c>
      <c r="CV381" t="s">
        <v>7362</v>
      </c>
      <c r="CW381" t="s">
        <v>7362</v>
      </c>
      <c r="CX381">
        <v>544425</v>
      </c>
      <c r="DA381">
        <v>0</v>
      </c>
    </row>
    <row r="382" spans="1:105" x14ac:dyDescent="0.3">
      <c r="A382">
        <v>1356</v>
      </c>
      <c r="B382" t="s">
        <v>7402</v>
      </c>
      <c r="C382">
        <v>408</v>
      </c>
      <c r="D382" s="20">
        <v>44974</v>
      </c>
      <c r="E382" t="s">
        <v>7356</v>
      </c>
      <c r="F382" t="s">
        <v>5246</v>
      </c>
      <c r="G382" t="s">
        <v>7370</v>
      </c>
      <c r="H382">
        <v>1</v>
      </c>
      <c r="I382" t="s">
        <v>7358</v>
      </c>
      <c r="J382">
        <v>1</v>
      </c>
      <c r="K382" s="20">
        <v>44974</v>
      </c>
      <c r="L382" s="23">
        <v>5100000</v>
      </c>
      <c r="M382" t="s">
        <v>7359</v>
      </c>
      <c r="N382" t="s">
        <v>7360</v>
      </c>
      <c r="O382">
        <v>0</v>
      </c>
      <c r="P382">
        <v>12500</v>
      </c>
      <c r="Q382">
        <v>439016</v>
      </c>
      <c r="R382">
        <v>0</v>
      </c>
      <c r="S382">
        <v>20230217</v>
      </c>
      <c r="T382">
        <v>0</v>
      </c>
      <c r="U382" t="s">
        <v>7361</v>
      </c>
      <c r="V382" t="s">
        <v>7360</v>
      </c>
      <c r="W382" t="s">
        <v>7360</v>
      </c>
      <c r="X382" t="s">
        <v>7360</v>
      </c>
      <c r="Y382" t="s">
        <v>7360</v>
      </c>
      <c r="Z382" t="s">
        <v>7360</v>
      </c>
      <c r="AA382" t="s">
        <v>7362</v>
      </c>
      <c r="AB382" t="s">
        <v>7360</v>
      </c>
      <c r="AC382" t="s">
        <v>7360</v>
      </c>
      <c r="AD382" t="s">
        <v>7360</v>
      </c>
      <c r="AE382" t="s">
        <v>7360</v>
      </c>
      <c r="AF382" t="s">
        <v>1684</v>
      </c>
      <c r="AG382">
        <v>0</v>
      </c>
      <c r="AH382">
        <v>0</v>
      </c>
      <c r="AI382">
        <v>0</v>
      </c>
      <c r="AJ382">
        <v>0</v>
      </c>
      <c r="AK382">
        <v>0</v>
      </c>
      <c r="AL382" t="s">
        <v>7360</v>
      </c>
      <c r="AM382">
        <v>0</v>
      </c>
      <c r="AN382" s="20">
        <v>44974</v>
      </c>
      <c r="AO382" s="20">
        <v>44974</v>
      </c>
      <c r="AP382" s="20">
        <v>44974</v>
      </c>
      <c r="AQ382">
        <v>0</v>
      </c>
      <c r="AR382">
        <v>0</v>
      </c>
      <c r="AS382">
        <v>0</v>
      </c>
      <c r="AT382">
        <v>0</v>
      </c>
      <c r="AU382">
        <v>0</v>
      </c>
      <c r="AV382" t="s">
        <v>7360</v>
      </c>
      <c r="AW382">
        <v>0</v>
      </c>
      <c r="AX382" t="s">
        <v>7360</v>
      </c>
      <c r="AY382" t="s">
        <v>7363</v>
      </c>
      <c r="BA382">
        <v>0</v>
      </c>
      <c r="BB382" s="20">
        <v>44974</v>
      </c>
      <c r="BC382">
        <v>0</v>
      </c>
      <c r="BD382" t="s">
        <v>7360</v>
      </c>
      <c r="BF382" s="20">
        <v>44974</v>
      </c>
      <c r="BG382">
        <v>0</v>
      </c>
      <c r="BH382" t="s">
        <v>1729</v>
      </c>
      <c r="BJ382" t="s">
        <v>7362</v>
      </c>
      <c r="BK382">
        <v>169</v>
      </c>
      <c r="BL382">
        <v>11</v>
      </c>
      <c r="BM382">
        <v>1</v>
      </c>
      <c r="BN382" t="s">
        <v>7364</v>
      </c>
      <c r="BO382">
        <v>0</v>
      </c>
      <c r="BP382">
        <v>0</v>
      </c>
      <c r="BQ382">
        <v>0</v>
      </c>
      <c r="BR382">
        <v>0</v>
      </c>
      <c r="BS382" t="s">
        <v>7427</v>
      </c>
      <c r="BT382" t="s">
        <v>7360</v>
      </c>
      <c r="BU382" t="s">
        <v>7360</v>
      </c>
      <c r="BV382" t="s">
        <v>7360</v>
      </c>
      <c r="BX382" t="s">
        <v>7391</v>
      </c>
      <c r="BY382">
        <v>74</v>
      </c>
      <c r="BZ382" t="s">
        <v>7360</v>
      </c>
      <c r="CA382" t="s">
        <v>7360</v>
      </c>
      <c r="CB382" t="s">
        <v>7360</v>
      </c>
      <c r="CC382" s="21">
        <v>44974.654722222222</v>
      </c>
      <c r="CE382" t="s">
        <v>7392</v>
      </c>
      <c r="CF382">
        <v>1100101</v>
      </c>
      <c r="CG382">
        <v>53575</v>
      </c>
      <c r="CH382">
        <v>53575</v>
      </c>
      <c r="CI382" s="21">
        <v>44974.655682870369</v>
      </c>
      <c r="CJ382" t="s">
        <v>7393</v>
      </c>
      <c r="CK382" t="s">
        <v>7393</v>
      </c>
      <c r="CL382" t="s">
        <v>7394</v>
      </c>
      <c r="CM382" t="s">
        <v>7394</v>
      </c>
      <c r="CS382" t="s">
        <v>7361</v>
      </c>
      <c r="CT382" t="s">
        <v>7362</v>
      </c>
      <c r="CU382" t="s">
        <v>7362</v>
      </c>
      <c r="CV382" t="s">
        <v>7362</v>
      </c>
      <c r="CW382" t="s">
        <v>7362</v>
      </c>
      <c r="CX382">
        <v>5100000</v>
      </c>
      <c r="DA382">
        <v>0</v>
      </c>
    </row>
    <row r="383" spans="1:105" x14ac:dyDescent="0.3">
      <c r="A383">
        <v>1355</v>
      </c>
      <c r="B383" t="s">
        <v>7409</v>
      </c>
      <c r="C383">
        <v>409</v>
      </c>
      <c r="D383" s="20">
        <v>44976</v>
      </c>
      <c r="E383" t="s">
        <v>7356</v>
      </c>
      <c r="F383" t="s">
        <v>5251</v>
      </c>
      <c r="G383" t="s">
        <v>7357</v>
      </c>
      <c r="H383">
        <v>1</v>
      </c>
      <c r="I383" t="s">
        <v>7358</v>
      </c>
      <c r="J383">
        <v>1</v>
      </c>
      <c r="K383" s="20">
        <v>44976</v>
      </c>
      <c r="L383" s="23">
        <v>737324</v>
      </c>
      <c r="M383" t="s">
        <v>7359</v>
      </c>
      <c r="N383" t="s">
        <v>7360</v>
      </c>
      <c r="O383">
        <v>0</v>
      </c>
      <c r="P383">
        <v>12584</v>
      </c>
      <c r="Q383">
        <v>440020</v>
      </c>
      <c r="R383">
        <v>0</v>
      </c>
      <c r="S383">
        <v>20230219</v>
      </c>
      <c r="T383">
        <v>0</v>
      </c>
      <c r="U383" t="s">
        <v>7361</v>
      </c>
      <c r="V383" t="s">
        <v>7360</v>
      </c>
      <c r="W383" t="s">
        <v>7360</v>
      </c>
      <c r="X383" t="s">
        <v>7360</v>
      </c>
      <c r="Y383" t="s">
        <v>7360</v>
      </c>
      <c r="Z383" t="s">
        <v>7360</v>
      </c>
      <c r="AA383" t="s">
        <v>7362</v>
      </c>
      <c r="AB383" t="s">
        <v>7360</v>
      </c>
      <c r="AC383" t="s">
        <v>7360</v>
      </c>
      <c r="AD383" t="s">
        <v>7360</v>
      </c>
      <c r="AE383" t="s">
        <v>7360</v>
      </c>
      <c r="AF383" t="s">
        <v>1684</v>
      </c>
      <c r="AG383">
        <v>0</v>
      </c>
      <c r="AH383">
        <v>0</v>
      </c>
      <c r="AI383">
        <v>0</v>
      </c>
      <c r="AJ383">
        <v>0</v>
      </c>
      <c r="AK383">
        <v>0</v>
      </c>
      <c r="AL383" t="s">
        <v>7360</v>
      </c>
      <c r="AM383">
        <v>0</v>
      </c>
      <c r="AN383" s="20">
        <v>44976</v>
      </c>
      <c r="AO383" s="20">
        <v>44976</v>
      </c>
      <c r="AP383" s="20">
        <v>44976</v>
      </c>
      <c r="AQ383">
        <v>0</v>
      </c>
      <c r="AR383">
        <v>0</v>
      </c>
      <c r="AS383">
        <v>0</v>
      </c>
      <c r="AT383">
        <v>0</v>
      </c>
      <c r="AU383">
        <v>0</v>
      </c>
      <c r="AV383" t="s">
        <v>7360</v>
      </c>
      <c r="AW383">
        <v>0</v>
      </c>
      <c r="AX383" t="s">
        <v>7360</v>
      </c>
      <c r="AY383" t="s">
        <v>7363</v>
      </c>
      <c r="BA383">
        <v>0</v>
      </c>
      <c r="BB383" s="20">
        <v>44976</v>
      </c>
      <c r="BC383">
        <v>0</v>
      </c>
      <c r="BD383" t="s">
        <v>7360</v>
      </c>
      <c r="BF383" s="20">
        <v>44976</v>
      </c>
      <c r="BG383">
        <v>0</v>
      </c>
      <c r="BH383" t="s">
        <v>7363</v>
      </c>
      <c r="BJ383" t="s">
        <v>7362</v>
      </c>
      <c r="BK383">
        <v>0</v>
      </c>
      <c r="BL383">
        <v>0</v>
      </c>
      <c r="BM383">
        <v>0</v>
      </c>
      <c r="BN383">
        <v>0</v>
      </c>
      <c r="BO383">
        <v>169</v>
      </c>
      <c r="BP383">
        <v>11</v>
      </c>
      <c r="BQ383">
        <v>1</v>
      </c>
      <c r="BR383" t="s">
        <v>7364</v>
      </c>
      <c r="BS383" t="s">
        <v>61</v>
      </c>
      <c r="BT383" t="s">
        <v>7360</v>
      </c>
      <c r="BU383" t="s">
        <v>7360</v>
      </c>
      <c r="BV383" t="s">
        <v>7360</v>
      </c>
      <c r="BX383">
        <v>0</v>
      </c>
      <c r="BY383">
        <v>0</v>
      </c>
      <c r="BZ383" t="s">
        <v>7360</v>
      </c>
      <c r="CA383" t="s">
        <v>7360</v>
      </c>
      <c r="CB383">
        <v>3380666</v>
      </c>
      <c r="CC383" s="21">
        <v>44976.932974537034</v>
      </c>
      <c r="CE383" t="s">
        <v>7366</v>
      </c>
      <c r="CF383">
        <v>0</v>
      </c>
      <c r="CG383">
        <v>702002</v>
      </c>
      <c r="CH383">
        <v>702002</v>
      </c>
      <c r="CI383" s="21">
        <v>44976.934606481482</v>
      </c>
      <c r="CJ383" t="s">
        <v>7367</v>
      </c>
      <c r="CK383" t="s">
        <v>7367</v>
      </c>
      <c r="CL383" t="s">
        <v>7368</v>
      </c>
      <c r="CM383" t="s">
        <v>7368</v>
      </c>
      <c r="CS383" t="s">
        <v>7361</v>
      </c>
      <c r="CT383" t="s">
        <v>7362</v>
      </c>
      <c r="CU383" t="s">
        <v>7362</v>
      </c>
      <c r="CV383" t="s">
        <v>7362</v>
      </c>
      <c r="CW383" t="s">
        <v>7362</v>
      </c>
      <c r="CX383">
        <v>737324</v>
      </c>
      <c r="DA383">
        <v>0</v>
      </c>
    </row>
    <row r="384" spans="1:105" x14ac:dyDescent="0.3">
      <c r="A384">
        <v>1364</v>
      </c>
      <c r="B384" t="s">
        <v>7355</v>
      </c>
      <c r="C384">
        <v>410</v>
      </c>
      <c r="D384" s="20">
        <v>44976</v>
      </c>
      <c r="E384" t="s">
        <v>7356</v>
      </c>
      <c r="F384" t="s">
        <v>5257</v>
      </c>
      <c r="G384" t="s">
        <v>7370</v>
      </c>
      <c r="H384">
        <v>1</v>
      </c>
      <c r="I384" t="s">
        <v>7358</v>
      </c>
      <c r="J384">
        <v>1</v>
      </c>
      <c r="K384" s="20">
        <v>44976</v>
      </c>
      <c r="L384" s="23">
        <v>785000</v>
      </c>
      <c r="M384" t="s">
        <v>7359</v>
      </c>
      <c r="N384" t="s">
        <v>7360</v>
      </c>
      <c r="O384">
        <v>0</v>
      </c>
      <c r="P384">
        <v>12583</v>
      </c>
      <c r="Q384">
        <v>440019</v>
      </c>
      <c r="R384">
        <v>0</v>
      </c>
      <c r="S384">
        <v>20230219</v>
      </c>
      <c r="T384">
        <v>0</v>
      </c>
      <c r="U384" t="s">
        <v>7361</v>
      </c>
      <c r="V384" t="s">
        <v>7360</v>
      </c>
      <c r="W384" t="s">
        <v>7360</v>
      </c>
      <c r="X384" t="s">
        <v>7360</v>
      </c>
      <c r="Y384" t="s">
        <v>7360</v>
      </c>
      <c r="Z384" t="s">
        <v>7360</v>
      </c>
      <c r="AA384" t="s">
        <v>7362</v>
      </c>
      <c r="AB384" t="s">
        <v>7360</v>
      </c>
      <c r="AC384" t="s">
        <v>7360</v>
      </c>
      <c r="AD384" t="s">
        <v>7360</v>
      </c>
      <c r="AE384" t="s">
        <v>7360</v>
      </c>
      <c r="AF384" t="s">
        <v>1684</v>
      </c>
      <c r="AG384">
        <v>0</v>
      </c>
      <c r="AH384">
        <v>0</v>
      </c>
      <c r="AI384">
        <v>0</v>
      </c>
      <c r="AJ384">
        <v>0</v>
      </c>
      <c r="AK384">
        <v>0</v>
      </c>
      <c r="AL384" t="s">
        <v>7360</v>
      </c>
      <c r="AM384">
        <v>0</v>
      </c>
      <c r="AN384" s="20">
        <v>44976</v>
      </c>
      <c r="AO384" s="20">
        <v>44976</v>
      </c>
      <c r="AP384" s="20">
        <v>44976</v>
      </c>
      <c r="AQ384">
        <v>0</v>
      </c>
      <c r="AR384">
        <v>0</v>
      </c>
      <c r="AS384">
        <v>0</v>
      </c>
      <c r="AT384">
        <v>0</v>
      </c>
      <c r="AU384">
        <v>0</v>
      </c>
      <c r="AV384" t="s">
        <v>7360</v>
      </c>
      <c r="AW384">
        <v>0</v>
      </c>
      <c r="AX384" t="s">
        <v>7360</v>
      </c>
      <c r="AY384" t="s">
        <v>7363</v>
      </c>
      <c r="BA384">
        <v>0</v>
      </c>
      <c r="BB384" s="20">
        <v>44976</v>
      </c>
      <c r="BC384">
        <v>0</v>
      </c>
      <c r="BD384" t="s">
        <v>7360</v>
      </c>
      <c r="BF384" s="20">
        <v>44976</v>
      </c>
      <c r="BG384">
        <v>0</v>
      </c>
      <c r="BH384" t="s">
        <v>7363</v>
      </c>
      <c r="BJ384" t="s">
        <v>7362</v>
      </c>
      <c r="BK384">
        <v>0</v>
      </c>
      <c r="BL384">
        <v>0</v>
      </c>
      <c r="BM384">
        <v>0</v>
      </c>
      <c r="BN384">
        <v>0</v>
      </c>
      <c r="BO384">
        <v>169</v>
      </c>
      <c r="BP384">
        <v>11</v>
      </c>
      <c r="BQ384">
        <v>1</v>
      </c>
      <c r="BR384" t="s">
        <v>7364</v>
      </c>
      <c r="BS384" t="s">
        <v>7365</v>
      </c>
      <c r="BT384" t="s">
        <v>7360</v>
      </c>
      <c r="BU384" t="s">
        <v>7360</v>
      </c>
      <c r="BV384" t="s">
        <v>7360</v>
      </c>
      <c r="BX384">
        <v>0</v>
      </c>
      <c r="BY384">
        <v>0</v>
      </c>
      <c r="BZ384" t="s">
        <v>7360</v>
      </c>
      <c r="CA384" t="s">
        <v>7360</v>
      </c>
      <c r="CB384">
        <v>3380666</v>
      </c>
      <c r="CC384" s="21">
        <v>44976.938622685186</v>
      </c>
      <c r="CE384" t="s">
        <v>7366</v>
      </c>
      <c r="CF384">
        <v>0</v>
      </c>
      <c r="CG384">
        <v>702002</v>
      </c>
      <c r="CH384">
        <v>702002</v>
      </c>
      <c r="CI384" s="21">
        <v>44976.941400462965</v>
      </c>
      <c r="CJ384" t="s">
        <v>7367</v>
      </c>
      <c r="CK384" t="s">
        <v>7367</v>
      </c>
      <c r="CL384" t="s">
        <v>7368</v>
      </c>
      <c r="CM384" t="s">
        <v>7368</v>
      </c>
      <c r="CS384" t="s">
        <v>7361</v>
      </c>
      <c r="CT384" t="s">
        <v>7362</v>
      </c>
      <c r="CU384" t="s">
        <v>7362</v>
      </c>
      <c r="CV384" t="s">
        <v>7362</v>
      </c>
      <c r="CW384" t="s">
        <v>7362</v>
      </c>
      <c r="CX384">
        <v>785000</v>
      </c>
      <c r="DA384">
        <v>0</v>
      </c>
    </row>
    <row r="385" spans="1:106" x14ac:dyDescent="0.3">
      <c r="A385">
        <v>1366</v>
      </c>
      <c r="B385" t="s">
        <v>7380</v>
      </c>
      <c r="C385">
        <v>411</v>
      </c>
      <c r="D385" s="20">
        <v>44977</v>
      </c>
      <c r="E385" t="s">
        <v>7356</v>
      </c>
      <c r="F385" t="s">
        <v>5262</v>
      </c>
      <c r="G385" t="s">
        <v>7357</v>
      </c>
      <c r="H385">
        <v>1</v>
      </c>
      <c r="I385" t="s">
        <v>7358</v>
      </c>
      <c r="J385">
        <v>1</v>
      </c>
      <c r="K385" s="20">
        <v>44977</v>
      </c>
      <c r="L385" s="23">
        <v>14546000</v>
      </c>
      <c r="M385" t="s">
        <v>7359</v>
      </c>
      <c r="N385" t="s">
        <v>7360</v>
      </c>
      <c r="O385">
        <v>0</v>
      </c>
      <c r="P385">
        <v>12471</v>
      </c>
      <c r="Q385">
        <v>437029</v>
      </c>
      <c r="R385">
        <v>0</v>
      </c>
      <c r="S385">
        <v>20230220</v>
      </c>
      <c r="T385">
        <v>0</v>
      </c>
      <c r="U385" t="s">
        <v>7361</v>
      </c>
      <c r="V385" t="s">
        <v>7360</v>
      </c>
      <c r="W385" t="s">
        <v>7360</v>
      </c>
      <c r="X385" t="s">
        <v>7360</v>
      </c>
      <c r="Y385" t="s">
        <v>7360</v>
      </c>
      <c r="Z385" t="s">
        <v>7360</v>
      </c>
      <c r="AA385" t="s">
        <v>7362</v>
      </c>
      <c r="AB385" t="s">
        <v>7360</v>
      </c>
      <c r="AC385" t="s">
        <v>7360</v>
      </c>
      <c r="AD385" t="s">
        <v>7360</v>
      </c>
      <c r="AE385" t="s">
        <v>7360</v>
      </c>
      <c r="AF385" t="s">
        <v>1684</v>
      </c>
      <c r="AG385">
        <v>0</v>
      </c>
      <c r="AH385">
        <v>0</v>
      </c>
      <c r="AI385">
        <v>0</v>
      </c>
      <c r="AJ385">
        <v>0</v>
      </c>
      <c r="AK385">
        <v>0</v>
      </c>
      <c r="AL385" t="s">
        <v>7360</v>
      </c>
      <c r="AM385">
        <v>0</v>
      </c>
      <c r="AN385" s="20">
        <v>44977</v>
      </c>
      <c r="AO385" s="20">
        <v>44977</v>
      </c>
      <c r="AP385" s="20">
        <v>44977</v>
      </c>
      <c r="AQ385">
        <v>0</v>
      </c>
      <c r="AR385">
        <v>0</v>
      </c>
      <c r="AS385">
        <v>0</v>
      </c>
      <c r="AT385">
        <v>0</v>
      </c>
      <c r="AU385">
        <v>0</v>
      </c>
      <c r="AV385" t="s">
        <v>7360</v>
      </c>
      <c r="AW385">
        <v>0</v>
      </c>
      <c r="AX385" t="s">
        <v>7360</v>
      </c>
      <c r="AY385" t="s">
        <v>7363</v>
      </c>
      <c r="BA385">
        <v>0</v>
      </c>
      <c r="BB385" s="20">
        <v>44977</v>
      </c>
      <c r="BC385">
        <v>0</v>
      </c>
      <c r="BD385" t="s">
        <v>7360</v>
      </c>
      <c r="BF385" s="20">
        <v>44977</v>
      </c>
      <c r="BG385">
        <v>0</v>
      </c>
      <c r="BH385" t="s">
        <v>7363</v>
      </c>
      <c r="BJ385" t="s">
        <v>7362</v>
      </c>
      <c r="BK385">
        <v>0</v>
      </c>
      <c r="BL385">
        <v>0</v>
      </c>
      <c r="BM385">
        <v>0</v>
      </c>
      <c r="BN385">
        <v>0</v>
      </c>
      <c r="BO385">
        <v>169</v>
      </c>
      <c r="BP385">
        <v>11</v>
      </c>
      <c r="BQ385">
        <v>1</v>
      </c>
      <c r="BR385" t="s">
        <v>7364</v>
      </c>
      <c r="BS385" t="s">
        <v>61</v>
      </c>
      <c r="BT385" t="s">
        <v>7360</v>
      </c>
      <c r="BU385" t="s">
        <v>7360</v>
      </c>
      <c r="BV385" t="s">
        <v>7360</v>
      </c>
      <c r="BX385">
        <v>0</v>
      </c>
      <c r="BY385">
        <v>0</v>
      </c>
      <c r="BZ385" t="s">
        <v>7360</v>
      </c>
      <c r="CA385" t="s">
        <v>7360</v>
      </c>
      <c r="CB385">
        <v>3380666</v>
      </c>
      <c r="CC385" s="21">
        <v>44977.414606481485</v>
      </c>
      <c r="CE385" t="s">
        <v>7366</v>
      </c>
      <c r="CF385">
        <v>0</v>
      </c>
      <c r="CG385">
        <v>702002</v>
      </c>
      <c r="CH385">
        <v>702002</v>
      </c>
      <c r="CI385" s="21">
        <v>44977.415972222225</v>
      </c>
      <c r="CJ385" t="s">
        <v>7367</v>
      </c>
      <c r="CK385" t="s">
        <v>7367</v>
      </c>
      <c r="CL385" t="s">
        <v>7368</v>
      </c>
      <c r="CM385" t="s">
        <v>7368</v>
      </c>
      <c r="CS385" t="s">
        <v>7361</v>
      </c>
      <c r="CT385" t="s">
        <v>7362</v>
      </c>
      <c r="CU385" t="s">
        <v>7362</v>
      </c>
      <c r="CV385" t="s">
        <v>7362</v>
      </c>
      <c r="CW385" t="s">
        <v>7362</v>
      </c>
      <c r="CX385">
        <v>14546000</v>
      </c>
      <c r="DA385">
        <v>0</v>
      </c>
    </row>
    <row r="386" spans="1:106" x14ac:dyDescent="0.3">
      <c r="A386">
        <v>1354</v>
      </c>
      <c r="B386" t="s">
        <v>7396</v>
      </c>
      <c r="C386">
        <v>412</v>
      </c>
      <c r="D386" s="20">
        <v>44977</v>
      </c>
      <c r="E386" t="s">
        <v>7372</v>
      </c>
      <c r="F386" t="s">
        <v>5267</v>
      </c>
      <c r="G386" t="s">
        <v>7370</v>
      </c>
      <c r="H386">
        <v>1</v>
      </c>
      <c r="I386" t="s">
        <v>7358</v>
      </c>
      <c r="J386">
        <v>1</v>
      </c>
      <c r="K386" s="20">
        <v>44977</v>
      </c>
      <c r="L386" s="23">
        <v>4068000</v>
      </c>
      <c r="M386" t="s">
        <v>7359</v>
      </c>
      <c r="N386" t="s">
        <v>7360</v>
      </c>
      <c r="O386">
        <v>0</v>
      </c>
      <c r="P386">
        <v>12574</v>
      </c>
      <c r="Q386">
        <v>440014</v>
      </c>
      <c r="R386">
        <v>0</v>
      </c>
      <c r="S386">
        <v>20230220</v>
      </c>
      <c r="T386">
        <v>0</v>
      </c>
      <c r="U386" t="s">
        <v>7362</v>
      </c>
      <c r="V386" t="s">
        <v>7360</v>
      </c>
      <c r="W386" t="s">
        <v>7360</v>
      </c>
      <c r="X386" t="s">
        <v>7360</v>
      </c>
      <c r="Y386" t="s">
        <v>7360</v>
      </c>
      <c r="Z386" t="s">
        <v>7360</v>
      </c>
      <c r="AA386" t="s">
        <v>7362</v>
      </c>
      <c r="AB386" t="s">
        <v>7360</v>
      </c>
      <c r="AC386" t="s">
        <v>7360</v>
      </c>
      <c r="AD386" t="s">
        <v>7360</v>
      </c>
      <c r="AE386" t="s">
        <v>7360</v>
      </c>
      <c r="AF386" t="s">
        <v>1684</v>
      </c>
      <c r="AG386">
        <v>0</v>
      </c>
      <c r="AH386">
        <v>0</v>
      </c>
      <c r="AI386">
        <v>0</v>
      </c>
      <c r="AJ386">
        <v>0</v>
      </c>
      <c r="AK386">
        <v>0</v>
      </c>
      <c r="AL386" t="s">
        <v>7360</v>
      </c>
      <c r="AM386">
        <v>0</v>
      </c>
      <c r="AN386" s="20">
        <v>44977</v>
      </c>
      <c r="AO386" s="20">
        <v>44977</v>
      </c>
      <c r="AP386" s="20">
        <v>44977</v>
      </c>
      <c r="AQ386">
        <v>0</v>
      </c>
      <c r="AR386">
        <v>0</v>
      </c>
      <c r="AS386">
        <v>0</v>
      </c>
      <c r="AT386">
        <v>0</v>
      </c>
      <c r="AU386">
        <v>0</v>
      </c>
      <c r="AV386" t="s">
        <v>7360</v>
      </c>
      <c r="AW386">
        <v>0</v>
      </c>
      <c r="AX386" t="s">
        <v>7360</v>
      </c>
      <c r="AY386" t="s">
        <v>7362</v>
      </c>
      <c r="BA386">
        <v>0</v>
      </c>
      <c r="BB386" s="20">
        <v>44977</v>
      </c>
      <c r="BC386">
        <v>0</v>
      </c>
      <c r="BD386" t="s">
        <v>7360</v>
      </c>
      <c r="BF386" s="20">
        <v>44977</v>
      </c>
      <c r="BG386">
        <v>0</v>
      </c>
      <c r="BH386" t="s">
        <v>7363</v>
      </c>
      <c r="BJ386" t="s">
        <v>7362</v>
      </c>
      <c r="BK386">
        <v>0</v>
      </c>
      <c r="BL386">
        <v>0</v>
      </c>
      <c r="BM386">
        <v>0</v>
      </c>
      <c r="BN386">
        <v>0</v>
      </c>
      <c r="BO386">
        <v>169</v>
      </c>
      <c r="BP386">
        <v>11</v>
      </c>
      <c r="BQ386">
        <v>1</v>
      </c>
      <c r="BR386" t="s">
        <v>7364</v>
      </c>
      <c r="BS386" t="s">
        <v>7365</v>
      </c>
      <c r="BT386" t="s">
        <v>7360</v>
      </c>
      <c r="BU386" t="s">
        <v>7360</v>
      </c>
      <c r="BV386" t="s">
        <v>7360</v>
      </c>
      <c r="BX386">
        <v>0</v>
      </c>
      <c r="BY386">
        <v>0</v>
      </c>
      <c r="BZ386" t="s">
        <v>7360</v>
      </c>
      <c r="CA386" t="s">
        <v>7360</v>
      </c>
      <c r="CB386">
        <v>3380666</v>
      </c>
      <c r="CC386" s="21">
        <v>44977.447465277779</v>
      </c>
      <c r="CE386" t="s">
        <v>7366</v>
      </c>
      <c r="CF386">
        <v>0</v>
      </c>
      <c r="CG386">
        <v>702002</v>
      </c>
      <c r="CH386">
        <v>702002</v>
      </c>
      <c r="CI386" s="21">
        <v>44977.448900462965</v>
      </c>
      <c r="CJ386" t="s">
        <v>7367</v>
      </c>
      <c r="CK386" t="s">
        <v>7367</v>
      </c>
      <c r="CL386" t="s">
        <v>7368</v>
      </c>
      <c r="CM386" t="s">
        <v>7368</v>
      </c>
      <c r="CS386" t="s">
        <v>7361</v>
      </c>
      <c r="CT386" t="s">
        <v>7362</v>
      </c>
      <c r="CU386" t="s">
        <v>7362</v>
      </c>
      <c r="CV386" t="s">
        <v>7362</v>
      </c>
      <c r="CW386" t="s">
        <v>7362</v>
      </c>
      <c r="CX386">
        <v>4068000</v>
      </c>
      <c r="DA386">
        <v>0</v>
      </c>
    </row>
    <row r="387" spans="1:106" x14ac:dyDescent="0.3">
      <c r="A387">
        <v>1366</v>
      </c>
      <c r="B387" t="s">
        <v>7380</v>
      </c>
      <c r="C387">
        <v>413</v>
      </c>
      <c r="D387" s="20">
        <v>44977</v>
      </c>
      <c r="E387" t="s">
        <v>7356</v>
      </c>
      <c r="F387" t="s">
        <v>5273</v>
      </c>
      <c r="G387" t="s">
        <v>7357</v>
      </c>
      <c r="H387">
        <v>1</v>
      </c>
      <c r="I387" t="s">
        <v>7358</v>
      </c>
      <c r="J387">
        <v>1</v>
      </c>
      <c r="K387" s="20">
        <v>44977</v>
      </c>
      <c r="L387" s="23">
        <v>3014110</v>
      </c>
      <c r="M387" t="s">
        <v>7359</v>
      </c>
      <c r="N387" t="s">
        <v>7360</v>
      </c>
      <c r="O387">
        <v>0</v>
      </c>
      <c r="P387">
        <v>12631</v>
      </c>
      <c r="Q387">
        <v>449003</v>
      </c>
      <c r="R387">
        <v>0</v>
      </c>
      <c r="S387">
        <v>20230220</v>
      </c>
      <c r="T387">
        <v>0</v>
      </c>
      <c r="U387" t="s">
        <v>7361</v>
      </c>
      <c r="V387" t="s">
        <v>7360</v>
      </c>
      <c r="W387" t="s">
        <v>7360</v>
      </c>
      <c r="X387" t="s">
        <v>7360</v>
      </c>
      <c r="Y387" t="s">
        <v>7360</v>
      </c>
      <c r="Z387" t="s">
        <v>7360</v>
      </c>
      <c r="AA387" t="s">
        <v>7362</v>
      </c>
      <c r="AB387" t="s">
        <v>7360</v>
      </c>
      <c r="AC387" t="s">
        <v>7360</v>
      </c>
      <c r="AD387" t="s">
        <v>7360</v>
      </c>
      <c r="AE387" t="s">
        <v>7360</v>
      </c>
      <c r="AF387" t="s">
        <v>1684</v>
      </c>
      <c r="AG387">
        <v>0</v>
      </c>
      <c r="AH387">
        <v>0</v>
      </c>
      <c r="AI387">
        <v>0</v>
      </c>
      <c r="AJ387">
        <v>0</v>
      </c>
      <c r="AK387">
        <v>0</v>
      </c>
      <c r="AL387" t="s">
        <v>7360</v>
      </c>
      <c r="AM387">
        <v>0</v>
      </c>
      <c r="AN387" s="20">
        <v>44977</v>
      </c>
      <c r="AO387" s="20">
        <v>44977</v>
      </c>
      <c r="AP387" s="20">
        <v>44977</v>
      </c>
      <c r="AQ387">
        <v>0</v>
      </c>
      <c r="AR387">
        <v>0</v>
      </c>
      <c r="AS387">
        <v>0</v>
      </c>
      <c r="AT387">
        <v>0</v>
      </c>
      <c r="AU387">
        <v>0</v>
      </c>
      <c r="AV387" t="s">
        <v>7360</v>
      </c>
      <c r="AW387">
        <v>0</v>
      </c>
      <c r="AX387" t="s">
        <v>7360</v>
      </c>
      <c r="AY387" t="s">
        <v>7363</v>
      </c>
      <c r="BA387">
        <v>0</v>
      </c>
      <c r="BB387" s="20">
        <v>44977</v>
      </c>
      <c r="BC387">
        <v>0</v>
      </c>
      <c r="BD387" t="s">
        <v>7360</v>
      </c>
      <c r="BF387" s="20">
        <v>44977</v>
      </c>
      <c r="BG387">
        <v>0</v>
      </c>
      <c r="BH387" t="s">
        <v>7363</v>
      </c>
      <c r="BJ387" t="s">
        <v>7362</v>
      </c>
      <c r="BK387">
        <v>0</v>
      </c>
      <c r="BL387">
        <v>0</v>
      </c>
      <c r="BM387">
        <v>0</v>
      </c>
      <c r="BN387">
        <v>0</v>
      </c>
      <c r="BO387">
        <v>169</v>
      </c>
      <c r="BP387">
        <v>11</v>
      </c>
      <c r="BQ387">
        <v>1</v>
      </c>
      <c r="BR387" t="s">
        <v>7364</v>
      </c>
      <c r="BS387" t="s">
        <v>61</v>
      </c>
      <c r="BT387" t="s">
        <v>7360</v>
      </c>
      <c r="BU387" t="s">
        <v>7360</v>
      </c>
      <c r="BV387" t="s">
        <v>7360</v>
      </c>
      <c r="BX387">
        <v>0</v>
      </c>
      <c r="BY387">
        <v>0</v>
      </c>
      <c r="BZ387" t="s">
        <v>7360</v>
      </c>
      <c r="CA387" t="s">
        <v>7360</v>
      </c>
      <c r="CB387">
        <v>3380666</v>
      </c>
      <c r="CC387" s="21">
        <v>44977.506354166668</v>
      </c>
      <c r="CE387" t="s">
        <v>7366</v>
      </c>
      <c r="CF387">
        <v>0</v>
      </c>
      <c r="CG387">
        <v>702002</v>
      </c>
      <c r="CH387">
        <v>702002</v>
      </c>
      <c r="CI387" s="21">
        <v>44977.508356481485</v>
      </c>
      <c r="CJ387" t="s">
        <v>7367</v>
      </c>
      <c r="CK387" t="s">
        <v>7367</v>
      </c>
      <c r="CL387" t="s">
        <v>7368</v>
      </c>
      <c r="CM387" t="s">
        <v>7368</v>
      </c>
      <c r="CS387" t="s">
        <v>7361</v>
      </c>
      <c r="CT387" t="s">
        <v>7362</v>
      </c>
      <c r="CU387" t="s">
        <v>7362</v>
      </c>
      <c r="CV387" t="s">
        <v>7362</v>
      </c>
      <c r="CW387" t="s">
        <v>7362</v>
      </c>
      <c r="CX387">
        <v>3014110</v>
      </c>
      <c r="DA387">
        <v>0</v>
      </c>
    </row>
    <row r="388" spans="1:106" x14ac:dyDescent="0.3">
      <c r="A388">
        <v>1366</v>
      </c>
      <c r="B388" t="s">
        <v>7380</v>
      </c>
      <c r="C388">
        <v>414</v>
      </c>
      <c r="D388" s="20">
        <v>44977</v>
      </c>
      <c r="E388" t="s">
        <v>7356</v>
      </c>
      <c r="F388" t="s">
        <v>5278</v>
      </c>
      <c r="G388" t="s">
        <v>7357</v>
      </c>
      <c r="H388">
        <v>1</v>
      </c>
      <c r="I388" t="s">
        <v>7358</v>
      </c>
      <c r="J388">
        <v>1</v>
      </c>
      <c r="K388" s="20">
        <v>44977</v>
      </c>
      <c r="L388" s="23">
        <v>1230996</v>
      </c>
      <c r="M388" t="s">
        <v>7359</v>
      </c>
      <c r="N388" t="s">
        <v>7360</v>
      </c>
      <c r="O388">
        <v>0</v>
      </c>
      <c r="P388">
        <v>12506</v>
      </c>
      <c r="Q388">
        <v>440002</v>
      </c>
      <c r="R388">
        <v>0</v>
      </c>
      <c r="S388">
        <v>20230220</v>
      </c>
      <c r="T388">
        <v>0</v>
      </c>
      <c r="U388" t="s">
        <v>7361</v>
      </c>
      <c r="V388" t="s">
        <v>7360</v>
      </c>
      <c r="W388" t="s">
        <v>7360</v>
      </c>
      <c r="X388" t="s">
        <v>7360</v>
      </c>
      <c r="Y388" t="s">
        <v>7360</v>
      </c>
      <c r="Z388" t="s">
        <v>7360</v>
      </c>
      <c r="AA388" t="s">
        <v>7362</v>
      </c>
      <c r="AB388" t="s">
        <v>7360</v>
      </c>
      <c r="AC388" t="s">
        <v>7360</v>
      </c>
      <c r="AD388" t="s">
        <v>7360</v>
      </c>
      <c r="AE388" t="s">
        <v>7360</v>
      </c>
      <c r="AF388" t="s">
        <v>1684</v>
      </c>
      <c r="AG388">
        <v>0</v>
      </c>
      <c r="AH388">
        <v>0</v>
      </c>
      <c r="AI388">
        <v>0</v>
      </c>
      <c r="AJ388">
        <v>0</v>
      </c>
      <c r="AK388">
        <v>0</v>
      </c>
      <c r="AL388" t="s">
        <v>7360</v>
      </c>
      <c r="AM388">
        <v>0</v>
      </c>
      <c r="AN388" s="20">
        <v>44977</v>
      </c>
      <c r="AO388" s="20">
        <v>44977</v>
      </c>
      <c r="AP388" s="20">
        <v>44977</v>
      </c>
      <c r="AQ388">
        <v>0</v>
      </c>
      <c r="AR388">
        <v>0</v>
      </c>
      <c r="AS388">
        <v>0</v>
      </c>
      <c r="AT388">
        <v>0</v>
      </c>
      <c r="AU388">
        <v>0</v>
      </c>
      <c r="AV388" t="s">
        <v>7360</v>
      </c>
      <c r="AW388">
        <v>0</v>
      </c>
      <c r="AX388" t="s">
        <v>7360</v>
      </c>
      <c r="AY388" t="s">
        <v>7363</v>
      </c>
      <c r="BA388">
        <v>0</v>
      </c>
      <c r="BB388" s="20">
        <v>44977</v>
      </c>
      <c r="BC388">
        <v>0</v>
      </c>
      <c r="BD388" t="s">
        <v>7360</v>
      </c>
      <c r="BF388" s="20">
        <v>44977</v>
      </c>
      <c r="BG388">
        <v>0</v>
      </c>
      <c r="BH388" t="s">
        <v>7363</v>
      </c>
      <c r="BJ388" t="s">
        <v>7362</v>
      </c>
      <c r="BK388">
        <v>0</v>
      </c>
      <c r="BL388">
        <v>0</v>
      </c>
      <c r="BM388">
        <v>0</v>
      </c>
      <c r="BN388">
        <v>0</v>
      </c>
      <c r="BO388">
        <v>169</v>
      </c>
      <c r="BP388">
        <v>11</v>
      </c>
      <c r="BQ388">
        <v>1</v>
      </c>
      <c r="BR388" t="s">
        <v>7364</v>
      </c>
      <c r="BS388" t="s">
        <v>7386</v>
      </c>
      <c r="BT388" t="s">
        <v>7360</v>
      </c>
      <c r="BU388" t="s">
        <v>7360</v>
      </c>
      <c r="BV388" t="s">
        <v>7360</v>
      </c>
      <c r="BX388">
        <v>0</v>
      </c>
      <c r="BY388">
        <v>0</v>
      </c>
      <c r="BZ388" t="s">
        <v>7360</v>
      </c>
      <c r="CA388" t="s">
        <v>7360</v>
      </c>
      <c r="CB388">
        <v>3380666</v>
      </c>
      <c r="CC388" s="21">
        <v>44977.51630787037</v>
      </c>
      <c r="CE388" t="s">
        <v>7366</v>
      </c>
      <c r="CF388">
        <v>0</v>
      </c>
      <c r="CG388">
        <v>702002</v>
      </c>
      <c r="CH388">
        <v>702002</v>
      </c>
      <c r="CI388" s="21">
        <v>44977.521192129629</v>
      </c>
      <c r="CJ388" t="s">
        <v>7367</v>
      </c>
      <c r="CK388" t="s">
        <v>7367</v>
      </c>
      <c r="CL388" t="s">
        <v>7368</v>
      </c>
      <c r="CM388" t="s">
        <v>7368</v>
      </c>
      <c r="CS388" t="s">
        <v>7361</v>
      </c>
      <c r="CT388" t="s">
        <v>7362</v>
      </c>
      <c r="CU388" t="s">
        <v>7362</v>
      </c>
      <c r="CV388" t="s">
        <v>7362</v>
      </c>
      <c r="CW388" t="s">
        <v>7362</v>
      </c>
      <c r="CX388">
        <v>1230996</v>
      </c>
      <c r="DA388">
        <v>0</v>
      </c>
    </row>
    <row r="389" spans="1:106" x14ac:dyDescent="0.3">
      <c r="A389">
        <v>1355</v>
      </c>
      <c r="B389" t="s">
        <v>7409</v>
      </c>
      <c r="C389">
        <v>415</v>
      </c>
      <c r="D389" s="20">
        <v>44977</v>
      </c>
      <c r="E389" t="s">
        <v>7372</v>
      </c>
      <c r="F389" t="s">
        <v>5282</v>
      </c>
      <c r="G389" t="s">
        <v>7381</v>
      </c>
      <c r="H389">
        <v>1</v>
      </c>
      <c r="I389" t="s">
        <v>7358</v>
      </c>
      <c r="J389">
        <v>1</v>
      </c>
      <c r="K389" s="20">
        <v>44977</v>
      </c>
      <c r="L389" s="23">
        <v>11671915</v>
      </c>
      <c r="M389" t="s">
        <v>7359</v>
      </c>
      <c r="N389" t="s">
        <v>7360</v>
      </c>
      <c r="O389">
        <v>0</v>
      </c>
      <c r="P389">
        <v>12597</v>
      </c>
      <c r="Q389">
        <v>440021</v>
      </c>
      <c r="R389">
        <v>0</v>
      </c>
      <c r="S389">
        <v>20230220</v>
      </c>
      <c r="T389">
        <v>0</v>
      </c>
      <c r="U389" t="s">
        <v>7362</v>
      </c>
      <c r="V389" t="s">
        <v>7360</v>
      </c>
      <c r="W389" t="s">
        <v>7360</v>
      </c>
      <c r="X389" t="s">
        <v>7360</v>
      </c>
      <c r="Y389" t="s">
        <v>7360</v>
      </c>
      <c r="Z389" t="s">
        <v>7360</v>
      </c>
      <c r="AA389" t="s">
        <v>7362</v>
      </c>
      <c r="AB389" t="s">
        <v>7360</v>
      </c>
      <c r="AC389" t="s">
        <v>7360</v>
      </c>
      <c r="AD389" t="s">
        <v>7360</v>
      </c>
      <c r="AE389" t="s">
        <v>7360</v>
      </c>
      <c r="AF389" t="s">
        <v>1684</v>
      </c>
      <c r="AG389">
        <v>0</v>
      </c>
      <c r="AH389">
        <v>0</v>
      </c>
      <c r="AI389">
        <v>0</v>
      </c>
      <c r="AJ389">
        <v>0</v>
      </c>
      <c r="AK389">
        <v>0</v>
      </c>
      <c r="AL389" t="s">
        <v>7360</v>
      </c>
      <c r="AM389">
        <v>0</v>
      </c>
      <c r="AN389" s="20">
        <v>44977</v>
      </c>
      <c r="AO389" s="20">
        <v>44977</v>
      </c>
      <c r="AP389" s="20">
        <v>44977</v>
      </c>
      <c r="AQ389">
        <v>0</v>
      </c>
      <c r="AR389">
        <v>0</v>
      </c>
      <c r="AS389">
        <v>0</v>
      </c>
      <c r="AT389">
        <v>0</v>
      </c>
      <c r="AU389">
        <v>0</v>
      </c>
      <c r="AV389" t="s">
        <v>7360</v>
      </c>
      <c r="AW389">
        <v>0</v>
      </c>
      <c r="AX389" t="s">
        <v>7360</v>
      </c>
      <c r="AY389" t="s">
        <v>7362</v>
      </c>
      <c r="BA389">
        <v>0</v>
      </c>
      <c r="BB389" s="20">
        <v>44977</v>
      </c>
      <c r="BC389">
        <v>0</v>
      </c>
      <c r="BD389" t="s">
        <v>7360</v>
      </c>
      <c r="BF389" s="20">
        <v>44977</v>
      </c>
      <c r="BG389">
        <v>0</v>
      </c>
      <c r="BH389" t="s">
        <v>7363</v>
      </c>
      <c r="BJ389" t="s">
        <v>7362</v>
      </c>
      <c r="BK389">
        <v>169</v>
      </c>
      <c r="BL389">
        <v>11</v>
      </c>
      <c r="BM389">
        <v>1</v>
      </c>
      <c r="BN389" t="s">
        <v>7364</v>
      </c>
      <c r="BO389">
        <v>169</v>
      </c>
      <c r="BP389">
        <v>11</v>
      </c>
      <c r="BQ389">
        <v>1</v>
      </c>
      <c r="BR389" t="s">
        <v>7364</v>
      </c>
      <c r="BS389" t="s">
        <v>7427</v>
      </c>
      <c r="BT389" t="s">
        <v>7360</v>
      </c>
      <c r="BU389" t="s">
        <v>7360</v>
      </c>
      <c r="BV389" t="s">
        <v>7360</v>
      </c>
      <c r="BX389" t="s">
        <v>7391</v>
      </c>
      <c r="BY389">
        <v>74</v>
      </c>
      <c r="BZ389" t="s">
        <v>7360</v>
      </c>
      <c r="CA389" t="s">
        <v>7360</v>
      </c>
      <c r="CB389">
        <v>3380666</v>
      </c>
      <c r="CC389" s="21">
        <v>44977.522592592592</v>
      </c>
      <c r="CE389" t="s">
        <v>7392</v>
      </c>
      <c r="CF389">
        <v>1100101</v>
      </c>
      <c r="CG389">
        <v>51669</v>
      </c>
      <c r="CH389">
        <v>53575</v>
      </c>
      <c r="CI389" s="21">
        <v>44984.385682870372</v>
      </c>
      <c r="CJ389" t="s">
        <v>7406</v>
      </c>
      <c r="CK389" t="s">
        <v>7393</v>
      </c>
      <c r="CL389" t="s">
        <v>7407</v>
      </c>
      <c r="CM389" t="s">
        <v>7394</v>
      </c>
      <c r="CS389" t="s">
        <v>7361</v>
      </c>
      <c r="CT389" t="s">
        <v>7362</v>
      </c>
      <c r="CU389" t="s">
        <v>7362</v>
      </c>
      <c r="CV389" t="s">
        <v>7362</v>
      </c>
      <c r="CW389" t="s">
        <v>7362</v>
      </c>
      <c r="CX389">
        <v>11671915</v>
      </c>
      <c r="DA389">
        <v>0</v>
      </c>
    </row>
    <row r="390" spans="1:106" x14ac:dyDescent="0.3">
      <c r="A390">
        <v>1362</v>
      </c>
      <c r="B390" t="s">
        <v>7371</v>
      </c>
      <c r="C390">
        <v>58</v>
      </c>
      <c r="D390" s="20">
        <v>44947</v>
      </c>
      <c r="E390" t="s">
        <v>7356</v>
      </c>
      <c r="F390" t="s">
        <v>5288</v>
      </c>
      <c r="G390" t="s">
        <v>7377</v>
      </c>
      <c r="H390">
        <v>1</v>
      </c>
      <c r="I390" t="s">
        <v>7358</v>
      </c>
      <c r="J390">
        <v>1</v>
      </c>
      <c r="K390" s="20">
        <v>44947</v>
      </c>
      <c r="L390" s="23">
        <v>24030441</v>
      </c>
      <c r="M390" t="s">
        <v>7359</v>
      </c>
      <c r="N390" t="s">
        <v>7360</v>
      </c>
      <c r="O390">
        <v>0</v>
      </c>
      <c r="P390">
        <v>11708</v>
      </c>
      <c r="Q390">
        <v>414020</v>
      </c>
      <c r="R390">
        <v>0</v>
      </c>
      <c r="S390">
        <v>20230121</v>
      </c>
      <c r="T390">
        <v>0</v>
      </c>
      <c r="U390" t="s">
        <v>7361</v>
      </c>
      <c r="V390" t="s">
        <v>7360</v>
      </c>
      <c r="W390" t="s">
        <v>7360</v>
      </c>
      <c r="X390" t="s">
        <v>7360</v>
      </c>
      <c r="Y390" t="s">
        <v>7360</v>
      </c>
      <c r="Z390" t="s">
        <v>7360</v>
      </c>
      <c r="AA390" t="s">
        <v>7362</v>
      </c>
      <c r="AB390" t="s">
        <v>7360</v>
      </c>
      <c r="AC390" t="s">
        <v>7360</v>
      </c>
      <c r="AD390" t="s">
        <v>7360</v>
      </c>
      <c r="AE390" t="s">
        <v>7360</v>
      </c>
      <c r="AF390" t="s">
        <v>1684</v>
      </c>
      <c r="AG390">
        <v>0</v>
      </c>
      <c r="AH390">
        <v>0</v>
      </c>
      <c r="AI390">
        <v>0</v>
      </c>
      <c r="AJ390">
        <v>0</v>
      </c>
      <c r="AK390">
        <v>0</v>
      </c>
      <c r="AL390" t="s">
        <v>7360</v>
      </c>
      <c r="AM390">
        <v>0</v>
      </c>
      <c r="AN390" s="20">
        <v>44947</v>
      </c>
      <c r="AO390" s="20">
        <v>44947</v>
      </c>
      <c r="AP390" s="20">
        <v>44947</v>
      </c>
      <c r="AQ390">
        <v>0</v>
      </c>
      <c r="AR390">
        <v>0</v>
      </c>
      <c r="AS390">
        <v>0</v>
      </c>
      <c r="AT390">
        <v>0</v>
      </c>
      <c r="AU390">
        <v>0</v>
      </c>
      <c r="AV390" t="s">
        <v>7360</v>
      </c>
      <c r="AW390">
        <v>0</v>
      </c>
      <c r="AX390" t="s">
        <v>7360</v>
      </c>
      <c r="AY390" t="s">
        <v>7363</v>
      </c>
      <c r="BA390">
        <v>0</v>
      </c>
      <c r="BB390" s="20">
        <v>44947</v>
      </c>
      <c r="BC390">
        <v>0</v>
      </c>
      <c r="BD390" t="s">
        <v>7360</v>
      </c>
      <c r="BF390" s="20">
        <v>44947</v>
      </c>
      <c r="BG390">
        <v>0</v>
      </c>
      <c r="BH390" t="s">
        <v>7363</v>
      </c>
      <c r="BJ390" t="s">
        <v>7362</v>
      </c>
      <c r="BK390">
        <v>0</v>
      </c>
      <c r="BL390">
        <v>0</v>
      </c>
      <c r="BM390">
        <v>0</v>
      </c>
      <c r="BN390">
        <v>0</v>
      </c>
      <c r="BO390">
        <v>169</v>
      </c>
      <c r="BP390">
        <v>11</v>
      </c>
      <c r="BQ390">
        <v>1</v>
      </c>
      <c r="BR390" t="s">
        <v>7364</v>
      </c>
      <c r="BS390" t="s">
        <v>7374</v>
      </c>
      <c r="BT390" t="s">
        <v>7360</v>
      </c>
      <c r="BU390" t="s">
        <v>7360</v>
      </c>
      <c r="BV390" t="s">
        <v>7360</v>
      </c>
      <c r="BX390">
        <v>0</v>
      </c>
      <c r="BY390">
        <v>0</v>
      </c>
      <c r="BZ390" t="s">
        <v>7360</v>
      </c>
      <c r="CA390" t="s">
        <v>7360</v>
      </c>
      <c r="CB390">
        <v>3380666</v>
      </c>
      <c r="CC390" s="21">
        <v>44993.534155092595</v>
      </c>
      <c r="CE390" t="s">
        <v>7366</v>
      </c>
      <c r="CF390">
        <v>0</v>
      </c>
      <c r="CG390">
        <v>702002</v>
      </c>
      <c r="CH390">
        <v>702002</v>
      </c>
      <c r="CI390" s="21">
        <v>44993.535798611112</v>
      </c>
      <c r="CJ390" t="s">
        <v>7367</v>
      </c>
      <c r="CK390" t="s">
        <v>7367</v>
      </c>
      <c r="CL390" t="s">
        <v>7368</v>
      </c>
      <c r="CM390" t="s">
        <v>7368</v>
      </c>
      <c r="CS390" t="s">
        <v>7361</v>
      </c>
      <c r="CT390" t="s">
        <v>7362</v>
      </c>
      <c r="CU390" t="s">
        <v>7362</v>
      </c>
      <c r="CV390" t="s">
        <v>7362</v>
      </c>
      <c r="CW390" t="s">
        <v>7362</v>
      </c>
      <c r="CX390">
        <v>27243554</v>
      </c>
      <c r="DA390">
        <v>0</v>
      </c>
      <c r="DB390">
        <v>135002</v>
      </c>
    </row>
    <row r="391" spans="1:106" x14ac:dyDescent="0.3">
      <c r="A391">
        <v>1357</v>
      </c>
      <c r="B391" t="s">
        <v>7405</v>
      </c>
      <c r="C391">
        <v>417</v>
      </c>
      <c r="D391" s="20">
        <v>44977</v>
      </c>
      <c r="E391" t="s">
        <v>7356</v>
      </c>
      <c r="F391" t="s">
        <v>5293</v>
      </c>
      <c r="G391" t="s">
        <v>7357</v>
      </c>
      <c r="H391">
        <v>1</v>
      </c>
      <c r="I391" t="s">
        <v>7358</v>
      </c>
      <c r="J391">
        <v>1</v>
      </c>
      <c r="K391" s="20">
        <v>44977</v>
      </c>
      <c r="L391" s="23">
        <v>624750</v>
      </c>
      <c r="M391" t="s">
        <v>7359</v>
      </c>
      <c r="N391" t="s">
        <v>7360</v>
      </c>
      <c r="O391">
        <v>0</v>
      </c>
      <c r="P391">
        <v>12516</v>
      </c>
      <c r="Q391">
        <v>440004</v>
      </c>
      <c r="R391">
        <v>0</v>
      </c>
      <c r="S391">
        <v>20230220</v>
      </c>
      <c r="T391">
        <v>0</v>
      </c>
      <c r="U391" t="s">
        <v>7361</v>
      </c>
      <c r="V391" t="s">
        <v>7360</v>
      </c>
      <c r="W391" t="s">
        <v>7360</v>
      </c>
      <c r="X391" t="s">
        <v>7360</v>
      </c>
      <c r="Y391" t="s">
        <v>7360</v>
      </c>
      <c r="Z391" t="s">
        <v>7360</v>
      </c>
      <c r="AA391" t="s">
        <v>7362</v>
      </c>
      <c r="AB391" t="s">
        <v>7360</v>
      </c>
      <c r="AC391" t="s">
        <v>7360</v>
      </c>
      <c r="AD391" t="s">
        <v>7360</v>
      </c>
      <c r="AE391" t="s">
        <v>7360</v>
      </c>
      <c r="AF391" t="s">
        <v>1684</v>
      </c>
      <c r="AG391">
        <v>0</v>
      </c>
      <c r="AH391">
        <v>0</v>
      </c>
      <c r="AI391">
        <v>0</v>
      </c>
      <c r="AJ391">
        <v>0</v>
      </c>
      <c r="AK391">
        <v>0</v>
      </c>
      <c r="AL391" t="s">
        <v>7360</v>
      </c>
      <c r="AM391">
        <v>0</v>
      </c>
      <c r="AN391" s="20">
        <v>44977</v>
      </c>
      <c r="AO391" s="20">
        <v>44977</v>
      </c>
      <c r="AP391" s="20">
        <v>44977</v>
      </c>
      <c r="AQ391">
        <v>0</v>
      </c>
      <c r="AR391">
        <v>0</v>
      </c>
      <c r="AS391">
        <v>0</v>
      </c>
      <c r="AT391">
        <v>0</v>
      </c>
      <c r="AU391">
        <v>0</v>
      </c>
      <c r="AV391" t="s">
        <v>7360</v>
      </c>
      <c r="AW391">
        <v>0</v>
      </c>
      <c r="AX391" t="s">
        <v>7360</v>
      </c>
      <c r="AY391" t="s">
        <v>7363</v>
      </c>
      <c r="BA391">
        <v>0</v>
      </c>
      <c r="BB391" s="20">
        <v>44977</v>
      </c>
      <c r="BC391">
        <v>0</v>
      </c>
      <c r="BD391" t="s">
        <v>7360</v>
      </c>
      <c r="BF391" s="20">
        <v>44977</v>
      </c>
      <c r="BG391">
        <v>0</v>
      </c>
      <c r="BH391" t="s">
        <v>1684</v>
      </c>
      <c r="BJ391" t="s">
        <v>7362</v>
      </c>
      <c r="BK391">
        <v>0</v>
      </c>
      <c r="BL391">
        <v>0</v>
      </c>
      <c r="BM391">
        <v>0</v>
      </c>
      <c r="BN391">
        <v>0</v>
      </c>
      <c r="BO391">
        <v>169</v>
      </c>
      <c r="BP391">
        <v>11</v>
      </c>
      <c r="BQ391">
        <v>1</v>
      </c>
      <c r="BR391" t="s">
        <v>7364</v>
      </c>
      <c r="BS391" t="s">
        <v>7382</v>
      </c>
      <c r="BT391" t="s">
        <v>7360</v>
      </c>
      <c r="BU391" t="s">
        <v>7360</v>
      </c>
      <c r="BV391" t="s">
        <v>7360</v>
      </c>
      <c r="BX391">
        <v>0</v>
      </c>
      <c r="BY391">
        <v>0</v>
      </c>
      <c r="BZ391" t="s">
        <v>7360</v>
      </c>
      <c r="CA391" t="s">
        <v>7360</v>
      </c>
      <c r="CB391">
        <v>3380666</v>
      </c>
      <c r="CC391" s="21">
        <v>44977.646053240744</v>
      </c>
      <c r="CE391" t="s">
        <v>7366</v>
      </c>
      <c r="CF391">
        <v>0</v>
      </c>
      <c r="CG391">
        <v>702002</v>
      </c>
      <c r="CH391">
        <v>702002</v>
      </c>
      <c r="CI391" s="21">
        <v>44977.666712962964</v>
      </c>
      <c r="CJ391" t="s">
        <v>7367</v>
      </c>
      <c r="CK391" t="s">
        <v>7367</v>
      </c>
      <c r="CL391" t="s">
        <v>7368</v>
      </c>
      <c r="CM391" t="s">
        <v>7368</v>
      </c>
      <c r="CS391" t="s">
        <v>7361</v>
      </c>
      <c r="CT391" t="s">
        <v>7362</v>
      </c>
      <c r="CU391" t="s">
        <v>7362</v>
      </c>
      <c r="CV391" t="s">
        <v>7362</v>
      </c>
      <c r="CW391" t="s">
        <v>7362</v>
      </c>
      <c r="CX391">
        <v>624750</v>
      </c>
      <c r="DA391">
        <v>0</v>
      </c>
    </row>
    <row r="392" spans="1:106" x14ac:dyDescent="0.3">
      <c r="A392">
        <v>1354</v>
      </c>
      <c r="B392" t="s">
        <v>7396</v>
      </c>
      <c r="C392">
        <v>418</v>
      </c>
      <c r="D392" s="20">
        <v>44977</v>
      </c>
      <c r="E392" t="s">
        <v>7356</v>
      </c>
      <c r="F392" t="s">
        <v>5298</v>
      </c>
      <c r="G392" t="s">
        <v>7370</v>
      </c>
      <c r="H392">
        <v>1</v>
      </c>
      <c r="I392" t="s">
        <v>7358</v>
      </c>
      <c r="J392">
        <v>1</v>
      </c>
      <c r="K392" s="20">
        <v>44977</v>
      </c>
      <c r="L392" s="23">
        <v>2034375</v>
      </c>
      <c r="M392" t="s">
        <v>7359</v>
      </c>
      <c r="N392" t="s">
        <v>7360</v>
      </c>
      <c r="O392">
        <v>0</v>
      </c>
      <c r="P392">
        <v>12580</v>
      </c>
      <c r="Q392">
        <v>440017</v>
      </c>
      <c r="R392">
        <v>0</v>
      </c>
      <c r="S392">
        <v>20230220</v>
      </c>
      <c r="T392">
        <v>0</v>
      </c>
      <c r="U392" t="s">
        <v>7361</v>
      </c>
      <c r="V392" t="s">
        <v>7360</v>
      </c>
      <c r="W392" t="s">
        <v>7360</v>
      </c>
      <c r="X392" t="s">
        <v>7360</v>
      </c>
      <c r="Y392" t="s">
        <v>7360</v>
      </c>
      <c r="Z392" t="s">
        <v>7360</v>
      </c>
      <c r="AA392" t="s">
        <v>7362</v>
      </c>
      <c r="AB392" t="s">
        <v>7360</v>
      </c>
      <c r="AC392" t="s">
        <v>7360</v>
      </c>
      <c r="AD392" t="s">
        <v>7360</v>
      </c>
      <c r="AE392" t="s">
        <v>7360</v>
      </c>
      <c r="AF392" t="s">
        <v>1684</v>
      </c>
      <c r="AG392">
        <v>0</v>
      </c>
      <c r="AH392">
        <v>0</v>
      </c>
      <c r="AI392">
        <v>0</v>
      </c>
      <c r="AJ392">
        <v>0</v>
      </c>
      <c r="AK392">
        <v>0</v>
      </c>
      <c r="AL392" t="s">
        <v>7360</v>
      </c>
      <c r="AM392">
        <v>0</v>
      </c>
      <c r="AN392" s="20">
        <v>44977</v>
      </c>
      <c r="AO392" s="20">
        <v>44977</v>
      </c>
      <c r="AP392" s="20">
        <v>44977</v>
      </c>
      <c r="AQ392">
        <v>0</v>
      </c>
      <c r="AR392">
        <v>0</v>
      </c>
      <c r="AS392">
        <v>0</v>
      </c>
      <c r="AT392">
        <v>0</v>
      </c>
      <c r="AU392">
        <v>0</v>
      </c>
      <c r="AV392" t="s">
        <v>7360</v>
      </c>
      <c r="AW392">
        <v>0</v>
      </c>
      <c r="AX392" t="s">
        <v>7360</v>
      </c>
      <c r="AY392" t="s">
        <v>7363</v>
      </c>
      <c r="BA392">
        <v>0</v>
      </c>
      <c r="BB392" s="20">
        <v>44977</v>
      </c>
      <c r="BC392">
        <v>0</v>
      </c>
      <c r="BD392" t="s">
        <v>7360</v>
      </c>
      <c r="BF392" s="20">
        <v>44977</v>
      </c>
      <c r="BG392">
        <v>0</v>
      </c>
      <c r="BH392" t="s">
        <v>7363</v>
      </c>
      <c r="BJ392" t="s">
        <v>7362</v>
      </c>
      <c r="BK392">
        <v>169</v>
      </c>
      <c r="BL392">
        <v>11</v>
      </c>
      <c r="BM392">
        <v>1</v>
      </c>
      <c r="BN392" t="s">
        <v>7364</v>
      </c>
      <c r="BO392">
        <v>169</v>
      </c>
      <c r="BP392">
        <v>11</v>
      </c>
      <c r="BQ392">
        <v>1</v>
      </c>
      <c r="BR392" t="s">
        <v>7364</v>
      </c>
      <c r="BS392" t="s">
        <v>7427</v>
      </c>
      <c r="BT392" t="s">
        <v>7360</v>
      </c>
      <c r="BU392" t="s">
        <v>7360</v>
      </c>
      <c r="BV392" t="s">
        <v>7360</v>
      </c>
      <c r="BX392" t="s">
        <v>7391</v>
      </c>
      <c r="BY392">
        <v>74</v>
      </c>
      <c r="BZ392" t="s">
        <v>7360</v>
      </c>
      <c r="CA392" t="s">
        <v>7360</v>
      </c>
      <c r="CB392">
        <v>3380666</v>
      </c>
      <c r="CC392" s="21">
        <v>44977.675868055558</v>
      </c>
      <c r="CE392" t="s">
        <v>7392</v>
      </c>
      <c r="CF392">
        <v>1100101</v>
      </c>
      <c r="CG392">
        <v>51669</v>
      </c>
      <c r="CH392">
        <v>51669</v>
      </c>
      <c r="CI392" s="21">
        <v>44977.677129629628</v>
      </c>
      <c r="CJ392" t="s">
        <v>7406</v>
      </c>
      <c r="CK392" t="s">
        <v>7406</v>
      </c>
      <c r="CL392" t="s">
        <v>7407</v>
      </c>
      <c r="CM392" t="s">
        <v>7407</v>
      </c>
      <c r="CS392" t="s">
        <v>7361</v>
      </c>
      <c r="CT392" t="s">
        <v>7362</v>
      </c>
      <c r="CU392" t="s">
        <v>7362</v>
      </c>
      <c r="CV392" t="s">
        <v>7362</v>
      </c>
      <c r="CW392" t="s">
        <v>7362</v>
      </c>
      <c r="CX392">
        <v>2034375</v>
      </c>
      <c r="DA392">
        <v>0</v>
      </c>
    </row>
    <row r="393" spans="1:106" x14ac:dyDescent="0.3">
      <c r="A393">
        <v>1366</v>
      </c>
      <c r="B393" t="s">
        <v>7380</v>
      </c>
      <c r="C393">
        <v>419</v>
      </c>
      <c r="D393" s="20">
        <v>44977</v>
      </c>
      <c r="E393" t="s">
        <v>7356</v>
      </c>
      <c r="F393" t="s">
        <v>5246</v>
      </c>
      <c r="G393" t="s">
        <v>7357</v>
      </c>
      <c r="H393">
        <v>1</v>
      </c>
      <c r="I393" t="s">
        <v>7358</v>
      </c>
      <c r="J393">
        <v>1</v>
      </c>
      <c r="K393" s="20">
        <v>44977</v>
      </c>
      <c r="L393" s="23">
        <v>3898440</v>
      </c>
      <c r="M393" t="s">
        <v>7359</v>
      </c>
      <c r="N393" t="s">
        <v>7360</v>
      </c>
      <c r="O393">
        <v>0</v>
      </c>
      <c r="P393">
        <v>12633</v>
      </c>
      <c r="Q393">
        <v>449005</v>
      </c>
      <c r="R393">
        <v>0</v>
      </c>
      <c r="S393">
        <v>20230220</v>
      </c>
      <c r="T393">
        <v>0</v>
      </c>
      <c r="U393" t="s">
        <v>7361</v>
      </c>
      <c r="V393" t="s">
        <v>7360</v>
      </c>
      <c r="W393" t="s">
        <v>7360</v>
      </c>
      <c r="X393" t="s">
        <v>7360</v>
      </c>
      <c r="Y393" t="s">
        <v>7360</v>
      </c>
      <c r="Z393" t="s">
        <v>7360</v>
      </c>
      <c r="AA393" t="s">
        <v>7362</v>
      </c>
      <c r="AB393" t="s">
        <v>7360</v>
      </c>
      <c r="AC393" t="s">
        <v>7360</v>
      </c>
      <c r="AD393" t="s">
        <v>7360</v>
      </c>
      <c r="AE393" t="s">
        <v>7360</v>
      </c>
      <c r="AF393" t="s">
        <v>1684</v>
      </c>
      <c r="AG393">
        <v>0</v>
      </c>
      <c r="AH393">
        <v>0</v>
      </c>
      <c r="AI393">
        <v>0</v>
      </c>
      <c r="AJ393">
        <v>0</v>
      </c>
      <c r="AK393">
        <v>0</v>
      </c>
      <c r="AL393" t="s">
        <v>7360</v>
      </c>
      <c r="AM393">
        <v>0</v>
      </c>
      <c r="AN393" s="20">
        <v>44977</v>
      </c>
      <c r="AO393" s="20">
        <v>44977</v>
      </c>
      <c r="AP393" s="20">
        <v>44977</v>
      </c>
      <c r="AQ393">
        <v>0</v>
      </c>
      <c r="AR393">
        <v>0</v>
      </c>
      <c r="AS393">
        <v>0</v>
      </c>
      <c r="AT393">
        <v>0</v>
      </c>
      <c r="AU393">
        <v>0</v>
      </c>
      <c r="AV393" t="s">
        <v>7360</v>
      </c>
      <c r="AW393">
        <v>0</v>
      </c>
      <c r="AX393" t="s">
        <v>7360</v>
      </c>
      <c r="AY393" t="s">
        <v>7363</v>
      </c>
      <c r="BA393">
        <v>0</v>
      </c>
      <c r="BB393" s="20">
        <v>44977</v>
      </c>
      <c r="BC393">
        <v>0</v>
      </c>
      <c r="BD393" t="s">
        <v>7360</v>
      </c>
      <c r="BF393" s="20">
        <v>44977</v>
      </c>
      <c r="BG393">
        <v>0</v>
      </c>
      <c r="BH393" t="s">
        <v>7363</v>
      </c>
      <c r="BJ393" t="s">
        <v>7362</v>
      </c>
      <c r="BK393">
        <v>0</v>
      </c>
      <c r="BL393">
        <v>0</v>
      </c>
      <c r="BM393">
        <v>0</v>
      </c>
      <c r="BN393">
        <v>0</v>
      </c>
      <c r="BO393">
        <v>169</v>
      </c>
      <c r="BP393">
        <v>11</v>
      </c>
      <c r="BQ393">
        <v>1</v>
      </c>
      <c r="BR393" t="s">
        <v>7364</v>
      </c>
      <c r="BS393" t="s">
        <v>61</v>
      </c>
      <c r="BT393" t="s">
        <v>7360</v>
      </c>
      <c r="BU393" t="s">
        <v>7360</v>
      </c>
      <c r="BV393" t="s">
        <v>7360</v>
      </c>
      <c r="BX393">
        <v>0</v>
      </c>
      <c r="BY393">
        <v>0</v>
      </c>
      <c r="BZ393" t="s">
        <v>7360</v>
      </c>
      <c r="CA393" t="s">
        <v>7360</v>
      </c>
      <c r="CB393">
        <v>3380666</v>
      </c>
      <c r="CC393" s="21">
        <v>44977.699907407405</v>
      </c>
      <c r="CE393" t="s">
        <v>7366</v>
      </c>
      <c r="CF393">
        <v>0</v>
      </c>
      <c r="CG393">
        <v>702002</v>
      </c>
      <c r="CH393">
        <v>702002</v>
      </c>
      <c r="CI393" s="21">
        <v>44977.701435185183</v>
      </c>
      <c r="CJ393" t="s">
        <v>7367</v>
      </c>
      <c r="CK393" t="s">
        <v>7367</v>
      </c>
      <c r="CL393" t="s">
        <v>7368</v>
      </c>
      <c r="CM393" t="s">
        <v>7368</v>
      </c>
      <c r="CS393" t="s">
        <v>7361</v>
      </c>
      <c r="CT393" t="s">
        <v>7362</v>
      </c>
      <c r="CU393" t="s">
        <v>7362</v>
      </c>
      <c r="CV393" t="s">
        <v>7362</v>
      </c>
      <c r="CW393" t="s">
        <v>7362</v>
      </c>
      <c r="CX393">
        <v>3898440</v>
      </c>
      <c r="DA393">
        <v>0</v>
      </c>
    </row>
    <row r="394" spans="1:106" x14ac:dyDescent="0.3">
      <c r="A394">
        <v>1366</v>
      </c>
      <c r="B394" t="s">
        <v>7380</v>
      </c>
      <c r="C394">
        <v>420</v>
      </c>
      <c r="D394" s="20">
        <v>44978</v>
      </c>
      <c r="E394" t="s">
        <v>7356</v>
      </c>
      <c r="F394" t="s">
        <v>5246</v>
      </c>
      <c r="G394" t="s">
        <v>7357</v>
      </c>
      <c r="H394">
        <v>1</v>
      </c>
      <c r="I394" t="s">
        <v>7358</v>
      </c>
      <c r="J394">
        <v>1</v>
      </c>
      <c r="K394" s="20">
        <v>44978</v>
      </c>
      <c r="L394" s="23">
        <v>3600000</v>
      </c>
      <c r="M394" t="s">
        <v>7359</v>
      </c>
      <c r="N394" t="s">
        <v>7360</v>
      </c>
      <c r="O394">
        <v>0</v>
      </c>
      <c r="P394">
        <v>12229</v>
      </c>
      <c r="Q394">
        <v>422019</v>
      </c>
      <c r="R394">
        <v>0</v>
      </c>
      <c r="S394">
        <v>20230221</v>
      </c>
      <c r="T394">
        <v>0</v>
      </c>
      <c r="U394" t="s">
        <v>7361</v>
      </c>
      <c r="V394" t="s">
        <v>7360</v>
      </c>
      <c r="W394" t="s">
        <v>7360</v>
      </c>
      <c r="X394" t="s">
        <v>7360</v>
      </c>
      <c r="Y394" t="s">
        <v>7360</v>
      </c>
      <c r="Z394" t="s">
        <v>7360</v>
      </c>
      <c r="AA394" t="s">
        <v>7362</v>
      </c>
      <c r="AB394" t="s">
        <v>7360</v>
      </c>
      <c r="AC394" t="s">
        <v>7360</v>
      </c>
      <c r="AD394" t="s">
        <v>7360</v>
      </c>
      <c r="AE394" t="s">
        <v>7360</v>
      </c>
      <c r="AF394" t="s">
        <v>1684</v>
      </c>
      <c r="AG394">
        <v>0</v>
      </c>
      <c r="AH394">
        <v>0</v>
      </c>
      <c r="AI394">
        <v>0</v>
      </c>
      <c r="AJ394">
        <v>0</v>
      </c>
      <c r="AK394">
        <v>0</v>
      </c>
      <c r="AL394" t="s">
        <v>7360</v>
      </c>
      <c r="AM394">
        <v>0</v>
      </c>
      <c r="AN394" s="20">
        <v>44978</v>
      </c>
      <c r="AO394" s="20">
        <v>44978</v>
      </c>
      <c r="AP394" s="20">
        <v>44978</v>
      </c>
      <c r="AQ394">
        <v>0</v>
      </c>
      <c r="AR394">
        <v>0</v>
      </c>
      <c r="AS394">
        <v>0</v>
      </c>
      <c r="AT394">
        <v>0</v>
      </c>
      <c r="AU394">
        <v>0</v>
      </c>
      <c r="AV394" t="s">
        <v>7360</v>
      </c>
      <c r="AW394">
        <v>0</v>
      </c>
      <c r="AX394" t="s">
        <v>7360</v>
      </c>
      <c r="AY394" t="s">
        <v>7363</v>
      </c>
      <c r="BA394">
        <v>0</v>
      </c>
      <c r="BB394" s="20">
        <v>44978</v>
      </c>
      <c r="BC394">
        <v>0</v>
      </c>
      <c r="BD394" t="s">
        <v>7360</v>
      </c>
      <c r="BF394" s="20">
        <v>44978</v>
      </c>
      <c r="BG394">
        <v>0</v>
      </c>
      <c r="BH394" t="s">
        <v>7363</v>
      </c>
      <c r="BJ394" t="s">
        <v>7362</v>
      </c>
      <c r="BK394">
        <v>0</v>
      </c>
      <c r="BL394">
        <v>0</v>
      </c>
      <c r="BM394">
        <v>0</v>
      </c>
      <c r="BN394">
        <v>0</v>
      </c>
      <c r="BO394">
        <v>169</v>
      </c>
      <c r="BP394">
        <v>11</v>
      </c>
      <c r="BQ394">
        <v>1</v>
      </c>
      <c r="BR394" t="s">
        <v>7364</v>
      </c>
      <c r="BS394" t="s">
        <v>7365</v>
      </c>
      <c r="BT394" t="s">
        <v>7360</v>
      </c>
      <c r="BU394" t="s">
        <v>7360</v>
      </c>
      <c r="BV394" t="s">
        <v>7360</v>
      </c>
      <c r="BX394">
        <v>0</v>
      </c>
      <c r="BY394">
        <v>0</v>
      </c>
      <c r="BZ394" t="s">
        <v>7360</v>
      </c>
      <c r="CA394" t="s">
        <v>7360</v>
      </c>
      <c r="CB394">
        <v>3380666</v>
      </c>
      <c r="CC394" s="21">
        <v>44978.368379629632</v>
      </c>
      <c r="CE394" t="s">
        <v>7366</v>
      </c>
      <c r="CF394">
        <v>0</v>
      </c>
      <c r="CG394">
        <v>702002</v>
      </c>
      <c r="CH394">
        <v>702002</v>
      </c>
      <c r="CI394" s="21">
        <v>44978.369837962964</v>
      </c>
      <c r="CJ394" t="s">
        <v>7367</v>
      </c>
      <c r="CK394" t="s">
        <v>7367</v>
      </c>
      <c r="CL394" t="s">
        <v>7368</v>
      </c>
      <c r="CM394" t="s">
        <v>7368</v>
      </c>
      <c r="CS394" t="s">
        <v>7361</v>
      </c>
      <c r="CT394" t="s">
        <v>7362</v>
      </c>
      <c r="CU394" t="s">
        <v>7362</v>
      </c>
      <c r="CV394" t="s">
        <v>7362</v>
      </c>
      <c r="CW394" t="s">
        <v>7362</v>
      </c>
      <c r="CX394">
        <v>3600000</v>
      </c>
      <c r="DA394">
        <v>0</v>
      </c>
    </row>
    <row r="395" spans="1:106" x14ac:dyDescent="0.3">
      <c r="A395">
        <v>1366</v>
      </c>
      <c r="B395" t="s">
        <v>7380</v>
      </c>
      <c r="C395">
        <v>421</v>
      </c>
      <c r="D395" s="20">
        <v>44978</v>
      </c>
      <c r="E395" t="s">
        <v>7356</v>
      </c>
      <c r="F395" t="s">
        <v>5251</v>
      </c>
      <c r="G395" t="s">
        <v>7357</v>
      </c>
      <c r="H395">
        <v>1</v>
      </c>
      <c r="I395" t="s">
        <v>7358</v>
      </c>
      <c r="J395">
        <v>1</v>
      </c>
      <c r="K395" s="20">
        <v>44978</v>
      </c>
      <c r="L395" s="23">
        <v>3181000</v>
      </c>
      <c r="M395" t="s">
        <v>7359</v>
      </c>
      <c r="N395" t="s">
        <v>7360</v>
      </c>
      <c r="O395">
        <v>0</v>
      </c>
      <c r="P395">
        <v>12417</v>
      </c>
      <c r="Q395">
        <v>435011</v>
      </c>
      <c r="R395">
        <v>0</v>
      </c>
      <c r="S395">
        <v>20230221</v>
      </c>
      <c r="T395">
        <v>0</v>
      </c>
      <c r="U395" t="s">
        <v>7362</v>
      </c>
      <c r="V395" t="s">
        <v>7360</v>
      </c>
      <c r="W395" t="s">
        <v>7360</v>
      </c>
      <c r="X395" t="s">
        <v>7360</v>
      </c>
      <c r="Y395" t="s">
        <v>7360</v>
      </c>
      <c r="Z395" t="s">
        <v>7360</v>
      </c>
      <c r="AA395" t="s">
        <v>7362</v>
      </c>
      <c r="AB395" t="s">
        <v>7360</v>
      </c>
      <c r="AC395" t="s">
        <v>7360</v>
      </c>
      <c r="AD395" t="s">
        <v>7360</v>
      </c>
      <c r="AE395" t="s">
        <v>7360</v>
      </c>
      <c r="AF395" t="s">
        <v>1684</v>
      </c>
      <c r="AG395">
        <v>0</v>
      </c>
      <c r="AH395">
        <v>0</v>
      </c>
      <c r="AI395">
        <v>0</v>
      </c>
      <c r="AJ395">
        <v>0</v>
      </c>
      <c r="AK395">
        <v>0</v>
      </c>
      <c r="AL395" t="s">
        <v>7360</v>
      </c>
      <c r="AM395">
        <v>0</v>
      </c>
      <c r="AN395" s="20">
        <v>44978</v>
      </c>
      <c r="AO395" s="20">
        <v>44978</v>
      </c>
      <c r="AP395" s="20">
        <v>44978</v>
      </c>
      <c r="AQ395">
        <v>0</v>
      </c>
      <c r="AR395">
        <v>0</v>
      </c>
      <c r="AS395">
        <v>0</v>
      </c>
      <c r="AT395">
        <v>0</v>
      </c>
      <c r="AU395">
        <v>0</v>
      </c>
      <c r="AV395" t="s">
        <v>7360</v>
      </c>
      <c r="AW395">
        <v>0</v>
      </c>
      <c r="AX395" t="s">
        <v>7360</v>
      </c>
      <c r="AY395" t="s">
        <v>7362</v>
      </c>
      <c r="AZ395">
        <v>1383</v>
      </c>
      <c r="BA395">
        <v>511</v>
      </c>
      <c r="BB395" s="20">
        <v>44987</v>
      </c>
      <c r="BC395">
        <v>20230302</v>
      </c>
      <c r="BD395" t="s">
        <v>7440</v>
      </c>
      <c r="BF395" s="20">
        <v>44978</v>
      </c>
      <c r="BG395">
        <v>0</v>
      </c>
      <c r="BH395" t="s">
        <v>7363</v>
      </c>
      <c r="BJ395" t="s">
        <v>7362</v>
      </c>
      <c r="BK395">
        <v>0</v>
      </c>
      <c r="BL395">
        <v>0</v>
      </c>
      <c r="BM395">
        <v>0</v>
      </c>
      <c r="BN395">
        <v>0</v>
      </c>
      <c r="BO395">
        <v>169</v>
      </c>
      <c r="BP395">
        <v>11</v>
      </c>
      <c r="BQ395">
        <v>1</v>
      </c>
      <c r="BR395" t="s">
        <v>7364</v>
      </c>
      <c r="BS395" t="s">
        <v>7365</v>
      </c>
      <c r="BT395" t="s">
        <v>7360</v>
      </c>
      <c r="BU395" t="s">
        <v>7360</v>
      </c>
      <c r="BV395" t="s">
        <v>7360</v>
      </c>
      <c r="BX395">
        <v>0</v>
      </c>
      <c r="BY395">
        <v>0</v>
      </c>
      <c r="BZ395" t="s">
        <v>7360</v>
      </c>
      <c r="CA395" t="s">
        <v>7360</v>
      </c>
      <c r="CB395">
        <v>3380666</v>
      </c>
      <c r="CC395" s="21">
        <v>44978.390243055554</v>
      </c>
      <c r="CE395" t="s">
        <v>7366</v>
      </c>
      <c r="CF395">
        <v>0</v>
      </c>
      <c r="CG395">
        <v>702002</v>
      </c>
      <c r="CH395">
        <v>702002</v>
      </c>
      <c r="CI395" s="21">
        <v>44978.391562500001</v>
      </c>
      <c r="CJ395" t="s">
        <v>7367</v>
      </c>
      <c r="CK395" t="s">
        <v>7367</v>
      </c>
      <c r="CL395" t="s">
        <v>7368</v>
      </c>
      <c r="CM395" t="s">
        <v>7368</v>
      </c>
      <c r="CS395" t="s">
        <v>7361</v>
      </c>
      <c r="CT395" t="s">
        <v>7362</v>
      </c>
      <c r="CU395" t="s">
        <v>7362</v>
      </c>
      <c r="CV395" t="s">
        <v>7362</v>
      </c>
      <c r="CW395" t="s">
        <v>7362</v>
      </c>
      <c r="CX395">
        <v>3181000</v>
      </c>
      <c r="CY395" t="s">
        <v>1684</v>
      </c>
      <c r="DA395">
        <v>0</v>
      </c>
    </row>
    <row r="396" spans="1:106" x14ac:dyDescent="0.3">
      <c r="A396">
        <v>1362</v>
      </c>
      <c r="B396" t="s">
        <v>7371</v>
      </c>
      <c r="C396">
        <v>422</v>
      </c>
      <c r="D396" s="20">
        <v>44978</v>
      </c>
      <c r="E396" t="s">
        <v>7356</v>
      </c>
      <c r="F396" t="s">
        <v>5257</v>
      </c>
      <c r="G396" t="s">
        <v>7357</v>
      </c>
      <c r="H396">
        <v>1</v>
      </c>
      <c r="I396" t="s">
        <v>7358</v>
      </c>
      <c r="J396">
        <v>1</v>
      </c>
      <c r="K396" s="20">
        <v>44978</v>
      </c>
      <c r="L396" s="23">
        <v>1978690</v>
      </c>
      <c r="M396" t="s">
        <v>7359</v>
      </c>
      <c r="N396" t="s">
        <v>7360</v>
      </c>
      <c r="O396">
        <v>0</v>
      </c>
      <c r="P396">
        <v>12524</v>
      </c>
      <c r="Q396">
        <v>440006</v>
      </c>
      <c r="R396">
        <v>0</v>
      </c>
      <c r="S396">
        <v>20230221</v>
      </c>
      <c r="T396">
        <v>0</v>
      </c>
      <c r="U396" t="s">
        <v>7361</v>
      </c>
      <c r="V396" t="s">
        <v>7360</v>
      </c>
      <c r="W396" t="s">
        <v>7360</v>
      </c>
      <c r="X396" t="s">
        <v>7360</v>
      </c>
      <c r="Y396" t="s">
        <v>7360</v>
      </c>
      <c r="Z396" t="s">
        <v>7360</v>
      </c>
      <c r="AA396" t="s">
        <v>7362</v>
      </c>
      <c r="AB396" t="s">
        <v>7360</v>
      </c>
      <c r="AC396" t="s">
        <v>7360</v>
      </c>
      <c r="AD396" t="s">
        <v>7360</v>
      </c>
      <c r="AE396" t="s">
        <v>7360</v>
      </c>
      <c r="AF396" t="s">
        <v>1684</v>
      </c>
      <c r="AG396">
        <v>0</v>
      </c>
      <c r="AH396">
        <v>0</v>
      </c>
      <c r="AI396">
        <v>0</v>
      </c>
      <c r="AJ396">
        <v>0</v>
      </c>
      <c r="AK396">
        <v>0</v>
      </c>
      <c r="AL396" t="s">
        <v>7360</v>
      </c>
      <c r="AM396">
        <v>0</v>
      </c>
      <c r="AN396" s="20">
        <v>44978</v>
      </c>
      <c r="AO396" s="20">
        <v>44978</v>
      </c>
      <c r="AP396" s="20">
        <v>44978</v>
      </c>
      <c r="AQ396">
        <v>0</v>
      </c>
      <c r="AR396">
        <v>0</v>
      </c>
      <c r="AS396">
        <v>0</v>
      </c>
      <c r="AT396">
        <v>0</v>
      </c>
      <c r="AU396">
        <v>0</v>
      </c>
      <c r="AV396" t="s">
        <v>7360</v>
      </c>
      <c r="AW396">
        <v>0</v>
      </c>
      <c r="AX396" t="s">
        <v>7360</v>
      </c>
      <c r="AY396" t="s">
        <v>7363</v>
      </c>
      <c r="BA396">
        <v>0</v>
      </c>
      <c r="BB396" s="20">
        <v>44978</v>
      </c>
      <c r="BC396">
        <v>0</v>
      </c>
      <c r="BD396" t="s">
        <v>7360</v>
      </c>
      <c r="BF396" s="20">
        <v>44978</v>
      </c>
      <c r="BG396">
        <v>0</v>
      </c>
      <c r="BH396" t="s">
        <v>7363</v>
      </c>
      <c r="BJ396" t="s">
        <v>7362</v>
      </c>
      <c r="BK396">
        <v>0</v>
      </c>
      <c r="BL396">
        <v>0</v>
      </c>
      <c r="BM396">
        <v>0</v>
      </c>
      <c r="BN396">
        <v>0</v>
      </c>
      <c r="BO396">
        <v>169</v>
      </c>
      <c r="BP396">
        <v>11</v>
      </c>
      <c r="BQ396">
        <v>1</v>
      </c>
      <c r="BR396" t="s">
        <v>7364</v>
      </c>
      <c r="BS396" t="s">
        <v>7374</v>
      </c>
      <c r="BT396" t="s">
        <v>7360</v>
      </c>
      <c r="BU396" t="s">
        <v>7360</v>
      </c>
      <c r="BV396" t="s">
        <v>7360</v>
      </c>
      <c r="BX396">
        <v>0</v>
      </c>
      <c r="BY396">
        <v>0</v>
      </c>
      <c r="BZ396" t="s">
        <v>7360</v>
      </c>
      <c r="CA396" t="s">
        <v>7360</v>
      </c>
      <c r="CB396">
        <v>3380666</v>
      </c>
      <c r="CC396" s="21">
        <v>44978.396562499998</v>
      </c>
      <c r="CE396" t="s">
        <v>7366</v>
      </c>
      <c r="CF396">
        <v>0</v>
      </c>
      <c r="CG396">
        <v>702002</v>
      </c>
      <c r="CH396">
        <v>702002</v>
      </c>
      <c r="CI396" s="21">
        <v>44978.398009259261</v>
      </c>
      <c r="CJ396" t="s">
        <v>7367</v>
      </c>
      <c r="CK396" t="s">
        <v>7367</v>
      </c>
      <c r="CL396" t="s">
        <v>7368</v>
      </c>
      <c r="CM396" t="s">
        <v>7368</v>
      </c>
      <c r="CS396" t="s">
        <v>7361</v>
      </c>
      <c r="CT396" t="s">
        <v>7362</v>
      </c>
      <c r="CU396" t="s">
        <v>7362</v>
      </c>
      <c r="CV396" t="s">
        <v>7362</v>
      </c>
      <c r="CW396" t="s">
        <v>7362</v>
      </c>
      <c r="CX396">
        <v>1978690</v>
      </c>
      <c r="DA396">
        <v>0</v>
      </c>
    </row>
    <row r="397" spans="1:106" x14ac:dyDescent="0.3">
      <c r="A397">
        <v>1373</v>
      </c>
      <c r="B397" t="s">
        <v>7383</v>
      </c>
      <c r="C397">
        <v>423</v>
      </c>
      <c r="D397" s="20">
        <v>44978</v>
      </c>
      <c r="E397" t="s">
        <v>7356</v>
      </c>
      <c r="F397" t="s">
        <v>5262</v>
      </c>
      <c r="G397" t="s">
        <v>7357</v>
      </c>
      <c r="H397">
        <v>1</v>
      </c>
      <c r="I397" t="s">
        <v>7358</v>
      </c>
      <c r="J397">
        <v>1</v>
      </c>
      <c r="K397" s="20">
        <v>44978</v>
      </c>
      <c r="L397" s="23">
        <v>259632</v>
      </c>
      <c r="M397" t="s">
        <v>7359</v>
      </c>
      <c r="N397" t="s">
        <v>7360</v>
      </c>
      <c r="O397">
        <v>0</v>
      </c>
      <c r="P397">
        <v>12394</v>
      </c>
      <c r="Q397">
        <v>435002</v>
      </c>
      <c r="R397">
        <v>0</v>
      </c>
      <c r="S397">
        <v>20230221</v>
      </c>
      <c r="T397">
        <v>0</v>
      </c>
      <c r="U397" t="s">
        <v>7361</v>
      </c>
      <c r="V397" t="s">
        <v>7360</v>
      </c>
      <c r="W397" t="s">
        <v>7360</v>
      </c>
      <c r="X397" t="s">
        <v>7360</v>
      </c>
      <c r="Y397" t="s">
        <v>7360</v>
      </c>
      <c r="Z397" t="s">
        <v>7360</v>
      </c>
      <c r="AA397" t="s">
        <v>7362</v>
      </c>
      <c r="AB397" t="s">
        <v>7360</v>
      </c>
      <c r="AC397" t="s">
        <v>7360</v>
      </c>
      <c r="AD397" t="s">
        <v>7360</v>
      </c>
      <c r="AE397" t="s">
        <v>7360</v>
      </c>
      <c r="AF397" t="s">
        <v>1684</v>
      </c>
      <c r="AG397">
        <v>0</v>
      </c>
      <c r="AH397">
        <v>0</v>
      </c>
      <c r="AI397">
        <v>0</v>
      </c>
      <c r="AJ397">
        <v>0</v>
      </c>
      <c r="AK397">
        <v>0</v>
      </c>
      <c r="AL397" t="s">
        <v>7360</v>
      </c>
      <c r="AM397">
        <v>0</v>
      </c>
      <c r="AN397" s="20">
        <v>44978</v>
      </c>
      <c r="AO397" s="20">
        <v>44978</v>
      </c>
      <c r="AP397" s="20">
        <v>44978</v>
      </c>
      <c r="AQ397">
        <v>0</v>
      </c>
      <c r="AR397">
        <v>0</v>
      </c>
      <c r="AS397">
        <v>0</v>
      </c>
      <c r="AT397">
        <v>0</v>
      </c>
      <c r="AU397">
        <v>0</v>
      </c>
      <c r="AV397" t="s">
        <v>7360</v>
      </c>
      <c r="AW397">
        <v>0</v>
      </c>
      <c r="AX397" t="s">
        <v>7360</v>
      </c>
      <c r="AY397" t="s">
        <v>7363</v>
      </c>
      <c r="BA397">
        <v>0</v>
      </c>
      <c r="BB397" s="20">
        <v>44978</v>
      </c>
      <c r="BC397">
        <v>0</v>
      </c>
      <c r="BD397" t="s">
        <v>7360</v>
      </c>
      <c r="BF397" s="20">
        <v>44978</v>
      </c>
      <c r="BG397">
        <v>0</v>
      </c>
      <c r="BH397" t="s">
        <v>7363</v>
      </c>
      <c r="BJ397" t="s">
        <v>7362</v>
      </c>
      <c r="BK397">
        <v>169</v>
      </c>
      <c r="BL397">
        <v>11</v>
      </c>
      <c r="BM397">
        <v>1</v>
      </c>
      <c r="BN397" t="s">
        <v>7364</v>
      </c>
      <c r="BO397">
        <v>0</v>
      </c>
      <c r="BP397">
        <v>0</v>
      </c>
      <c r="BQ397">
        <v>0</v>
      </c>
      <c r="BR397">
        <v>0</v>
      </c>
      <c r="BS397" t="s">
        <v>7441</v>
      </c>
      <c r="BT397" t="s">
        <v>7360</v>
      </c>
      <c r="BU397" t="s">
        <v>7360</v>
      </c>
      <c r="BV397" t="s">
        <v>7360</v>
      </c>
      <c r="BX397" t="s">
        <v>7391</v>
      </c>
      <c r="BY397">
        <v>74</v>
      </c>
      <c r="BZ397" t="s">
        <v>7360</v>
      </c>
      <c r="CA397" t="s">
        <v>7360</v>
      </c>
      <c r="CB397">
        <v>5558210</v>
      </c>
      <c r="CC397" s="21">
        <v>44978.399930555555</v>
      </c>
      <c r="CE397" t="s">
        <v>7392</v>
      </c>
      <c r="CF397">
        <v>1100101</v>
      </c>
      <c r="CG397">
        <v>53575</v>
      </c>
      <c r="CH397">
        <v>53575</v>
      </c>
      <c r="CI397" s="21">
        <v>44978.400879629633</v>
      </c>
      <c r="CJ397" t="s">
        <v>7393</v>
      </c>
      <c r="CK397" t="s">
        <v>7393</v>
      </c>
      <c r="CL397" t="s">
        <v>7394</v>
      </c>
      <c r="CM397" t="s">
        <v>7394</v>
      </c>
      <c r="CS397" t="s">
        <v>7361</v>
      </c>
      <c r="CT397" t="s">
        <v>7362</v>
      </c>
      <c r="CU397" t="s">
        <v>7362</v>
      </c>
      <c r="CV397" t="s">
        <v>7362</v>
      </c>
      <c r="CW397" t="s">
        <v>7362</v>
      </c>
      <c r="CX397">
        <v>259632</v>
      </c>
      <c r="DA397">
        <v>0</v>
      </c>
    </row>
    <row r="398" spans="1:106" x14ac:dyDescent="0.3">
      <c r="A398">
        <v>1365</v>
      </c>
      <c r="B398" t="s">
        <v>7384</v>
      </c>
      <c r="C398">
        <v>424</v>
      </c>
      <c r="D398" s="20">
        <v>44978</v>
      </c>
      <c r="E398" t="s">
        <v>7372</v>
      </c>
      <c r="F398" t="s">
        <v>5267</v>
      </c>
      <c r="G398" t="s">
        <v>7357</v>
      </c>
      <c r="H398">
        <v>1</v>
      </c>
      <c r="I398" t="s">
        <v>7358</v>
      </c>
      <c r="J398">
        <v>1</v>
      </c>
      <c r="K398" s="20">
        <v>44978</v>
      </c>
      <c r="L398" s="23">
        <v>13571429</v>
      </c>
      <c r="M398" t="s">
        <v>7359</v>
      </c>
      <c r="N398" t="s">
        <v>7360</v>
      </c>
      <c r="O398">
        <v>0</v>
      </c>
      <c r="P398">
        <v>12398</v>
      </c>
      <c r="Q398">
        <v>435004</v>
      </c>
      <c r="R398">
        <v>0</v>
      </c>
      <c r="S398">
        <v>20230221</v>
      </c>
      <c r="T398">
        <v>0</v>
      </c>
      <c r="U398" t="s">
        <v>7362</v>
      </c>
      <c r="V398" t="s">
        <v>7360</v>
      </c>
      <c r="W398" t="s">
        <v>7360</v>
      </c>
      <c r="X398" t="s">
        <v>7360</v>
      </c>
      <c r="Y398" t="s">
        <v>7360</v>
      </c>
      <c r="Z398" t="s">
        <v>7360</v>
      </c>
      <c r="AA398" t="s">
        <v>7362</v>
      </c>
      <c r="AB398" t="s">
        <v>7360</v>
      </c>
      <c r="AC398" t="s">
        <v>7360</v>
      </c>
      <c r="AD398" t="s">
        <v>7360</v>
      </c>
      <c r="AE398" t="s">
        <v>7360</v>
      </c>
      <c r="AF398" t="s">
        <v>1684</v>
      </c>
      <c r="AG398">
        <v>0</v>
      </c>
      <c r="AH398">
        <v>0</v>
      </c>
      <c r="AI398">
        <v>0</v>
      </c>
      <c r="AJ398">
        <v>0</v>
      </c>
      <c r="AK398">
        <v>0</v>
      </c>
      <c r="AL398" t="s">
        <v>7360</v>
      </c>
      <c r="AM398">
        <v>0</v>
      </c>
      <c r="AN398" s="20">
        <v>44978</v>
      </c>
      <c r="AO398" s="20">
        <v>44978</v>
      </c>
      <c r="AP398" s="20">
        <v>44978</v>
      </c>
      <c r="AQ398">
        <v>0</v>
      </c>
      <c r="AR398">
        <v>0</v>
      </c>
      <c r="AS398">
        <v>0</v>
      </c>
      <c r="AT398">
        <v>0</v>
      </c>
      <c r="AU398">
        <v>0</v>
      </c>
      <c r="AV398" t="s">
        <v>7360</v>
      </c>
      <c r="AW398">
        <v>0</v>
      </c>
      <c r="AX398" t="s">
        <v>7360</v>
      </c>
      <c r="AY398" t="s">
        <v>7362</v>
      </c>
      <c r="BA398">
        <v>0</v>
      </c>
      <c r="BB398" s="20">
        <v>44978</v>
      </c>
      <c r="BC398">
        <v>0</v>
      </c>
      <c r="BD398" t="s">
        <v>7360</v>
      </c>
      <c r="BF398" s="20">
        <v>44978</v>
      </c>
      <c r="BG398">
        <v>0</v>
      </c>
      <c r="BH398" t="s">
        <v>7363</v>
      </c>
      <c r="BJ398" t="s">
        <v>7362</v>
      </c>
      <c r="BK398">
        <v>169</v>
      </c>
      <c r="BL398">
        <v>11</v>
      </c>
      <c r="BM398">
        <v>1</v>
      </c>
      <c r="BN398" t="s">
        <v>7364</v>
      </c>
      <c r="BO398">
        <v>0</v>
      </c>
      <c r="BP398">
        <v>0</v>
      </c>
      <c r="BQ398">
        <v>0</v>
      </c>
      <c r="BR398">
        <v>0</v>
      </c>
      <c r="BS398" t="s">
        <v>7385</v>
      </c>
      <c r="BT398" t="s">
        <v>7360</v>
      </c>
      <c r="BU398" t="s">
        <v>7360</v>
      </c>
      <c r="BV398" t="s">
        <v>7360</v>
      </c>
      <c r="BX398" t="s">
        <v>7391</v>
      </c>
      <c r="BY398">
        <v>74</v>
      </c>
      <c r="BZ398" t="s">
        <v>7360</v>
      </c>
      <c r="CA398" t="s">
        <v>7360</v>
      </c>
      <c r="CC398" s="21">
        <v>44978.409768518519</v>
      </c>
      <c r="CE398" t="s">
        <v>7392</v>
      </c>
      <c r="CF398">
        <v>1100101</v>
      </c>
      <c r="CG398">
        <v>53575</v>
      </c>
      <c r="CH398">
        <v>53575</v>
      </c>
      <c r="CI398" s="21">
        <v>44978.412974537037</v>
      </c>
      <c r="CJ398" t="s">
        <v>7393</v>
      </c>
      <c r="CK398" t="s">
        <v>7393</v>
      </c>
      <c r="CL398" t="s">
        <v>7394</v>
      </c>
      <c r="CM398" t="s">
        <v>7394</v>
      </c>
      <c r="CS398" t="s">
        <v>7361</v>
      </c>
      <c r="CT398" t="s">
        <v>7362</v>
      </c>
      <c r="CU398" t="s">
        <v>7362</v>
      </c>
      <c r="CV398" t="s">
        <v>7362</v>
      </c>
      <c r="CW398" t="s">
        <v>7362</v>
      </c>
      <c r="CX398">
        <v>13571429</v>
      </c>
      <c r="DA398">
        <v>0</v>
      </c>
    </row>
    <row r="399" spans="1:106" x14ac:dyDescent="0.3">
      <c r="A399">
        <v>1362</v>
      </c>
      <c r="B399" t="s">
        <v>7371</v>
      </c>
      <c r="C399">
        <v>368</v>
      </c>
      <c r="D399" s="20">
        <v>44973</v>
      </c>
      <c r="E399" t="s">
        <v>7356</v>
      </c>
      <c r="F399" t="s">
        <v>5273</v>
      </c>
      <c r="G399" t="s">
        <v>7377</v>
      </c>
      <c r="H399">
        <v>1</v>
      </c>
      <c r="I399" t="s">
        <v>7358</v>
      </c>
      <c r="J399">
        <v>1</v>
      </c>
      <c r="K399" s="20">
        <v>44973</v>
      </c>
      <c r="L399" s="23">
        <v>24420690</v>
      </c>
      <c r="M399" t="s">
        <v>7359</v>
      </c>
      <c r="N399" t="s">
        <v>7360</v>
      </c>
      <c r="O399">
        <v>0</v>
      </c>
      <c r="P399">
        <v>12351</v>
      </c>
      <c r="Q399">
        <v>433018</v>
      </c>
      <c r="R399">
        <v>0</v>
      </c>
      <c r="S399">
        <v>20230216</v>
      </c>
      <c r="T399">
        <v>0</v>
      </c>
      <c r="U399" t="s">
        <v>7361</v>
      </c>
      <c r="V399" t="s">
        <v>7360</v>
      </c>
      <c r="W399" t="s">
        <v>7360</v>
      </c>
      <c r="X399" t="s">
        <v>7360</v>
      </c>
      <c r="Y399" t="s">
        <v>7360</v>
      </c>
      <c r="Z399" t="s">
        <v>7360</v>
      </c>
      <c r="AA399" t="s">
        <v>7362</v>
      </c>
      <c r="AB399" t="s">
        <v>7360</v>
      </c>
      <c r="AC399" t="s">
        <v>7360</v>
      </c>
      <c r="AD399" t="s">
        <v>7360</v>
      </c>
      <c r="AE399" t="s">
        <v>7360</v>
      </c>
      <c r="AF399" t="s">
        <v>1684</v>
      </c>
      <c r="AG399">
        <v>0</v>
      </c>
      <c r="AH399">
        <v>0</v>
      </c>
      <c r="AI399">
        <v>0</v>
      </c>
      <c r="AJ399">
        <v>0</v>
      </c>
      <c r="AK399">
        <v>0</v>
      </c>
      <c r="AL399" t="s">
        <v>7360</v>
      </c>
      <c r="AM399">
        <v>0</v>
      </c>
      <c r="AN399" s="20">
        <v>44973</v>
      </c>
      <c r="AO399" s="20">
        <v>44973</v>
      </c>
      <c r="AP399" s="20">
        <v>44973</v>
      </c>
      <c r="AQ399">
        <v>0</v>
      </c>
      <c r="AR399">
        <v>0</v>
      </c>
      <c r="AS399">
        <v>0</v>
      </c>
      <c r="AT399">
        <v>0</v>
      </c>
      <c r="AU399">
        <v>0</v>
      </c>
      <c r="AV399" t="s">
        <v>7360</v>
      </c>
      <c r="AW399">
        <v>0</v>
      </c>
      <c r="AX399" t="s">
        <v>7360</v>
      </c>
      <c r="AY399" t="s">
        <v>7363</v>
      </c>
      <c r="BA399">
        <v>0</v>
      </c>
      <c r="BB399" s="20">
        <v>44973</v>
      </c>
      <c r="BC399">
        <v>0</v>
      </c>
      <c r="BD399" t="s">
        <v>7360</v>
      </c>
      <c r="BF399" s="20">
        <v>44973</v>
      </c>
      <c r="BG399">
        <v>0</v>
      </c>
      <c r="BH399" t="s">
        <v>7363</v>
      </c>
      <c r="BJ399" t="s">
        <v>7362</v>
      </c>
      <c r="BK399">
        <v>169</v>
      </c>
      <c r="BL399">
        <v>11</v>
      </c>
      <c r="BM399">
        <v>1</v>
      </c>
      <c r="BN399" t="s">
        <v>7364</v>
      </c>
      <c r="BO399">
        <v>169</v>
      </c>
      <c r="BP399">
        <v>11</v>
      </c>
      <c r="BQ399">
        <v>1</v>
      </c>
      <c r="BR399" t="s">
        <v>7364</v>
      </c>
      <c r="BS399" t="s">
        <v>7374</v>
      </c>
      <c r="BT399" t="s">
        <v>7360</v>
      </c>
      <c r="BU399" t="s">
        <v>7360</v>
      </c>
      <c r="BV399" t="s">
        <v>7360</v>
      </c>
      <c r="BX399" t="s">
        <v>7391</v>
      </c>
      <c r="BY399">
        <v>74</v>
      </c>
      <c r="BZ399" t="s">
        <v>7360</v>
      </c>
      <c r="CA399" t="s">
        <v>7360</v>
      </c>
      <c r="CB399" t="s">
        <v>7360</v>
      </c>
      <c r="CC399" s="21">
        <v>44993.650405092594</v>
      </c>
      <c r="CE399" t="s">
        <v>7392</v>
      </c>
      <c r="CF399">
        <v>1100101</v>
      </c>
      <c r="CG399">
        <v>50947</v>
      </c>
      <c r="CH399">
        <v>50947</v>
      </c>
      <c r="CI399" s="21">
        <v>44993.655497685184</v>
      </c>
      <c r="CJ399" t="s">
        <v>7442</v>
      </c>
      <c r="CK399" t="s">
        <v>7442</v>
      </c>
      <c r="CL399" t="s">
        <v>7443</v>
      </c>
      <c r="CM399" t="s">
        <v>7443</v>
      </c>
      <c r="CS399" t="s">
        <v>7361</v>
      </c>
      <c r="CT399" t="s">
        <v>7362</v>
      </c>
      <c r="CU399" t="s">
        <v>7362</v>
      </c>
      <c r="CV399" t="s">
        <v>7362</v>
      </c>
      <c r="CW399" t="s">
        <v>7362</v>
      </c>
      <c r="CX399">
        <v>20985467</v>
      </c>
      <c r="DA399">
        <v>0</v>
      </c>
    </row>
    <row r="400" spans="1:106" x14ac:dyDescent="0.3">
      <c r="A400">
        <v>1352</v>
      </c>
      <c r="B400" t="s">
        <v>7416</v>
      </c>
      <c r="C400">
        <v>426</v>
      </c>
      <c r="D400" s="20">
        <v>44978</v>
      </c>
      <c r="E400" t="s">
        <v>7356</v>
      </c>
      <c r="F400" t="s">
        <v>5278</v>
      </c>
      <c r="G400" t="s">
        <v>7357</v>
      </c>
      <c r="H400">
        <v>1</v>
      </c>
      <c r="I400" t="s">
        <v>7358</v>
      </c>
      <c r="J400">
        <v>1</v>
      </c>
      <c r="K400" s="20">
        <v>44978</v>
      </c>
      <c r="L400" s="23">
        <v>6188000</v>
      </c>
      <c r="M400" t="s">
        <v>7359</v>
      </c>
      <c r="N400" t="s">
        <v>7360</v>
      </c>
      <c r="O400">
        <v>0</v>
      </c>
      <c r="P400">
        <v>12564</v>
      </c>
      <c r="Q400">
        <v>440011</v>
      </c>
      <c r="R400">
        <v>0</v>
      </c>
      <c r="S400">
        <v>20230221</v>
      </c>
      <c r="T400">
        <v>0</v>
      </c>
      <c r="U400" t="s">
        <v>7361</v>
      </c>
      <c r="V400" t="s">
        <v>7360</v>
      </c>
      <c r="W400" t="s">
        <v>7360</v>
      </c>
      <c r="X400" t="s">
        <v>7360</v>
      </c>
      <c r="Y400" t="s">
        <v>7360</v>
      </c>
      <c r="Z400" t="s">
        <v>7360</v>
      </c>
      <c r="AA400" t="s">
        <v>7362</v>
      </c>
      <c r="AB400" t="s">
        <v>7360</v>
      </c>
      <c r="AC400" t="s">
        <v>7360</v>
      </c>
      <c r="AD400" t="s">
        <v>7360</v>
      </c>
      <c r="AE400" t="s">
        <v>7360</v>
      </c>
      <c r="AF400" t="s">
        <v>1684</v>
      </c>
      <c r="AG400">
        <v>0</v>
      </c>
      <c r="AH400">
        <v>0</v>
      </c>
      <c r="AI400">
        <v>0</v>
      </c>
      <c r="AJ400">
        <v>0</v>
      </c>
      <c r="AK400">
        <v>0</v>
      </c>
      <c r="AL400" t="s">
        <v>7360</v>
      </c>
      <c r="AM400">
        <v>0</v>
      </c>
      <c r="AN400" s="20">
        <v>44978</v>
      </c>
      <c r="AO400" s="20">
        <v>44978</v>
      </c>
      <c r="AP400" s="20">
        <v>44978</v>
      </c>
      <c r="AQ400">
        <v>0</v>
      </c>
      <c r="AR400">
        <v>0</v>
      </c>
      <c r="AS400">
        <v>0</v>
      </c>
      <c r="AT400">
        <v>0</v>
      </c>
      <c r="AU400">
        <v>0</v>
      </c>
      <c r="AV400" t="s">
        <v>7360</v>
      </c>
      <c r="AW400">
        <v>0</v>
      </c>
      <c r="AX400" t="s">
        <v>7360</v>
      </c>
      <c r="AY400" t="s">
        <v>7363</v>
      </c>
      <c r="BA400">
        <v>0</v>
      </c>
      <c r="BB400" s="20">
        <v>44978</v>
      </c>
      <c r="BC400">
        <v>0</v>
      </c>
      <c r="BD400" t="s">
        <v>7360</v>
      </c>
      <c r="BF400" s="20">
        <v>44978</v>
      </c>
      <c r="BG400">
        <v>0</v>
      </c>
      <c r="BH400" t="s">
        <v>7363</v>
      </c>
      <c r="BJ400" t="s">
        <v>7362</v>
      </c>
      <c r="BK400">
        <v>169</v>
      </c>
      <c r="BL400">
        <v>11</v>
      </c>
      <c r="BM400">
        <v>1</v>
      </c>
      <c r="BN400" t="s">
        <v>7364</v>
      </c>
      <c r="BO400">
        <v>0</v>
      </c>
      <c r="BP400">
        <v>0</v>
      </c>
      <c r="BQ400">
        <v>0</v>
      </c>
      <c r="BR400">
        <v>0</v>
      </c>
      <c r="BS400" t="s">
        <v>48</v>
      </c>
      <c r="BT400" t="s">
        <v>7360</v>
      </c>
      <c r="BU400" t="s">
        <v>7360</v>
      </c>
      <c r="BV400" t="s">
        <v>7360</v>
      </c>
      <c r="BX400" t="s">
        <v>7391</v>
      </c>
      <c r="BY400">
        <v>74</v>
      </c>
      <c r="BZ400" t="s">
        <v>7360</v>
      </c>
      <c r="CA400" t="s">
        <v>7360</v>
      </c>
      <c r="CC400" s="21">
        <v>44978.421851851854</v>
      </c>
      <c r="CE400" t="s">
        <v>7392</v>
      </c>
      <c r="CF400">
        <v>1100101</v>
      </c>
      <c r="CG400">
        <v>53575</v>
      </c>
      <c r="CH400">
        <v>53575</v>
      </c>
      <c r="CI400" s="21">
        <v>44978.423171296294</v>
      </c>
      <c r="CJ400" t="s">
        <v>7393</v>
      </c>
      <c r="CK400" t="s">
        <v>7393</v>
      </c>
      <c r="CL400" t="s">
        <v>7394</v>
      </c>
      <c r="CM400" t="s">
        <v>7394</v>
      </c>
      <c r="CS400" t="s">
        <v>7361</v>
      </c>
      <c r="CT400" t="s">
        <v>7362</v>
      </c>
      <c r="CU400" t="s">
        <v>7362</v>
      </c>
      <c r="CV400" t="s">
        <v>7362</v>
      </c>
      <c r="CW400" t="s">
        <v>7362</v>
      </c>
      <c r="CX400">
        <v>6188000</v>
      </c>
      <c r="DA400">
        <v>0</v>
      </c>
    </row>
    <row r="401" spans="1:106" x14ac:dyDescent="0.3">
      <c r="A401">
        <v>1365</v>
      </c>
      <c r="B401" t="s">
        <v>7384</v>
      </c>
      <c r="C401">
        <v>427</v>
      </c>
      <c r="D401" s="20">
        <v>44978</v>
      </c>
      <c r="E401" t="s">
        <v>7372</v>
      </c>
      <c r="F401" t="s">
        <v>5282</v>
      </c>
      <c r="G401" t="s">
        <v>7357</v>
      </c>
      <c r="H401">
        <v>1</v>
      </c>
      <c r="I401" t="s">
        <v>7358</v>
      </c>
      <c r="J401">
        <v>1</v>
      </c>
      <c r="K401" s="20">
        <v>44978</v>
      </c>
      <c r="L401" s="23">
        <v>3000000</v>
      </c>
      <c r="M401" t="s">
        <v>7359</v>
      </c>
      <c r="N401" t="s">
        <v>7360</v>
      </c>
      <c r="O401">
        <v>0</v>
      </c>
      <c r="P401">
        <v>12608</v>
      </c>
      <c r="Q401">
        <v>440028</v>
      </c>
      <c r="R401">
        <v>0</v>
      </c>
      <c r="S401">
        <v>20230221</v>
      </c>
      <c r="T401">
        <v>0</v>
      </c>
      <c r="U401" t="s">
        <v>7362</v>
      </c>
      <c r="V401" t="s">
        <v>7360</v>
      </c>
      <c r="W401" t="s">
        <v>7360</v>
      </c>
      <c r="X401" t="s">
        <v>7360</v>
      </c>
      <c r="Y401" t="s">
        <v>7360</v>
      </c>
      <c r="Z401" t="s">
        <v>7360</v>
      </c>
      <c r="AA401" t="s">
        <v>7362</v>
      </c>
      <c r="AB401" t="s">
        <v>7360</v>
      </c>
      <c r="AC401" t="s">
        <v>7360</v>
      </c>
      <c r="AD401" t="s">
        <v>7360</v>
      </c>
      <c r="AE401" t="s">
        <v>7360</v>
      </c>
      <c r="AF401" t="s">
        <v>1684</v>
      </c>
      <c r="AG401">
        <v>0</v>
      </c>
      <c r="AH401">
        <v>0</v>
      </c>
      <c r="AI401">
        <v>0</v>
      </c>
      <c r="AJ401">
        <v>0</v>
      </c>
      <c r="AK401">
        <v>0</v>
      </c>
      <c r="AL401" t="s">
        <v>7360</v>
      </c>
      <c r="AM401">
        <v>0</v>
      </c>
      <c r="AN401" s="20">
        <v>44978</v>
      </c>
      <c r="AO401" s="20">
        <v>44978</v>
      </c>
      <c r="AP401" s="20">
        <v>44978</v>
      </c>
      <c r="AQ401">
        <v>0</v>
      </c>
      <c r="AR401">
        <v>0</v>
      </c>
      <c r="AS401">
        <v>0</v>
      </c>
      <c r="AT401">
        <v>0</v>
      </c>
      <c r="AU401">
        <v>0</v>
      </c>
      <c r="AV401" t="s">
        <v>7360</v>
      </c>
      <c r="AW401">
        <v>0</v>
      </c>
      <c r="AX401" t="s">
        <v>7360</v>
      </c>
      <c r="AY401" t="s">
        <v>7373</v>
      </c>
      <c r="BA401">
        <v>0</v>
      </c>
      <c r="BB401" s="20">
        <v>44978</v>
      </c>
      <c r="BC401">
        <v>0</v>
      </c>
      <c r="BD401" t="s">
        <v>7360</v>
      </c>
      <c r="BF401" s="20">
        <v>44978</v>
      </c>
      <c r="BG401">
        <v>0</v>
      </c>
      <c r="BH401" t="s">
        <v>7363</v>
      </c>
      <c r="BJ401" t="s">
        <v>7362</v>
      </c>
      <c r="BK401">
        <v>169</v>
      </c>
      <c r="BL401">
        <v>11</v>
      </c>
      <c r="BM401">
        <v>1</v>
      </c>
      <c r="BN401" t="s">
        <v>7364</v>
      </c>
      <c r="BO401">
        <v>0</v>
      </c>
      <c r="BP401">
        <v>0</v>
      </c>
      <c r="BQ401">
        <v>0</v>
      </c>
      <c r="BR401">
        <v>0</v>
      </c>
      <c r="BS401" t="s">
        <v>7385</v>
      </c>
      <c r="BT401" t="s">
        <v>7360</v>
      </c>
      <c r="BU401" t="s">
        <v>7360</v>
      </c>
      <c r="BV401" t="s">
        <v>7360</v>
      </c>
      <c r="BX401" t="s">
        <v>7391</v>
      </c>
      <c r="BY401">
        <v>74</v>
      </c>
      <c r="BZ401" t="s">
        <v>7360</v>
      </c>
      <c r="CA401" t="s">
        <v>7360</v>
      </c>
      <c r="CB401" t="s">
        <v>7360</v>
      </c>
      <c r="CC401" s="21">
        <v>44978.432256944441</v>
      </c>
      <c r="CE401" t="s">
        <v>7392</v>
      </c>
      <c r="CF401">
        <v>1100101</v>
      </c>
      <c r="CG401">
        <v>53575</v>
      </c>
      <c r="CH401">
        <v>53575</v>
      </c>
      <c r="CI401" s="21">
        <v>44978.433425925927</v>
      </c>
      <c r="CJ401" t="s">
        <v>7393</v>
      </c>
      <c r="CK401" t="s">
        <v>7393</v>
      </c>
      <c r="CL401" t="s">
        <v>7394</v>
      </c>
      <c r="CM401" t="s">
        <v>7394</v>
      </c>
      <c r="CS401" t="s">
        <v>7361</v>
      </c>
      <c r="CT401" t="s">
        <v>7362</v>
      </c>
      <c r="CU401" t="s">
        <v>7362</v>
      </c>
      <c r="CV401" t="s">
        <v>7362</v>
      </c>
      <c r="CW401" t="s">
        <v>7362</v>
      </c>
      <c r="CX401">
        <v>3000000</v>
      </c>
      <c r="DA401">
        <v>0</v>
      </c>
    </row>
    <row r="402" spans="1:106" x14ac:dyDescent="0.3">
      <c r="A402">
        <v>1365</v>
      </c>
      <c r="B402" t="s">
        <v>7384</v>
      </c>
      <c r="C402">
        <v>428</v>
      </c>
      <c r="D402" s="20">
        <v>44978</v>
      </c>
      <c r="E402" t="s">
        <v>7372</v>
      </c>
      <c r="F402" t="s">
        <v>5288</v>
      </c>
      <c r="G402" t="s">
        <v>7357</v>
      </c>
      <c r="H402">
        <v>1</v>
      </c>
      <c r="I402" t="s">
        <v>7358</v>
      </c>
      <c r="J402">
        <v>1</v>
      </c>
      <c r="K402" s="20">
        <v>44978</v>
      </c>
      <c r="L402" s="23">
        <v>7818183</v>
      </c>
      <c r="M402" t="s">
        <v>7359</v>
      </c>
      <c r="N402" t="s">
        <v>7360</v>
      </c>
      <c r="O402">
        <v>0</v>
      </c>
      <c r="P402">
        <v>12600</v>
      </c>
      <c r="Q402">
        <v>440023</v>
      </c>
      <c r="R402">
        <v>0</v>
      </c>
      <c r="S402">
        <v>20230221</v>
      </c>
      <c r="T402">
        <v>0</v>
      </c>
      <c r="U402" t="s">
        <v>7362</v>
      </c>
      <c r="V402" t="s">
        <v>7360</v>
      </c>
      <c r="W402" t="s">
        <v>7360</v>
      </c>
      <c r="X402" t="s">
        <v>7360</v>
      </c>
      <c r="Y402" t="s">
        <v>7360</v>
      </c>
      <c r="Z402" t="s">
        <v>7360</v>
      </c>
      <c r="AA402" t="s">
        <v>7362</v>
      </c>
      <c r="AB402" t="s">
        <v>7360</v>
      </c>
      <c r="AC402" t="s">
        <v>7360</v>
      </c>
      <c r="AD402" t="s">
        <v>7360</v>
      </c>
      <c r="AE402" t="s">
        <v>7360</v>
      </c>
      <c r="AF402" t="s">
        <v>1684</v>
      </c>
      <c r="AG402">
        <v>0</v>
      </c>
      <c r="AH402">
        <v>0</v>
      </c>
      <c r="AI402">
        <v>0</v>
      </c>
      <c r="AJ402">
        <v>0</v>
      </c>
      <c r="AK402">
        <v>0</v>
      </c>
      <c r="AL402" t="s">
        <v>7360</v>
      </c>
      <c r="AM402">
        <v>0</v>
      </c>
      <c r="AN402" s="20">
        <v>44978</v>
      </c>
      <c r="AO402" s="20">
        <v>44978</v>
      </c>
      <c r="AP402" s="20">
        <v>44978</v>
      </c>
      <c r="AQ402">
        <v>0</v>
      </c>
      <c r="AR402">
        <v>0</v>
      </c>
      <c r="AS402">
        <v>0</v>
      </c>
      <c r="AT402">
        <v>0</v>
      </c>
      <c r="AU402">
        <v>0</v>
      </c>
      <c r="AV402" t="s">
        <v>7360</v>
      </c>
      <c r="AW402">
        <v>0</v>
      </c>
      <c r="AX402" t="s">
        <v>7360</v>
      </c>
      <c r="AY402" t="s">
        <v>7373</v>
      </c>
      <c r="BA402">
        <v>0</v>
      </c>
      <c r="BB402" s="20">
        <v>44978</v>
      </c>
      <c r="BC402">
        <v>0</v>
      </c>
      <c r="BD402" t="s">
        <v>7360</v>
      </c>
      <c r="BF402" s="20">
        <v>44978</v>
      </c>
      <c r="BG402">
        <v>0</v>
      </c>
      <c r="BH402" t="s">
        <v>7363</v>
      </c>
      <c r="BJ402" t="s">
        <v>7362</v>
      </c>
      <c r="BK402">
        <v>169</v>
      </c>
      <c r="BL402">
        <v>11</v>
      </c>
      <c r="BM402">
        <v>1</v>
      </c>
      <c r="BN402" t="s">
        <v>7364</v>
      </c>
      <c r="BO402">
        <v>0</v>
      </c>
      <c r="BP402">
        <v>0</v>
      </c>
      <c r="BQ402">
        <v>0</v>
      </c>
      <c r="BR402">
        <v>0</v>
      </c>
      <c r="BS402" t="s">
        <v>7385</v>
      </c>
      <c r="BT402" t="s">
        <v>7360</v>
      </c>
      <c r="BU402" t="s">
        <v>7360</v>
      </c>
      <c r="BV402" t="s">
        <v>7360</v>
      </c>
      <c r="BX402" t="s">
        <v>7391</v>
      </c>
      <c r="BY402">
        <v>74</v>
      </c>
      <c r="BZ402" t="s">
        <v>7360</v>
      </c>
      <c r="CA402" t="s">
        <v>7360</v>
      </c>
      <c r="CC402" s="21">
        <v>44978.454965277779</v>
      </c>
      <c r="CE402" t="s">
        <v>7392</v>
      </c>
      <c r="CF402">
        <v>1100101</v>
      </c>
      <c r="CG402">
        <v>53575</v>
      </c>
      <c r="CH402">
        <v>53575</v>
      </c>
      <c r="CI402" s="21">
        <v>44978.456678240742</v>
      </c>
      <c r="CJ402" t="s">
        <v>7393</v>
      </c>
      <c r="CK402" t="s">
        <v>7393</v>
      </c>
      <c r="CL402" t="s">
        <v>7394</v>
      </c>
      <c r="CM402" t="s">
        <v>7394</v>
      </c>
      <c r="CS402" t="s">
        <v>7361</v>
      </c>
      <c r="CT402" t="s">
        <v>7362</v>
      </c>
      <c r="CU402" t="s">
        <v>7362</v>
      </c>
      <c r="CV402" t="s">
        <v>7362</v>
      </c>
      <c r="CW402" t="s">
        <v>7362</v>
      </c>
      <c r="CX402">
        <v>7818183</v>
      </c>
      <c r="DA402">
        <v>0</v>
      </c>
    </row>
    <row r="403" spans="1:106" x14ac:dyDescent="0.3">
      <c r="A403">
        <v>1371</v>
      </c>
      <c r="B403" t="s">
        <v>7389</v>
      </c>
      <c r="C403">
        <v>429</v>
      </c>
      <c r="D403" s="20">
        <v>44978</v>
      </c>
      <c r="E403" t="s">
        <v>7356</v>
      </c>
      <c r="F403" t="s">
        <v>5293</v>
      </c>
      <c r="G403" t="s">
        <v>7357</v>
      </c>
      <c r="H403">
        <v>1</v>
      </c>
      <c r="I403" t="s">
        <v>7358</v>
      </c>
      <c r="J403">
        <v>1</v>
      </c>
      <c r="K403" s="20">
        <v>44978</v>
      </c>
      <c r="L403" s="23">
        <v>133056</v>
      </c>
      <c r="M403" t="s">
        <v>7359</v>
      </c>
      <c r="N403" t="s">
        <v>7360</v>
      </c>
      <c r="O403">
        <v>0</v>
      </c>
      <c r="P403">
        <v>12566</v>
      </c>
      <c r="Q403">
        <v>440012</v>
      </c>
      <c r="R403">
        <v>0</v>
      </c>
      <c r="S403">
        <v>20230221</v>
      </c>
      <c r="T403">
        <v>0</v>
      </c>
      <c r="U403" t="s">
        <v>7361</v>
      </c>
      <c r="V403" t="s">
        <v>7360</v>
      </c>
      <c r="W403" t="s">
        <v>7360</v>
      </c>
      <c r="X403" t="s">
        <v>7360</v>
      </c>
      <c r="Y403" t="s">
        <v>7360</v>
      </c>
      <c r="Z403" t="s">
        <v>7360</v>
      </c>
      <c r="AA403" t="s">
        <v>7362</v>
      </c>
      <c r="AB403" t="s">
        <v>7360</v>
      </c>
      <c r="AC403" t="s">
        <v>7360</v>
      </c>
      <c r="AD403" t="s">
        <v>7360</v>
      </c>
      <c r="AE403" t="s">
        <v>7360</v>
      </c>
      <c r="AF403" t="s">
        <v>1684</v>
      </c>
      <c r="AG403">
        <v>0</v>
      </c>
      <c r="AH403">
        <v>0</v>
      </c>
      <c r="AI403">
        <v>0</v>
      </c>
      <c r="AJ403">
        <v>0</v>
      </c>
      <c r="AK403">
        <v>0</v>
      </c>
      <c r="AL403" t="s">
        <v>7360</v>
      </c>
      <c r="AM403">
        <v>0</v>
      </c>
      <c r="AN403" s="20">
        <v>44978</v>
      </c>
      <c r="AO403" s="20">
        <v>44978</v>
      </c>
      <c r="AP403" s="20">
        <v>44978</v>
      </c>
      <c r="AQ403">
        <v>0</v>
      </c>
      <c r="AR403">
        <v>0</v>
      </c>
      <c r="AS403">
        <v>0</v>
      </c>
      <c r="AT403">
        <v>0</v>
      </c>
      <c r="AU403">
        <v>0</v>
      </c>
      <c r="AV403" t="s">
        <v>7360</v>
      </c>
      <c r="AW403">
        <v>0</v>
      </c>
      <c r="AX403" t="s">
        <v>7360</v>
      </c>
      <c r="AY403" t="s">
        <v>7363</v>
      </c>
      <c r="BA403">
        <v>0</v>
      </c>
      <c r="BB403" s="20">
        <v>44978</v>
      </c>
      <c r="BC403">
        <v>0</v>
      </c>
      <c r="BD403" t="s">
        <v>7360</v>
      </c>
      <c r="BF403" s="20">
        <v>44978</v>
      </c>
      <c r="BG403">
        <v>0</v>
      </c>
      <c r="BH403" t="s">
        <v>7363</v>
      </c>
      <c r="BJ403" t="s">
        <v>7362</v>
      </c>
      <c r="BK403">
        <v>169</v>
      </c>
      <c r="BL403">
        <v>11</v>
      </c>
      <c r="BM403">
        <v>1</v>
      </c>
      <c r="BN403" t="s">
        <v>7364</v>
      </c>
      <c r="BO403">
        <v>0</v>
      </c>
      <c r="BP403">
        <v>0</v>
      </c>
      <c r="BQ403">
        <v>0</v>
      </c>
      <c r="BR403">
        <v>0</v>
      </c>
      <c r="BS403" t="s">
        <v>7427</v>
      </c>
      <c r="BT403" t="s">
        <v>7360</v>
      </c>
      <c r="BU403" t="s">
        <v>7360</v>
      </c>
      <c r="BV403" t="s">
        <v>7360</v>
      </c>
      <c r="BX403" t="s">
        <v>7391</v>
      </c>
      <c r="BY403">
        <v>74</v>
      </c>
      <c r="BZ403" t="s">
        <v>7360</v>
      </c>
      <c r="CA403" t="s">
        <v>7360</v>
      </c>
      <c r="CC403" s="21">
        <v>44978.488263888888</v>
      </c>
      <c r="CE403" t="s">
        <v>7392</v>
      </c>
      <c r="CF403">
        <v>1100101</v>
      </c>
      <c r="CG403">
        <v>53575</v>
      </c>
      <c r="CH403">
        <v>53575</v>
      </c>
      <c r="CI403" s="21">
        <v>44978.524872685186</v>
      </c>
      <c r="CJ403" t="s">
        <v>7393</v>
      </c>
      <c r="CK403" t="s">
        <v>7393</v>
      </c>
      <c r="CL403" t="s">
        <v>7394</v>
      </c>
      <c r="CM403" t="s">
        <v>7394</v>
      </c>
      <c r="CS403" t="s">
        <v>7361</v>
      </c>
      <c r="CT403" t="s">
        <v>7362</v>
      </c>
      <c r="CU403" t="s">
        <v>7362</v>
      </c>
      <c r="CV403" t="s">
        <v>7362</v>
      </c>
      <c r="CW403" t="s">
        <v>7362</v>
      </c>
      <c r="CX403">
        <v>133056</v>
      </c>
      <c r="DA403">
        <v>0</v>
      </c>
    </row>
    <row r="404" spans="1:106" x14ac:dyDescent="0.3">
      <c r="A404">
        <v>1373</v>
      </c>
      <c r="B404" t="s">
        <v>7383</v>
      </c>
      <c r="C404">
        <v>430</v>
      </c>
      <c r="D404" s="20">
        <v>44978</v>
      </c>
      <c r="E404" t="s">
        <v>7356</v>
      </c>
      <c r="F404" t="s">
        <v>5298</v>
      </c>
      <c r="G404" t="s">
        <v>7357</v>
      </c>
      <c r="H404">
        <v>1</v>
      </c>
      <c r="I404" t="s">
        <v>7358</v>
      </c>
      <c r="J404">
        <v>1</v>
      </c>
      <c r="K404" s="20">
        <v>44978</v>
      </c>
      <c r="L404" s="23">
        <v>2058414</v>
      </c>
      <c r="M404" t="s">
        <v>7359</v>
      </c>
      <c r="N404" t="s">
        <v>7360</v>
      </c>
      <c r="O404">
        <v>0</v>
      </c>
      <c r="P404">
        <v>12508</v>
      </c>
      <c r="Q404">
        <v>440001</v>
      </c>
      <c r="R404">
        <v>0</v>
      </c>
      <c r="S404">
        <v>20230221</v>
      </c>
      <c r="T404">
        <v>0</v>
      </c>
      <c r="U404" t="s">
        <v>7361</v>
      </c>
      <c r="V404" t="s">
        <v>7360</v>
      </c>
      <c r="W404" t="s">
        <v>7360</v>
      </c>
      <c r="X404" t="s">
        <v>7360</v>
      </c>
      <c r="Y404" t="s">
        <v>7360</v>
      </c>
      <c r="Z404" t="s">
        <v>7360</v>
      </c>
      <c r="AA404" t="s">
        <v>7362</v>
      </c>
      <c r="AB404" t="s">
        <v>7360</v>
      </c>
      <c r="AC404" t="s">
        <v>7360</v>
      </c>
      <c r="AD404" t="s">
        <v>7360</v>
      </c>
      <c r="AE404" t="s">
        <v>7360</v>
      </c>
      <c r="AF404" t="s">
        <v>1684</v>
      </c>
      <c r="AG404">
        <v>0</v>
      </c>
      <c r="AH404">
        <v>0</v>
      </c>
      <c r="AI404">
        <v>0</v>
      </c>
      <c r="AJ404">
        <v>0</v>
      </c>
      <c r="AK404">
        <v>0</v>
      </c>
      <c r="AL404" t="s">
        <v>7360</v>
      </c>
      <c r="AM404">
        <v>0</v>
      </c>
      <c r="AN404" s="20">
        <v>44978</v>
      </c>
      <c r="AO404" s="20">
        <v>44978</v>
      </c>
      <c r="AP404" s="20">
        <v>44978</v>
      </c>
      <c r="AQ404">
        <v>0</v>
      </c>
      <c r="AR404">
        <v>0</v>
      </c>
      <c r="AS404">
        <v>0</v>
      </c>
      <c r="AT404">
        <v>0</v>
      </c>
      <c r="AU404">
        <v>0</v>
      </c>
      <c r="AV404" t="s">
        <v>7360</v>
      </c>
      <c r="AW404">
        <v>0</v>
      </c>
      <c r="AX404" t="s">
        <v>7360</v>
      </c>
      <c r="AY404" t="s">
        <v>7363</v>
      </c>
      <c r="BA404">
        <v>0</v>
      </c>
      <c r="BB404" s="20">
        <v>44978</v>
      </c>
      <c r="BC404">
        <v>0</v>
      </c>
      <c r="BD404" t="s">
        <v>7360</v>
      </c>
      <c r="BF404" s="20">
        <v>44978</v>
      </c>
      <c r="BG404">
        <v>0</v>
      </c>
      <c r="BH404" t="s">
        <v>7363</v>
      </c>
      <c r="BJ404" t="s">
        <v>7362</v>
      </c>
      <c r="BK404">
        <v>169</v>
      </c>
      <c r="BL404">
        <v>11</v>
      </c>
      <c r="BM404">
        <v>1</v>
      </c>
      <c r="BN404" t="s">
        <v>7364</v>
      </c>
      <c r="BO404">
        <v>0</v>
      </c>
      <c r="BP404">
        <v>0</v>
      </c>
      <c r="BQ404">
        <v>0</v>
      </c>
      <c r="BR404">
        <v>0</v>
      </c>
      <c r="BS404" t="s">
        <v>7441</v>
      </c>
      <c r="BT404" t="s">
        <v>7360</v>
      </c>
      <c r="BU404" t="s">
        <v>7360</v>
      </c>
      <c r="BV404" t="s">
        <v>7360</v>
      </c>
      <c r="BX404" t="s">
        <v>7391</v>
      </c>
      <c r="BY404">
        <v>74</v>
      </c>
      <c r="BZ404" t="s">
        <v>7360</v>
      </c>
      <c r="CA404" t="s">
        <v>7360</v>
      </c>
      <c r="CB404">
        <v>5558210</v>
      </c>
      <c r="CC404" s="21">
        <v>44978.530277777776</v>
      </c>
      <c r="CE404" t="s">
        <v>7392</v>
      </c>
      <c r="CF404">
        <v>1100101</v>
      </c>
      <c r="CG404">
        <v>53575</v>
      </c>
      <c r="CH404">
        <v>53575</v>
      </c>
      <c r="CI404" s="21">
        <v>44978.534363425926</v>
      </c>
      <c r="CJ404" t="s">
        <v>7393</v>
      </c>
      <c r="CK404" t="s">
        <v>7393</v>
      </c>
      <c r="CL404" t="s">
        <v>7394</v>
      </c>
      <c r="CM404" t="s">
        <v>7394</v>
      </c>
      <c r="CS404" t="s">
        <v>7361</v>
      </c>
      <c r="CT404" t="s">
        <v>7362</v>
      </c>
      <c r="CU404" t="s">
        <v>7362</v>
      </c>
      <c r="CV404" t="s">
        <v>7362</v>
      </c>
      <c r="CW404" t="s">
        <v>7362</v>
      </c>
      <c r="CX404">
        <v>2058414</v>
      </c>
      <c r="DA404">
        <v>0</v>
      </c>
    </row>
    <row r="405" spans="1:106" x14ac:dyDescent="0.3">
      <c r="A405">
        <v>1364</v>
      </c>
      <c r="B405" t="s">
        <v>7355</v>
      </c>
      <c r="C405">
        <v>431</v>
      </c>
      <c r="D405" s="20">
        <v>44978</v>
      </c>
      <c r="E405" t="s">
        <v>7372</v>
      </c>
      <c r="F405" t="s">
        <v>5246</v>
      </c>
      <c r="G405" t="s">
        <v>7357</v>
      </c>
      <c r="H405">
        <v>1</v>
      </c>
      <c r="I405" t="s">
        <v>7358</v>
      </c>
      <c r="J405">
        <v>1</v>
      </c>
      <c r="K405" s="20">
        <v>44978</v>
      </c>
      <c r="L405" s="23">
        <v>650000</v>
      </c>
      <c r="M405" t="s">
        <v>7359</v>
      </c>
      <c r="N405" t="s">
        <v>7360</v>
      </c>
      <c r="O405">
        <v>0</v>
      </c>
      <c r="P405">
        <v>12418</v>
      </c>
      <c r="Q405">
        <v>435012</v>
      </c>
      <c r="R405">
        <v>0</v>
      </c>
      <c r="S405">
        <v>20230221</v>
      </c>
      <c r="T405">
        <v>0</v>
      </c>
      <c r="U405" t="s">
        <v>7362</v>
      </c>
      <c r="V405" t="s">
        <v>7360</v>
      </c>
      <c r="W405" t="s">
        <v>7360</v>
      </c>
      <c r="X405" t="s">
        <v>7360</v>
      </c>
      <c r="Y405" t="s">
        <v>7360</v>
      </c>
      <c r="Z405" t="s">
        <v>7360</v>
      </c>
      <c r="AA405" t="s">
        <v>7362</v>
      </c>
      <c r="AB405" t="s">
        <v>7360</v>
      </c>
      <c r="AC405" t="s">
        <v>7360</v>
      </c>
      <c r="AD405" t="s">
        <v>7360</v>
      </c>
      <c r="AE405" t="s">
        <v>7360</v>
      </c>
      <c r="AF405" t="s">
        <v>1684</v>
      </c>
      <c r="AG405">
        <v>0</v>
      </c>
      <c r="AH405">
        <v>0</v>
      </c>
      <c r="AI405">
        <v>0</v>
      </c>
      <c r="AJ405">
        <v>0</v>
      </c>
      <c r="AK405">
        <v>0</v>
      </c>
      <c r="AL405" t="s">
        <v>7360</v>
      </c>
      <c r="AM405">
        <v>0</v>
      </c>
      <c r="AN405" s="20">
        <v>44978</v>
      </c>
      <c r="AO405" s="20">
        <v>44978</v>
      </c>
      <c r="AP405" s="20">
        <v>44978</v>
      </c>
      <c r="AQ405">
        <v>0</v>
      </c>
      <c r="AR405">
        <v>0</v>
      </c>
      <c r="AS405">
        <v>0</v>
      </c>
      <c r="AT405">
        <v>0</v>
      </c>
      <c r="AU405">
        <v>0</v>
      </c>
      <c r="AV405" t="s">
        <v>7360</v>
      </c>
      <c r="AW405">
        <v>0</v>
      </c>
      <c r="AX405" t="s">
        <v>7360</v>
      </c>
      <c r="AY405" t="s">
        <v>7362</v>
      </c>
      <c r="BA405">
        <v>0</v>
      </c>
      <c r="BB405" s="20">
        <v>44978</v>
      </c>
      <c r="BC405">
        <v>0</v>
      </c>
      <c r="BD405" t="s">
        <v>7360</v>
      </c>
      <c r="BF405" s="20">
        <v>44978</v>
      </c>
      <c r="BG405">
        <v>0</v>
      </c>
      <c r="BH405" t="s">
        <v>7363</v>
      </c>
      <c r="BJ405" t="s">
        <v>7362</v>
      </c>
      <c r="BK405">
        <v>0</v>
      </c>
      <c r="BL405">
        <v>0</v>
      </c>
      <c r="BM405">
        <v>0</v>
      </c>
      <c r="BN405">
        <v>0</v>
      </c>
      <c r="BO405">
        <v>169</v>
      </c>
      <c r="BP405">
        <v>11</v>
      </c>
      <c r="BQ405">
        <v>1</v>
      </c>
      <c r="BR405" t="s">
        <v>7364</v>
      </c>
      <c r="BS405" t="s">
        <v>7365</v>
      </c>
      <c r="BT405" t="s">
        <v>7360</v>
      </c>
      <c r="BU405" t="s">
        <v>7360</v>
      </c>
      <c r="BV405" t="s">
        <v>7360</v>
      </c>
      <c r="BX405">
        <v>0</v>
      </c>
      <c r="BY405">
        <v>0</v>
      </c>
      <c r="BZ405" t="s">
        <v>7360</v>
      </c>
      <c r="CA405" t="s">
        <v>7360</v>
      </c>
      <c r="CB405">
        <v>3380666</v>
      </c>
      <c r="CC405" s="21">
        <v>44978.590497685182</v>
      </c>
      <c r="CE405" t="s">
        <v>7366</v>
      </c>
      <c r="CF405">
        <v>0</v>
      </c>
      <c r="CG405">
        <v>702002</v>
      </c>
      <c r="CH405">
        <v>702002</v>
      </c>
      <c r="CI405" s="21">
        <v>44978.595312500001</v>
      </c>
      <c r="CJ405" t="s">
        <v>7367</v>
      </c>
      <c r="CK405" t="s">
        <v>7367</v>
      </c>
      <c r="CL405" t="s">
        <v>7368</v>
      </c>
      <c r="CM405" t="s">
        <v>7368</v>
      </c>
      <c r="CS405" t="s">
        <v>7361</v>
      </c>
      <c r="CT405" t="s">
        <v>7362</v>
      </c>
      <c r="CU405" t="s">
        <v>7362</v>
      </c>
      <c r="CV405" t="s">
        <v>7362</v>
      </c>
      <c r="CW405" t="s">
        <v>7362</v>
      </c>
      <c r="CX405">
        <v>650000</v>
      </c>
      <c r="DA405">
        <v>0</v>
      </c>
    </row>
    <row r="406" spans="1:106" x14ac:dyDescent="0.3">
      <c r="A406">
        <v>1357</v>
      </c>
      <c r="B406" t="s">
        <v>7405</v>
      </c>
      <c r="C406">
        <v>432</v>
      </c>
      <c r="D406" s="20">
        <v>44978</v>
      </c>
      <c r="E406" t="s">
        <v>7372</v>
      </c>
      <c r="F406" t="s">
        <v>5246</v>
      </c>
      <c r="G406" t="s">
        <v>7357</v>
      </c>
      <c r="H406">
        <v>1</v>
      </c>
      <c r="I406" t="s">
        <v>7358</v>
      </c>
      <c r="J406">
        <v>1</v>
      </c>
      <c r="K406" s="20">
        <v>44978</v>
      </c>
      <c r="L406" s="23">
        <v>1450000</v>
      </c>
      <c r="M406" t="s">
        <v>7359</v>
      </c>
      <c r="N406" t="s">
        <v>7360</v>
      </c>
      <c r="O406">
        <v>0</v>
      </c>
      <c r="P406">
        <v>12588</v>
      </c>
      <c r="Q406">
        <v>441001</v>
      </c>
      <c r="R406">
        <v>0</v>
      </c>
      <c r="S406">
        <v>20230221</v>
      </c>
      <c r="T406">
        <v>0</v>
      </c>
      <c r="U406" t="s">
        <v>7362</v>
      </c>
      <c r="V406" t="s">
        <v>7360</v>
      </c>
      <c r="W406" t="s">
        <v>7360</v>
      </c>
      <c r="X406" t="s">
        <v>7360</v>
      </c>
      <c r="Y406" t="s">
        <v>7360</v>
      </c>
      <c r="Z406" t="s">
        <v>7360</v>
      </c>
      <c r="AA406" t="s">
        <v>7362</v>
      </c>
      <c r="AB406" t="s">
        <v>7360</v>
      </c>
      <c r="AC406" t="s">
        <v>7360</v>
      </c>
      <c r="AD406" t="s">
        <v>7360</v>
      </c>
      <c r="AE406" t="s">
        <v>7360</v>
      </c>
      <c r="AF406" t="s">
        <v>1684</v>
      </c>
      <c r="AG406">
        <v>0</v>
      </c>
      <c r="AH406">
        <v>0</v>
      </c>
      <c r="AI406">
        <v>0</v>
      </c>
      <c r="AJ406">
        <v>0</v>
      </c>
      <c r="AK406">
        <v>0</v>
      </c>
      <c r="AL406" t="s">
        <v>7360</v>
      </c>
      <c r="AM406">
        <v>0</v>
      </c>
      <c r="AN406" s="20">
        <v>44978</v>
      </c>
      <c r="AO406" s="20">
        <v>44978</v>
      </c>
      <c r="AP406" s="20">
        <v>44978</v>
      </c>
      <c r="AQ406">
        <v>0</v>
      </c>
      <c r="AR406">
        <v>0</v>
      </c>
      <c r="AS406">
        <v>0</v>
      </c>
      <c r="AT406">
        <v>0</v>
      </c>
      <c r="AU406">
        <v>0</v>
      </c>
      <c r="AV406" t="s">
        <v>7360</v>
      </c>
      <c r="AW406">
        <v>0</v>
      </c>
      <c r="AX406" t="s">
        <v>7360</v>
      </c>
      <c r="AY406" t="s">
        <v>7362</v>
      </c>
      <c r="BA406">
        <v>0</v>
      </c>
      <c r="BB406" s="20">
        <v>44978</v>
      </c>
      <c r="BC406">
        <v>0</v>
      </c>
      <c r="BD406" t="s">
        <v>7360</v>
      </c>
      <c r="BF406" s="20">
        <v>44978</v>
      </c>
      <c r="BG406">
        <v>0</v>
      </c>
      <c r="BH406" t="s">
        <v>1684</v>
      </c>
      <c r="BJ406" t="s">
        <v>7362</v>
      </c>
      <c r="BK406">
        <v>0</v>
      </c>
      <c r="BL406">
        <v>0</v>
      </c>
      <c r="BM406">
        <v>0</v>
      </c>
      <c r="BN406">
        <v>0</v>
      </c>
      <c r="BO406">
        <v>169</v>
      </c>
      <c r="BP406">
        <v>11</v>
      </c>
      <c r="BQ406">
        <v>1</v>
      </c>
      <c r="BR406" t="s">
        <v>7364</v>
      </c>
      <c r="BS406" t="s">
        <v>7386</v>
      </c>
      <c r="BT406" t="s">
        <v>7360</v>
      </c>
      <c r="BU406" t="s">
        <v>7360</v>
      </c>
      <c r="BV406" t="s">
        <v>7360</v>
      </c>
      <c r="BX406">
        <v>0</v>
      </c>
      <c r="BY406">
        <v>0</v>
      </c>
      <c r="BZ406" t="s">
        <v>7360</v>
      </c>
      <c r="CA406" t="s">
        <v>7360</v>
      </c>
      <c r="CB406">
        <v>3380666</v>
      </c>
      <c r="CC406" s="21">
        <v>44978.658449074072</v>
      </c>
      <c r="CE406" t="s">
        <v>7366</v>
      </c>
      <c r="CF406">
        <v>0</v>
      </c>
      <c r="CG406">
        <v>702002</v>
      </c>
      <c r="CH406">
        <v>702002</v>
      </c>
      <c r="CI406" s="21">
        <v>44978.662870370368</v>
      </c>
      <c r="CJ406" t="s">
        <v>7367</v>
      </c>
      <c r="CK406" t="s">
        <v>7367</v>
      </c>
      <c r="CL406" t="s">
        <v>7368</v>
      </c>
      <c r="CM406" t="s">
        <v>7368</v>
      </c>
      <c r="CS406" t="s">
        <v>7361</v>
      </c>
      <c r="CT406" t="s">
        <v>7362</v>
      </c>
      <c r="CU406" t="s">
        <v>7362</v>
      </c>
      <c r="CV406" t="s">
        <v>7362</v>
      </c>
      <c r="CW406" t="s">
        <v>7362</v>
      </c>
      <c r="CX406">
        <v>1450000</v>
      </c>
      <c r="DA406">
        <v>0</v>
      </c>
    </row>
    <row r="407" spans="1:106" x14ac:dyDescent="0.3">
      <c r="A407">
        <v>1354</v>
      </c>
      <c r="B407" t="s">
        <v>7396</v>
      </c>
      <c r="C407">
        <v>433</v>
      </c>
      <c r="D407" s="20">
        <v>44978</v>
      </c>
      <c r="E407" t="s">
        <v>7356</v>
      </c>
      <c r="F407" t="s">
        <v>5251</v>
      </c>
      <c r="G407" t="s">
        <v>7370</v>
      </c>
      <c r="H407">
        <v>1</v>
      </c>
      <c r="I407" t="s">
        <v>7358</v>
      </c>
      <c r="J407">
        <v>1</v>
      </c>
      <c r="K407" s="20">
        <v>44978</v>
      </c>
      <c r="L407" s="23">
        <v>840000</v>
      </c>
      <c r="M407" t="s">
        <v>7359</v>
      </c>
      <c r="N407" t="s">
        <v>7360</v>
      </c>
      <c r="O407">
        <v>0</v>
      </c>
      <c r="P407">
        <v>12658</v>
      </c>
      <c r="Q407">
        <v>449020</v>
      </c>
      <c r="R407">
        <v>0</v>
      </c>
      <c r="S407">
        <v>20230221</v>
      </c>
      <c r="T407">
        <v>0</v>
      </c>
      <c r="U407" t="s">
        <v>7361</v>
      </c>
      <c r="V407" t="s">
        <v>7360</v>
      </c>
      <c r="W407" t="s">
        <v>7360</v>
      </c>
      <c r="X407" t="s">
        <v>7360</v>
      </c>
      <c r="Y407" t="s">
        <v>7360</v>
      </c>
      <c r="Z407" t="s">
        <v>7360</v>
      </c>
      <c r="AA407" t="s">
        <v>7362</v>
      </c>
      <c r="AB407" t="s">
        <v>7360</v>
      </c>
      <c r="AC407" t="s">
        <v>7360</v>
      </c>
      <c r="AD407" t="s">
        <v>7360</v>
      </c>
      <c r="AE407" t="s">
        <v>7360</v>
      </c>
      <c r="AF407" t="s">
        <v>1684</v>
      </c>
      <c r="AG407">
        <v>0</v>
      </c>
      <c r="AH407">
        <v>0</v>
      </c>
      <c r="AI407">
        <v>0</v>
      </c>
      <c r="AJ407">
        <v>0</v>
      </c>
      <c r="AK407">
        <v>0</v>
      </c>
      <c r="AL407" t="s">
        <v>7360</v>
      </c>
      <c r="AM407">
        <v>0</v>
      </c>
      <c r="AN407" s="20">
        <v>44978</v>
      </c>
      <c r="AO407" s="20">
        <v>44978</v>
      </c>
      <c r="AP407" s="20">
        <v>44978</v>
      </c>
      <c r="AQ407">
        <v>0</v>
      </c>
      <c r="AR407">
        <v>0</v>
      </c>
      <c r="AS407">
        <v>0</v>
      </c>
      <c r="AT407">
        <v>0</v>
      </c>
      <c r="AU407">
        <v>0</v>
      </c>
      <c r="AV407" t="s">
        <v>7360</v>
      </c>
      <c r="AW407">
        <v>0</v>
      </c>
      <c r="AX407" t="s">
        <v>7360</v>
      </c>
      <c r="AY407" t="s">
        <v>7363</v>
      </c>
      <c r="BA407">
        <v>0</v>
      </c>
      <c r="BB407" s="20">
        <v>44978</v>
      </c>
      <c r="BC407">
        <v>0</v>
      </c>
      <c r="BD407" t="s">
        <v>7360</v>
      </c>
      <c r="BF407" s="20">
        <v>44978</v>
      </c>
      <c r="BG407">
        <v>0</v>
      </c>
      <c r="BH407" t="s">
        <v>7363</v>
      </c>
      <c r="BJ407" t="s">
        <v>7362</v>
      </c>
      <c r="BK407">
        <v>169</v>
      </c>
      <c r="BL407">
        <v>11</v>
      </c>
      <c r="BM407">
        <v>1</v>
      </c>
      <c r="BN407" t="s">
        <v>7364</v>
      </c>
      <c r="BO407">
        <v>169</v>
      </c>
      <c r="BP407">
        <v>11</v>
      </c>
      <c r="BQ407">
        <v>1</v>
      </c>
      <c r="BR407" t="s">
        <v>7364</v>
      </c>
      <c r="BS407" t="s">
        <v>7427</v>
      </c>
      <c r="BT407" t="s">
        <v>7360</v>
      </c>
      <c r="BU407" t="s">
        <v>7360</v>
      </c>
      <c r="BV407" t="s">
        <v>7360</v>
      </c>
      <c r="BX407" t="s">
        <v>7391</v>
      </c>
      <c r="BY407">
        <v>74</v>
      </c>
      <c r="BZ407" t="s">
        <v>7360</v>
      </c>
      <c r="CA407" t="s">
        <v>7360</v>
      </c>
      <c r="CB407">
        <v>3380666</v>
      </c>
      <c r="CC407" s="21">
        <v>44978.699756944443</v>
      </c>
      <c r="CE407" t="s">
        <v>7392</v>
      </c>
      <c r="CF407">
        <v>1100101</v>
      </c>
      <c r="CG407">
        <v>51669</v>
      </c>
      <c r="CH407">
        <v>51669</v>
      </c>
      <c r="CI407" s="21">
        <v>44978.700729166667</v>
      </c>
      <c r="CJ407" t="s">
        <v>7406</v>
      </c>
      <c r="CK407" t="s">
        <v>7406</v>
      </c>
      <c r="CL407" t="s">
        <v>7407</v>
      </c>
      <c r="CM407" t="s">
        <v>7407</v>
      </c>
      <c r="CS407" t="s">
        <v>7361</v>
      </c>
      <c r="CT407" t="s">
        <v>7362</v>
      </c>
      <c r="CU407" t="s">
        <v>7362</v>
      </c>
      <c r="CV407" t="s">
        <v>7362</v>
      </c>
      <c r="CW407" t="s">
        <v>7362</v>
      </c>
      <c r="CX407">
        <v>840000</v>
      </c>
      <c r="DA407">
        <v>0</v>
      </c>
    </row>
    <row r="408" spans="1:106" x14ac:dyDescent="0.3">
      <c r="A408">
        <v>1362</v>
      </c>
      <c r="B408" t="s">
        <v>7371</v>
      </c>
      <c r="C408">
        <v>665</v>
      </c>
      <c r="D408" s="20">
        <v>45000</v>
      </c>
      <c r="E408" t="s">
        <v>7356</v>
      </c>
      <c r="F408" t="s">
        <v>5257</v>
      </c>
      <c r="G408" t="s">
        <v>7377</v>
      </c>
      <c r="H408">
        <v>1</v>
      </c>
      <c r="I408" t="s">
        <v>7358</v>
      </c>
      <c r="J408">
        <v>1</v>
      </c>
      <c r="K408" s="20">
        <v>45000</v>
      </c>
      <c r="L408" s="23">
        <v>24420690</v>
      </c>
      <c r="M408" t="s">
        <v>7359</v>
      </c>
      <c r="N408" t="s">
        <v>7360</v>
      </c>
      <c r="O408">
        <v>0</v>
      </c>
      <c r="P408">
        <v>13050</v>
      </c>
      <c r="Q408">
        <v>453063</v>
      </c>
      <c r="R408">
        <v>0</v>
      </c>
      <c r="S408">
        <v>20230315</v>
      </c>
      <c r="T408">
        <v>0</v>
      </c>
      <c r="U408" t="s">
        <v>7361</v>
      </c>
      <c r="V408" t="s">
        <v>7360</v>
      </c>
      <c r="W408" t="s">
        <v>7360</v>
      </c>
      <c r="X408" t="s">
        <v>7360</v>
      </c>
      <c r="Y408" t="s">
        <v>7360</v>
      </c>
      <c r="Z408" t="s">
        <v>7360</v>
      </c>
      <c r="AA408" t="s">
        <v>7362</v>
      </c>
      <c r="AB408" t="s">
        <v>7360</v>
      </c>
      <c r="AC408" t="s">
        <v>7360</v>
      </c>
      <c r="AD408" t="s">
        <v>7360</v>
      </c>
      <c r="AE408" t="s">
        <v>7360</v>
      </c>
      <c r="AF408" t="s">
        <v>1684</v>
      </c>
      <c r="AG408">
        <v>0</v>
      </c>
      <c r="AH408">
        <v>0</v>
      </c>
      <c r="AI408">
        <v>0</v>
      </c>
      <c r="AJ408">
        <v>0</v>
      </c>
      <c r="AK408">
        <v>0</v>
      </c>
      <c r="AL408" t="s">
        <v>7360</v>
      </c>
      <c r="AM408">
        <v>0</v>
      </c>
      <c r="AN408" s="20">
        <v>45000</v>
      </c>
      <c r="AO408" s="20">
        <v>45000</v>
      </c>
      <c r="AP408" s="20">
        <v>45000</v>
      </c>
      <c r="AQ408">
        <v>0</v>
      </c>
      <c r="AR408">
        <v>0</v>
      </c>
      <c r="AS408">
        <v>0</v>
      </c>
      <c r="AT408">
        <v>0</v>
      </c>
      <c r="AU408">
        <v>0</v>
      </c>
      <c r="AV408" t="s">
        <v>7360</v>
      </c>
      <c r="AW408">
        <v>0</v>
      </c>
      <c r="AX408" t="s">
        <v>7360</v>
      </c>
      <c r="AY408" t="s">
        <v>7363</v>
      </c>
      <c r="BA408">
        <v>0</v>
      </c>
      <c r="BB408" s="20">
        <v>45000</v>
      </c>
      <c r="BC408">
        <v>0</v>
      </c>
      <c r="BD408" t="s">
        <v>7360</v>
      </c>
      <c r="BF408" s="20">
        <v>45000</v>
      </c>
      <c r="BG408">
        <v>0</v>
      </c>
      <c r="BH408" t="s">
        <v>7363</v>
      </c>
      <c r="BJ408" t="s">
        <v>7362</v>
      </c>
      <c r="BK408">
        <v>169</v>
      </c>
      <c r="BL408">
        <v>11</v>
      </c>
      <c r="BM408">
        <v>1</v>
      </c>
      <c r="BN408" t="s">
        <v>7364</v>
      </c>
      <c r="BO408">
        <v>169</v>
      </c>
      <c r="BP408">
        <v>11</v>
      </c>
      <c r="BQ408">
        <v>1</v>
      </c>
      <c r="BR408" t="s">
        <v>7364</v>
      </c>
      <c r="BS408" t="s">
        <v>7382</v>
      </c>
      <c r="BT408" t="s">
        <v>7360</v>
      </c>
      <c r="BU408" t="s">
        <v>7360</v>
      </c>
      <c r="BV408" t="s">
        <v>7360</v>
      </c>
      <c r="BX408" t="s">
        <v>7391</v>
      </c>
      <c r="BY408">
        <v>74</v>
      </c>
      <c r="BZ408" t="s">
        <v>7360</v>
      </c>
      <c r="CA408" t="s">
        <v>7360</v>
      </c>
      <c r="CB408" t="s">
        <v>7360</v>
      </c>
      <c r="CC408" s="21">
        <v>44994.62228009259</v>
      </c>
      <c r="CE408" t="s">
        <v>7392</v>
      </c>
      <c r="CF408">
        <v>1100101</v>
      </c>
      <c r="CG408">
        <v>50947</v>
      </c>
      <c r="CJ408" t="s">
        <v>7442</v>
      </c>
      <c r="CL408" t="s">
        <v>7443</v>
      </c>
      <c r="CS408" t="s">
        <v>7361</v>
      </c>
      <c r="CT408" t="s">
        <v>7362</v>
      </c>
      <c r="CU408" t="s">
        <v>7362</v>
      </c>
      <c r="CV408" t="s">
        <v>7362</v>
      </c>
      <c r="CW408" t="s">
        <v>7362</v>
      </c>
      <c r="DA408">
        <v>0</v>
      </c>
    </row>
    <row r="409" spans="1:106" x14ac:dyDescent="0.3">
      <c r="A409">
        <v>1354</v>
      </c>
      <c r="B409" t="s">
        <v>7396</v>
      </c>
      <c r="C409">
        <v>435</v>
      </c>
      <c r="D409" s="20">
        <v>44974</v>
      </c>
      <c r="E409" t="s">
        <v>7372</v>
      </c>
      <c r="F409" t="s">
        <v>5262</v>
      </c>
      <c r="G409" t="s">
        <v>7370</v>
      </c>
      <c r="H409">
        <v>1</v>
      </c>
      <c r="I409" t="s">
        <v>7358</v>
      </c>
      <c r="J409">
        <v>1</v>
      </c>
      <c r="K409" s="20">
        <v>44979</v>
      </c>
      <c r="L409" s="23">
        <v>9424800</v>
      </c>
      <c r="M409" t="s">
        <v>7359</v>
      </c>
      <c r="N409" t="s">
        <v>7360</v>
      </c>
      <c r="O409">
        <v>0</v>
      </c>
      <c r="P409">
        <v>12416</v>
      </c>
      <c r="Q409">
        <v>435010</v>
      </c>
      <c r="R409">
        <v>0</v>
      </c>
      <c r="S409">
        <v>20230217</v>
      </c>
      <c r="T409">
        <v>0</v>
      </c>
      <c r="U409" t="s">
        <v>7362</v>
      </c>
      <c r="V409" t="s">
        <v>7360</v>
      </c>
      <c r="W409" t="s">
        <v>7360</v>
      </c>
      <c r="X409" t="s">
        <v>7360</v>
      </c>
      <c r="Y409" t="s">
        <v>7360</v>
      </c>
      <c r="Z409" t="s">
        <v>7360</v>
      </c>
      <c r="AA409" t="s">
        <v>7362</v>
      </c>
      <c r="AB409" t="s">
        <v>7360</v>
      </c>
      <c r="AC409" t="s">
        <v>7360</v>
      </c>
      <c r="AD409" t="s">
        <v>7360</v>
      </c>
      <c r="AE409" t="s">
        <v>7360</v>
      </c>
      <c r="AF409" t="s">
        <v>1684</v>
      </c>
      <c r="AG409">
        <v>0</v>
      </c>
      <c r="AH409">
        <v>0</v>
      </c>
      <c r="AI409">
        <v>0</v>
      </c>
      <c r="AJ409">
        <v>0</v>
      </c>
      <c r="AK409">
        <v>0</v>
      </c>
      <c r="AL409" t="s">
        <v>7360</v>
      </c>
      <c r="AM409">
        <v>0</v>
      </c>
      <c r="AN409" s="20">
        <v>44979</v>
      </c>
      <c r="AO409" s="20">
        <v>44979</v>
      </c>
      <c r="AP409" s="20">
        <v>44979</v>
      </c>
      <c r="AQ409">
        <v>0</v>
      </c>
      <c r="AR409">
        <v>0</v>
      </c>
      <c r="AS409">
        <v>0</v>
      </c>
      <c r="AT409">
        <v>0</v>
      </c>
      <c r="AU409">
        <v>0</v>
      </c>
      <c r="AV409" t="s">
        <v>7360</v>
      </c>
      <c r="AW409">
        <v>0</v>
      </c>
      <c r="AX409" t="s">
        <v>7360</v>
      </c>
      <c r="AY409" t="s">
        <v>7373</v>
      </c>
      <c r="BA409">
        <v>0</v>
      </c>
      <c r="BB409" s="20">
        <v>44979</v>
      </c>
      <c r="BC409">
        <v>0</v>
      </c>
      <c r="BD409" t="s">
        <v>7360</v>
      </c>
      <c r="BF409" s="20">
        <v>44979</v>
      </c>
      <c r="BG409">
        <v>0</v>
      </c>
      <c r="BH409" t="s">
        <v>7363</v>
      </c>
      <c r="BJ409" t="s">
        <v>7362</v>
      </c>
      <c r="BK409">
        <v>169</v>
      </c>
      <c r="BL409">
        <v>11</v>
      </c>
      <c r="BM409">
        <v>1</v>
      </c>
      <c r="BN409" t="s">
        <v>7364</v>
      </c>
      <c r="BO409">
        <v>0</v>
      </c>
      <c r="BP409">
        <v>0</v>
      </c>
      <c r="BQ409">
        <v>0</v>
      </c>
      <c r="BR409">
        <v>0</v>
      </c>
      <c r="BS409" t="s">
        <v>7388</v>
      </c>
      <c r="BT409" t="s">
        <v>7360</v>
      </c>
      <c r="BU409" t="s">
        <v>7360</v>
      </c>
      <c r="BV409" t="s">
        <v>7360</v>
      </c>
      <c r="BX409" t="s">
        <v>7391</v>
      </c>
      <c r="BY409">
        <v>74</v>
      </c>
      <c r="BZ409" t="s">
        <v>7360</v>
      </c>
      <c r="CA409" t="s">
        <v>7360</v>
      </c>
      <c r="CB409">
        <v>5558210</v>
      </c>
      <c r="CC409" s="21">
        <v>44979.492546296293</v>
      </c>
      <c r="CE409" t="s">
        <v>7392</v>
      </c>
      <c r="CF409">
        <v>1100101</v>
      </c>
      <c r="CG409">
        <v>53575</v>
      </c>
      <c r="CH409">
        <v>53575</v>
      </c>
      <c r="CI409" s="21">
        <v>44979.493425925924</v>
      </c>
      <c r="CJ409" t="s">
        <v>7393</v>
      </c>
      <c r="CK409" t="s">
        <v>7393</v>
      </c>
      <c r="CL409" t="s">
        <v>7394</v>
      </c>
      <c r="CM409" t="s">
        <v>7394</v>
      </c>
      <c r="CS409" t="s">
        <v>7361</v>
      </c>
      <c r="CT409" t="s">
        <v>7362</v>
      </c>
      <c r="CU409" t="s">
        <v>7362</v>
      </c>
      <c r="CV409" t="s">
        <v>7362</v>
      </c>
      <c r="CW409" t="s">
        <v>7362</v>
      </c>
      <c r="CX409">
        <v>9424800</v>
      </c>
      <c r="DA409">
        <v>0</v>
      </c>
    </row>
    <row r="410" spans="1:106" x14ac:dyDescent="0.3">
      <c r="A410">
        <v>1354</v>
      </c>
      <c r="B410" t="s">
        <v>7396</v>
      </c>
      <c r="C410">
        <v>436</v>
      </c>
      <c r="D410" s="20">
        <v>44979</v>
      </c>
      <c r="E410" t="s">
        <v>7372</v>
      </c>
      <c r="F410" t="s">
        <v>5267</v>
      </c>
      <c r="G410" t="s">
        <v>7370</v>
      </c>
      <c r="H410">
        <v>1</v>
      </c>
      <c r="I410" t="s">
        <v>7358</v>
      </c>
      <c r="J410">
        <v>1</v>
      </c>
      <c r="K410" s="20">
        <v>44979</v>
      </c>
      <c r="L410" s="23">
        <v>2000000</v>
      </c>
      <c r="M410" t="s">
        <v>7359</v>
      </c>
      <c r="N410" t="s">
        <v>7360</v>
      </c>
      <c r="O410">
        <v>0</v>
      </c>
      <c r="P410">
        <v>12630</v>
      </c>
      <c r="Q410">
        <v>449004</v>
      </c>
      <c r="R410">
        <v>0</v>
      </c>
      <c r="S410">
        <v>20230222</v>
      </c>
      <c r="T410">
        <v>0</v>
      </c>
      <c r="U410" t="s">
        <v>7362</v>
      </c>
      <c r="V410" t="s">
        <v>7360</v>
      </c>
      <c r="W410" t="s">
        <v>7360</v>
      </c>
      <c r="X410" t="s">
        <v>7360</v>
      </c>
      <c r="Y410" t="s">
        <v>7360</v>
      </c>
      <c r="Z410" t="s">
        <v>7360</v>
      </c>
      <c r="AA410" t="s">
        <v>7362</v>
      </c>
      <c r="AB410" t="s">
        <v>7360</v>
      </c>
      <c r="AC410" t="s">
        <v>7360</v>
      </c>
      <c r="AD410" t="s">
        <v>7360</v>
      </c>
      <c r="AE410" t="s">
        <v>7360</v>
      </c>
      <c r="AF410" t="s">
        <v>1684</v>
      </c>
      <c r="AG410">
        <v>0</v>
      </c>
      <c r="AH410">
        <v>0</v>
      </c>
      <c r="AI410">
        <v>0</v>
      </c>
      <c r="AJ410">
        <v>0</v>
      </c>
      <c r="AK410">
        <v>0</v>
      </c>
      <c r="AL410" t="s">
        <v>7360</v>
      </c>
      <c r="AM410">
        <v>0</v>
      </c>
      <c r="AN410" s="20">
        <v>44979</v>
      </c>
      <c r="AO410" s="20">
        <v>44979</v>
      </c>
      <c r="AP410" s="20">
        <v>44979</v>
      </c>
      <c r="AQ410">
        <v>0</v>
      </c>
      <c r="AR410">
        <v>0</v>
      </c>
      <c r="AS410">
        <v>0</v>
      </c>
      <c r="AT410">
        <v>0</v>
      </c>
      <c r="AU410">
        <v>0</v>
      </c>
      <c r="AV410" t="s">
        <v>7360</v>
      </c>
      <c r="AW410">
        <v>0</v>
      </c>
      <c r="AX410" t="s">
        <v>7360</v>
      </c>
      <c r="AY410" t="s">
        <v>7362</v>
      </c>
      <c r="BA410">
        <v>0</v>
      </c>
      <c r="BB410" s="20">
        <v>44979</v>
      </c>
      <c r="BC410">
        <v>0</v>
      </c>
      <c r="BD410" t="s">
        <v>7360</v>
      </c>
      <c r="BF410" s="20">
        <v>44979</v>
      </c>
      <c r="BG410">
        <v>0</v>
      </c>
      <c r="BH410" t="s">
        <v>7363</v>
      </c>
      <c r="BJ410" t="s">
        <v>7362</v>
      </c>
      <c r="BK410">
        <v>169</v>
      </c>
      <c r="BL410">
        <v>11</v>
      </c>
      <c r="BM410">
        <v>1</v>
      </c>
      <c r="BN410" t="s">
        <v>7364</v>
      </c>
      <c r="BO410">
        <v>0</v>
      </c>
      <c r="BP410">
        <v>0</v>
      </c>
      <c r="BQ410">
        <v>0</v>
      </c>
      <c r="BR410">
        <v>0</v>
      </c>
      <c r="BS410" t="s">
        <v>7444</v>
      </c>
      <c r="BT410" t="s">
        <v>7360</v>
      </c>
      <c r="BU410" t="s">
        <v>7360</v>
      </c>
      <c r="BV410" t="s">
        <v>7360</v>
      </c>
      <c r="BX410" t="s">
        <v>7391</v>
      </c>
      <c r="BY410">
        <v>74</v>
      </c>
      <c r="BZ410" t="s">
        <v>7360</v>
      </c>
      <c r="CA410" t="s">
        <v>7360</v>
      </c>
      <c r="CB410">
        <v>5558210</v>
      </c>
      <c r="CC410" s="21">
        <v>44979.498761574076</v>
      </c>
      <c r="CE410" t="s">
        <v>7392</v>
      </c>
      <c r="CF410">
        <v>1100101</v>
      </c>
      <c r="CG410">
        <v>53575</v>
      </c>
      <c r="CH410">
        <v>53575</v>
      </c>
      <c r="CI410" s="21">
        <v>44979.499421296299</v>
      </c>
      <c r="CJ410" t="s">
        <v>7393</v>
      </c>
      <c r="CK410" t="s">
        <v>7393</v>
      </c>
      <c r="CL410" t="s">
        <v>7394</v>
      </c>
      <c r="CM410" t="s">
        <v>7394</v>
      </c>
      <c r="CS410" t="s">
        <v>7361</v>
      </c>
      <c r="CT410" t="s">
        <v>7362</v>
      </c>
      <c r="CU410" t="s">
        <v>7362</v>
      </c>
      <c r="CV410" t="s">
        <v>7362</v>
      </c>
      <c r="CW410" t="s">
        <v>7362</v>
      </c>
      <c r="CX410">
        <v>2000000</v>
      </c>
      <c r="DA410">
        <v>0</v>
      </c>
    </row>
    <row r="411" spans="1:106" x14ac:dyDescent="0.3">
      <c r="A411">
        <v>1354</v>
      </c>
      <c r="B411" t="s">
        <v>7396</v>
      </c>
      <c r="C411">
        <v>437</v>
      </c>
      <c r="D411" s="20">
        <v>44979</v>
      </c>
      <c r="E411" t="s">
        <v>7372</v>
      </c>
      <c r="F411" t="s">
        <v>5273</v>
      </c>
      <c r="G411" t="s">
        <v>7370</v>
      </c>
      <c r="H411">
        <v>1</v>
      </c>
      <c r="I411" t="s">
        <v>7358</v>
      </c>
      <c r="J411">
        <v>1</v>
      </c>
      <c r="K411" s="20">
        <v>44979</v>
      </c>
      <c r="L411" s="23">
        <v>2000000</v>
      </c>
      <c r="M411" t="s">
        <v>7359</v>
      </c>
      <c r="N411" t="s">
        <v>7360</v>
      </c>
      <c r="O411">
        <v>0</v>
      </c>
      <c r="P411">
        <v>12625</v>
      </c>
      <c r="Q411">
        <v>449002</v>
      </c>
      <c r="R411">
        <v>0</v>
      </c>
      <c r="S411">
        <v>20230222</v>
      </c>
      <c r="T411">
        <v>0</v>
      </c>
      <c r="U411" t="s">
        <v>7362</v>
      </c>
      <c r="V411" t="s">
        <v>7360</v>
      </c>
      <c r="W411" t="s">
        <v>7360</v>
      </c>
      <c r="X411" t="s">
        <v>7360</v>
      </c>
      <c r="Y411" t="s">
        <v>7360</v>
      </c>
      <c r="Z411" t="s">
        <v>7360</v>
      </c>
      <c r="AA411" t="s">
        <v>7362</v>
      </c>
      <c r="AB411" t="s">
        <v>7360</v>
      </c>
      <c r="AC411" t="s">
        <v>7360</v>
      </c>
      <c r="AD411" t="s">
        <v>7360</v>
      </c>
      <c r="AE411" t="s">
        <v>7360</v>
      </c>
      <c r="AF411" t="s">
        <v>1684</v>
      </c>
      <c r="AG411">
        <v>0</v>
      </c>
      <c r="AH411">
        <v>0</v>
      </c>
      <c r="AI411">
        <v>0</v>
      </c>
      <c r="AJ411">
        <v>0</v>
      </c>
      <c r="AK411">
        <v>0</v>
      </c>
      <c r="AL411" t="s">
        <v>7360</v>
      </c>
      <c r="AM411">
        <v>0</v>
      </c>
      <c r="AN411" s="20">
        <v>44979</v>
      </c>
      <c r="AO411" s="20">
        <v>44979</v>
      </c>
      <c r="AP411" s="20">
        <v>44979</v>
      </c>
      <c r="AQ411">
        <v>0</v>
      </c>
      <c r="AR411">
        <v>0</v>
      </c>
      <c r="AS411">
        <v>0</v>
      </c>
      <c r="AT411">
        <v>0</v>
      </c>
      <c r="AU411">
        <v>0</v>
      </c>
      <c r="AV411" t="s">
        <v>7360</v>
      </c>
      <c r="AW411">
        <v>0</v>
      </c>
      <c r="AX411" t="s">
        <v>7360</v>
      </c>
      <c r="AY411" t="s">
        <v>7362</v>
      </c>
      <c r="BA411">
        <v>0</v>
      </c>
      <c r="BB411" s="20">
        <v>44979</v>
      </c>
      <c r="BC411">
        <v>0</v>
      </c>
      <c r="BD411" t="s">
        <v>7360</v>
      </c>
      <c r="BF411" s="20">
        <v>44979</v>
      </c>
      <c r="BG411">
        <v>0</v>
      </c>
      <c r="BH411" t="s">
        <v>7363</v>
      </c>
      <c r="BJ411" t="s">
        <v>7362</v>
      </c>
      <c r="BK411">
        <v>169</v>
      </c>
      <c r="BL411">
        <v>11</v>
      </c>
      <c r="BM411">
        <v>1</v>
      </c>
      <c r="BN411" t="s">
        <v>7364</v>
      </c>
      <c r="BO411">
        <v>0</v>
      </c>
      <c r="BP411">
        <v>0</v>
      </c>
      <c r="BQ411">
        <v>0</v>
      </c>
      <c r="BR411">
        <v>0</v>
      </c>
      <c r="BS411" t="s">
        <v>7444</v>
      </c>
      <c r="BT411" t="s">
        <v>7360</v>
      </c>
      <c r="BU411" t="s">
        <v>7360</v>
      </c>
      <c r="BV411" t="s">
        <v>7360</v>
      </c>
      <c r="BX411" t="s">
        <v>7391</v>
      </c>
      <c r="BY411">
        <v>74</v>
      </c>
      <c r="BZ411" t="s">
        <v>7360</v>
      </c>
      <c r="CA411" t="s">
        <v>7360</v>
      </c>
      <c r="CB411">
        <v>5558210</v>
      </c>
      <c r="CC411" s="21">
        <v>44979.505671296298</v>
      </c>
      <c r="CE411" t="s">
        <v>7392</v>
      </c>
      <c r="CF411">
        <v>1100101</v>
      </c>
      <c r="CG411">
        <v>53575</v>
      </c>
      <c r="CH411">
        <v>53575</v>
      </c>
      <c r="CI411" s="21">
        <v>44979.506342592591</v>
      </c>
      <c r="CJ411" t="s">
        <v>7393</v>
      </c>
      <c r="CK411" t="s">
        <v>7393</v>
      </c>
      <c r="CL411" t="s">
        <v>7394</v>
      </c>
      <c r="CM411" t="s">
        <v>7394</v>
      </c>
      <c r="CS411" t="s">
        <v>7361</v>
      </c>
      <c r="CT411" t="s">
        <v>7362</v>
      </c>
      <c r="CU411" t="s">
        <v>7362</v>
      </c>
      <c r="CV411" t="s">
        <v>7362</v>
      </c>
      <c r="CW411" t="s">
        <v>7362</v>
      </c>
      <c r="CX411">
        <v>2000000</v>
      </c>
      <c r="DA411">
        <v>0</v>
      </c>
    </row>
    <row r="412" spans="1:106" x14ac:dyDescent="0.3">
      <c r="A412">
        <v>1362</v>
      </c>
      <c r="B412" t="s">
        <v>7371</v>
      </c>
      <c r="C412">
        <v>438</v>
      </c>
      <c r="D412" s="20">
        <v>44979</v>
      </c>
      <c r="E412" t="s">
        <v>7356</v>
      </c>
      <c r="F412" t="s">
        <v>5278</v>
      </c>
      <c r="G412" t="s">
        <v>7357</v>
      </c>
      <c r="H412">
        <v>1</v>
      </c>
      <c r="I412" t="s">
        <v>7358</v>
      </c>
      <c r="J412">
        <v>1</v>
      </c>
      <c r="K412" s="20">
        <v>44979</v>
      </c>
      <c r="L412" s="23">
        <v>5472929</v>
      </c>
      <c r="M412" t="s">
        <v>7359</v>
      </c>
      <c r="N412" t="s">
        <v>7360</v>
      </c>
      <c r="O412">
        <v>0</v>
      </c>
      <c r="P412">
        <v>12332</v>
      </c>
      <c r="Q412">
        <v>433001</v>
      </c>
      <c r="R412">
        <v>0</v>
      </c>
      <c r="S412">
        <v>20230222</v>
      </c>
      <c r="T412">
        <v>0</v>
      </c>
      <c r="U412" t="s">
        <v>7361</v>
      </c>
      <c r="V412" t="s">
        <v>7360</v>
      </c>
      <c r="W412" t="s">
        <v>7360</v>
      </c>
      <c r="X412" t="s">
        <v>7360</v>
      </c>
      <c r="Y412" t="s">
        <v>7360</v>
      </c>
      <c r="Z412" t="s">
        <v>7360</v>
      </c>
      <c r="AA412" t="s">
        <v>7362</v>
      </c>
      <c r="AB412" t="s">
        <v>7360</v>
      </c>
      <c r="AC412" t="s">
        <v>7360</v>
      </c>
      <c r="AD412" t="s">
        <v>7360</v>
      </c>
      <c r="AE412" t="s">
        <v>7360</v>
      </c>
      <c r="AF412" t="s">
        <v>1684</v>
      </c>
      <c r="AG412">
        <v>0</v>
      </c>
      <c r="AH412">
        <v>0</v>
      </c>
      <c r="AI412">
        <v>0</v>
      </c>
      <c r="AJ412">
        <v>0</v>
      </c>
      <c r="AK412">
        <v>0</v>
      </c>
      <c r="AL412" t="s">
        <v>7360</v>
      </c>
      <c r="AM412">
        <v>0</v>
      </c>
      <c r="AN412" s="20">
        <v>44979</v>
      </c>
      <c r="AO412" s="20">
        <v>44979</v>
      </c>
      <c r="AP412" s="20">
        <v>44979</v>
      </c>
      <c r="AQ412">
        <v>0</v>
      </c>
      <c r="AR412">
        <v>0</v>
      </c>
      <c r="AS412">
        <v>0</v>
      </c>
      <c r="AT412">
        <v>0</v>
      </c>
      <c r="AU412">
        <v>0</v>
      </c>
      <c r="AV412" t="s">
        <v>7360</v>
      </c>
      <c r="AW412">
        <v>0</v>
      </c>
      <c r="AX412" t="s">
        <v>7360</v>
      </c>
      <c r="AY412" t="s">
        <v>7363</v>
      </c>
      <c r="BA412">
        <v>0</v>
      </c>
      <c r="BB412" s="20">
        <v>44979</v>
      </c>
      <c r="BC412">
        <v>0</v>
      </c>
      <c r="BD412" t="s">
        <v>7360</v>
      </c>
      <c r="BF412" s="20">
        <v>44979</v>
      </c>
      <c r="BG412">
        <v>0</v>
      </c>
      <c r="BH412" t="s">
        <v>7363</v>
      </c>
      <c r="BJ412" t="s">
        <v>7362</v>
      </c>
      <c r="BK412">
        <v>169</v>
      </c>
      <c r="BL412">
        <v>11</v>
      </c>
      <c r="BM412">
        <v>1</v>
      </c>
      <c r="BN412" t="s">
        <v>7364</v>
      </c>
      <c r="BO412">
        <v>0</v>
      </c>
      <c r="BP412">
        <v>0</v>
      </c>
      <c r="BQ412">
        <v>0</v>
      </c>
      <c r="BR412">
        <v>0</v>
      </c>
      <c r="BS412" t="s">
        <v>7400</v>
      </c>
      <c r="BT412" t="s">
        <v>7360</v>
      </c>
      <c r="BU412" t="s">
        <v>7360</v>
      </c>
      <c r="BV412" t="s">
        <v>7360</v>
      </c>
      <c r="BX412" t="s">
        <v>7391</v>
      </c>
      <c r="BY412">
        <v>74</v>
      </c>
      <c r="BZ412" t="s">
        <v>7360</v>
      </c>
      <c r="CA412" t="s">
        <v>7360</v>
      </c>
      <c r="CB412">
        <v>5558210</v>
      </c>
      <c r="CC412" s="21">
        <v>44979.512476851851</v>
      </c>
      <c r="CE412" t="s">
        <v>7392</v>
      </c>
      <c r="CF412">
        <v>1100101</v>
      </c>
      <c r="CG412">
        <v>53575</v>
      </c>
      <c r="CH412">
        <v>53575</v>
      </c>
      <c r="CI412" s="21">
        <v>44979.513506944444</v>
      </c>
      <c r="CJ412" t="s">
        <v>7393</v>
      </c>
      <c r="CK412" t="s">
        <v>7393</v>
      </c>
      <c r="CL412" t="s">
        <v>7394</v>
      </c>
      <c r="CM412" t="s">
        <v>7394</v>
      </c>
      <c r="CS412" t="s">
        <v>7361</v>
      </c>
      <c r="CT412" t="s">
        <v>7362</v>
      </c>
      <c r="CU412" t="s">
        <v>7362</v>
      </c>
      <c r="CV412" t="s">
        <v>7362</v>
      </c>
      <c r="CW412" t="s">
        <v>7362</v>
      </c>
      <c r="CX412">
        <v>5472929</v>
      </c>
      <c r="DA412">
        <v>0</v>
      </c>
    </row>
    <row r="413" spans="1:106" x14ac:dyDescent="0.3">
      <c r="A413">
        <v>1354</v>
      </c>
      <c r="B413" t="s">
        <v>7396</v>
      </c>
      <c r="C413">
        <v>439</v>
      </c>
      <c r="D413" s="20">
        <v>44979</v>
      </c>
      <c r="E413" t="s">
        <v>7356</v>
      </c>
      <c r="F413" t="s">
        <v>5282</v>
      </c>
      <c r="G413" t="s">
        <v>7370</v>
      </c>
      <c r="H413">
        <v>1</v>
      </c>
      <c r="I413" t="s">
        <v>7358</v>
      </c>
      <c r="J413">
        <v>1</v>
      </c>
      <c r="K413" s="20">
        <v>44979</v>
      </c>
      <c r="L413" s="23">
        <v>1800000</v>
      </c>
      <c r="M413" t="s">
        <v>7359</v>
      </c>
      <c r="N413" t="s">
        <v>7360</v>
      </c>
      <c r="O413">
        <v>0</v>
      </c>
      <c r="P413">
        <v>12645</v>
      </c>
      <c r="Q413">
        <v>449011</v>
      </c>
      <c r="R413">
        <v>0</v>
      </c>
      <c r="S413">
        <v>20230222</v>
      </c>
      <c r="T413">
        <v>0</v>
      </c>
      <c r="U413" t="s">
        <v>7361</v>
      </c>
      <c r="V413" t="s">
        <v>7360</v>
      </c>
      <c r="W413" t="s">
        <v>7360</v>
      </c>
      <c r="X413" t="s">
        <v>7360</v>
      </c>
      <c r="Y413" t="s">
        <v>7360</v>
      </c>
      <c r="Z413" t="s">
        <v>7360</v>
      </c>
      <c r="AA413" t="s">
        <v>7362</v>
      </c>
      <c r="AB413" t="s">
        <v>7360</v>
      </c>
      <c r="AC413" t="s">
        <v>7360</v>
      </c>
      <c r="AD413" t="s">
        <v>7360</v>
      </c>
      <c r="AE413" t="s">
        <v>7360</v>
      </c>
      <c r="AF413" t="s">
        <v>1684</v>
      </c>
      <c r="AG413">
        <v>0</v>
      </c>
      <c r="AH413">
        <v>0</v>
      </c>
      <c r="AI413">
        <v>0</v>
      </c>
      <c r="AJ413">
        <v>0</v>
      </c>
      <c r="AK413">
        <v>0</v>
      </c>
      <c r="AL413" t="s">
        <v>7360</v>
      </c>
      <c r="AM413">
        <v>0</v>
      </c>
      <c r="AN413" s="20">
        <v>44979</v>
      </c>
      <c r="AO413" s="20">
        <v>44979</v>
      </c>
      <c r="AP413" s="20">
        <v>44979</v>
      </c>
      <c r="AQ413">
        <v>0</v>
      </c>
      <c r="AR413">
        <v>0</v>
      </c>
      <c r="AS413">
        <v>0</v>
      </c>
      <c r="AT413">
        <v>0</v>
      </c>
      <c r="AU413">
        <v>0</v>
      </c>
      <c r="AV413" t="s">
        <v>7360</v>
      </c>
      <c r="AW413">
        <v>0</v>
      </c>
      <c r="AX413" t="s">
        <v>7360</v>
      </c>
      <c r="AY413" t="s">
        <v>7363</v>
      </c>
      <c r="BA413">
        <v>0</v>
      </c>
      <c r="BB413" s="20">
        <v>44979</v>
      </c>
      <c r="BC413">
        <v>0</v>
      </c>
      <c r="BD413" t="s">
        <v>7360</v>
      </c>
      <c r="BF413" s="20">
        <v>44979</v>
      </c>
      <c r="BG413">
        <v>0</v>
      </c>
      <c r="BH413" t="s">
        <v>7363</v>
      </c>
      <c r="BJ413" t="s">
        <v>7362</v>
      </c>
      <c r="BK413">
        <v>169</v>
      </c>
      <c r="BL413">
        <v>11</v>
      </c>
      <c r="BM413">
        <v>1</v>
      </c>
      <c r="BN413" t="s">
        <v>7364</v>
      </c>
      <c r="BO413">
        <v>0</v>
      </c>
      <c r="BP413">
        <v>0</v>
      </c>
      <c r="BQ413">
        <v>0</v>
      </c>
      <c r="BR413">
        <v>0</v>
      </c>
      <c r="BS413" t="s">
        <v>7444</v>
      </c>
      <c r="BT413" t="s">
        <v>7360</v>
      </c>
      <c r="BU413" t="s">
        <v>7360</v>
      </c>
      <c r="BV413" t="s">
        <v>7360</v>
      </c>
      <c r="BX413" t="s">
        <v>7391</v>
      </c>
      <c r="BY413">
        <v>74</v>
      </c>
      <c r="BZ413" t="s">
        <v>7360</v>
      </c>
      <c r="CA413" t="s">
        <v>7360</v>
      </c>
      <c r="CB413">
        <v>5558210</v>
      </c>
      <c r="CC413" s="21">
        <v>44979.521469907406</v>
      </c>
      <c r="CE413" t="s">
        <v>7392</v>
      </c>
      <c r="CF413">
        <v>1100101</v>
      </c>
      <c r="CG413">
        <v>53575</v>
      </c>
      <c r="CH413">
        <v>53575</v>
      </c>
      <c r="CI413" s="21">
        <v>44979.522268518522</v>
      </c>
      <c r="CJ413" t="s">
        <v>7393</v>
      </c>
      <c r="CK413" t="s">
        <v>7393</v>
      </c>
      <c r="CL413" t="s">
        <v>7394</v>
      </c>
      <c r="CM413" t="s">
        <v>7394</v>
      </c>
      <c r="CS413" t="s">
        <v>7361</v>
      </c>
      <c r="CT413" t="s">
        <v>7362</v>
      </c>
      <c r="CU413" t="s">
        <v>7362</v>
      </c>
      <c r="CV413" t="s">
        <v>7362</v>
      </c>
      <c r="CW413" t="s">
        <v>7362</v>
      </c>
      <c r="CX413">
        <v>1800000</v>
      </c>
      <c r="DA413">
        <v>0</v>
      </c>
    </row>
    <row r="414" spans="1:106" x14ac:dyDescent="0.3">
      <c r="A414">
        <v>1362</v>
      </c>
      <c r="B414" t="s">
        <v>7371</v>
      </c>
      <c r="C414">
        <v>788</v>
      </c>
      <c r="D414" s="20">
        <v>45012</v>
      </c>
      <c r="E414" t="s">
        <v>7372</v>
      </c>
      <c r="F414" t="s">
        <v>5288</v>
      </c>
      <c r="G414" t="s">
        <v>7357</v>
      </c>
      <c r="H414">
        <v>1</v>
      </c>
      <c r="I414" t="s">
        <v>7358</v>
      </c>
      <c r="J414">
        <v>1</v>
      </c>
      <c r="K414" s="20">
        <v>45012</v>
      </c>
      <c r="L414" s="23">
        <v>24537800</v>
      </c>
      <c r="M414" t="s">
        <v>7359</v>
      </c>
      <c r="N414" t="s">
        <v>7360</v>
      </c>
      <c r="O414">
        <v>0</v>
      </c>
      <c r="P414">
        <v>13301</v>
      </c>
      <c r="Q414">
        <v>459019</v>
      </c>
      <c r="R414">
        <v>0</v>
      </c>
      <c r="S414">
        <v>20230327</v>
      </c>
      <c r="T414">
        <v>0</v>
      </c>
      <c r="U414" t="s">
        <v>7362</v>
      </c>
      <c r="V414" t="s">
        <v>7360</v>
      </c>
      <c r="W414" t="s">
        <v>7360</v>
      </c>
      <c r="X414" t="s">
        <v>7360</v>
      </c>
      <c r="Y414" t="s">
        <v>7360</v>
      </c>
      <c r="Z414" t="s">
        <v>7360</v>
      </c>
      <c r="AA414" t="s">
        <v>7362</v>
      </c>
      <c r="AB414" t="s">
        <v>7360</v>
      </c>
      <c r="AC414" t="s">
        <v>7360</v>
      </c>
      <c r="AD414" t="s">
        <v>7360</v>
      </c>
      <c r="AE414" t="s">
        <v>7360</v>
      </c>
      <c r="AF414" t="s">
        <v>1684</v>
      </c>
      <c r="AG414">
        <v>0</v>
      </c>
      <c r="AH414">
        <v>0</v>
      </c>
      <c r="AI414">
        <v>0</v>
      </c>
      <c r="AJ414">
        <v>0</v>
      </c>
      <c r="AK414">
        <v>0</v>
      </c>
      <c r="AL414" t="s">
        <v>7360</v>
      </c>
      <c r="AM414">
        <v>0</v>
      </c>
      <c r="AN414" s="20">
        <v>45012</v>
      </c>
      <c r="AO414" s="20">
        <v>45012</v>
      </c>
      <c r="AP414" s="20">
        <v>45012</v>
      </c>
      <c r="AQ414">
        <v>0</v>
      </c>
      <c r="AR414">
        <v>0</v>
      </c>
      <c r="AS414">
        <v>0</v>
      </c>
      <c r="AT414">
        <v>0</v>
      </c>
      <c r="AU414">
        <v>0</v>
      </c>
      <c r="AV414" t="s">
        <v>7360</v>
      </c>
      <c r="AW414">
        <v>0</v>
      </c>
      <c r="AX414" t="s">
        <v>7360</v>
      </c>
      <c r="AY414" t="s">
        <v>7362</v>
      </c>
      <c r="BA414">
        <v>0</v>
      </c>
      <c r="BB414" s="20">
        <v>45012</v>
      </c>
      <c r="BC414">
        <v>0</v>
      </c>
      <c r="BD414" t="s">
        <v>7360</v>
      </c>
      <c r="BF414" s="20">
        <v>45012</v>
      </c>
      <c r="BG414">
        <v>0</v>
      </c>
      <c r="BH414" t="s">
        <v>7363</v>
      </c>
      <c r="BJ414" t="s">
        <v>7362</v>
      </c>
      <c r="BK414">
        <v>169</v>
      </c>
      <c r="BL414">
        <v>11</v>
      </c>
      <c r="BM414">
        <v>1</v>
      </c>
      <c r="BN414" t="s">
        <v>7364</v>
      </c>
      <c r="BO414">
        <v>169</v>
      </c>
      <c r="BP414">
        <v>11</v>
      </c>
      <c r="BQ414">
        <v>1</v>
      </c>
      <c r="BR414" t="s">
        <v>7364</v>
      </c>
      <c r="BS414" t="s">
        <v>132</v>
      </c>
      <c r="BT414" t="s">
        <v>7360</v>
      </c>
      <c r="BU414" t="s">
        <v>7360</v>
      </c>
      <c r="BV414" t="s">
        <v>7360</v>
      </c>
      <c r="BX414" t="s">
        <v>7391</v>
      </c>
      <c r="BY414">
        <v>74</v>
      </c>
      <c r="BZ414" t="s">
        <v>7360</v>
      </c>
      <c r="CA414" t="s">
        <v>7360</v>
      </c>
      <c r="CB414">
        <v>3380666</v>
      </c>
      <c r="CC414" s="21">
        <v>44998.438935185186</v>
      </c>
      <c r="CE414" t="s">
        <v>7392</v>
      </c>
      <c r="CF414">
        <v>1100101</v>
      </c>
      <c r="CG414">
        <v>51669</v>
      </c>
      <c r="CH414">
        <v>51669</v>
      </c>
      <c r="CI414" s="21">
        <v>44998.447650462964</v>
      </c>
      <c r="CJ414" t="s">
        <v>7406</v>
      </c>
      <c r="CK414" t="s">
        <v>7406</v>
      </c>
      <c r="CL414" t="s">
        <v>7407</v>
      </c>
      <c r="CM414" t="s">
        <v>7407</v>
      </c>
      <c r="CS414" t="s">
        <v>7361</v>
      </c>
      <c r="CT414" t="s">
        <v>7362</v>
      </c>
      <c r="CU414" t="s">
        <v>7362</v>
      </c>
      <c r="CV414" t="s">
        <v>7362</v>
      </c>
      <c r="CW414" t="s">
        <v>7362</v>
      </c>
      <c r="CX414">
        <v>30000000</v>
      </c>
      <c r="DA414">
        <v>0</v>
      </c>
      <c r="DB414">
        <v>137007</v>
      </c>
    </row>
    <row r="415" spans="1:106" x14ac:dyDescent="0.3">
      <c r="A415">
        <v>1354</v>
      </c>
      <c r="B415" t="s">
        <v>7396</v>
      </c>
      <c r="C415">
        <v>441</v>
      </c>
      <c r="D415" s="20">
        <v>44979</v>
      </c>
      <c r="E415" t="s">
        <v>7356</v>
      </c>
      <c r="F415" t="s">
        <v>5293</v>
      </c>
      <c r="G415" t="s">
        <v>7370</v>
      </c>
      <c r="H415">
        <v>1</v>
      </c>
      <c r="I415" t="s">
        <v>7358</v>
      </c>
      <c r="J415">
        <v>1</v>
      </c>
      <c r="K415" s="20">
        <v>44979</v>
      </c>
      <c r="L415" s="23">
        <v>400000</v>
      </c>
      <c r="M415" t="s">
        <v>7359</v>
      </c>
      <c r="N415" t="s">
        <v>7360</v>
      </c>
      <c r="O415">
        <v>0</v>
      </c>
      <c r="P415">
        <v>12650</v>
      </c>
      <c r="Q415">
        <v>449015</v>
      </c>
      <c r="R415">
        <v>0</v>
      </c>
      <c r="S415">
        <v>20230222</v>
      </c>
      <c r="T415">
        <v>0</v>
      </c>
      <c r="U415" t="s">
        <v>7361</v>
      </c>
      <c r="V415" t="s">
        <v>7360</v>
      </c>
      <c r="W415" t="s">
        <v>7360</v>
      </c>
      <c r="X415" t="s">
        <v>7360</v>
      </c>
      <c r="Y415" t="s">
        <v>7360</v>
      </c>
      <c r="Z415" t="s">
        <v>7360</v>
      </c>
      <c r="AA415" t="s">
        <v>7362</v>
      </c>
      <c r="AB415" t="s">
        <v>7360</v>
      </c>
      <c r="AC415" t="s">
        <v>7360</v>
      </c>
      <c r="AD415" t="s">
        <v>7360</v>
      </c>
      <c r="AE415" t="s">
        <v>7360</v>
      </c>
      <c r="AF415" t="s">
        <v>1684</v>
      </c>
      <c r="AG415">
        <v>0</v>
      </c>
      <c r="AH415">
        <v>0</v>
      </c>
      <c r="AI415">
        <v>0</v>
      </c>
      <c r="AJ415">
        <v>0</v>
      </c>
      <c r="AK415">
        <v>0</v>
      </c>
      <c r="AL415" t="s">
        <v>7360</v>
      </c>
      <c r="AM415">
        <v>0</v>
      </c>
      <c r="AN415" s="20">
        <v>44979</v>
      </c>
      <c r="AO415" s="20">
        <v>44979</v>
      </c>
      <c r="AP415" s="20">
        <v>44979</v>
      </c>
      <c r="AQ415">
        <v>0</v>
      </c>
      <c r="AR415">
        <v>0</v>
      </c>
      <c r="AS415">
        <v>0</v>
      </c>
      <c r="AT415">
        <v>0</v>
      </c>
      <c r="AU415">
        <v>0</v>
      </c>
      <c r="AV415" t="s">
        <v>7360</v>
      </c>
      <c r="AW415">
        <v>0</v>
      </c>
      <c r="AX415" t="s">
        <v>7360</v>
      </c>
      <c r="AY415" t="s">
        <v>7363</v>
      </c>
      <c r="BA415">
        <v>0</v>
      </c>
      <c r="BB415" s="20">
        <v>44979</v>
      </c>
      <c r="BC415">
        <v>0</v>
      </c>
      <c r="BD415" t="s">
        <v>7360</v>
      </c>
      <c r="BF415" s="20">
        <v>44979</v>
      </c>
      <c r="BG415">
        <v>0</v>
      </c>
      <c r="BH415" t="s">
        <v>7363</v>
      </c>
      <c r="BJ415" t="s">
        <v>7362</v>
      </c>
      <c r="BK415">
        <v>169</v>
      </c>
      <c r="BL415">
        <v>11</v>
      </c>
      <c r="BM415">
        <v>1</v>
      </c>
      <c r="BN415" t="s">
        <v>7364</v>
      </c>
      <c r="BO415">
        <v>0</v>
      </c>
      <c r="BP415">
        <v>0</v>
      </c>
      <c r="BQ415">
        <v>0</v>
      </c>
      <c r="BR415">
        <v>0</v>
      </c>
      <c r="BS415" t="s">
        <v>7444</v>
      </c>
      <c r="BT415" t="s">
        <v>7360</v>
      </c>
      <c r="BU415" t="s">
        <v>7360</v>
      </c>
      <c r="BV415" t="s">
        <v>7360</v>
      </c>
      <c r="BX415" t="s">
        <v>7391</v>
      </c>
      <c r="BY415">
        <v>74</v>
      </c>
      <c r="BZ415" t="s">
        <v>7360</v>
      </c>
      <c r="CA415" t="s">
        <v>7360</v>
      </c>
      <c r="CB415">
        <v>5558210</v>
      </c>
      <c r="CC415" s="21">
        <v>44979.527743055558</v>
      </c>
      <c r="CE415" t="s">
        <v>7392</v>
      </c>
      <c r="CF415">
        <v>1100101</v>
      </c>
      <c r="CG415">
        <v>53575</v>
      </c>
      <c r="CH415">
        <v>53575</v>
      </c>
      <c r="CI415" s="21">
        <v>44979.528993055559</v>
      </c>
      <c r="CJ415" t="s">
        <v>7393</v>
      </c>
      <c r="CK415" t="s">
        <v>7393</v>
      </c>
      <c r="CL415" t="s">
        <v>7394</v>
      </c>
      <c r="CM415" t="s">
        <v>7394</v>
      </c>
      <c r="CS415" t="s">
        <v>7361</v>
      </c>
      <c r="CT415" t="s">
        <v>7362</v>
      </c>
      <c r="CU415" t="s">
        <v>7362</v>
      </c>
      <c r="CV415" t="s">
        <v>7362</v>
      </c>
      <c r="CW415" t="s">
        <v>7362</v>
      </c>
      <c r="CX415">
        <v>400000</v>
      </c>
      <c r="DA415">
        <v>0</v>
      </c>
    </row>
    <row r="416" spans="1:106" x14ac:dyDescent="0.3">
      <c r="A416">
        <v>1359</v>
      </c>
      <c r="B416" t="s">
        <v>7425</v>
      </c>
      <c r="C416">
        <v>442</v>
      </c>
      <c r="D416" s="20">
        <v>44979</v>
      </c>
      <c r="E416" t="s">
        <v>7356</v>
      </c>
      <c r="F416" t="s">
        <v>5298</v>
      </c>
      <c r="G416" t="s">
        <v>7357</v>
      </c>
      <c r="H416">
        <v>1</v>
      </c>
      <c r="I416" t="s">
        <v>7358</v>
      </c>
      <c r="J416">
        <v>1</v>
      </c>
      <c r="K416" s="20">
        <v>44979</v>
      </c>
      <c r="L416" s="23">
        <v>97248</v>
      </c>
      <c r="M416" t="s">
        <v>7359</v>
      </c>
      <c r="N416" t="s">
        <v>7360</v>
      </c>
      <c r="O416">
        <v>0</v>
      </c>
      <c r="P416">
        <v>12457</v>
      </c>
      <c r="Q416">
        <v>437022</v>
      </c>
      <c r="R416">
        <v>0</v>
      </c>
      <c r="S416">
        <v>20230222</v>
      </c>
      <c r="T416">
        <v>0</v>
      </c>
      <c r="U416" t="s">
        <v>7361</v>
      </c>
      <c r="V416" t="s">
        <v>7360</v>
      </c>
      <c r="W416" t="s">
        <v>7360</v>
      </c>
      <c r="X416" t="s">
        <v>7360</v>
      </c>
      <c r="Y416" t="s">
        <v>7360</v>
      </c>
      <c r="Z416" t="s">
        <v>7360</v>
      </c>
      <c r="AA416" t="s">
        <v>7362</v>
      </c>
      <c r="AB416" t="s">
        <v>7360</v>
      </c>
      <c r="AC416" t="s">
        <v>7360</v>
      </c>
      <c r="AD416" t="s">
        <v>7360</v>
      </c>
      <c r="AE416" t="s">
        <v>7360</v>
      </c>
      <c r="AF416" t="s">
        <v>1684</v>
      </c>
      <c r="AG416">
        <v>0</v>
      </c>
      <c r="AH416">
        <v>0</v>
      </c>
      <c r="AI416">
        <v>0</v>
      </c>
      <c r="AJ416">
        <v>0</v>
      </c>
      <c r="AK416">
        <v>0</v>
      </c>
      <c r="AL416" t="s">
        <v>7360</v>
      </c>
      <c r="AM416">
        <v>0</v>
      </c>
      <c r="AN416" s="20">
        <v>44979</v>
      </c>
      <c r="AO416" s="20">
        <v>44979</v>
      </c>
      <c r="AP416" s="20">
        <v>44979</v>
      </c>
      <c r="AQ416">
        <v>0</v>
      </c>
      <c r="AR416">
        <v>0</v>
      </c>
      <c r="AS416">
        <v>0</v>
      </c>
      <c r="AT416">
        <v>0</v>
      </c>
      <c r="AU416">
        <v>0</v>
      </c>
      <c r="AV416" t="s">
        <v>7360</v>
      </c>
      <c r="AW416">
        <v>0</v>
      </c>
      <c r="AX416" t="s">
        <v>7360</v>
      </c>
      <c r="AY416" t="s">
        <v>7363</v>
      </c>
      <c r="BA416">
        <v>0</v>
      </c>
      <c r="BB416" s="20">
        <v>44979</v>
      </c>
      <c r="BC416">
        <v>0</v>
      </c>
      <c r="BD416" t="s">
        <v>7360</v>
      </c>
      <c r="BF416" s="20">
        <v>44979</v>
      </c>
      <c r="BG416">
        <v>0</v>
      </c>
      <c r="BH416" t="s">
        <v>7363</v>
      </c>
      <c r="BJ416" t="s">
        <v>7362</v>
      </c>
      <c r="BK416">
        <v>0</v>
      </c>
      <c r="BL416">
        <v>0</v>
      </c>
      <c r="BM416">
        <v>0</v>
      </c>
      <c r="BN416">
        <v>0</v>
      </c>
      <c r="BO416">
        <v>169</v>
      </c>
      <c r="BP416">
        <v>11</v>
      </c>
      <c r="BQ416">
        <v>1</v>
      </c>
      <c r="BR416" t="s">
        <v>7364</v>
      </c>
      <c r="BS416" t="s">
        <v>7386</v>
      </c>
      <c r="BT416" t="s">
        <v>7360</v>
      </c>
      <c r="BU416" t="s">
        <v>7360</v>
      </c>
      <c r="BV416" t="s">
        <v>7360</v>
      </c>
      <c r="BX416">
        <v>0</v>
      </c>
      <c r="BY416">
        <v>0</v>
      </c>
      <c r="BZ416" t="s">
        <v>7360</v>
      </c>
      <c r="CA416" t="s">
        <v>7360</v>
      </c>
      <c r="CB416">
        <v>3380666</v>
      </c>
      <c r="CC416" s="21">
        <v>44979.534143518518</v>
      </c>
      <c r="CE416" t="s">
        <v>7366</v>
      </c>
      <c r="CF416">
        <v>0</v>
      </c>
      <c r="CG416">
        <v>702002</v>
      </c>
      <c r="CH416">
        <v>702002</v>
      </c>
      <c r="CI416" s="21">
        <v>44979.536874999998</v>
      </c>
      <c r="CJ416" t="s">
        <v>7367</v>
      </c>
      <c r="CK416" t="s">
        <v>7367</v>
      </c>
      <c r="CL416" t="s">
        <v>7368</v>
      </c>
      <c r="CM416" t="s">
        <v>7368</v>
      </c>
      <c r="CS416" t="s">
        <v>7361</v>
      </c>
      <c r="CT416" t="s">
        <v>7362</v>
      </c>
      <c r="CU416" t="s">
        <v>7362</v>
      </c>
      <c r="CV416" t="s">
        <v>7362</v>
      </c>
      <c r="CW416" t="s">
        <v>7362</v>
      </c>
      <c r="CX416">
        <v>97248</v>
      </c>
      <c r="DA416">
        <v>0</v>
      </c>
    </row>
    <row r="417" spans="1:105" x14ac:dyDescent="0.3">
      <c r="A417">
        <v>1371</v>
      </c>
      <c r="B417" t="s">
        <v>7389</v>
      </c>
      <c r="C417">
        <v>443</v>
      </c>
      <c r="D417" s="20">
        <v>44979</v>
      </c>
      <c r="E417" t="s">
        <v>7372</v>
      </c>
      <c r="F417" t="s">
        <v>5246</v>
      </c>
      <c r="G417" t="s">
        <v>7357</v>
      </c>
      <c r="H417">
        <v>1</v>
      </c>
      <c r="I417" t="s">
        <v>7358</v>
      </c>
      <c r="J417">
        <v>1</v>
      </c>
      <c r="K417" s="20">
        <v>44979</v>
      </c>
      <c r="L417" s="23">
        <v>2600000</v>
      </c>
      <c r="M417" t="s">
        <v>7359</v>
      </c>
      <c r="N417" t="s">
        <v>7360</v>
      </c>
      <c r="O417">
        <v>0</v>
      </c>
      <c r="P417">
        <v>12646</v>
      </c>
      <c r="Q417">
        <v>449010</v>
      </c>
      <c r="R417">
        <v>0</v>
      </c>
      <c r="S417">
        <v>20230222</v>
      </c>
      <c r="T417">
        <v>0</v>
      </c>
      <c r="U417" t="s">
        <v>7362</v>
      </c>
      <c r="V417" t="s">
        <v>7360</v>
      </c>
      <c r="W417" t="s">
        <v>7360</v>
      </c>
      <c r="X417" t="s">
        <v>7360</v>
      </c>
      <c r="Y417" t="s">
        <v>7360</v>
      </c>
      <c r="Z417" t="s">
        <v>7360</v>
      </c>
      <c r="AA417" t="s">
        <v>7362</v>
      </c>
      <c r="AB417" t="s">
        <v>7360</v>
      </c>
      <c r="AC417" t="s">
        <v>7360</v>
      </c>
      <c r="AD417" t="s">
        <v>7360</v>
      </c>
      <c r="AE417" t="s">
        <v>7360</v>
      </c>
      <c r="AF417" t="s">
        <v>1684</v>
      </c>
      <c r="AG417">
        <v>0</v>
      </c>
      <c r="AH417">
        <v>0</v>
      </c>
      <c r="AI417">
        <v>0</v>
      </c>
      <c r="AJ417">
        <v>0</v>
      </c>
      <c r="AK417">
        <v>0</v>
      </c>
      <c r="AL417" t="s">
        <v>7360</v>
      </c>
      <c r="AM417">
        <v>0</v>
      </c>
      <c r="AN417" s="20">
        <v>44979</v>
      </c>
      <c r="AO417" s="20">
        <v>44979</v>
      </c>
      <c r="AP417" s="20">
        <v>44979</v>
      </c>
      <c r="AQ417">
        <v>0</v>
      </c>
      <c r="AR417">
        <v>0</v>
      </c>
      <c r="AS417">
        <v>0</v>
      </c>
      <c r="AT417">
        <v>0</v>
      </c>
      <c r="AU417">
        <v>0</v>
      </c>
      <c r="AV417" t="s">
        <v>7360</v>
      </c>
      <c r="AW417">
        <v>0</v>
      </c>
      <c r="AX417" t="s">
        <v>7360</v>
      </c>
      <c r="AY417" t="s">
        <v>7373</v>
      </c>
      <c r="BA417">
        <v>0</v>
      </c>
      <c r="BB417" s="20">
        <v>44979</v>
      </c>
      <c r="BC417">
        <v>0</v>
      </c>
      <c r="BD417" t="s">
        <v>7360</v>
      </c>
      <c r="BF417" s="20">
        <v>44979</v>
      </c>
      <c r="BG417">
        <v>0</v>
      </c>
      <c r="BH417" t="s">
        <v>7363</v>
      </c>
      <c r="BJ417" t="s">
        <v>7362</v>
      </c>
      <c r="BK417">
        <v>0</v>
      </c>
      <c r="BL417">
        <v>0</v>
      </c>
      <c r="BM417">
        <v>0</v>
      </c>
      <c r="BN417">
        <v>0</v>
      </c>
      <c r="BO417">
        <v>169</v>
      </c>
      <c r="BP417">
        <v>11</v>
      </c>
      <c r="BQ417">
        <v>1</v>
      </c>
      <c r="BR417" t="s">
        <v>7364</v>
      </c>
      <c r="BS417" t="s">
        <v>7386</v>
      </c>
      <c r="BT417" t="s">
        <v>7360</v>
      </c>
      <c r="BU417" t="s">
        <v>7360</v>
      </c>
      <c r="BV417" t="s">
        <v>7360</v>
      </c>
      <c r="BX417">
        <v>0</v>
      </c>
      <c r="BY417">
        <v>0</v>
      </c>
      <c r="BZ417" t="s">
        <v>7360</v>
      </c>
      <c r="CA417" t="s">
        <v>7360</v>
      </c>
      <c r="CB417">
        <v>3380666</v>
      </c>
      <c r="CC417" s="21">
        <v>44979.58871527778</v>
      </c>
      <c r="CE417" t="s">
        <v>7366</v>
      </c>
      <c r="CF417">
        <v>0</v>
      </c>
      <c r="CG417">
        <v>702002</v>
      </c>
      <c r="CH417">
        <v>702002</v>
      </c>
      <c r="CI417" s="21">
        <v>44979.592627314814</v>
      </c>
      <c r="CJ417" t="s">
        <v>7367</v>
      </c>
      <c r="CK417" t="s">
        <v>7367</v>
      </c>
      <c r="CL417" t="s">
        <v>7368</v>
      </c>
      <c r="CM417" t="s">
        <v>7368</v>
      </c>
      <c r="CS417" t="s">
        <v>7361</v>
      </c>
      <c r="CT417" t="s">
        <v>7362</v>
      </c>
      <c r="CU417" t="s">
        <v>7362</v>
      </c>
      <c r="CV417" t="s">
        <v>7362</v>
      </c>
      <c r="CW417" t="s">
        <v>7362</v>
      </c>
      <c r="CX417">
        <v>2600000</v>
      </c>
      <c r="DA417">
        <v>0</v>
      </c>
    </row>
    <row r="418" spans="1:105" x14ac:dyDescent="0.3">
      <c r="A418">
        <v>1354</v>
      </c>
      <c r="B418" t="s">
        <v>7396</v>
      </c>
      <c r="C418">
        <v>444</v>
      </c>
      <c r="D418" s="20">
        <v>44979</v>
      </c>
      <c r="E418" t="s">
        <v>7372</v>
      </c>
      <c r="F418" t="s">
        <v>5246</v>
      </c>
      <c r="G418" t="s">
        <v>7370</v>
      </c>
      <c r="H418">
        <v>1</v>
      </c>
      <c r="I418" t="s">
        <v>7358</v>
      </c>
      <c r="J418">
        <v>1</v>
      </c>
      <c r="K418" s="20">
        <v>44979</v>
      </c>
      <c r="L418" s="23">
        <v>4068000</v>
      </c>
      <c r="M418" t="s">
        <v>7359</v>
      </c>
      <c r="N418" t="s">
        <v>7360</v>
      </c>
      <c r="O418">
        <v>0</v>
      </c>
      <c r="P418">
        <v>12639</v>
      </c>
      <c r="Q418">
        <v>449007</v>
      </c>
      <c r="R418">
        <v>0</v>
      </c>
      <c r="S418">
        <v>20230222</v>
      </c>
      <c r="T418">
        <v>0</v>
      </c>
      <c r="U418" t="s">
        <v>7362</v>
      </c>
      <c r="V418" t="s">
        <v>7360</v>
      </c>
      <c r="W418" t="s">
        <v>7360</v>
      </c>
      <c r="X418" t="s">
        <v>7360</v>
      </c>
      <c r="Y418" t="s">
        <v>7360</v>
      </c>
      <c r="Z418" t="s">
        <v>7360</v>
      </c>
      <c r="AA418" t="s">
        <v>7362</v>
      </c>
      <c r="AB418" t="s">
        <v>7360</v>
      </c>
      <c r="AC418" t="s">
        <v>7360</v>
      </c>
      <c r="AD418" t="s">
        <v>7360</v>
      </c>
      <c r="AE418" t="s">
        <v>7360</v>
      </c>
      <c r="AF418" t="s">
        <v>1684</v>
      </c>
      <c r="AG418">
        <v>0</v>
      </c>
      <c r="AH418">
        <v>0</v>
      </c>
      <c r="AI418">
        <v>0</v>
      </c>
      <c r="AJ418">
        <v>0</v>
      </c>
      <c r="AK418">
        <v>0</v>
      </c>
      <c r="AL418" t="s">
        <v>7360</v>
      </c>
      <c r="AM418">
        <v>0</v>
      </c>
      <c r="AN418" s="20">
        <v>44979</v>
      </c>
      <c r="AO418" s="20">
        <v>44979</v>
      </c>
      <c r="AP418" s="20">
        <v>44979</v>
      </c>
      <c r="AQ418">
        <v>0</v>
      </c>
      <c r="AR418">
        <v>0</v>
      </c>
      <c r="AS418">
        <v>0</v>
      </c>
      <c r="AT418">
        <v>0</v>
      </c>
      <c r="AU418">
        <v>0</v>
      </c>
      <c r="AV418" t="s">
        <v>7360</v>
      </c>
      <c r="AW418">
        <v>0</v>
      </c>
      <c r="AX418" t="s">
        <v>7360</v>
      </c>
      <c r="AY418" t="s">
        <v>7362</v>
      </c>
      <c r="BA418">
        <v>0</v>
      </c>
      <c r="BB418" s="20">
        <v>44979</v>
      </c>
      <c r="BC418">
        <v>0</v>
      </c>
      <c r="BD418" t="s">
        <v>7360</v>
      </c>
      <c r="BF418" s="20">
        <v>44979</v>
      </c>
      <c r="BG418">
        <v>0</v>
      </c>
      <c r="BH418" t="s">
        <v>7363</v>
      </c>
      <c r="BJ418" t="s">
        <v>7362</v>
      </c>
      <c r="BK418">
        <v>0</v>
      </c>
      <c r="BL418">
        <v>0</v>
      </c>
      <c r="BM418">
        <v>0</v>
      </c>
      <c r="BN418">
        <v>0</v>
      </c>
      <c r="BO418">
        <v>169</v>
      </c>
      <c r="BP418">
        <v>11</v>
      </c>
      <c r="BQ418">
        <v>1</v>
      </c>
      <c r="BR418" t="s">
        <v>7364</v>
      </c>
      <c r="BS418" t="s">
        <v>7365</v>
      </c>
      <c r="BT418" t="s">
        <v>7360</v>
      </c>
      <c r="BU418" t="s">
        <v>7360</v>
      </c>
      <c r="BV418" t="s">
        <v>7360</v>
      </c>
      <c r="BX418">
        <v>0</v>
      </c>
      <c r="BY418">
        <v>0</v>
      </c>
      <c r="BZ418" t="s">
        <v>7360</v>
      </c>
      <c r="CA418" t="s">
        <v>7360</v>
      </c>
      <c r="CB418">
        <v>3380666</v>
      </c>
      <c r="CC418" s="21">
        <v>44979.601736111108</v>
      </c>
      <c r="CE418" t="s">
        <v>7366</v>
      </c>
      <c r="CF418">
        <v>0</v>
      </c>
      <c r="CG418">
        <v>702002</v>
      </c>
      <c r="CH418">
        <v>702002</v>
      </c>
      <c r="CI418" s="21">
        <v>44979.603402777779</v>
      </c>
      <c r="CJ418" t="s">
        <v>7367</v>
      </c>
      <c r="CK418" t="s">
        <v>7367</v>
      </c>
      <c r="CL418" t="s">
        <v>7368</v>
      </c>
      <c r="CM418" t="s">
        <v>7368</v>
      </c>
      <c r="CS418" t="s">
        <v>7361</v>
      </c>
      <c r="CT418" t="s">
        <v>7362</v>
      </c>
      <c r="CU418" t="s">
        <v>7362</v>
      </c>
      <c r="CV418" t="s">
        <v>7362</v>
      </c>
      <c r="CW418" t="s">
        <v>7362</v>
      </c>
      <c r="CX418">
        <v>4068000</v>
      </c>
      <c r="DA418">
        <v>0</v>
      </c>
    </row>
    <row r="419" spans="1:105" x14ac:dyDescent="0.3">
      <c r="A419">
        <v>1354</v>
      </c>
      <c r="B419" t="s">
        <v>7396</v>
      </c>
      <c r="C419">
        <v>445</v>
      </c>
      <c r="D419" s="20">
        <v>44979</v>
      </c>
      <c r="E419" t="s">
        <v>7372</v>
      </c>
      <c r="F419" t="s">
        <v>5251</v>
      </c>
      <c r="G419" t="s">
        <v>7370</v>
      </c>
      <c r="H419">
        <v>1</v>
      </c>
      <c r="I419" t="s">
        <v>7358</v>
      </c>
      <c r="J419">
        <v>1</v>
      </c>
      <c r="K419" s="20">
        <v>44979</v>
      </c>
      <c r="L419" s="23">
        <v>4068000</v>
      </c>
      <c r="M419" t="s">
        <v>7359</v>
      </c>
      <c r="N419" t="s">
        <v>7360</v>
      </c>
      <c r="O419">
        <v>0</v>
      </c>
      <c r="P419">
        <v>12640</v>
      </c>
      <c r="Q419">
        <v>449008</v>
      </c>
      <c r="R419">
        <v>0</v>
      </c>
      <c r="S419">
        <v>20230222</v>
      </c>
      <c r="T419">
        <v>0</v>
      </c>
      <c r="U419" t="s">
        <v>7362</v>
      </c>
      <c r="V419" t="s">
        <v>7360</v>
      </c>
      <c r="W419" t="s">
        <v>7360</v>
      </c>
      <c r="X419" t="s">
        <v>7360</v>
      </c>
      <c r="Y419" t="s">
        <v>7360</v>
      </c>
      <c r="Z419" t="s">
        <v>7360</v>
      </c>
      <c r="AA419" t="s">
        <v>7362</v>
      </c>
      <c r="AB419" t="s">
        <v>7360</v>
      </c>
      <c r="AC419" t="s">
        <v>7360</v>
      </c>
      <c r="AD419" t="s">
        <v>7360</v>
      </c>
      <c r="AE419" t="s">
        <v>7360</v>
      </c>
      <c r="AF419" t="s">
        <v>1684</v>
      </c>
      <c r="AG419">
        <v>0</v>
      </c>
      <c r="AH419">
        <v>0</v>
      </c>
      <c r="AI419">
        <v>0</v>
      </c>
      <c r="AJ419">
        <v>0</v>
      </c>
      <c r="AK419">
        <v>0</v>
      </c>
      <c r="AL419" t="s">
        <v>7360</v>
      </c>
      <c r="AM419">
        <v>0</v>
      </c>
      <c r="AN419" s="20">
        <v>44979</v>
      </c>
      <c r="AO419" s="20">
        <v>44979</v>
      </c>
      <c r="AP419" s="20">
        <v>44979</v>
      </c>
      <c r="AQ419">
        <v>0</v>
      </c>
      <c r="AR419">
        <v>0</v>
      </c>
      <c r="AS419">
        <v>0</v>
      </c>
      <c r="AT419">
        <v>0</v>
      </c>
      <c r="AU419">
        <v>0</v>
      </c>
      <c r="AV419" t="s">
        <v>7360</v>
      </c>
      <c r="AW419">
        <v>0</v>
      </c>
      <c r="AX419" t="s">
        <v>7360</v>
      </c>
      <c r="AY419" t="s">
        <v>7362</v>
      </c>
      <c r="BA419">
        <v>0</v>
      </c>
      <c r="BB419" s="20">
        <v>44979</v>
      </c>
      <c r="BC419">
        <v>0</v>
      </c>
      <c r="BD419" t="s">
        <v>7360</v>
      </c>
      <c r="BF419" s="20">
        <v>44979</v>
      </c>
      <c r="BG419">
        <v>0</v>
      </c>
      <c r="BH419" t="s">
        <v>7363</v>
      </c>
      <c r="BJ419" t="s">
        <v>7362</v>
      </c>
      <c r="BK419">
        <v>0</v>
      </c>
      <c r="BL419">
        <v>0</v>
      </c>
      <c r="BM419">
        <v>0</v>
      </c>
      <c r="BN419">
        <v>0</v>
      </c>
      <c r="BO419">
        <v>169</v>
      </c>
      <c r="BP419">
        <v>11</v>
      </c>
      <c r="BQ419">
        <v>1</v>
      </c>
      <c r="BR419" t="s">
        <v>7364</v>
      </c>
      <c r="BS419" t="s">
        <v>7365</v>
      </c>
      <c r="BT419" t="s">
        <v>7360</v>
      </c>
      <c r="BU419" t="s">
        <v>7360</v>
      </c>
      <c r="BV419" t="s">
        <v>7360</v>
      </c>
      <c r="BX419">
        <v>0</v>
      </c>
      <c r="BY419">
        <v>0</v>
      </c>
      <c r="BZ419" t="s">
        <v>7360</v>
      </c>
      <c r="CA419" t="s">
        <v>7360</v>
      </c>
      <c r="CB419">
        <v>3380666</v>
      </c>
      <c r="CC419" s="21">
        <v>44979.609293981484</v>
      </c>
      <c r="CE419" t="s">
        <v>7366</v>
      </c>
      <c r="CF419">
        <v>0</v>
      </c>
      <c r="CG419">
        <v>702002</v>
      </c>
      <c r="CH419">
        <v>702002</v>
      </c>
      <c r="CI419" s="21">
        <v>44979.611643518518</v>
      </c>
      <c r="CJ419" t="s">
        <v>7367</v>
      </c>
      <c r="CK419" t="s">
        <v>7367</v>
      </c>
      <c r="CL419" t="s">
        <v>7368</v>
      </c>
      <c r="CM419" t="s">
        <v>7368</v>
      </c>
      <c r="CS419" t="s">
        <v>7361</v>
      </c>
      <c r="CT419" t="s">
        <v>7362</v>
      </c>
      <c r="CU419" t="s">
        <v>7362</v>
      </c>
      <c r="CV419" t="s">
        <v>7362</v>
      </c>
      <c r="CW419" t="s">
        <v>7362</v>
      </c>
      <c r="CX419">
        <v>4068000</v>
      </c>
      <c r="DA419">
        <v>0</v>
      </c>
    </row>
    <row r="420" spans="1:105" x14ac:dyDescent="0.3">
      <c r="A420">
        <v>1354</v>
      </c>
      <c r="B420" t="s">
        <v>7396</v>
      </c>
      <c r="C420">
        <v>446</v>
      </c>
      <c r="D420" s="20">
        <v>44979</v>
      </c>
      <c r="E420" t="s">
        <v>7356</v>
      </c>
      <c r="F420" t="s">
        <v>5257</v>
      </c>
      <c r="G420" t="s">
        <v>7370</v>
      </c>
      <c r="H420">
        <v>1</v>
      </c>
      <c r="I420" t="s">
        <v>7358</v>
      </c>
      <c r="J420">
        <v>1</v>
      </c>
      <c r="K420" s="20">
        <v>44979</v>
      </c>
      <c r="L420" s="23">
        <v>2800000</v>
      </c>
      <c r="M420" t="s">
        <v>7359</v>
      </c>
      <c r="N420" t="s">
        <v>7360</v>
      </c>
      <c r="O420">
        <v>0</v>
      </c>
      <c r="P420">
        <v>12648</v>
      </c>
      <c r="Q420">
        <v>449013</v>
      </c>
      <c r="R420">
        <v>0</v>
      </c>
      <c r="S420">
        <v>20230222</v>
      </c>
      <c r="T420">
        <v>0</v>
      </c>
      <c r="U420" t="s">
        <v>7361</v>
      </c>
      <c r="V420" t="s">
        <v>7360</v>
      </c>
      <c r="W420" t="s">
        <v>7360</v>
      </c>
      <c r="X420" t="s">
        <v>7360</v>
      </c>
      <c r="Y420" t="s">
        <v>7360</v>
      </c>
      <c r="Z420" t="s">
        <v>7360</v>
      </c>
      <c r="AA420" t="s">
        <v>7362</v>
      </c>
      <c r="AB420" t="s">
        <v>7360</v>
      </c>
      <c r="AC420" t="s">
        <v>7360</v>
      </c>
      <c r="AD420" t="s">
        <v>7360</v>
      </c>
      <c r="AE420" t="s">
        <v>7360</v>
      </c>
      <c r="AF420" t="s">
        <v>1684</v>
      </c>
      <c r="AG420">
        <v>0</v>
      </c>
      <c r="AH420">
        <v>0</v>
      </c>
      <c r="AI420">
        <v>0</v>
      </c>
      <c r="AJ420">
        <v>0</v>
      </c>
      <c r="AK420">
        <v>0</v>
      </c>
      <c r="AL420" t="s">
        <v>7360</v>
      </c>
      <c r="AM420">
        <v>0</v>
      </c>
      <c r="AN420" s="20">
        <v>44979</v>
      </c>
      <c r="AO420" s="20">
        <v>44979</v>
      </c>
      <c r="AP420" s="20">
        <v>44979</v>
      </c>
      <c r="AQ420">
        <v>0</v>
      </c>
      <c r="AR420">
        <v>0</v>
      </c>
      <c r="AS420">
        <v>0</v>
      </c>
      <c r="AT420">
        <v>0</v>
      </c>
      <c r="AU420">
        <v>0</v>
      </c>
      <c r="AV420" t="s">
        <v>7360</v>
      </c>
      <c r="AW420">
        <v>0</v>
      </c>
      <c r="AX420" t="s">
        <v>7360</v>
      </c>
      <c r="AY420" t="s">
        <v>7363</v>
      </c>
      <c r="BA420">
        <v>0</v>
      </c>
      <c r="BB420" s="20">
        <v>44979</v>
      </c>
      <c r="BC420">
        <v>0</v>
      </c>
      <c r="BD420" t="s">
        <v>7360</v>
      </c>
      <c r="BF420" s="20">
        <v>44979</v>
      </c>
      <c r="BG420">
        <v>0</v>
      </c>
      <c r="BH420" t="s">
        <v>7363</v>
      </c>
      <c r="BJ420" t="s">
        <v>7362</v>
      </c>
      <c r="BK420">
        <v>169</v>
      </c>
      <c r="BL420">
        <v>11</v>
      </c>
      <c r="BM420">
        <v>1</v>
      </c>
      <c r="BN420" t="s">
        <v>7364</v>
      </c>
      <c r="BO420">
        <v>0</v>
      </c>
      <c r="BP420">
        <v>0</v>
      </c>
      <c r="BQ420">
        <v>0</v>
      </c>
      <c r="BR420">
        <v>0</v>
      </c>
      <c r="BS420" t="s">
        <v>7444</v>
      </c>
      <c r="BT420" t="s">
        <v>7360</v>
      </c>
      <c r="BU420" t="s">
        <v>7360</v>
      </c>
      <c r="BV420" t="s">
        <v>7360</v>
      </c>
      <c r="BX420" t="s">
        <v>7391</v>
      </c>
      <c r="BY420">
        <v>74</v>
      </c>
      <c r="BZ420" t="s">
        <v>7360</v>
      </c>
      <c r="CA420" t="s">
        <v>7360</v>
      </c>
      <c r="CB420" t="s">
        <v>7360</v>
      </c>
      <c r="CC420" s="21">
        <v>44979.620405092595</v>
      </c>
      <c r="CE420" t="s">
        <v>7392</v>
      </c>
      <c r="CF420">
        <v>1100101</v>
      </c>
      <c r="CG420">
        <v>53575</v>
      </c>
      <c r="CH420">
        <v>53575</v>
      </c>
      <c r="CI420" s="21">
        <v>44979.621261574073</v>
      </c>
      <c r="CJ420" t="s">
        <v>7393</v>
      </c>
      <c r="CK420" t="s">
        <v>7393</v>
      </c>
      <c r="CL420" t="s">
        <v>7394</v>
      </c>
      <c r="CM420" t="s">
        <v>7394</v>
      </c>
      <c r="CS420" t="s">
        <v>7361</v>
      </c>
      <c r="CT420" t="s">
        <v>7362</v>
      </c>
      <c r="CU420" t="s">
        <v>7362</v>
      </c>
      <c r="CV420" t="s">
        <v>7362</v>
      </c>
      <c r="CW420" t="s">
        <v>7362</v>
      </c>
      <c r="CX420">
        <v>2800000</v>
      </c>
      <c r="DA420">
        <v>0</v>
      </c>
    </row>
    <row r="421" spans="1:105" x14ac:dyDescent="0.3">
      <c r="A421">
        <v>1354</v>
      </c>
      <c r="B421" t="s">
        <v>7396</v>
      </c>
      <c r="C421">
        <v>447</v>
      </c>
      <c r="D421" s="20">
        <v>44979</v>
      </c>
      <c r="E421" t="s">
        <v>7356</v>
      </c>
      <c r="F421" t="s">
        <v>5262</v>
      </c>
      <c r="G421" t="s">
        <v>7370</v>
      </c>
      <c r="H421">
        <v>1</v>
      </c>
      <c r="I421" t="s">
        <v>7358</v>
      </c>
      <c r="J421">
        <v>1</v>
      </c>
      <c r="K421" s="20">
        <v>44979</v>
      </c>
      <c r="L421" s="23">
        <v>840000</v>
      </c>
      <c r="M421" t="s">
        <v>7359</v>
      </c>
      <c r="N421" t="s">
        <v>7360</v>
      </c>
      <c r="O421">
        <v>0</v>
      </c>
      <c r="P421">
        <v>12678</v>
      </c>
      <c r="Q421">
        <v>449039</v>
      </c>
      <c r="R421">
        <v>0</v>
      </c>
      <c r="S421">
        <v>20230222</v>
      </c>
      <c r="T421">
        <v>0</v>
      </c>
      <c r="U421" t="s">
        <v>7361</v>
      </c>
      <c r="V421" t="s">
        <v>7360</v>
      </c>
      <c r="W421" t="s">
        <v>7360</v>
      </c>
      <c r="X421" t="s">
        <v>7360</v>
      </c>
      <c r="Y421" t="s">
        <v>7360</v>
      </c>
      <c r="Z421" t="s">
        <v>7360</v>
      </c>
      <c r="AA421" t="s">
        <v>7362</v>
      </c>
      <c r="AB421" t="s">
        <v>7360</v>
      </c>
      <c r="AC421" t="s">
        <v>7360</v>
      </c>
      <c r="AD421" t="s">
        <v>7360</v>
      </c>
      <c r="AE421" t="s">
        <v>7360</v>
      </c>
      <c r="AF421" t="s">
        <v>1684</v>
      </c>
      <c r="AG421">
        <v>0</v>
      </c>
      <c r="AH421">
        <v>0</v>
      </c>
      <c r="AI421">
        <v>0</v>
      </c>
      <c r="AJ421">
        <v>0</v>
      </c>
      <c r="AK421">
        <v>0</v>
      </c>
      <c r="AL421" t="s">
        <v>7360</v>
      </c>
      <c r="AM421">
        <v>0</v>
      </c>
      <c r="AN421" s="20">
        <v>44979</v>
      </c>
      <c r="AO421" s="20">
        <v>44979</v>
      </c>
      <c r="AP421" s="20">
        <v>44979</v>
      </c>
      <c r="AQ421">
        <v>0</v>
      </c>
      <c r="AR421">
        <v>0</v>
      </c>
      <c r="AS421">
        <v>0</v>
      </c>
      <c r="AT421">
        <v>0</v>
      </c>
      <c r="AU421">
        <v>0</v>
      </c>
      <c r="AV421" t="s">
        <v>7360</v>
      </c>
      <c r="AW421">
        <v>0</v>
      </c>
      <c r="AX421" t="s">
        <v>7360</v>
      </c>
      <c r="AY421" t="s">
        <v>7363</v>
      </c>
      <c r="BA421">
        <v>0</v>
      </c>
      <c r="BB421" s="20">
        <v>44979</v>
      </c>
      <c r="BC421">
        <v>0</v>
      </c>
      <c r="BD421" t="s">
        <v>7360</v>
      </c>
      <c r="BF421" s="20">
        <v>44979</v>
      </c>
      <c r="BG421">
        <v>0</v>
      </c>
      <c r="BH421" t="s">
        <v>7363</v>
      </c>
      <c r="BJ421" t="s">
        <v>7362</v>
      </c>
      <c r="BK421">
        <v>169</v>
      </c>
      <c r="BL421">
        <v>11</v>
      </c>
      <c r="BM421">
        <v>1</v>
      </c>
      <c r="BN421" t="s">
        <v>7364</v>
      </c>
      <c r="BO421">
        <v>169</v>
      </c>
      <c r="BP421">
        <v>11</v>
      </c>
      <c r="BQ421">
        <v>1</v>
      </c>
      <c r="BR421" t="s">
        <v>7364</v>
      </c>
      <c r="BS421" t="s">
        <v>7427</v>
      </c>
      <c r="BT421" t="s">
        <v>7360</v>
      </c>
      <c r="BU421" t="s">
        <v>7360</v>
      </c>
      <c r="BV421" t="s">
        <v>7360</v>
      </c>
      <c r="BX421" t="s">
        <v>7391</v>
      </c>
      <c r="BY421">
        <v>74</v>
      </c>
      <c r="BZ421" t="s">
        <v>7360</v>
      </c>
      <c r="CA421" t="s">
        <v>7360</v>
      </c>
      <c r="CB421">
        <v>5558210</v>
      </c>
      <c r="CC421" s="21">
        <v>44979.631053240744</v>
      </c>
      <c r="CE421" t="s">
        <v>7392</v>
      </c>
      <c r="CF421">
        <v>1100101</v>
      </c>
      <c r="CG421">
        <v>53575</v>
      </c>
      <c r="CH421">
        <v>53575</v>
      </c>
      <c r="CI421" s="21">
        <v>44980.514537037037</v>
      </c>
      <c r="CJ421" t="s">
        <v>7393</v>
      </c>
      <c r="CK421" t="s">
        <v>7393</v>
      </c>
      <c r="CL421" t="s">
        <v>7394</v>
      </c>
      <c r="CM421" t="s">
        <v>7394</v>
      </c>
      <c r="CS421" t="s">
        <v>7361</v>
      </c>
      <c r="CT421" t="s">
        <v>7362</v>
      </c>
      <c r="CU421" t="s">
        <v>7362</v>
      </c>
      <c r="CV421" t="s">
        <v>7362</v>
      </c>
      <c r="CW421" t="s">
        <v>7362</v>
      </c>
      <c r="CX421">
        <v>840000</v>
      </c>
      <c r="DA421">
        <v>0</v>
      </c>
    </row>
    <row r="422" spans="1:105" x14ac:dyDescent="0.3">
      <c r="A422">
        <v>1357</v>
      </c>
      <c r="B422" t="s">
        <v>7405</v>
      </c>
      <c r="C422">
        <v>448</v>
      </c>
      <c r="D422" s="20">
        <v>44979</v>
      </c>
      <c r="E422" t="s">
        <v>7372</v>
      </c>
      <c r="F422" t="s">
        <v>5267</v>
      </c>
      <c r="G422" t="s">
        <v>7357</v>
      </c>
      <c r="H422">
        <v>1</v>
      </c>
      <c r="I422" t="s">
        <v>7358</v>
      </c>
      <c r="J422">
        <v>1</v>
      </c>
      <c r="K422" s="20">
        <v>44979</v>
      </c>
      <c r="L422" s="23">
        <v>9260964</v>
      </c>
      <c r="M422" t="s">
        <v>7359</v>
      </c>
      <c r="N422" t="s">
        <v>7360</v>
      </c>
      <c r="O422">
        <v>0</v>
      </c>
      <c r="P422">
        <v>11971</v>
      </c>
      <c r="Q422">
        <v>416098</v>
      </c>
      <c r="R422">
        <v>0</v>
      </c>
      <c r="S422">
        <v>20230222</v>
      </c>
      <c r="T422">
        <v>0</v>
      </c>
      <c r="U422" t="s">
        <v>7362</v>
      </c>
      <c r="V422" t="s">
        <v>7360</v>
      </c>
      <c r="W422" t="s">
        <v>7360</v>
      </c>
      <c r="X422" t="s">
        <v>7360</v>
      </c>
      <c r="Y422" t="s">
        <v>7360</v>
      </c>
      <c r="Z422" t="s">
        <v>7360</v>
      </c>
      <c r="AA422" t="s">
        <v>7362</v>
      </c>
      <c r="AB422" t="s">
        <v>7360</v>
      </c>
      <c r="AC422" t="s">
        <v>7360</v>
      </c>
      <c r="AD422" t="s">
        <v>7360</v>
      </c>
      <c r="AE422" t="s">
        <v>7360</v>
      </c>
      <c r="AF422" t="s">
        <v>1684</v>
      </c>
      <c r="AG422">
        <v>0</v>
      </c>
      <c r="AH422">
        <v>0</v>
      </c>
      <c r="AI422">
        <v>0</v>
      </c>
      <c r="AJ422">
        <v>0</v>
      </c>
      <c r="AK422">
        <v>0</v>
      </c>
      <c r="AL422" t="s">
        <v>7360</v>
      </c>
      <c r="AM422">
        <v>0</v>
      </c>
      <c r="AN422" s="20">
        <v>44979</v>
      </c>
      <c r="AO422" s="20">
        <v>44979</v>
      </c>
      <c r="AP422" s="20">
        <v>44979</v>
      </c>
      <c r="AQ422">
        <v>0</v>
      </c>
      <c r="AR422">
        <v>0</v>
      </c>
      <c r="AS422">
        <v>0</v>
      </c>
      <c r="AT422">
        <v>0</v>
      </c>
      <c r="AU422">
        <v>0</v>
      </c>
      <c r="AV422" t="s">
        <v>7360</v>
      </c>
      <c r="AW422">
        <v>0</v>
      </c>
      <c r="AX422" t="s">
        <v>7360</v>
      </c>
      <c r="AY422" t="s">
        <v>7362</v>
      </c>
      <c r="BA422">
        <v>0</v>
      </c>
      <c r="BB422" s="20">
        <v>44979</v>
      </c>
      <c r="BC422">
        <v>0</v>
      </c>
      <c r="BD422" t="s">
        <v>7360</v>
      </c>
      <c r="BF422" s="20">
        <v>44979</v>
      </c>
      <c r="BG422">
        <v>0</v>
      </c>
      <c r="BH422" t="s">
        <v>1684</v>
      </c>
      <c r="BJ422" t="s">
        <v>7362</v>
      </c>
      <c r="BK422">
        <v>0</v>
      </c>
      <c r="BL422">
        <v>0</v>
      </c>
      <c r="BM422">
        <v>0</v>
      </c>
      <c r="BN422">
        <v>0</v>
      </c>
      <c r="BO422">
        <v>169</v>
      </c>
      <c r="BP422">
        <v>11</v>
      </c>
      <c r="BQ422">
        <v>1</v>
      </c>
      <c r="BR422" t="s">
        <v>7364</v>
      </c>
      <c r="BS422" t="s">
        <v>7382</v>
      </c>
      <c r="BT422" t="s">
        <v>7360</v>
      </c>
      <c r="BU422" t="s">
        <v>7360</v>
      </c>
      <c r="BV422" t="s">
        <v>7360</v>
      </c>
      <c r="BX422">
        <v>0</v>
      </c>
      <c r="BY422">
        <v>0</v>
      </c>
      <c r="BZ422" t="s">
        <v>7360</v>
      </c>
      <c r="CA422" t="s">
        <v>7360</v>
      </c>
      <c r="CB422">
        <v>3380666</v>
      </c>
      <c r="CC422" s="21">
        <v>44979.639097222222</v>
      </c>
      <c r="CE422" t="s">
        <v>7366</v>
      </c>
      <c r="CF422">
        <v>0</v>
      </c>
      <c r="CG422">
        <v>702002</v>
      </c>
      <c r="CH422">
        <v>702002</v>
      </c>
      <c r="CI422" s="21">
        <v>44979.642557870371</v>
      </c>
      <c r="CJ422" t="s">
        <v>7367</v>
      </c>
      <c r="CK422" t="s">
        <v>7367</v>
      </c>
      <c r="CL422" t="s">
        <v>7368</v>
      </c>
      <c r="CM422" t="s">
        <v>7368</v>
      </c>
      <c r="CS422" t="s">
        <v>7361</v>
      </c>
      <c r="CT422" t="s">
        <v>7362</v>
      </c>
      <c r="CU422" t="s">
        <v>7362</v>
      </c>
      <c r="CV422" t="s">
        <v>7362</v>
      </c>
      <c r="CW422" t="s">
        <v>7362</v>
      </c>
      <c r="CX422">
        <v>9260964</v>
      </c>
      <c r="DA422">
        <v>0</v>
      </c>
    </row>
    <row r="423" spans="1:105" x14ac:dyDescent="0.3">
      <c r="A423">
        <v>1361</v>
      </c>
      <c r="B423" t="s">
        <v>7376</v>
      </c>
      <c r="C423">
        <v>434</v>
      </c>
      <c r="D423" s="20">
        <v>44978</v>
      </c>
      <c r="E423" t="s">
        <v>7356</v>
      </c>
      <c r="F423" t="s">
        <v>5273</v>
      </c>
      <c r="G423" t="s">
        <v>7377</v>
      </c>
      <c r="H423">
        <v>1</v>
      </c>
      <c r="I423" t="s">
        <v>7358</v>
      </c>
      <c r="J423">
        <v>1</v>
      </c>
      <c r="K423" s="20">
        <v>44979</v>
      </c>
      <c r="L423" s="23">
        <v>24574526</v>
      </c>
      <c r="M423" t="s">
        <v>7359</v>
      </c>
      <c r="N423" t="s">
        <v>7360</v>
      </c>
      <c r="O423">
        <v>0</v>
      </c>
      <c r="P423">
        <v>12691</v>
      </c>
      <c r="Q423">
        <v>449051</v>
      </c>
      <c r="R423">
        <v>0</v>
      </c>
      <c r="S423">
        <v>20230221</v>
      </c>
      <c r="T423">
        <v>0</v>
      </c>
      <c r="U423" t="s">
        <v>7361</v>
      </c>
      <c r="V423" t="s">
        <v>7360</v>
      </c>
      <c r="W423" t="s">
        <v>7360</v>
      </c>
      <c r="X423" t="s">
        <v>7360</v>
      </c>
      <c r="Y423" t="s">
        <v>7360</v>
      </c>
      <c r="Z423" t="s">
        <v>7360</v>
      </c>
      <c r="AA423" t="s">
        <v>7362</v>
      </c>
      <c r="AB423" t="s">
        <v>7360</v>
      </c>
      <c r="AC423" t="s">
        <v>7360</v>
      </c>
      <c r="AD423" t="s">
        <v>7360</v>
      </c>
      <c r="AE423" t="s">
        <v>7360</v>
      </c>
      <c r="AF423" t="s">
        <v>1684</v>
      </c>
      <c r="AG423">
        <v>0</v>
      </c>
      <c r="AH423">
        <v>0</v>
      </c>
      <c r="AI423">
        <v>0</v>
      </c>
      <c r="AJ423">
        <v>0</v>
      </c>
      <c r="AK423">
        <v>0</v>
      </c>
      <c r="AL423" t="s">
        <v>7360</v>
      </c>
      <c r="AM423">
        <v>0</v>
      </c>
      <c r="AN423" s="20">
        <v>44979</v>
      </c>
      <c r="AO423" s="20">
        <v>44979</v>
      </c>
      <c r="AP423" s="20">
        <v>44979</v>
      </c>
      <c r="AQ423">
        <v>0</v>
      </c>
      <c r="AR423">
        <v>0</v>
      </c>
      <c r="AS423">
        <v>0</v>
      </c>
      <c r="AT423">
        <v>0</v>
      </c>
      <c r="AU423">
        <v>0</v>
      </c>
      <c r="AV423" t="s">
        <v>7360</v>
      </c>
      <c r="AW423">
        <v>0</v>
      </c>
      <c r="AX423" t="s">
        <v>7360</v>
      </c>
      <c r="AY423" t="s">
        <v>7363</v>
      </c>
      <c r="BA423">
        <v>0</v>
      </c>
      <c r="BB423" s="20">
        <v>44979</v>
      </c>
      <c r="BC423">
        <v>0</v>
      </c>
      <c r="BD423" t="s">
        <v>7360</v>
      </c>
      <c r="BF423" s="20">
        <v>44979</v>
      </c>
      <c r="BG423">
        <v>0</v>
      </c>
      <c r="BH423" t="s">
        <v>7363</v>
      </c>
      <c r="BJ423" t="s">
        <v>7362</v>
      </c>
      <c r="BK423">
        <v>169</v>
      </c>
      <c r="BL423">
        <v>11</v>
      </c>
      <c r="BM423">
        <v>1</v>
      </c>
      <c r="BN423" t="s">
        <v>7364</v>
      </c>
      <c r="BO423">
        <v>169</v>
      </c>
      <c r="BP423">
        <v>11</v>
      </c>
      <c r="BQ423">
        <v>1</v>
      </c>
      <c r="BR423" t="s">
        <v>7364</v>
      </c>
      <c r="BS423" t="s">
        <v>7404</v>
      </c>
      <c r="BT423" t="s">
        <v>7360</v>
      </c>
      <c r="BU423" t="s">
        <v>7360</v>
      </c>
      <c r="BV423" t="s">
        <v>7360</v>
      </c>
      <c r="BX423" t="s">
        <v>7391</v>
      </c>
      <c r="BY423">
        <v>74</v>
      </c>
      <c r="BZ423" t="s">
        <v>7360</v>
      </c>
      <c r="CA423" t="s">
        <v>7360</v>
      </c>
      <c r="CB423">
        <v>3380666</v>
      </c>
      <c r="CC423" s="21">
        <v>44998.649606481478</v>
      </c>
      <c r="CE423" t="s">
        <v>7392</v>
      </c>
      <c r="CF423">
        <v>1100101</v>
      </c>
      <c r="CG423">
        <v>51669</v>
      </c>
      <c r="CH423">
        <v>51669</v>
      </c>
      <c r="CI423" s="21">
        <v>44998.652511574073</v>
      </c>
      <c r="CJ423" t="s">
        <v>7406</v>
      </c>
      <c r="CK423" t="s">
        <v>7406</v>
      </c>
      <c r="CL423" t="s">
        <v>7407</v>
      </c>
      <c r="CM423" t="s">
        <v>7407</v>
      </c>
      <c r="CS423" t="s">
        <v>7361</v>
      </c>
      <c r="CT423" t="s">
        <v>7362</v>
      </c>
      <c r="CU423" t="s">
        <v>7362</v>
      </c>
      <c r="CV423" t="s">
        <v>7362</v>
      </c>
      <c r="CW423" t="s">
        <v>7362</v>
      </c>
      <c r="CX423">
        <v>20654400</v>
      </c>
      <c r="DA423">
        <v>0</v>
      </c>
    </row>
    <row r="424" spans="1:105" x14ac:dyDescent="0.3">
      <c r="A424">
        <v>1375</v>
      </c>
      <c r="B424" t="s">
        <v>7399</v>
      </c>
      <c r="C424">
        <v>641</v>
      </c>
      <c r="D424" s="20">
        <v>44999</v>
      </c>
      <c r="E424" t="s">
        <v>7372</v>
      </c>
      <c r="F424" t="s">
        <v>5278</v>
      </c>
      <c r="G424" t="s">
        <v>7357</v>
      </c>
      <c r="H424">
        <v>1</v>
      </c>
      <c r="I424" t="s">
        <v>7358</v>
      </c>
      <c r="J424">
        <v>1</v>
      </c>
      <c r="K424" s="20">
        <v>44999</v>
      </c>
      <c r="L424" s="23">
        <v>24750000</v>
      </c>
      <c r="M424" t="s">
        <v>7359</v>
      </c>
      <c r="N424" t="s">
        <v>7360</v>
      </c>
      <c r="O424">
        <v>0</v>
      </c>
      <c r="P424">
        <v>13006</v>
      </c>
      <c r="Q424">
        <v>453040</v>
      </c>
      <c r="R424">
        <v>0</v>
      </c>
      <c r="S424">
        <v>20230314</v>
      </c>
      <c r="T424">
        <v>0</v>
      </c>
      <c r="U424" t="s">
        <v>7362</v>
      </c>
      <c r="V424" t="s">
        <v>7360</v>
      </c>
      <c r="W424" t="s">
        <v>7360</v>
      </c>
      <c r="X424" t="s">
        <v>7360</v>
      </c>
      <c r="Y424" t="s">
        <v>7360</v>
      </c>
      <c r="Z424" t="s">
        <v>7360</v>
      </c>
      <c r="AA424" t="s">
        <v>7362</v>
      </c>
      <c r="AB424" t="s">
        <v>7360</v>
      </c>
      <c r="AC424" t="s">
        <v>7360</v>
      </c>
      <c r="AD424" t="s">
        <v>7360</v>
      </c>
      <c r="AE424" t="s">
        <v>7360</v>
      </c>
      <c r="AF424" t="s">
        <v>1684</v>
      </c>
      <c r="AG424">
        <v>0</v>
      </c>
      <c r="AH424">
        <v>0</v>
      </c>
      <c r="AI424">
        <v>0</v>
      </c>
      <c r="AJ424">
        <v>0</v>
      </c>
      <c r="AK424">
        <v>0</v>
      </c>
      <c r="AL424" t="s">
        <v>7360</v>
      </c>
      <c r="AM424">
        <v>0</v>
      </c>
      <c r="AN424" s="20">
        <v>44999</v>
      </c>
      <c r="AO424" s="20">
        <v>44999</v>
      </c>
      <c r="AP424" s="20">
        <v>44999</v>
      </c>
      <c r="AQ424">
        <v>0</v>
      </c>
      <c r="AR424">
        <v>0</v>
      </c>
      <c r="AS424">
        <v>0</v>
      </c>
      <c r="AT424">
        <v>0</v>
      </c>
      <c r="AU424">
        <v>0</v>
      </c>
      <c r="AV424" t="s">
        <v>7360</v>
      </c>
      <c r="AW424">
        <v>0</v>
      </c>
      <c r="AX424" t="s">
        <v>7360</v>
      </c>
      <c r="AY424" t="s">
        <v>7362</v>
      </c>
      <c r="BA424">
        <v>0</v>
      </c>
      <c r="BB424" s="20">
        <v>44999</v>
      </c>
      <c r="BC424">
        <v>0</v>
      </c>
      <c r="BD424" t="s">
        <v>7360</v>
      </c>
      <c r="BF424" s="20">
        <v>44999</v>
      </c>
      <c r="BG424">
        <v>0</v>
      </c>
      <c r="BH424" t="s">
        <v>7363</v>
      </c>
      <c r="BJ424" t="s">
        <v>7362</v>
      </c>
      <c r="BK424">
        <v>169</v>
      </c>
      <c r="BL424">
        <v>11</v>
      </c>
      <c r="BM424">
        <v>1</v>
      </c>
      <c r="BN424" t="s">
        <v>7364</v>
      </c>
      <c r="BO424">
        <v>169</v>
      </c>
      <c r="BP424">
        <v>11</v>
      </c>
      <c r="BQ424">
        <v>1</v>
      </c>
      <c r="BR424" t="s">
        <v>7364</v>
      </c>
      <c r="BS424" t="s">
        <v>132</v>
      </c>
      <c r="BT424" t="s">
        <v>7360</v>
      </c>
      <c r="BU424" t="s">
        <v>7360</v>
      </c>
      <c r="BV424" t="s">
        <v>7360</v>
      </c>
      <c r="BX424" t="s">
        <v>7391</v>
      </c>
      <c r="BY424">
        <v>74</v>
      </c>
      <c r="BZ424" t="s">
        <v>7360</v>
      </c>
      <c r="CA424" t="s">
        <v>7360</v>
      </c>
      <c r="CB424" t="s">
        <v>7360</v>
      </c>
      <c r="CC424" s="21">
        <v>44999.410405092596</v>
      </c>
      <c r="CE424" t="s">
        <v>7392</v>
      </c>
      <c r="CF424">
        <v>1100101</v>
      </c>
      <c r="CG424">
        <v>50947</v>
      </c>
      <c r="CH424">
        <v>50947</v>
      </c>
      <c r="CI424" s="21">
        <v>44999.418993055559</v>
      </c>
      <c r="CJ424" t="s">
        <v>7442</v>
      </c>
      <c r="CK424" t="s">
        <v>7442</v>
      </c>
      <c r="CL424" t="s">
        <v>7443</v>
      </c>
      <c r="CM424" t="s">
        <v>7443</v>
      </c>
      <c r="CS424" t="s">
        <v>7361</v>
      </c>
      <c r="CT424" t="s">
        <v>7362</v>
      </c>
      <c r="CU424" t="s">
        <v>7362</v>
      </c>
      <c r="CV424" t="s">
        <v>7362</v>
      </c>
      <c r="CW424" t="s">
        <v>7362</v>
      </c>
      <c r="CX424">
        <v>24750000</v>
      </c>
      <c r="DA424">
        <v>0</v>
      </c>
    </row>
    <row r="425" spans="1:105" x14ac:dyDescent="0.3">
      <c r="A425">
        <v>1357</v>
      </c>
      <c r="B425" t="s">
        <v>7405</v>
      </c>
      <c r="C425">
        <v>451</v>
      </c>
      <c r="D425" s="20">
        <v>44979</v>
      </c>
      <c r="E425" t="s">
        <v>7356</v>
      </c>
      <c r="F425" t="s">
        <v>5282</v>
      </c>
      <c r="G425" t="s">
        <v>7357</v>
      </c>
      <c r="H425">
        <v>1</v>
      </c>
      <c r="I425" t="s">
        <v>7358</v>
      </c>
      <c r="J425">
        <v>1</v>
      </c>
      <c r="K425" s="20">
        <v>44979</v>
      </c>
      <c r="L425" s="23">
        <v>3216147</v>
      </c>
      <c r="M425" t="s">
        <v>7359</v>
      </c>
      <c r="N425" t="s">
        <v>7360</v>
      </c>
      <c r="O425">
        <v>0</v>
      </c>
      <c r="P425">
        <v>12116</v>
      </c>
      <c r="Q425">
        <v>432002</v>
      </c>
      <c r="R425">
        <v>0</v>
      </c>
      <c r="S425">
        <v>20230222</v>
      </c>
      <c r="T425">
        <v>0</v>
      </c>
      <c r="U425" t="s">
        <v>7361</v>
      </c>
      <c r="V425" t="s">
        <v>7360</v>
      </c>
      <c r="W425" t="s">
        <v>7360</v>
      </c>
      <c r="X425" t="s">
        <v>7360</v>
      </c>
      <c r="Y425" t="s">
        <v>7360</v>
      </c>
      <c r="Z425" t="s">
        <v>7360</v>
      </c>
      <c r="AA425" t="s">
        <v>7362</v>
      </c>
      <c r="AB425" t="s">
        <v>7360</v>
      </c>
      <c r="AC425" t="s">
        <v>7360</v>
      </c>
      <c r="AD425" t="s">
        <v>7360</v>
      </c>
      <c r="AE425" t="s">
        <v>7360</v>
      </c>
      <c r="AF425" t="s">
        <v>1684</v>
      </c>
      <c r="AG425">
        <v>0</v>
      </c>
      <c r="AH425">
        <v>0</v>
      </c>
      <c r="AI425">
        <v>0</v>
      </c>
      <c r="AJ425">
        <v>0</v>
      </c>
      <c r="AK425">
        <v>0</v>
      </c>
      <c r="AL425" t="s">
        <v>7360</v>
      </c>
      <c r="AM425">
        <v>0</v>
      </c>
      <c r="AN425" s="20">
        <v>44979</v>
      </c>
      <c r="AO425" s="20">
        <v>44979</v>
      </c>
      <c r="AP425" s="20">
        <v>44979</v>
      </c>
      <c r="AQ425">
        <v>0</v>
      </c>
      <c r="AR425">
        <v>0</v>
      </c>
      <c r="AS425">
        <v>0</v>
      </c>
      <c r="AT425">
        <v>0</v>
      </c>
      <c r="AU425">
        <v>0</v>
      </c>
      <c r="AV425" t="s">
        <v>7360</v>
      </c>
      <c r="AW425">
        <v>0</v>
      </c>
      <c r="AX425" t="s">
        <v>7360</v>
      </c>
      <c r="AY425" t="s">
        <v>7363</v>
      </c>
      <c r="BA425">
        <v>0</v>
      </c>
      <c r="BB425" s="20">
        <v>44979</v>
      </c>
      <c r="BC425">
        <v>0</v>
      </c>
      <c r="BD425" t="s">
        <v>7360</v>
      </c>
      <c r="BF425" s="20">
        <v>44979</v>
      </c>
      <c r="BG425">
        <v>0</v>
      </c>
      <c r="BH425" t="s">
        <v>1684</v>
      </c>
      <c r="BJ425" t="s">
        <v>7362</v>
      </c>
      <c r="BK425">
        <v>0</v>
      </c>
      <c r="BL425">
        <v>0</v>
      </c>
      <c r="BM425">
        <v>0</v>
      </c>
      <c r="BN425">
        <v>0</v>
      </c>
      <c r="BO425">
        <v>169</v>
      </c>
      <c r="BP425">
        <v>11</v>
      </c>
      <c r="BQ425">
        <v>1</v>
      </c>
      <c r="BR425" t="s">
        <v>7364</v>
      </c>
      <c r="BS425" t="s">
        <v>7382</v>
      </c>
      <c r="BT425" t="s">
        <v>7360</v>
      </c>
      <c r="BU425" t="s">
        <v>7360</v>
      </c>
      <c r="BV425" t="s">
        <v>7360</v>
      </c>
      <c r="BX425">
        <v>0</v>
      </c>
      <c r="BY425">
        <v>0</v>
      </c>
      <c r="BZ425" t="s">
        <v>7360</v>
      </c>
      <c r="CA425" t="s">
        <v>7360</v>
      </c>
      <c r="CB425">
        <v>3380666</v>
      </c>
      <c r="CC425" s="21">
        <v>44979.659710648149</v>
      </c>
      <c r="CE425" t="s">
        <v>7366</v>
      </c>
      <c r="CF425">
        <v>0</v>
      </c>
      <c r="CG425">
        <v>702002</v>
      </c>
      <c r="CH425">
        <v>702002</v>
      </c>
      <c r="CI425" s="21">
        <v>44979.711331018516</v>
      </c>
      <c r="CJ425" t="s">
        <v>7367</v>
      </c>
      <c r="CK425" t="s">
        <v>7367</v>
      </c>
      <c r="CL425" t="s">
        <v>7368</v>
      </c>
      <c r="CM425" t="s">
        <v>7368</v>
      </c>
      <c r="CS425" t="s">
        <v>7361</v>
      </c>
      <c r="CT425" t="s">
        <v>7362</v>
      </c>
      <c r="CU425" t="s">
        <v>7362</v>
      </c>
      <c r="CV425" t="s">
        <v>7362</v>
      </c>
      <c r="CW425" t="s">
        <v>7362</v>
      </c>
      <c r="CX425">
        <v>3216147</v>
      </c>
      <c r="DA425">
        <v>0</v>
      </c>
    </row>
    <row r="426" spans="1:105" x14ac:dyDescent="0.3">
      <c r="A426">
        <v>1366</v>
      </c>
      <c r="B426" t="s">
        <v>7380</v>
      </c>
      <c r="C426">
        <v>452</v>
      </c>
      <c r="D426" s="20">
        <v>44979</v>
      </c>
      <c r="E426" t="s">
        <v>7356</v>
      </c>
      <c r="F426" t="s">
        <v>5288</v>
      </c>
      <c r="G426" t="s">
        <v>7357</v>
      </c>
      <c r="H426">
        <v>1</v>
      </c>
      <c r="I426" t="s">
        <v>7358</v>
      </c>
      <c r="J426">
        <v>1</v>
      </c>
      <c r="K426" s="20">
        <v>44979</v>
      </c>
      <c r="L426" s="23">
        <v>6727000</v>
      </c>
      <c r="M426" t="s">
        <v>7359</v>
      </c>
      <c r="N426" t="s">
        <v>7360</v>
      </c>
      <c r="O426">
        <v>0</v>
      </c>
      <c r="P426">
        <v>12675</v>
      </c>
      <c r="Q426">
        <v>449036</v>
      </c>
      <c r="R426">
        <v>0</v>
      </c>
      <c r="S426">
        <v>20230222</v>
      </c>
      <c r="T426">
        <v>0</v>
      </c>
      <c r="U426" t="s">
        <v>7362</v>
      </c>
      <c r="V426" t="s">
        <v>7360</v>
      </c>
      <c r="W426" t="s">
        <v>7360</v>
      </c>
      <c r="X426" t="s">
        <v>7360</v>
      </c>
      <c r="Y426" t="s">
        <v>7360</v>
      </c>
      <c r="Z426" t="s">
        <v>7360</v>
      </c>
      <c r="AA426" t="s">
        <v>7362</v>
      </c>
      <c r="AB426" t="s">
        <v>7360</v>
      </c>
      <c r="AC426" t="s">
        <v>7360</v>
      </c>
      <c r="AD426" t="s">
        <v>7360</v>
      </c>
      <c r="AE426" t="s">
        <v>7360</v>
      </c>
      <c r="AF426" t="s">
        <v>1684</v>
      </c>
      <c r="AG426">
        <v>0</v>
      </c>
      <c r="AH426">
        <v>0</v>
      </c>
      <c r="AI426">
        <v>0</v>
      </c>
      <c r="AJ426">
        <v>0</v>
      </c>
      <c r="AK426">
        <v>0</v>
      </c>
      <c r="AL426" t="s">
        <v>7360</v>
      </c>
      <c r="AM426">
        <v>0</v>
      </c>
      <c r="AN426" s="20">
        <v>44979</v>
      </c>
      <c r="AO426" s="20">
        <v>44979</v>
      </c>
      <c r="AP426" s="20">
        <v>44979</v>
      </c>
      <c r="AQ426">
        <v>0</v>
      </c>
      <c r="AR426">
        <v>0</v>
      </c>
      <c r="AS426">
        <v>0</v>
      </c>
      <c r="AT426">
        <v>0</v>
      </c>
      <c r="AU426">
        <v>0</v>
      </c>
      <c r="AV426" t="s">
        <v>7360</v>
      </c>
      <c r="AW426">
        <v>0</v>
      </c>
      <c r="AX426" t="s">
        <v>7360</v>
      </c>
      <c r="AY426" t="s">
        <v>7362</v>
      </c>
      <c r="AZ426">
        <v>1383</v>
      </c>
      <c r="BA426">
        <v>512</v>
      </c>
      <c r="BB426" s="20">
        <v>44987</v>
      </c>
      <c r="BC426">
        <v>20230302</v>
      </c>
      <c r="BD426" t="s">
        <v>7445</v>
      </c>
      <c r="BF426" s="20">
        <v>44979</v>
      </c>
      <c r="BG426">
        <v>0</v>
      </c>
      <c r="BH426" t="s">
        <v>7363</v>
      </c>
      <c r="BJ426" t="s">
        <v>7362</v>
      </c>
      <c r="BK426">
        <v>0</v>
      </c>
      <c r="BL426">
        <v>0</v>
      </c>
      <c r="BM426">
        <v>0</v>
      </c>
      <c r="BN426">
        <v>0</v>
      </c>
      <c r="BO426">
        <v>169</v>
      </c>
      <c r="BP426">
        <v>11</v>
      </c>
      <c r="BQ426">
        <v>1</v>
      </c>
      <c r="BR426" t="s">
        <v>7364</v>
      </c>
      <c r="BS426" t="s">
        <v>7365</v>
      </c>
      <c r="BT426" t="s">
        <v>7360</v>
      </c>
      <c r="BU426" t="s">
        <v>7360</v>
      </c>
      <c r="BV426" t="s">
        <v>7360</v>
      </c>
      <c r="BX426">
        <v>0</v>
      </c>
      <c r="BY426">
        <v>0</v>
      </c>
      <c r="BZ426" t="s">
        <v>7360</v>
      </c>
      <c r="CA426" t="s">
        <v>7360</v>
      </c>
      <c r="CB426">
        <v>3380666</v>
      </c>
      <c r="CC426" s="21">
        <v>44979.722233796296</v>
      </c>
      <c r="CE426" t="s">
        <v>7366</v>
      </c>
      <c r="CF426">
        <v>0</v>
      </c>
      <c r="CG426">
        <v>702002</v>
      </c>
      <c r="CH426">
        <v>51669</v>
      </c>
      <c r="CI426" s="21">
        <v>44981.389490740738</v>
      </c>
      <c r="CJ426" t="s">
        <v>7367</v>
      </c>
      <c r="CK426" t="s">
        <v>7406</v>
      </c>
      <c r="CL426" t="s">
        <v>7368</v>
      </c>
      <c r="CM426" t="s">
        <v>7407</v>
      </c>
      <c r="CS426" t="s">
        <v>7361</v>
      </c>
      <c r="CT426" t="s">
        <v>7362</v>
      </c>
      <c r="CU426" t="s">
        <v>7362</v>
      </c>
      <c r="CV426" t="s">
        <v>7362</v>
      </c>
      <c r="CW426" t="s">
        <v>7362</v>
      </c>
      <c r="CX426">
        <v>6727000</v>
      </c>
      <c r="CY426" t="s">
        <v>1684</v>
      </c>
      <c r="DA426">
        <v>0</v>
      </c>
    </row>
    <row r="427" spans="1:105" x14ac:dyDescent="0.3">
      <c r="A427">
        <v>1366</v>
      </c>
      <c r="B427" t="s">
        <v>7380</v>
      </c>
      <c r="C427">
        <v>630</v>
      </c>
      <c r="D427" s="20">
        <v>45026</v>
      </c>
      <c r="E427" t="s">
        <v>7397</v>
      </c>
      <c r="F427" t="s">
        <v>5293</v>
      </c>
      <c r="G427" t="s">
        <v>7357</v>
      </c>
      <c r="H427">
        <v>1</v>
      </c>
      <c r="I427" t="s">
        <v>7358</v>
      </c>
      <c r="J427">
        <v>1</v>
      </c>
      <c r="K427" s="20">
        <v>44998</v>
      </c>
      <c r="L427" s="23">
        <v>20654400</v>
      </c>
      <c r="M427" t="s">
        <v>7398</v>
      </c>
      <c r="N427" t="s">
        <v>7360</v>
      </c>
      <c r="O427">
        <v>0</v>
      </c>
      <c r="P427">
        <v>12895</v>
      </c>
      <c r="R427">
        <v>0</v>
      </c>
      <c r="S427">
        <v>20230410</v>
      </c>
      <c r="T427">
        <v>0</v>
      </c>
      <c r="U427" t="s">
        <v>7362</v>
      </c>
      <c r="V427" t="s">
        <v>7360</v>
      </c>
      <c r="W427" t="s">
        <v>7360</v>
      </c>
      <c r="X427" t="s">
        <v>7360</v>
      </c>
      <c r="Y427" t="s">
        <v>7360</v>
      </c>
      <c r="Z427" t="s">
        <v>7360</v>
      </c>
      <c r="AA427" t="s">
        <v>1684</v>
      </c>
      <c r="AB427" t="s">
        <v>7360</v>
      </c>
      <c r="AC427" t="s">
        <v>7360</v>
      </c>
      <c r="AD427" t="s">
        <v>7360</v>
      </c>
      <c r="AE427" t="s">
        <v>7360</v>
      </c>
      <c r="AF427" t="s">
        <v>1684</v>
      </c>
      <c r="AG427">
        <v>0</v>
      </c>
      <c r="AH427">
        <v>0</v>
      </c>
      <c r="AI427">
        <v>0</v>
      </c>
      <c r="AJ427">
        <v>0</v>
      </c>
      <c r="AK427">
        <v>0</v>
      </c>
      <c r="AL427" t="s">
        <v>7360</v>
      </c>
      <c r="AM427">
        <v>0</v>
      </c>
      <c r="AN427" s="20">
        <v>44998</v>
      </c>
      <c r="AO427" s="20">
        <v>44998</v>
      </c>
      <c r="AP427" s="20">
        <v>44998</v>
      </c>
      <c r="AQ427">
        <v>0</v>
      </c>
      <c r="AR427">
        <v>0</v>
      </c>
      <c r="AS427">
        <v>0</v>
      </c>
      <c r="AT427">
        <v>0</v>
      </c>
      <c r="AU427">
        <v>0</v>
      </c>
      <c r="AV427" t="s">
        <v>7360</v>
      </c>
      <c r="AW427">
        <v>0</v>
      </c>
      <c r="AX427" t="s">
        <v>7360</v>
      </c>
      <c r="AY427" t="s">
        <v>7362</v>
      </c>
      <c r="BA427">
        <v>0</v>
      </c>
      <c r="BB427" s="20">
        <v>44998</v>
      </c>
      <c r="BC427">
        <v>0</v>
      </c>
      <c r="BD427" t="s">
        <v>7360</v>
      </c>
      <c r="BF427" s="20">
        <v>44998</v>
      </c>
      <c r="BG427">
        <v>0</v>
      </c>
      <c r="BH427" t="s">
        <v>7363</v>
      </c>
      <c r="BJ427" t="s">
        <v>7362</v>
      </c>
      <c r="BK427">
        <v>0</v>
      </c>
      <c r="BL427">
        <v>0</v>
      </c>
      <c r="BM427">
        <v>0</v>
      </c>
      <c r="BN427">
        <v>0</v>
      </c>
      <c r="BO427">
        <v>169</v>
      </c>
      <c r="BP427">
        <v>11</v>
      </c>
      <c r="BQ427">
        <v>1</v>
      </c>
      <c r="BR427" t="s">
        <v>7364</v>
      </c>
      <c r="BS427" t="s">
        <v>7365</v>
      </c>
      <c r="BT427" t="s">
        <v>7360</v>
      </c>
      <c r="BU427" t="s">
        <v>7360</v>
      </c>
      <c r="BV427" t="s">
        <v>7360</v>
      </c>
      <c r="BX427">
        <v>0</v>
      </c>
      <c r="BY427">
        <v>0</v>
      </c>
      <c r="BZ427" t="s">
        <v>7360</v>
      </c>
      <c r="CA427" t="s">
        <v>7360</v>
      </c>
      <c r="CB427">
        <v>3380666</v>
      </c>
      <c r="CC427" s="21">
        <v>44979.744131944448</v>
      </c>
      <c r="CE427" t="s">
        <v>7366</v>
      </c>
      <c r="CF427">
        <v>0</v>
      </c>
      <c r="CG427">
        <v>702002</v>
      </c>
      <c r="CH427">
        <v>702002</v>
      </c>
      <c r="CI427" s="21">
        <v>44979.746747685182</v>
      </c>
      <c r="CJ427" t="s">
        <v>7367</v>
      </c>
      <c r="CK427" t="s">
        <v>7367</v>
      </c>
      <c r="CL427" t="s">
        <v>7368</v>
      </c>
      <c r="CM427" t="s">
        <v>7368</v>
      </c>
      <c r="CS427" t="s">
        <v>7361</v>
      </c>
      <c r="CT427" t="s">
        <v>7362</v>
      </c>
      <c r="CU427" t="s">
        <v>7362</v>
      </c>
      <c r="CV427" t="s">
        <v>7362</v>
      </c>
      <c r="CW427" t="s">
        <v>7362</v>
      </c>
      <c r="CX427">
        <v>28941847</v>
      </c>
      <c r="DA427">
        <v>0</v>
      </c>
    </row>
    <row r="428" spans="1:105" x14ac:dyDescent="0.3">
      <c r="A428">
        <v>1357</v>
      </c>
      <c r="B428" t="s">
        <v>7405</v>
      </c>
      <c r="C428">
        <v>454</v>
      </c>
      <c r="D428" s="20">
        <v>44992</v>
      </c>
      <c r="E428" t="s">
        <v>7372</v>
      </c>
      <c r="F428" t="s">
        <v>5298</v>
      </c>
      <c r="G428" t="s">
        <v>7357</v>
      </c>
      <c r="H428">
        <v>1</v>
      </c>
      <c r="I428" t="s">
        <v>7358</v>
      </c>
      <c r="J428">
        <v>1</v>
      </c>
      <c r="K428" s="20">
        <v>44979</v>
      </c>
      <c r="L428" s="23">
        <v>636650</v>
      </c>
      <c r="M428" t="s">
        <v>7359</v>
      </c>
      <c r="N428" t="s">
        <v>7360</v>
      </c>
      <c r="O428">
        <v>0</v>
      </c>
      <c r="P428">
        <v>12698</v>
      </c>
      <c r="Q428">
        <v>449057</v>
      </c>
      <c r="R428">
        <v>0</v>
      </c>
      <c r="S428">
        <v>20230307</v>
      </c>
      <c r="T428">
        <v>0</v>
      </c>
      <c r="U428" t="s">
        <v>7362</v>
      </c>
      <c r="V428" t="s">
        <v>7360</v>
      </c>
      <c r="W428" t="s">
        <v>7360</v>
      </c>
      <c r="X428" t="s">
        <v>7360</v>
      </c>
      <c r="Y428" t="s">
        <v>7360</v>
      </c>
      <c r="Z428" t="s">
        <v>7360</v>
      </c>
      <c r="AA428" t="s">
        <v>7362</v>
      </c>
      <c r="AB428" t="s">
        <v>7360</v>
      </c>
      <c r="AC428" t="s">
        <v>7360</v>
      </c>
      <c r="AD428" t="s">
        <v>7360</v>
      </c>
      <c r="AE428" t="s">
        <v>7360</v>
      </c>
      <c r="AF428" t="s">
        <v>1684</v>
      </c>
      <c r="AG428">
        <v>0</v>
      </c>
      <c r="AH428">
        <v>0</v>
      </c>
      <c r="AI428">
        <v>0</v>
      </c>
      <c r="AJ428">
        <v>0</v>
      </c>
      <c r="AK428">
        <v>0</v>
      </c>
      <c r="AL428" t="s">
        <v>7360</v>
      </c>
      <c r="AM428">
        <v>0</v>
      </c>
      <c r="AN428" s="20">
        <v>44979</v>
      </c>
      <c r="AO428" s="20">
        <v>44979</v>
      </c>
      <c r="AP428" s="20">
        <v>44979</v>
      </c>
      <c r="AQ428">
        <v>0</v>
      </c>
      <c r="AR428">
        <v>0</v>
      </c>
      <c r="AS428">
        <v>0</v>
      </c>
      <c r="AT428">
        <v>0</v>
      </c>
      <c r="AU428">
        <v>0</v>
      </c>
      <c r="AV428" t="s">
        <v>7360</v>
      </c>
      <c r="AW428">
        <v>0</v>
      </c>
      <c r="AX428" t="s">
        <v>7360</v>
      </c>
      <c r="AY428" t="s">
        <v>7362</v>
      </c>
      <c r="BA428">
        <v>0</v>
      </c>
      <c r="BB428" s="20">
        <v>44979</v>
      </c>
      <c r="BC428">
        <v>0</v>
      </c>
      <c r="BD428" t="s">
        <v>7360</v>
      </c>
      <c r="BF428" s="20">
        <v>44979</v>
      </c>
      <c r="BG428">
        <v>0</v>
      </c>
      <c r="BH428" t="s">
        <v>1684</v>
      </c>
      <c r="BJ428" t="s">
        <v>7362</v>
      </c>
      <c r="BK428">
        <v>0</v>
      </c>
      <c r="BL428">
        <v>0</v>
      </c>
      <c r="BM428">
        <v>0</v>
      </c>
      <c r="BN428">
        <v>0</v>
      </c>
      <c r="BO428">
        <v>169</v>
      </c>
      <c r="BP428">
        <v>11</v>
      </c>
      <c r="BQ428">
        <v>1</v>
      </c>
      <c r="BR428" t="s">
        <v>7364</v>
      </c>
      <c r="BS428" t="s">
        <v>7382</v>
      </c>
      <c r="BT428" t="s">
        <v>7360</v>
      </c>
      <c r="BU428" t="s">
        <v>7360</v>
      </c>
      <c r="BV428" t="s">
        <v>7360</v>
      </c>
      <c r="BX428">
        <v>0</v>
      </c>
      <c r="BY428">
        <v>0</v>
      </c>
      <c r="BZ428" t="s">
        <v>7360</v>
      </c>
      <c r="CA428" t="s">
        <v>7360</v>
      </c>
      <c r="CB428">
        <v>3380666</v>
      </c>
      <c r="CC428" s="21">
        <v>44979.751354166663</v>
      </c>
      <c r="CE428" t="s">
        <v>7366</v>
      </c>
      <c r="CF428">
        <v>0</v>
      </c>
      <c r="CG428">
        <v>702002</v>
      </c>
      <c r="CH428">
        <v>702002</v>
      </c>
      <c r="CI428" s="21">
        <v>44995.419479166667</v>
      </c>
      <c r="CJ428" t="s">
        <v>7367</v>
      </c>
      <c r="CK428" t="s">
        <v>7367</v>
      </c>
      <c r="CL428" t="s">
        <v>7368</v>
      </c>
      <c r="CM428" t="s">
        <v>7368</v>
      </c>
      <c r="CS428" t="s">
        <v>7361</v>
      </c>
      <c r="CT428" t="s">
        <v>7362</v>
      </c>
      <c r="CU428" t="s">
        <v>7362</v>
      </c>
      <c r="CV428" t="s">
        <v>7362</v>
      </c>
      <c r="CW428" t="s">
        <v>7362</v>
      </c>
      <c r="CX428">
        <v>636650</v>
      </c>
      <c r="DA428">
        <v>0</v>
      </c>
    </row>
    <row r="429" spans="1:105" x14ac:dyDescent="0.3">
      <c r="A429">
        <v>1366</v>
      </c>
      <c r="B429" t="s">
        <v>7380</v>
      </c>
      <c r="C429">
        <v>455</v>
      </c>
      <c r="D429" s="20">
        <v>44979</v>
      </c>
      <c r="E429" t="s">
        <v>7372</v>
      </c>
      <c r="F429" t="s">
        <v>5246</v>
      </c>
      <c r="G429" t="s">
        <v>7381</v>
      </c>
      <c r="H429">
        <v>1</v>
      </c>
      <c r="I429" t="s">
        <v>7358</v>
      </c>
      <c r="J429">
        <v>1</v>
      </c>
      <c r="K429" s="20">
        <v>44979</v>
      </c>
      <c r="L429" s="23">
        <v>600000</v>
      </c>
      <c r="M429" t="s">
        <v>7359</v>
      </c>
      <c r="N429" t="s">
        <v>7360</v>
      </c>
      <c r="O429">
        <v>0</v>
      </c>
      <c r="P429">
        <v>12709</v>
      </c>
      <c r="Q429">
        <v>449061</v>
      </c>
      <c r="R429">
        <v>0</v>
      </c>
      <c r="S429">
        <v>20230222</v>
      </c>
      <c r="T429">
        <v>0</v>
      </c>
      <c r="U429" t="s">
        <v>7362</v>
      </c>
      <c r="V429" t="s">
        <v>7360</v>
      </c>
      <c r="W429" t="s">
        <v>7360</v>
      </c>
      <c r="X429" t="s">
        <v>7360</v>
      </c>
      <c r="Y429" t="s">
        <v>7360</v>
      </c>
      <c r="Z429" t="s">
        <v>7360</v>
      </c>
      <c r="AA429" t="s">
        <v>7362</v>
      </c>
      <c r="AB429" t="s">
        <v>7360</v>
      </c>
      <c r="AC429" t="s">
        <v>7360</v>
      </c>
      <c r="AD429" t="s">
        <v>7360</v>
      </c>
      <c r="AE429" t="s">
        <v>7360</v>
      </c>
      <c r="AF429" t="s">
        <v>1684</v>
      </c>
      <c r="AG429">
        <v>0</v>
      </c>
      <c r="AH429">
        <v>0</v>
      </c>
      <c r="AI429">
        <v>0</v>
      </c>
      <c r="AJ429">
        <v>0</v>
      </c>
      <c r="AK429">
        <v>0</v>
      </c>
      <c r="AL429" t="s">
        <v>7360</v>
      </c>
      <c r="AM429">
        <v>0</v>
      </c>
      <c r="AN429" s="20">
        <v>44979</v>
      </c>
      <c r="AO429" s="20">
        <v>44979</v>
      </c>
      <c r="AP429" s="20">
        <v>44979</v>
      </c>
      <c r="AQ429">
        <v>0</v>
      </c>
      <c r="AR429">
        <v>0</v>
      </c>
      <c r="AS429">
        <v>0</v>
      </c>
      <c r="AT429">
        <v>0</v>
      </c>
      <c r="AU429">
        <v>0</v>
      </c>
      <c r="AV429" t="s">
        <v>7360</v>
      </c>
      <c r="AW429">
        <v>0</v>
      </c>
      <c r="AX429" t="s">
        <v>7360</v>
      </c>
      <c r="AY429" t="s">
        <v>7373</v>
      </c>
      <c r="BA429">
        <v>0</v>
      </c>
      <c r="BB429" s="20">
        <v>44979</v>
      </c>
      <c r="BC429">
        <v>0</v>
      </c>
      <c r="BD429" t="s">
        <v>7360</v>
      </c>
      <c r="BF429" s="20">
        <v>44979</v>
      </c>
      <c r="BG429">
        <v>0</v>
      </c>
      <c r="BH429" t="s">
        <v>7363</v>
      </c>
      <c r="BJ429" t="s">
        <v>7362</v>
      </c>
      <c r="BK429">
        <v>0</v>
      </c>
      <c r="BL429">
        <v>0</v>
      </c>
      <c r="BM429">
        <v>0</v>
      </c>
      <c r="BN429">
        <v>0</v>
      </c>
      <c r="BO429">
        <v>169</v>
      </c>
      <c r="BP429">
        <v>11</v>
      </c>
      <c r="BQ429">
        <v>1</v>
      </c>
      <c r="BR429" t="s">
        <v>7364</v>
      </c>
      <c r="BS429" t="s">
        <v>7365</v>
      </c>
      <c r="BT429" t="s">
        <v>7360</v>
      </c>
      <c r="BU429" t="s">
        <v>7360</v>
      </c>
      <c r="BV429" t="s">
        <v>7360</v>
      </c>
      <c r="BX429">
        <v>0</v>
      </c>
      <c r="BY429">
        <v>0</v>
      </c>
      <c r="BZ429" t="s">
        <v>7360</v>
      </c>
      <c r="CA429" t="s">
        <v>7360</v>
      </c>
      <c r="CB429">
        <v>3380666</v>
      </c>
      <c r="CC429" s="21">
        <v>44979.774895833332</v>
      </c>
      <c r="CE429" t="s">
        <v>7366</v>
      </c>
      <c r="CF429">
        <v>0</v>
      </c>
      <c r="CG429">
        <v>702002</v>
      </c>
      <c r="CH429">
        <v>702002</v>
      </c>
      <c r="CI429" s="21">
        <v>44980.452824074076</v>
      </c>
      <c r="CJ429" t="s">
        <v>7367</v>
      </c>
      <c r="CK429" t="s">
        <v>7367</v>
      </c>
      <c r="CL429" t="s">
        <v>7368</v>
      </c>
      <c r="CM429" t="s">
        <v>7368</v>
      </c>
      <c r="CS429" t="s">
        <v>7361</v>
      </c>
      <c r="CT429" t="s">
        <v>7362</v>
      </c>
      <c r="CU429" t="s">
        <v>7362</v>
      </c>
      <c r="CV429" t="s">
        <v>7362</v>
      </c>
      <c r="CW429" t="s">
        <v>7362</v>
      </c>
      <c r="CX429">
        <v>600000</v>
      </c>
      <c r="DA429">
        <v>0</v>
      </c>
    </row>
    <row r="430" spans="1:105" x14ac:dyDescent="0.3">
      <c r="A430">
        <v>1364</v>
      </c>
      <c r="B430" t="s">
        <v>7355</v>
      </c>
      <c r="C430">
        <v>456</v>
      </c>
      <c r="D430" s="20">
        <v>44979</v>
      </c>
      <c r="E430" t="s">
        <v>7372</v>
      </c>
      <c r="F430" t="s">
        <v>5918</v>
      </c>
      <c r="G430" t="s">
        <v>7357</v>
      </c>
      <c r="H430">
        <v>1</v>
      </c>
      <c r="I430" t="s">
        <v>7358</v>
      </c>
      <c r="J430">
        <v>1</v>
      </c>
      <c r="K430" s="20">
        <v>44979</v>
      </c>
      <c r="L430" s="23">
        <v>1031730</v>
      </c>
      <c r="M430" t="s">
        <v>7359</v>
      </c>
      <c r="N430" t="s">
        <v>7360</v>
      </c>
      <c r="O430">
        <v>0</v>
      </c>
      <c r="P430">
        <v>12711</v>
      </c>
      <c r="Q430">
        <v>449062</v>
      </c>
      <c r="R430">
        <v>0</v>
      </c>
      <c r="S430">
        <v>20230222</v>
      </c>
      <c r="T430">
        <v>0</v>
      </c>
      <c r="U430" t="s">
        <v>7362</v>
      </c>
      <c r="V430" t="s">
        <v>7360</v>
      </c>
      <c r="W430" t="s">
        <v>7360</v>
      </c>
      <c r="X430" t="s">
        <v>7360</v>
      </c>
      <c r="Y430" t="s">
        <v>7360</v>
      </c>
      <c r="Z430" t="s">
        <v>7360</v>
      </c>
      <c r="AA430" t="s">
        <v>7362</v>
      </c>
      <c r="AB430" t="s">
        <v>7360</v>
      </c>
      <c r="AC430" t="s">
        <v>7360</v>
      </c>
      <c r="AD430" t="s">
        <v>7360</v>
      </c>
      <c r="AE430" t="s">
        <v>7360</v>
      </c>
      <c r="AF430" t="s">
        <v>1684</v>
      </c>
      <c r="AG430">
        <v>0</v>
      </c>
      <c r="AH430">
        <v>0</v>
      </c>
      <c r="AI430">
        <v>0</v>
      </c>
      <c r="AJ430">
        <v>0</v>
      </c>
      <c r="AK430">
        <v>0</v>
      </c>
      <c r="AL430" t="s">
        <v>7360</v>
      </c>
      <c r="AM430">
        <v>0</v>
      </c>
      <c r="AN430" s="20">
        <v>44979</v>
      </c>
      <c r="AO430" s="20">
        <v>44979</v>
      </c>
      <c r="AP430" s="20">
        <v>44979</v>
      </c>
      <c r="AQ430">
        <v>0</v>
      </c>
      <c r="AR430">
        <v>0</v>
      </c>
      <c r="AS430">
        <v>0</v>
      </c>
      <c r="AT430">
        <v>0</v>
      </c>
      <c r="AU430">
        <v>0</v>
      </c>
      <c r="AV430" t="s">
        <v>7360</v>
      </c>
      <c r="AW430">
        <v>0</v>
      </c>
      <c r="AX430" t="s">
        <v>7360</v>
      </c>
      <c r="AY430" t="s">
        <v>7362</v>
      </c>
      <c r="BA430">
        <v>0</v>
      </c>
      <c r="BB430" s="20">
        <v>44979</v>
      </c>
      <c r="BC430">
        <v>0</v>
      </c>
      <c r="BD430" t="s">
        <v>7360</v>
      </c>
      <c r="BF430" s="20">
        <v>44979</v>
      </c>
      <c r="BG430">
        <v>0</v>
      </c>
      <c r="BH430" t="s">
        <v>7363</v>
      </c>
      <c r="BJ430" t="s">
        <v>7362</v>
      </c>
      <c r="BK430">
        <v>0</v>
      </c>
      <c r="BL430">
        <v>0</v>
      </c>
      <c r="BM430">
        <v>0</v>
      </c>
      <c r="BN430">
        <v>0</v>
      </c>
      <c r="BO430">
        <v>169</v>
      </c>
      <c r="BP430">
        <v>11</v>
      </c>
      <c r="BQ430">
        <v>1</v>
      </c>
      <c r="BR430" t="s">
        <v>7364</v>
      </c>
      <c r="BS430" t="s">
        <v>7365</v>
      </c>
      <c r="BT430" t="s">
        <v>7360</v>
      </c>
      <c r="BU430" t="s">
        <v>7360</v>
      </c>
      <c r="BV430" t="s">
        <v>7360</v>
      </c>
      <c r="BX430">
        <v>0</v>
      </c>
      <c r="BY430">
        <v>0</v>
      </c>
      <c r="BZ430" t="s">
        <v>7360</v>
      </c>
      <c r="CA430" t="s">
        <v>7360</v>
      </c>
      <c r="CB430">
        <v>3380666</v>
      </c>
      <c r="CC430" s="21">
        <v>44979.787476851852</v>
      </c>
      <c r="CE430" t="s">
        <v>7366</v>
      </c>
      <c r="CF430">
        <v>0</v>
      </c>
      <c r="CG430">
        <v>702002</v>
      </c>
      <c r="CH430">
        <v>702002</v>
      </c>
      <c r="CI430" s="21">
        <v>44979.789699074077</v>
      </c>
      <c r="CJ430" t="s">
        <v>7367</v>
      </c>
      <c r="CK430" t="s">
        <v>7367</v>
      </c>
      <c r="CL430" t="s">
        <v>7368</v>
      </c>
      <c r="CM430" t="s">
        <v>7368</v>
      </c>
      <c r="CS430" t="s">
        <v>7361</v>
      </c>
      <c r="CT430" t="s">
        <v>7362</v>
      </c>
      <c r="CU430" t="s">
        <v>7362</v>
      </c>
      <c r="CV430" t="s">
        <v>7362</v>
      </c>
      <c r="CW430" t="s">
        <v>7362</v>
      </c>
      <c r="CX430">
        <v>1031730</v>
      </c>
      <c r="DA430">
        <v>0</v>
      </c>
    </row>
    <row r="431" spans="1:105" x14ac:dyDescent="0.3">
      <c r="A431">
        <v>1359</v>
      </c>
      <c r="B431" t="s">
        <v>7425</v>
      </c>
      <c r="C431">
        <v>457</v>
      </c>
      <c r="D431" s="20">
        <v>44979</v>
      </c>
      <c r="E431" t="s">
        <v>7356</v>
      </c>
      <c r="F431" t="s">
        <v>5924</v>
      </c>
      <c r="G431" t="s">
        <v>7357</v>
      </c>
      <c r="H431">
        <v>1</v>
      </c>
      <c r="I431" t="s">
        <v>7358</v>
      </c>
      <c r="J431">
        <v>1</v>
      </c>
      <c r="K431" s="20">
        <v>44979</v>
      </c>
      <c r="L431" s="23">
        <v>857203</v>
      </c>
      <c r="M431" t="s">
        <v>7359</v>
      </c>
      <c r="N431" t="s">
        <v>7360</v>
      </c>
      <c r="O431">
        <v>0</v>
      </c>
      <c r="P431">
        <v>12642</v>
      </c>
      <c r="Q431">
        <v>449009</v>
      </c>
      <c r="R431">
        <v>0</v>
      </c>
      <c r="S431">
        <v>20230222</v>
      </c>
      <c r="T431">
        <v>0</v>
      </c>
      <c r="U431" t="s">
        <v>7361</v>
      </c>
      <c r="V431" t="s">
        <v>7360</v>
      </c>
      <c r="W431" t="s">
        <v>7360</v>
      </c>
      <c r="X431" t="s">
        <v>7360</v>
      </c>
      <c r="Y431" t="s">
        <v>7360</v>
      </c>
      <c r="Z431" t="s">
        <v>7360</v>
      </c>
      <c r="AA431" t="s">
        <v>7362</v>
      </c>
      <c r="AB431" t="s">
        <v>7360</v>
      </c>
      <c r="AC431" t="s">
        <v>7360</v>
      </c>
      <c r="AD431" t="s">
        <v>7360</v>
      </c>
      <c r="AE431" t="s">
        <v>7360</v>
      </c>
      <c r="AF431" t="s">
        <v>1684</v>
      </c>
      <c r="AG431">
        <v>0</v>
      </c>
      <c r="AH431">
        <v>0</v>
      </c>
      <c r="AI431">
        <v>0</v>
      </c>
      <c r="AJ431">
        <v>0</v>
      </c>
      <c r="AK431">
        <v>0</v>
      </c>
      <c r="AL431" t="s">
        <v>7360</v>
      </c>
      <c r="AM431">
        <v>0</v>
      </c>
      <c r="AN431" s="20">
        <v>44979</v>
      </c>
      <c r="AO431" s="20">
        <v>44979</v>
      </c>
      <c r="AP431" s="20">
        <v>44979</v>
      </c>
      <c r="AQ431">
        <v>0</v>
      </c>
      <c r="AR431">
        <v>0</v>
      </c>
      <c r="AS431">
        <v>0</v>
      </c>
      <c r="AT431">
        <v>0</v>
      </c>
      <c r="AU431">
        <v>0</v>
      </c>
      <c r="AV431" t="s">
        <v>7360</v>
      </c>
      <c r="AW431">
        <v>0</v>
      </c>
      <c r="AX431" t="s">
        <v>7360</v>
      </c>
      <c r="AY431" t="s">
        <v>7363</v>
      </c>
      <c r="BA431">
        <v>0</v>
      </c>
      <c r="BB431" s="20">
        <v>44979</v>
      </c>
      <c r="BC431">
        <v>0</v>
      </c>
      <c r="BD431" t="s">
        <v>7360</v>
      </c>
      <c r="BF431" s="20">
        <v>44979</v>
      </c>
      <c r="BG431">
        <v>0</v>
      </c>
      <c r="BH431" t="s">
        <v>7363</v>
      </c>
      <c r="BJ431" t="s">
        <v>7362</v>
      </c>
      <c r="BK431">
        <v>0</v>
      </c>
      <c r="BL431">
        <v>0</v>
      </c>
      <c r="BM431">
        <v>0</v>
      </c>
      <c r="BN431">
        <v>0</v>
      </c>
      <c r="BO431">
        <v>169</v>
      </c>
      <c r="BP431">
        <v>11</v>
      </c>
      <c r="BQ431">
        <v>1</v>
      </c>
      <c r="BR431" t="s">
        <v>7364</v>
      </c>
      <c r="BS431" t="s">
        <v>7386</v>
      </c>
      <c r="BT431" t="s">
        <v>7360</v>
      </c>
      <c r="BU431" t="s">
        <v>7360</v>
      </c>
      <c r="BV431" t="s">
        <v>7360</v>
      </c>
      <c r="BX431">
        <v>0</v>
      </c>
      <c r="BY431">
        <v>0</v>
      </c>
      <c r="BZ431" t="s">
        <v>7360</v>
      </c>
      <c r="CA431" t="s">
        <v>7360</v>
      </c>
      <c r="CB431">
        <v>3380666</v>
      </c>
      <c r="CC431" s="21">
        <v>44979.795555555553</v>
      </c>
      <c r="CE431" t="s">
        <v>7366</v>
      </c>
      <c r="CF431">
        <v>0</v>
      </c>
      <c r="CG431">
        <v>702002</v>
      </c>
      <c r="CH431">
        <v>702002</v>
      </c>
      <c r="CI431" s="21">
        <v>44979.797013888892</v>
      </c>
      <c r="CJ431" t="s">
        <v>7367</v>
      </c>
      <c r="CK431" t="s">
        <v>7367</v>
      </c>
      <c r="CL431" t="s">
        <v>7368</v>
      </c>
      <c r="CM431" t="s">
        <v>7368</v>
      </c>
      <c r="CS431" t="s">
        <v>7361</v>
      </c>
      <c r="CT431" t="s">
        <v>7362</v>
      </c>
      <c r="CU431" t="s">
        <v>7362</v>
      </c>
      <c r="CV431" t="s">
        <v>7362</v>
      </c>
      <c r="CW431" t="s">
        <v>7362</v>
      </c>
      <c r="CX431">
        <v>857203</v>
      </c>
      <c r="DA431">
        <v>0</v>
      </c>
    </row>
    <row r="432" spans="1:105" x14ac:dyDescent="0.3">
      <c r="A432">
        <v>1357</v>
      </c>
      <c r="B432" t="s">
        <v>7405</v>
      </c>
      <c r="C432">
        <v>458</v>
      </c>
      <c r="D432" s="20">
        <v>44979</v>
      </c>
      <c r="E432" t="s">
        <v>7372</v>
      </c>
      <c r="F432" t="s">
        <v>5929</v>
      </c>
      <c r="G432" t="s">
        <v>7357</v>
      </c>
      <c r="H432">
        <v>1</v>
      </c>
      <c r="I432" t="s">
        <v>7358</v>
      </c>
      <c r="J432">
        <v>1</v>
      </c>
      <c r="K432" s="20">
        <v>44979</v>
      </c>
      <c r="L432" s="23">
        <v>355461</v>
      </c>
      <c r="M432" t="s">
        <v>7359</v>
      </c>
      <c r="N432" t="s">
        <v>7360</v>
      </c>
      <c r="O432">
        <v>0</v>
      </c>
      <c r="P432">
        <v>12692</v>
      </c>
      <c r="Q432">
        <v>449052</v>
      </c>
      <c r="R432">
        <v>0</v>
      </c>
      <c r="S432">
        <v>20230222</v>
      </c>
      <c r="T432">
        <v>0</v>
      </c>
      <c r="U432" t="s">
        <v>7362</v>
      </c>
      <c r="V432" t="s">
        <v>7360</v>
      </c>
      <c r="W432" t="s">
        <v>7360</v>
      </c>
      <c r="X432" t="s">
        <v>7360</v>
      </c>
      <c r="Y432" t="s">
        <v>7360</v>
      </c>
      <c r="Z432" t="s">
        <v>7360</v>
      </c>
      <c r="AA432" t="s">
        <v>7362</v>
      </c>
      <c r="AB432" t="s">
        <v>7360</v>
      </c>
      <c r="AC432" t="s">
        <v>7360</v>
      </c>
      <c r="AD432" t="s">
        <v>7360</v>
      </c>
      <c r="AE432" t="s">
        <v>7360</v>
      </c>
      <c r="AF432" t="s">
        <v>1684</v>
      </c>
      <c r="AG432">
        <v>0</v>
      </c>
      <c r="AH432">
        <v>0</v>
      </c>
      <c r="AI432">
        <v>0</v>
      </c>
      <c r="AJ432">
        <v>0</v>
      </c>
      <c r="AK432">
        <v>0</v>
      </c>
      <c r="AL432" t="s">
        <v>7360</v>
      </c>
      <c r="AM432">
        <v>0</v>
      </c>
      <c r="AN432" s="20">
        <v>44979</v>
      </c>
      <c r="AO432" s="20">
        <v>44979</v>
      </c>
      <c r="AP432" s="20">
        <v>44979</v>
      </c>
      <c r="AQ432">
        <v>0</v>
      </c>
      <c r="AR432">
        <v>0</v>
      </c>
      <c r="AS432">
        <v>0</v>
      </c>
      <c r="AT432">
        <v>0</v>
      </c>
      <c r="AU432">
        <v>0</v>
      </c>
      <c r="AV432" t="s">
        <v>7360</v>
      </c>
      <c r="AW432">
        <v>0</v>
      </c>
      <c r="AX432" t="s">
        <v>7360</v>
      </c>
      <c r="AY432" t="s">
        <v>7362</v>
      </c>
      <c r="BA432">
        <v>0</v>
      </c>
      <c r="BB432" s="20">
        <v>44979</v>
      </c>
      <c r="BC432">
        <v>0</v>
      </c>
      <c r="BD432" t="s">
        <v>7360</v>
      </c>
      <c r="BF432" s="20">
        <v>44979</v>
      </c>
      <c r="BG432">
        <v>0</v>
      </c>
      <c r="BH432" t="s">
        <v>1684</v>
      </c>
      <c r="BJ432" t="s">
        <v>7362</v>
      </c>
      <c r="BK432">
        <v>0</v>
      </c>
      <c r="BL432">
        <v>0</v>
      </c>
      <c r="BM432">
        <v>0</v>
      </c>
      <c r="BN432">
        <v>0</v>
      </c>
      <c r="BO432">
        <v>169</v>
      </c>
      <c r="BP432">
        <v>11</v>
      </c>
      <c r="BQ432">
        <v>1</v>
      </c>
      <c r="BR432" t="s">
        <v>7364</v>
      </c>
      <c r="BS432" t="s">
        <v>7382</v>
      </c>
      <c r="BT432" t="s">
        <v>7360</v>
      </c>
      <c r="BU432" t="s">
        <v>7360</v>
      </c>
      <c r="BV432" t="s">
        <v>7360</v>
      </c>
      <c r="BX432">
        <v>0</v>
      </c>
      <c r="BY432">
        <v>0</v>
      </c>
      <c r="BZ432" t="s">
        <v>7360</v>
      </c>
      <c r="CA432" t="s">
        <v>7360</v>
      </c>
      <c r="CB432">
        <v>3380666</v>
      </c>
      <c r="CC432" s="21">
        <v>44979.803194444445</v>
      </c>
      <c r="CE432" t="s">
        <v>7366</v>
      </c>
      <c r="CF432">
        <v>0</v>
      </c>
      <c r="CG432">
        <v>702002</v>
      </c>
      <c r="CH432">
        <v>702002</v>
      </c>
      <c r="CI432" s="21">
        <v>44979.805</v>
      </c>
      <c r="CJ432" t="s">
        <v>7367</v>
      </c>
      <c r="CK432" t="s">
        <v>7367</v>
      </c>
      <c r="CL432" t="s">
        <v>7368</v>
      </c>
      <c r="CM432" t="s">
        <v>7368</v>
      </c>
      <c r="CS432" t="s">
        <v>7361</v>
      </c>
      <c r="CT432" t="s">
        <v>7362</v>
      </c>
      <c r="CU432" t="s">
        <v>7362</v>
      </c>
      <c r="CV432" t="s">
        <v>7362</v>
      </c>
      <c r="CW432" t="s">
        <v>7362</v>
      </c>
      <c r="CX432">
        <v>355461</v>
      </c>
      <c r="DA432">
        <v>0</v>
      </c>
    </row>
    <row r="433" spans="1:106" x14ac:dyDescent="0.3">
      <c r="A433">
        <v>1357</v>
      </c>
      <c r="B433" t="s">
        <v>7405</v>
      </c>
      <c r="C433">
        <v>459</v>
      </c>
      <c r="D433" s="20">
        <v>44979</v>
      </c>
      <c r="E433" t="s">
        <v>7372</v>
      </c>
      <c r="F433" t="s">
        <v>5934</v>
      </c>
      <c r="G433" t="s">
        <v>7357</v>
      </c>
      <c r="H433">
        <v>1</v>
      </c>
      <c r="I433" t="s">
        <v>7358</v>
      </c>
      <c r="J433">
        <v>1</v>
      </c>
      <c r="K433" s="20">
        <v>44979</v>
      </c>
      <c r="L433" s="23">
        <v>1846484</v>
      </c>
      <c r="M433" t="s">
        <v>7359</v>
      </c>
      <c r="N433" t="s">
        <v>7360</v>
      </c>
      <c r="O433">
        <v>0</v>
      </c>
      <c r="P433">
        <v>12695</v>
      </c>
      <c r="Q433">
        <v>449053</v>
      </c>
      <c r="R433">
        <v>0</v>
      </c>
      <c r="S433">
        <v>20230222</v>
      </c>
      <c r="T433">
        <v>0</v>
      </c>
      <c r="U433" t="s">
        <v>7362</v>
      </c>
      <c r="V433" t="s">
        <v>7360</v>
      </c>
      <c r="W433" t="s">
        <v>7360</v>
      </c>
      <c r="X433" t="s">
        <v>7360</v>
      </c>
      <c r="Y433" t="s">
        <v>7360</v>
      </c>
      <c r="Z433" t="s">
        <v>7360</v>
      </c>
      <c r="AA433" t="s">
        <v>7362</v>
      </c>
      <c r="AB433" t="s">
        <v>7360</v>
      </c>
      <c r="AC433" t="s">
        <v>7360</v>
      </c>
      <c r="AD433" t="s">
        <v>7360</v>
      </c>
      <c r="AE433" t="s">
        <v>7360</v>
      </c>
      <c r="AF433" t="s">
        <v>1684</v>
      </c>
      <c r="AG433">
        <v>0</v>
      </c>
      <c r="AH433">
        <v>0</v>
      </c>
      <c r="AI433">
        <v>0</v>
      </c>
      <c r="AJ433">
        <v>0</v>
      </c>
      <c r="AK433">
        <v>0</v>
      </c>
      <c r="AL433" t="s">
        <v>7360</v>
      </c>
      <c r="AM433">
        <v>0</v>
      </c>
      <c r="AN433" s="20">
        <v>44979</v>
      </c>
      <c r="AO433" s="20">
        <v>44979</v>
      </c>
      <c r="AP433" s="20">
        <v>44979</v>
      </c>
      <c r="AQ433">
        <v>0</v>
      </c>
      <c r="AR433">
        <v>0</v>
      </c>
      <c r="AS433">
        <v>0</v>
      </c>
      <c r="AT433">
        <v>0</v>
      </c>
      <c r="AU433">
        <v>0</v>
      </c>
      <c r="AV433" t="s">
        <v>7360</v>
      </c>
      <c r="AW433">
        <v>0</v>
      </c>
      <c r="AX433" t="s">
        <v>7360</v>
      </c>
      <c r="AY433" t="s">
        <v>7362</v>
      </c>
      <c r="BA433">
        <v>0</v>
      </c>
      <c r="BB433" s="20">
        <v>44979</v>
      </c>
      <c r="BC433">
        <v>0</v>
      </c>
      <c r="BD433" t="s">
        <v>7360</v>
      </c>
      <c r="BF433" s="20">
        <v>44979</v>
      </c>
      <c r="BG433">
        <v>0</v>
      </c>
      <c r="BH433" t="s">
        <v>1684</v>
      </c>
      <c r="BJ433" t="s">
        <v>7362</v>
      </c>
      <c r="BK433">
        <v>0</v>
      </c>
      <c r="BL433">
        <v>0</v>
      </c>
      <c r="BM433">
        <v>0</v>
      </c>
      <c r="BN433">
        <v>0</v>
      </c>
      <c r="BO433">
        <v>169</v>
      </c>
      <c r="BP433">
        <v>11</v>
      </c>
      <c r="BQ433">
        <v>1</v>
      </c>
      <c r="BR433" t="s">
        <v>7364</v>
      </c>
      <c r="BS433" t="s">
        <v>7382</v>
      </c>
      <c r="BT433" t="s">
        <v>7360</v>
      </c>
      <c r="BU433" t="s">
        <v>7360</v>
      </c>
      <c r="BV433" t="s">
        <v>7360</v>
      </c>
      <c r="BX433">
        <v>0</v>
      </c>
      <c r="BY433">
        <v>0</v>
      </c>
      <c r="BZ433" t="s">
        <v>7360</v>
      </c>
      <c r="CA433" t="s">
        <v>7360</v>
      </c>
      <c r="CB433">
        <v>3380666</v>
      </c>
      <c r="CC433" s="21">
        <v>44979.809340277781</v>
      </c>
      <c r="CE433" t="s">
        <v>7366</v>
      </c>
      <c r="CF433">
        <v>0</v>
      </c>
      <c r="CG433">
        <v>702002</v>
      </c>
      <c r="CH433">
        <v>702002</v>
      </c>
      <c r="CI433" s="21">
        <v>44979.811759259261</v>
      </c>
      <c r="CJ433" t="s">
        <v>7367</v>
      </c>
      <c r="CK433" t="s">
        <v>7367</v>
      </c>
      <c r="CL433" t="s">
        <v>7368</v>
      </c>
      <c r="CM433" t="s">
        <v>7368</v>
      </c>
      <c r="CS433" t="s">
        <v>7361</v>
      </c>
      <c r="CT433" t="s">
        <v>7362</v>
      </c>
      <c r="CU433" t="s">
        <v>7362</v>
      </c>
      <c r="CV433" t="s">
        <v>7362</v>
      </c>
      <c r="CW433" t="s">
        <v>7362</v>
      </c>
      <c r="CX433">
        <v>1846484</v>
      </c>
      <c r="DA433">
        <v>0</v>
      </c>
    </row>
    <row r="434" spans="1:106" x14ac:dyDescent="0.3">
      <c r="A434">
        <v>1357</v>
      </c>
      <c r="B434" t="s">
        <v>7405</v>
      </c>
      <c r="C434">
        <v>460</v>
      </c>
      <c r="D434" s="20">
        <v>44979</v>
      </c>
      <c r="E434" t="s">
        <v>7356</v>
      </c>
      <c r="F434" t="s">
        <v>5940</v>
      </c>
      <c r="G434" t="s">
        <v>7357</v>
      </c>
      <c r="H434">
        <v>1</v>
      </c>
      <c r="I434" t="s">
        <v>7358</v>
      </c>
      <c r="J434">
        <v>1</v>
      </c>
      <c r="K434" s="20">
        <v>44979</v>
      </c>
      <c r="L434" s="23">
        <v>1138830</v>
      </c>
      <c r="M434" t="s">
        <v>7359</v>
      </c>
      <c r="N434" t="s">
        <v>7360</v>
      </c>
      <c r="O434">
        <v>0</v>
      </c>
      <c r="P434">
        <v>12697</v>
      </c>
      <c r="Q434">
        <v>449056</v>
      </c>
      <c r="R434">
        <v>0</v>
      </c>
      <c r="S434">
        <v>20230222</v>
      </c>
      <c r="T434">
        <v>0</v>
      </c>
      <c r="U434" t="s">
        <v>7361</v>
      </c>
      <c r="V434" t="s">
        <v>7360</v>
      </c>
      <c r="W434" t="s">
        <v>7360</v>
      </c>
      <c r="X434" t="s">
        <v>7360</v>
      </c>
      <c r="Y434" t="s">
        <v>7360</v>
      </c>
      <c r="Z434" t="s">
        <v>7360</v>
      </c>
      <c r="AA434" t="s">
        <v>7362</v>
      </c>
      <c r="AB434" t="s">
        <v>7360</v>
      </c>
      <c r="AC434" t="s">
        <v>7360</v>
      </c>
      <c r="AD434" t="s">
        <v>7360</v>
      </c>
      <c r="AE434" t="s">
        <v>7360</v>
      </c>
      <c r="AF434" t="s">
        <v>1684</v>
      </c>
      <c r="AG434">
        <v>0</v>
      </c>
      <c r="AH434">
        <v>0</v>
      </c>
      <c r="AI434">
        <v>0</v>
      </c>
      <c r="AJ434">
        <v>0</v>
      </c>
      <c r="AK434">
        <v>0</v>
      </c>
      <c r="AL434" t="s">
        <v>7360</v>
      </c>
      <c r="AM434">
        <v>0</v>
      </c>
      <c r="AN434" s="20">
        <v>44979</v>
      </c>
      <c r="AO434" s="20">
        <v>44979</v>
      </c>
      <c r="AP434" s="20">
        <v>44979</v>
      </c>
      <c r="AQ434">
        <v>0</v>
      </c>
      <c r="AR434">
        <v>0</v>
      </c>
      <c r="AS434">
        <v>0</v>
      </c>
      <c r="AT434">
        <v>0</v>
      </c>
      <c r="AU434">
        <v>0</v>
      </c>
      <c r="AV434" t="s">
        <v>7360</v>
      </c>
      <c r="AW434">
        <v>0</v>
      </c>
      <c r="AX434" t="s">
        <v>7360</v>
      </c>
      <c r="AY434" t="s">
        <v>7363</v>
      </c>
      <c r="BA434">
        <v>0</v>
      </c>
      <c r="BB434" s="20">
        <v>44979</v>
      </c>
      <c r="BC434">
        <v>0</v>
      </c>
      <c r="BD434" t="s">
        <v>7360</v>
      </c>
      <c r="BF434" s="20">
        <v>44979</v>
      </c>
      <c r="BG434">
        <v>0</v>
      </c>
      <c r="BH434" t="s">
        <v>1684</v>
      </c>
      <c r="BJ434" t="s">
        <v>7362</v>
      </c>
      <c r="BK434">
        <v>0</v>
      </c>
      <c r="BL434">
        <v>0</v>
      </c>
      <c r="BM434">
        <v>0</v>
      </c>
      <c r="BN434">
        <v>0</v>
      </c>
      <c r="BO434">
        <v>169</v>
      </c>
      <c r="BP434">
        <v>11</v>
      </c>
      <c r="BQ434">
        <v>1</v>
      </c>
      <c r="BR434" t="s">
        <v>7364</v>
      </c>
      <c r="BS434" t="s">
        <v>7382</v>
      </c>
      <c r="BT434" t="s">
        <v>7360</v>
      </c>
      <c r="BU434" t="s">
        <v>7360</v>
      </c>
      <c r="BV434" t="s">
        <v>7360</v>
      </c>
      <c r="BX434">
        <v>0</v>
      </c>
      <c r="BY434">
        <v>0</v>
      </c>
      <c r="BZ434" t="s">
        <v>7360</v>
      </c>
      <c r="CA434" t="s">
        <v>7360</v>
      </c>
      <c r="CB434">
        <v>3380666</v>
      </c>
      <c r="CC434" s="21">
        <v>44979.817870370367</v>
      </c>
      <c r="CE434" t="s">
        <v>7366</v>
      </c>
      <c r="CF434">
        <v>0</v>
      </c>
      <c r="CG434">
        <v>702002</v>
      </c>
      <c r="CH434">
        <v>702002</v>
      </c>
      <c r="CI434" s="21">
        <v>44979.819525462961</v>
      </c>
      <c r="CJ434" t="s">
        <v>7367</v>
      </c>
      <c r="CK434" t="s">
        <v>7367</v>
      </c>
      <c r="CL434" t="s">
        <v>7368</v>
      </c>
      <c r="CM434" t="s">
        <v>7368</v>
      </c>
      <c r="CS434" t="s">
        <v>7361</v>
      </c>
      <c r="CT434" t="s">
        <v>7362</v>
      </c>
      <c r="CU434" t="s">
        <v>7362</v>
      </c>
      <c r="CV434" t="s">
        <v>7362</v>
      </c>
      <c r="CW434" t="s">
        <v>7362</v>
      </c>
      <c r="CX434">
        <v>1138830</v>
      </c>
      <c r="DA434">
        <v>0</v>
      </c>
    </row>
    <row r="435" spans="1:106" x14ac:dyDescent="0.3">
      <c r="A435">
        <v>1364</v>
      </c>
      <c r="B435" t="s">
        <v>7355</v>
      </c>
      <c r="C435">
        <v>461</v>
      </c>
      <c r="D435" s="20">
        <v>44979</v>
      </c>
      <c r="E435" t="s">
        <v>7372</v>
      </c>
      <c r="F435" t="s">
        <v>5945</v>
      </c>
      <c r="G435" t="s">
        <v>7357</v>
      </c>
      <c r="H435">
        <v>1</v>
      </c>
      <c r="I435" t="s">
        <v>7358</v>
      </c>
      <c r="J435">
        <v>1</v>
      </c>
      <c r="K435" s="20">
        <v>44979</v>
      </c>
      <c r="L435" s="23">
        <v>762923</v>
      </c>
      <c r="M435" t="s">
        <v>7359</v>
      </c>
      <c r="N435" t="s">
        <v>7360</v>
      </c>
      <c r="O435">
        <v>0</v>
      </c>
      <c r="P435">
        <v>12710</v>
      </c>
      <c r="Q435">
        <v>449063</v>
      </c>
      <c r="R435">
        <v>0</v>
      </c>
      <c r="S435">
        <v>20230222</v>
      </c>
      <c r="T435">
        <v>0</v>
      </c>
      <c r="U435" t="s">
        <v>7362</v>
      </c>
      <c r="V435" t="s">
        <v>7360</v>
      </c>
      <c r="W435" t="s">
        <v>7360</v>
      </c>
      <c r="X435" t="s">
        <v>7360</v>
      </c>
      <c r="Y435" t="s">
        <v>7360</v>
      </c>
      <c r="Z435" t="s">
        <v>7360</v>
      </c>
      <c r="AA435" t="s">
        <v>7362</v>
      </c>
      <c r="AB435" t="s">
        <v>7360</v>
      </c>
      <c r="AC435" t="s">
        <v>7360</v>
      </c>
      <c r="AD435" t="s">
        <v>7360</v>
      </c>
      <c r="AE435" t="s">
        <v>7360</v>
      </c>
      <c r="AF435" t="s">
        <v>1684</v>
      </c>
      <c r="AG435">
        <v>0</v>
      </c>
      <c r="AH435">
        <v>0</v>
      </c>
      <c r="AI435">
        <v>0</v>
      </c>
      <c r="AJ435">
        <v>0</v>
      </c>
      <c r="AK435">
        <v>0</v>
      </c>
      <c r="AL435" t="s">
        <v>7360</v>
      </c>
      <c r="AM435">
        <v>0</v>
      </c>
      <c r="AN435" s="20">
        <v>44979</v>
      </c>
      <c r="AO435" s="20">
        <v>44979</v>
      </c>
      <c r="AP435" s="20">
        <v>44979</v>
      </c>
      <c r="AQ435">
        <v>0</v>
      </c>
      <c r="AR435">
        <v>0</v>
      </c>
      <c r="AS435">
        <v>0</v>
      </c>
      <c r="AT435">
        <v>0</v>
      </c>
      <c r="AU435">
        <v>0</v>
      </c>
      <c r="AV435" t="s">
        <v>7360</v>
      </c>
      <c r="AW435">
        <v>0</v>
      </c>
      <c r="AX435" t="s">
        <v>7360</v>
      </c>
      <c r="AY435" t="s">
        <v>7362</v>
      </c>
      <c r="BA435">
        <v>0</v>
      </c>
      <c r="BB435" s="20">
        <v>44979</v>
      </c>
      <c r="BC435">
        <v>0</v>
      </c>
      <c r="BD435" t="s">
        <v>7360</v>
      </c>
      <c r="BF435" s="20">
        <v>44979</v>
      </c>
      <c r="BG435">
        <v>0</v>
      </c>
      <c r="BH435" t="s">
        <v>7363</v>
      </c>
      <c r="BJ435" t="s">
        <v>7362</v>
      </c>
      <c r="BK435">
        <v>0</v>
      </c>
      <c r="BL435">
        <v>0</v>
      </c>
      <c r="BM435">
        <v>0</v>
      </c>
      <c r="BN435">
        <v>0</v>
      </c>
      <c r="BO435">
        <v>169</v>
      </c>
      <c r="BP435">
        <v>11</v>
      </c>
      <c r="BQ435">
        <v>1</v>
      </c>
      <c r="BR435" t="s">
        <v>7364</v>
      </c>
      <c r="BS435" t="s">
        <v>7365</v>
      </c>
      <c r="BT435" t="s">
        <v>7360</v>
      </c>
      <c r="BU435" t="s">
        <v>7360</v>
      </c>
      <c r="BV435" t="s">
        <v>7360</v>
      </c>
      <c r="BX435">
        <v>0</v>
      </c>
      <c r="BY435">
        <v>0</v>
      </c>
      <c r="BZ435" t="s">
        <v>7360</v>
      </c>
      <c r="CA435" t="s">
        <v>7360</v>
      </c>
      <c r="CB435">
        <v>3380666</v>
      </c>
      <c r="CC435" s="21">
        <v>44979.830081018517</v>
      </c>
      <c r="CE435" t="s">
        <v>7366</v>
      </c>
      <c r="CF435">
        <v>0</v>
      </c>
      <c r="CG435">
        <v>702002</v>
      </c>
      <c r="CH435">
        <v>702002</v>
      </c>
      <c r="CI435" s="21">
        <v>44979.833240740743</v>
      </c>
      <c r="CJ435" t="s">
        <v>7367</v>
      </c>
      <c r="CK435" t="s">
        <v>7367</v>
      </c>
      <c r="CL435" t="s">
        <v>7368</v>
      </c>
      <c r="CM435" t="s">
        <v>7368</v>
      </c>
      <c r="CS435" t="s">
        <v>7361</v>
      </c>
      <c r="CT435" t="s">
        <v>7362</v>
      </c>
      <c r="CU435" t="s">
        <v>7362</v>
      </c>
      <c r="CV435" t="s">
        <v>7362</v>
      </c>
      <c r="CW435" t="s">
        <v>7362</v>
      </c>
      <c r="CX435">
        <v>762923</v>
      </c>
      <c r="DA435">
        <v>0</v>
      </c>
    </row>
    <row r="436" spans="1:106" x14ac:dyDescent="0.3">
      <c r="A436">
        <v>1362</v>
      </c>
      <c r="B436" t="s">
        <v>7371</v>
      </c>
      <c r="C436">
        <v>210</v>
      </c>
      <c r="D436" s="20">
        <v>44959</v>
      </c>
      <c r="E436" t="s">
        <v>7356</v>
      </c>
      <c r="F436" t="s">
        <v>5950</v>
      </c>
      <c r="G436" t="s">
        <v>7357</v>
      </c>
      <c r="H436">
        <v>1</v>
      </c>
      <c r="I436" t="s">
        <v>7358</v>
      </c>
      <c r="J436">
        <v>1</v>
      </c>
      <c r="K436" s="20">
        <v>44959</v>
      </c>
      <c r="L436" s="23">
        <v>25460050</v>
      </c>
      <c r="M436" t="s">
        <v>7359</v>
      </c>
      <c r="N436" t="s">
        <v>7360</v>
      </c>
      <c r="O436">
        <v>0</v>
      </c>
      <c r="P436">
        <v>11983</v>
      </c>
      <c r="Q436">
        <v>416100</v>
      </c>
      <c r="R436">
        <v>0</v>
      </c>
      <c r="S436">
        <v>20230202</v>
      </c>
      <c r="T436">
        <v>0</v>
      </c>
      <c r="U436" t="s">
        <v>7361</v>
      </c>
      <c r="V436" t="s">
        <v>7360</v>
      </c>
      <c r="W436" t="s">
        <v>7360</v>
      </c>
      <c r="X436" t="s">
        <v>7360</v>
      </c>
      <c r="Y436" t="s">
        <v>7360</v>
      </c>
      <c r="Z436" t="s">
        <v>7360</v>
      </c>
      <c r="AA436" t="s">
        <v>7362</v>
      </c>
      <c r="AB436" t="s">
        <v>7360</v>
      </c>
      <c r="AC436" t="s">
        <v>7360</v>
      </c>
      <c r="AD436" t="s">
        <v>7360</v>
      </c>
      <c r="AE436" t="s">
        <v>7360</v>
      </c>
      <c r="AF436" t="s">
        <v>1684</v>
      </c>
      <c r="AG436">
        <v>0</v>
      </c>
      <c r="AH436">
        <v>0</v>
      </c>
      <c r="AI436">
        <v>0</v>
      </c>
      <c r="AJ436">
        <v>0</v>
      </c>
      <c r="AK436">
        <v>0</v>
      </c>
      <c r="AL436" t="s">
        <v>7360</v>
      </c>
      <c r="AM436">
        <v>0</v>
      </c>
      <c r="AN436" s="20">
        <v>44959</v>
      </c>
      <c r="AO436" s="20">
        <v>44959</v>
      </c>
      <c r="AP436" s="20">
        <v>44959</v>
      </c>
      <c r="AQ436">
        <v>0</v>
      </c>
      <c r="AR436">
        <v>0</v>
      </c>
      <c r="AS436">
        <v>0</v>
      </c>
      <c r="AT436">
        <v>0</v>
      </c>
      <c r="AU436">
        <v>0</v>
      </c>
      <c r="AV436" t="s">
        <v>7360</v>
      </c>
      <c r="AW436">
        <v>0</v>
      </c>
      <c r="AX436" t="s">
        <v>7360</v>
      </c>
      <c r="AY436" t="s">
        <v>7363</v>
      </c>
      <c r="BA436">
        <v>0</v>
      </c>
      <c r="BB436" s="20">
        <v>44959</v>
      </c>
      <c r="BC436">
        <v>0</v>
      </c>
      <c r="BD436" t="s">
        <v>7360</v>
      </c>
      <c r="BF436" s="20">
        <v>44959</v>
      </c>
      <c r="BG436">
        <v>0</v>
      </c>
      <c r="BH436" t="s">
        <v>7363</v>
      </c>
      <c r="BJ436" t="s">
        <v>7362</v>
      </c>
      <c r="BK436">
        <v>169</v>
      </c>
      <c r="BL436">
        <v>11</v>
      </c>
      <c r="BM436">
        <v>1</v>
      </c>
      <c r="BN436" t="s">
        <v>7364</v>
      </c>
      <c r="BO436">
        <v>169</v>
      </c>
      <c r="BP436">
        <v>11</v>
      </c>
      <c r="BQ436">
        <v>1</v>
      </c>
      <c r="BR436" t="s">
        <v>7364</v>
      </c>
      <c r="BS436" t="s">
        <v>132</v>
      </c>
      <c r="BT436" t="s">
        <v>7360</v>
      </c>
      <c r="BU436" t="s">
        <v>7360</v>
      </c>
      <c r="BV436" t="s">
        <v>7360</v>
      </c>
      <c r="BX436" t="s">
        <v>7391</v>
      </c>
      <c r="BY436">
        <v>74</v>
      </c>
      <c r="BZ436" t="s">
        <v>7360</v>
      </c>
      <c r="CA436" t="s">
        <v>7360</v>
      </c>
      <c r="CB436">
        <v>3380666</v>
      </c>
      <c r="CC436" s="21">
        <v>44999.42</v>
      </c>
      <c r="CE436" t="s">
        <v>7392</v>
      </c>
      <c r="CF436">
        <v>1100101</v>
      </c>
      <c r="CG436">
        <v>51669</v>
      </c>
      <c r="CH436">
        <v>51669</v>
      </c>
      <c r="CI436" s="21">
        <v>44999.435428240744</v>
      </c>
      <c r="CJ436" t="s">
        <v>7406</v>
      </c>
      <c r="CK436" t="s">
        <v>7406</v>
      </c>
      <c r="CL436" t="s">
        <v>7407</v>
      </c>
      <c r="CM436" t="s">
        <v>7407</v>
      </c>
      <c r="CS436" t="s">
        <v>7361</v>
      </c>
      <c r="CT436" t="s">
        <v>7362</v>
      </c>
      <c r="CU436" t="s">
        <v>7362</v>
      </c>
      <c r="CV436" t="s">
        <v>7362</v>
      </c>
      <c r="CW436" t="s">
        <v>7362</v>
      </c>
      <c r="CX436">
        <v>30000000</v>
      </c>
      <c r="DA436">
        <v>0</v>
      </c>
      <c r="DB436">
        <v>137004</v>
      </c>
    </row>
    <row r="437" spans="1:106" x14ac:dyDescent="0.3">
      <c r="A437">
        <v>1356</v>
      </c>
      <c r="B437" t="s">
        <v>7402</v>
      </c>
      <c r="C437">
        <v>463</v>
      </c>
      <c r="D437" s="20">
        <v>44979</v>
      </c>
      <c r="E437" t="s">
        <v>7356</v>
      </c>
      <c r="F437" t="s">
        <v>5956</v>
      </c>
      <c r="G437" t="s">
        <v>7377</v>
      </c>
      <c r="H437">
        <v>1</v>
      </c>
      <c r="I437" t="s">
        <v>7358</v>
      </c>
      <c r="J437">
        <v>1</v>
      </c>
      <c r="K437" s="20">
        <v>44979</v>
      </c>
      <c r="L437" s="23">
        <v>2586175</v>
      </c>
      <c r="M437" t="s">
        <v>7403</v>
      </c>
      <c r="N437" t="s">
        <v>7360</v>
      </c>
      <c r="O437">
        <v>0</v>
      </c>
      <c r="P437">
        <v>12611</v>
      </c>
      <c r="Q437">
        <v>134005</v>
      </c>
      <c r="R437">
        <v>0</v>
      </c>
      <c r="S437">
        <v>20230222</v>
      </c>
      <c r="T437">
        <v>0</v>
      </c>
      <c r="U437" t="s">
        <v>7361</v>
      </c>
      <c r="V437" t="s">
        <v>7360</v>
      </c>
      <c r="W437" t="s">
        <v>7360</v>
      </c>
      <c r="X437" t="s">
        <v>7360</v>
      </c>
      <c r="Y437" t="s">
        <v>7360</v>
      </c>
      <c r="Z437" t="s">
        <v>7360</v>
      </c>
      <c r="AA437" t="s">
        <v>7362</v>
      </c>
      <c r="AB437" t="s">
        <v>7360</v>
      </c>
      <c r="AC437" t="s">
        <v>7360</v>
      </c>
      <c r="AD437" t="s">
        <v>7360</v>
      </c>
      <c r="AE437" t="s">
        <v>7360</v>
      </c>
      <c r="AF437" t="s">
        <v>1684</v>
      </c>
      <c r="AG437">
        <v>0</v>
      </c>
      <c r="AH437">
        <v>0</v>
      </c>
      <c r="AI437">
        <v>0</v>
      </c>
      <c r="AJ437">
        <v>0</v>
      </c>
      <c r="AK437">
        <v>0</v>
      </c>
      <c r="AL437" t="s">
        <v>7360</v>
      </c>
      <c r="AM437">
        <v>0</v>
      </c>
      <c r="AN437" s="20">
        <v>44979</v>
      </c>
      <c r="AO437" s="20">
        <v>44979</v>
      </c>
      <c r="AP437" s="20">
        <v>44979</v>
      </c>
      <c r="AQ437">
        <v>0</v>
      </c>
      <c r="AR437">
        <v>0</v>
      </c>
      <c r="AS437">
        <v>0</v>
      </c>
      <c r="AT437">
        <v>0</v>
      </c>
      <c r="AU437">
        <v>0</v>
      </c>
      <c r="AV437" t="s">
        <v>7360</v>
      </c>
      <c r="AW437">
        <v>0</v>
      </c>
      <c r="AX437" t="s">
        <v>7360</v>
      </c>
      <c r="AY437" t="s">
        <v>7363</v>
      </c>
      <c r="BA437">
        <v>0</v>
      </c>
      <c r="BB437" s="20">
        <v>44979</v>
      </c>
      <c r="BC437">
        <v>0</v>
      </c>
      <c r="BD437" t="s">
        <v>7360</v>
      </c>
      <c r="BE437">
        <v>14</v>
      </c>
      <c r="BF437" s="20">
        <v>44979</v>
      </c>
      <c r="BG437">
        <v>0</v>
      </c>
      <c r="BH437" t="s">
        <v>1729</v>
      </c>
      <c r="BJ437" t="s">
        <v>7362</v>
      </c>
      <c r="BK437">
        <v>0</v>
      </c>
      <c r="BL437">
        <v>0</v>
      </c>
      <c r="BM437">
        <v>0</v>
      </c>
      <c r="BN437">
        <v>0</v>
      </c>
      <c r="BO437">
        <v>169</v>
      </c>
      <c r="BP437">
        <v>11</v>
      </c>
      <c r="BQ437">
        <v>1</v>
      </c>
      <c r="BR437" t="s">
        <v>7364</v>
      </c>
      <c r="BS437" t="s">
        <v>7386</v>
      </c>
      <c r="BT437" t="s">
        <v>7360</v>
      </c>
      <c r="BU437" t="s">
        <v>7360</v>
      </c>
      <c r="BV437" t="s">
        <v>7360</v>
      </c>
      <c r="BX437">
        <v>0</v>
      </c>
      <c r="BY437">
        <v>0</v>
      </c>
      <c r="BZ437" t="s">
        <v>7360</v>
      </c>
      <c r="CA437" t="s">
        <v>7360</v>
      </c>
      <c r="CB437">
        <v>3380666</v>
      </c>
      <c r="CC437" s="21">
        <v>44979.854004629633</v>
      </c>
      <c r="CE437" t="s">
        <v>7366</v>
      </c>
      <c r="CF437">
        <v>0</v>
      </c>
      <c r="CG437">
        <v>702002</v>
      </c>
      <c r="CH437">
        <v>702002</v>
      </c>
      <c r="CI437" s="21">
        <v>44979.860219907408</v>
      </c>
      <c r="CJ437" t="s">
        <v>7367</v>
      </c>
      <c r="CK437" t="s">
        <v>7367</v>
      </c>
      <c r="CL437" t="s">
        <v>7368</v>
      </c>
      <c r="CM437" t="s">
        <v>7368</v>
      </c>
      <c r="CS437" t="s">
        <v>7361</v>
      </c>
      <c r="CT437" t="s">
        <v>7362</v>
      </c>
      <c r="CU437" t="s">
        <v>7362</v>
      </c>
      <c r="CV437" t="s">
        <v>7362</v>
      </c>
      <c r="CW437" t="s">
        <v>7362</v>
      </c>
      <c r="CX437">
        <v>2586175</v>
      </c>
      <c r="DA437">
        <v>0</v>
      </c>
      <c r="DB437">
        <v>134005</v>
      </c>
    </row>
    <row r="438" spans="1:106" x14ac:dyDescent="0.3">
      <c r="A438">
        <v>1356</v>
      </c>
      <c r="B438" t="s">
        <v>7402</v>
      </c>
      <c r="C438">
        <v>464</v>
      </c>
      <c r="D438" s="20">
        <v>44979</v>
      </c>
      <c r="E438" t="s">
        <v>7356</v>
      </c>
      <c r="F438" t="s">
        <v>5961</v>
      </c>
      <c r="G438" t="s">
        <v>7377</v>
      </c>
      <c r="H438">
        <v>1</v>
      </c>
      <c r="I438" t="s">
        <v>7358</v>
      </c>
      <c r="J438">
        <v>1</v>
      </c>
      <c r="K438" s="20">
        <v>44979</v>
      </c>
      <c r="L438" s="23">
        <v>2586175</v>
      </c>
      <c r="M438" t="s">
        <v>7403</v>
      </c>
      <c r="N438" t="s">
        <v>7360</v>
      </c>
      <c r="O438">
        <v>0</v>
      </c>
      <c r="P438">
        <v>12612</v>
      </c>
      <c r="Q438">
        <v>134004</v>
      </c>
      <c r="R438">
        <v>0</v>
      </c>
      <c r="S438">
        <v>20230222</v>
      </c>
      <c r="T438">
        <v>0</v>
      </c>
      <c r="U438" t="s">
        <v>7361</v>
      </c>
      <c r="V438" t="s">
        <v>7360</v>
      </c>
      <c r="W438" t="s">
        <v>7360</v>
      </c>
      <c r="X438" t="s">
        <v>7360</v>
      </c>
      <c r="Y438" t="s">
        <v>7360</v>
      </c>
      <c r="Z438" t="s">
        <v>7360</v>
      </c>
      <c r="AA438" t="s">
        <v>7362</v>
      </c>
      <c r="AB438" t="s">
        <v>7360</v>
      </c>
      <c r="AC438" t="s">
        <v>7360</v>
      </c>
      <c r="AD438" t="s">
        <v>7360</v>
      </c>
      <c r="AE438" t="s">
        <v>7360</v>
      </c>
      <c r="AF438" t="s">
        <v>1684</v>
      </c>
      <c r="AG438">
        <v>0</v>
      </c>
      <c r="AH438">
        <v>0</v>
      </c>
      <c r="AI438">
        <v>0</v>
      </c>
      <c r="AJ438">
        <v>0</v>
      </c>
      <c r="AK438">
        <v>0</v>
      </c>
      <c r="AL438" t="s">
        <v>7360</v>
      </c>
      <c r="AM438">
        <v>0</v>
      </c>
      <c r="AN438" s="20">
        <v>44979</v>
      </c>
      <c r="AO438" s="20">
        <v>44979</v>
      </c>
      <c r="AP438" s="20">
        <v>44979</v>
      </c>
      <c r="AQ438">
        <v>0</v>
      </c>
      <c r="AR438">
        <v>0</v>
      </c>
      <c r="AS438">
        <v>0</v>
      </c>
      <c r="AT438">
        <v>0</v>
      </c>
      <c r="AU438">
        <v>0</v>
      </c>
      <c r="AV438" t="s">
        <v>7360</v>
      </c>
      <c r="AW438">
        <v>0</v>
      </c>
      <c r="AX438" t="s">
        <v>7360</v>
      </c>
      <c r="AY438" t="s">
        <v>7363</v>
      </c>
      <c r="BA438">
        <v>0</v>
      </c>
      <c r="BB438" s="20">
        <v>44979</v>
      </c>
      <c r="BC438">
        <v>0</v>
      </c>
      <c r="BD438" t="s">
        <v>7360</v>
      </c>
      <c r="BE438">
        <v>13</v>
      </c>
      <c r="BF438" s="20">
        <v>44979</v>
      </c>
      <c r="BG438">
        <v>0</v>
      </c>
      <c r="BH438" t="s">
        <v>1729</v>
      </c>
      <c r="BJ438" t="s">
        <v>7362</v>
      </c>
      <c r="BK438">
        <v>0</v>
      </c>
      <c r="BL438">
        <v>0</v>
      </c>
      <c r="BM438">
        <v>0</v>
      </c>
      <c r="BN438">
        <v>0</v>
      </c>
      <c r="BO438">
        <v>169</v>
      </c>
      <c r="BP438">
        <v>11</v>
      </c>
      <c r="BQ438">
        <v>1</v>
      </c>
      <c r="BR438" t="s">
        <v>7364</v>
      </c>
      <c r="BS438" t="s">
        <v>7386</v>
      </c>
      <c r="BT438" t="s">
        <v>7360</v>
      </c>
      <c r="BU438" t="s">
        <v>7360</v>
      </c>
      <c r="BV438" t="s">
        <v>7360</v>
      </c>
      <c r="BX438">
        <v>0</v>
      </c>
      <c r="BY438">
        <v>0</v>
      </c>
      <c r="BZ438" t="s">
        <v>7360</v>
      </c>
      <c r="CA438" t="s">
        <v>7360</v>
      </c>
      <c r="CB438">
        <v>3380666</v>
      </c>
      <c r="CC438" s="21">
        <v>44979.864861111113</v>
      </c>
      <c r="CE438" t="s">
        <v>7366</v>
      </c>
      <c r="CF438">
        <v>0</v>
      </c>
      <c r="CG438">
        <v>702002</v>
      </c>
      <c r="CH438">
        <v>702002</v>
      </c>
      <c r="CI438" s="21">
        <v>44979.867256944446</v>
      </c>
      <c r="CJ438" t="s">
        <v>7367</v>
      </c>
      <c r="CK438" t="s">
        <v>7367</v>
      </c>
      <c r="CL438" t="s">
        <v>7368</v>
      </c>
      <c r="CM438" t="s">
        <v>7368</v>
      </c>
      <c r="CS438" t="s">
        <v>7361</v>
      </c>
      <c r="CT438" t="s">
        <v>7362</v>
      </c>
      <c r="CU438" t="s">
        <v>7362</v>
      </c>
      <c r="CV438" t="s">
        <v>7362</v>
      </c>
      <c r="CW438" t="s">
        <v>7362</v>
      </c>
      <c r="CX438">
        <v>2586175</v>
      </c>
      <c r="DA438">
        <v>0</v>
      </c>
      <c r="DB438">
        <v>134004</v>
      </c>
    </row>
    <row r="439" spans="1:106" x14ac:dyDescent="0.3">
      <c r="A439">
        <v>1354</v>
      </c>
      <c r="B439" t="s">
        <v>7396</v>
      </c>
      <c r="C439">
        <v>67</v>
      </c>
      <c r="D439" s="20">
        <v>44949</v>
      </c>
      <c r="E439" t="s">
        <v>7356</v>
      </c>
      <c r="F439" t="s">
        <v>5966</v>
      </c>
      <c r="G439" t="s">
        <v>7357</v>
      </c>
      <c r="H439">
        <v>1</v>
      </c>
      <c r="I439" t="s">
        <v>7358</v>
      </c>
      <c r="J439">
        <v>1</v>
      </c>
      <c r="K439" s="20">
        <v>44949</v>
      </c>
      <c r="L439" s="23">
        <v>26474255</v>
      </c>
      <c r="M439" t="s">
        <v>7359</v>
      </c>
      <c r="N439" t="s">
        <v>7360</v>
      </c>
      <c r="O439">
        <v>0</v>
      </c>
      <c r="P439">
        <v>11735</v>
      </c>
      <c r="Q439">
        <v>414042</v>
      </c>
      <c r="R439">
        <v>0</v>
      </c>
      <c r="S439">
        <v>20230123</v>
      </c>
      <c r="T439">
        <v>0</v>
      </c>
      <c r="U439" t="s">
        <v>7361</v>
      </c>
      <c r="V439" t="s">
        <v>7360</v>
      </c>
      <c r="W439" t="s">
        <v>7360</v>
      </c>
      <c r="X439" t="s">
        <v>7360</v>
      </c>
      <c r="Y439" t="s">
        <v>7360</v>
      </c>
      <c r="Z439" t="s">
        <v>7360</v>
      </c>
      <c r="AA439" t="s">
        <v>7362</v>
      </c>
      <c r="AB439" t="s">
        <v>7360</v>
      </c>
      <c r="AC439" t="s">
        <v>7360</v>
      </c>
      <c r="AD439" t="s">
        <v>7360</v>
      </c>
      <c r="AE439" t="s">
        <v>7360</v>
      </c>
      <c r="AF439" t="s">
        <v>1684</v>
      </c>
      <c r="AG439">
        <v>0</v>
      </c>
      <c r="AH439">
        <v>0</v>
      </c>
      <c r="AI439">
        <v>0</v>
      </c>
      <c r="AJ439">
        <v>0</v>
      </c>
      <c r="AK439">
        <v>0</v>
      </c>
      <c r="AL439" t="s">
        <v>7360</v>
      </c>
      <c r="AM439">
        <v>0</v>
      </c>
      <c r="AN439" s="20">
        <v>44949</v>
      </c>
      <c r="AO439" s="20">
        <v>44949</v>
      </c>
      <c r="AP439" s="20">
        <v>44949</v>
      </c>
      <c r="AQ439">
        <v>0</v>
      </c>
      <c r="AR439">
        <v>0</v>
      </c>
      <c r="AS439">
        <v>0</v>
      </c>
      <c r="AT439">
        <v>0</v>
      </c>
      <c r="AU439">
        <v>0</v>
      </c>
      <c r="AV439" t="s">
        <v>7360</v>
      </c>
      <c r="AW439">
        <v>0</v>
      </c>
      <c r="AX439" t="s">
        <v>7360</v>
      </c>
      <c r="AY439" t="s">
        <v>7363</v>
      </c>
      <c r="BA439">
        <v>0</v>
      </c>
      <c r="BB439" s="20">
        <v>44949</v>
      </c>
      <c r="BC439">
        <v>0</v>
      </c>
      <c r="BD439" t="s">
        <v>7360</v>
      </c>
      <c r="BF439" s="20">
        <v>44949</v>
      </c>
      <c r="BG439">
        <v>0</v>
      </c>
      <c r="BH439" t="s">
        <v>7363</v>
      </c>
      <c r="BJ439" t="s">
        <v>7362</v>
      </c>
      <c r="BK439">
        <v>169</v>
      </c>
      <c r="BL439">
        <v>11</v>
      </c>
      <c r="BM439">
        <v>1</v>
      </c>
      <c r="BN439" t="s">
        <v>7364</v>
      </c>
      <c r="BO439">
        <v>169</v>
      </c>
      <c r="BP439">
        <v>11</v>
      </c>
      <c r="BQ439">
        <v>1</v>
      </c>
      <c r="BR439" t="s">
        <v>7364</v>
      </c>
      <c r="BS439" t="s">
        <v>132</v>
      </c>
      <c r="BT439" t="s">
        <v>7360</v>
      </c>
      <c r="BU439" t="s">
        <v>7360</v>
      </c>
      <c r="BV439" t="s">
        <v>7360</v>
      </c>
      <c r="BX439" t="s">
        <v>7391</v>
      </c>
      <c r="BY439">
        <v>74</v>
      </c>
      <c r="BZ439" t="s">
        <v>7360</v>
      </c>
      <c r="CA439" t="s">
        <v>7360</v>
      </c>
      <c r="CB439">
        <v>3380666</v>
      </c>
      <c r="CC439" s="21">
        <v>44999.443831018521</v>
      </c>
      <c r="CE439" t="s">
        <v>7392</v>
      </c>
      <c r="CF439">
        <v>1100101</v>
      </c>
      <c r="CG439">
        <v>51669</v>
      </c>
      <c r="CH439">
        <v>51669</v>
      </c>
      <c r="CI439" s="21">
        <v>44999.445636574077</v>
      </c>
      <c r="CJ439" t="s">
        <v>7406</v>
      </c>
      <c r="CK439" t="s">
        <v>7406</v>
      </c>
      <c r="CL439" t="s">
        <v>7407</v>
      </c>
      <c r="CM439" t="s">
        <v>7407</v>
      </c>
      <c r="CS439" t="s">
        <v>7361</v>
      </c>
      <c r="CT439" t="s">
        <v>7362</v>
      </c>
      <c r="CU439" t="s">
        <v>7362</v>
      </c>
      <c r="CV439" t="s">
        <v>7362</v>
      </c>
      <c r="CW439" t="s">
        <v>7362</v>
      </c>
      <c r="CX439">
        <v>30000000</v>
      </c>
      <c r="DA439">
        <v>0</v>
      </c>
      <c r="DB439">
        <v>137006</v>
      </c>
    </row>
    <row r="440" spans="1:106" x14ac:dyDescent="0.3">
      <c r="A440">
        <v>1356</v>
      </c>
      <c r="B440" t="s">
        <v>7402</v>
      </c>
      <c r="C440">
        <v>466</v>
      </c>
      <c r="D440" s="20">
        <v>44979</v>
      </c>
      <c r="E440" t="s">
        <v>7356</v>
      </c>
      <c r="F440" t="s">
        <v>5972</v>
      </c>
      <c r="G440" t="s">
        <v>7377</v>
      </c>
      <c r="H440">
        <v>1</v>
      </c>
      <c r="I440" t="s">
        <v>7358</v>
      </c>
      <c r="J440">
        <v>1</v>
      </c>
      <c r="K440" s="20">
        <v>44979</v>
      </c>
      <c r="L440" s="23">
        <v>2640500</v>
      </c>
      <c r="M440" t="s">
        <v>7403</v>
      </c>
      <c r="N440" t="s">
        <v>7360</v>
      </c>
      <c r="O440">
        <v>0</v>
      </c>
      <c r="P440">
        <v>12616</v>
      </c>
      <c r="Q440">
        <v>134008</v>
      </c>
      <c r="R440">
        <v>0</v>
      </c>
      <c r="S440">
        <v>20230222</v>
      </c>
      <c r="T440">
        <v>0</v>
      </c>
      <c r="U440" t="s">
        <v>7361</v>
      </c>
      <c r="V440" t="s">
        <v>7360</v>
      </c>
      <c r="W440" t="s">
        <v>7360</v>
      </c>
      <c r="X440" t="s">
        <v>7360</v>
      </c>
      <c r="Y440" t="s">
        <v>7360</v>
      </c>
      <c r="Z440" t="s">
        <v>7360</v>
      </c>
      <c r="AA440" t="s">
        <v>7362</v>
      </c>
      <c r="AB440" t="s">
        <v>7360</v>
      </c>
      <c r="AC440" t="s">
        <v>7360</v>
      </c>
      <c r="AD440" t="s">
        <v>7360</v>
      </c>
      <c r="AE440" t="s">
        <v>7360</v>
      </c>
      <c r="AF440" t="s">
        <v>1684</v>
      </c>
      <c r="AG440">
        <v>0</v>
      </c>
      <c r="AH440">
        <v>0</v>
      </c>
      <c r="AI440">
        <v>0</v>
      </c>
      <c r="AJ440">
        <v>0</v>
      </c>
      <c r="AK440">
        <v>0</v>
      </c>
      <c r="AL440" t="s">
        <v>7360</v>
      </c>
      <c r="AM440">
        <v>0</v>
      </c>
      <c r="AN440" s="20">
        <v>44979</v>
      </c>
      <c r="AO440" s="20">
        <v>44979</v>
      </c>
      <c r="AP440" s="20">
        <v>44979</v>
      </c>
      <c r="AQ440">
        <v>0</v>
      </c>
      <c r="AR440">
        <v>0</v>
      </c>
      <c r="AS440">
        <v>0</v>
      </c>
      <c r="AT440">
        <v>0</v>
      </c>
      <c r="AU440">
        <v>0</v>
      </c>
      <c r="AV440" t="s">
        <v>7360</v>
      </c>
      <c r="AW440">
        <v>0</v>
      </c>
      <c r="AX440" t="s">
        <v>7360</v>
      </c>
      <c r="AY440" t="s">
        <v>7363</v>
      </c>
      <c r="BA440">
        <v>0</v>
      </c>
      <c r="BB440" s="20">
        <v>44979</v>
      </c>
      <c r="BC440">
        <v>0</v>
      </c>
      <c r="BD440" t="s">
        <v>7360</v>
      </c>
      <c r="BE440">
        <v>83</v>
      </c>
      <c r="BF440" s="20">
        <v>44979</v>
      </c>
      <c r="BG440">
        <v>0</v>
      </c>
      <c r="BH440" t="s">
        <v>1729</v>
      </c>
      <c r="BJ440" t="s">
        <v>7362</v>
      </c>
      <c r="BK440">
        <v>0</v>
      </c>
      <c r="BL440">
        <v>0</v>
      </c>
      <c r="BM440">
        <v>0</v>
      </c>
      <c r="BN440">
        <v>0</v>
      </c>
      <c r="BO440">
        <v>169</v>
      </c>
      <c r="BP440">
        <v>11</v>
      </c>
      <c r="BQ440">
        <v>1</v>
      </c>
      <c r="BR440" t="s">
        <v>7364</v>
      </c>
      <c r="BS440" t="s">
        <v>7386</v>
      </c>
      <c r="BT440" t="s">
        <v>7360</v>
      </c>
      <c r="BU440" t="s">
        <v>7360</v>
      </c>
      <c r="BV440" t="s">
        <v>7360</v>
      </c>
      <c r="BX440">
        <v>0</v>
      </c>
      <c r="BY440">
        <v>0</v>
      </c>
      <c r="BZ440" t="s">
        <v>7360</v>
      </c>
      <c r="CA440" t="s">
        <v>7360</v>
      </c>
      <c r="CB440">
        <v>3380666</v>
      </c>
      <c r="CC440" s="21">
        <v>44979.883715277778</v>
      </c>
      <c r="CE440" t="s">
        <v>7366</v>
      </c>
      <c r="CF440">
        <v>0</v>
      </c>
      <c r="CG440">
        <v>702002</v>
      </c>
      <c r="CH440">
        <v>702002</v>
      </c>
      <c r="CI440" s="21">
        <v>44979.889606481483</v>
      </c>
      <c r="CJ440" t="s">
        <v>7367</v>
      </c>
      <c r="CK440" t="s">
        <v>7367</v>
      </c>
      <c r="CL440" t="s">
        <v>7368</v>
      </c>
      <c r="CM440" t="s">
        <v>7368</v>
      </c>
      <c r="CS440" t="s">
        <v>7361</v>
      </c>
      <c r="CT440" t="s">
        <v>7362</v>
      </c>
      <c r="CU440" t="s">
        <v>7362</v>
      </c>
      <c r="CV440" t="s">
        <v>7362</v>
      </c>
      <c r="CW440" t="s">
        <v>7362</v>
      </c>
      <c r="CX440">
        <v>2640500</v>
      </c>
      <c r="DA440">
        <v>0</v>
      </c>
      <c r="DB440">
        <v>134008</v>
      </c>
    </row>
    <row r="441" spans="1:106" x14ac:dyDescent="0.3">
      <c r="A441">
        <v>1356</v>
      </c>
      <c r="B441" t="s">
        <v>7402</v>
      </c>
      <c r="C441">
        <v>467</v>
      </c>
      <c r="D441" s="20">
        <v>44979</v>
      </c>
      <c r="E441" t="s">
        <v>7372</v>
      </c>
      <c r="F441" t="s">
        <v>5918</v>
      </c>
      <c r="G441" t="s">
        <v>7377</v>
      </c>
      <c r="H441">
        <v>1</v>
      </c>
      <c r="I441" t="s">
        <v>7358</v>
      </c>
      <c r="J441">
        <v>1</v>
      </c>
      <c r="K441" s="20">
        <v>44979</v>
      </c>
      <c r="L441" s="23">
        <v>1320500</v>
      </c>
      <c r="M441" t="s">
        <v>7403</v>
      </c>
      <c r="N441" t="s">
        <v>7360</v>
      </c>
      <c r="O441">
        <v>0</v>
      </c>
      <c r="P441">
        <v>12618</v>
      </c>
      <c r="Q441">
        <v>134001</v>
      </c>
      <c r="R441">
        <v>0</v>
      </c>
      <c r="S441">
        <v>20230222</v>
      </c>
      <c r="T441">
        <v>0</v>
      </c>
      <c r="U441" t="s">
        <v>7362</v>
      </c>
      <c r="V441" t="s">
        <v>7360</v>
      </c>
      <c r="W441" t="s">
        <v>7360</v>
      </c>
      <c r="X441" t="s">
        <v>7360</v>
      </c>
      <c r="Y441" t="s">
        <v>7360</v>
      </c>
      <c r="Z441" t="s">
        <v>7360</v>
      </c>
      <c r="AA441" t="s">
        <v>7362</v>
      </c>
      <c r="AB441" t="s">
        <v>7360</v>
      </c>
      <c r="AC441" t="s">
        <v>7360</v>
      </c>
      <c r="AD441" t="s">
        <v>7360</v>
      </c>
      <c r="AE441" t="s">
        <v>7360</v>
      </c>
      <c r="AF441" t="s">
        <v>1684</v>
      </c>
      <c r="AG441">
        <v>0</v>
      </c>
      <c r="AH441">
        <v>0</v>
      </c>
      <c r="AI441">
        <v>0</v>
      </c>
      <c r="AJ441">
        <v>0</v>
      </c>
      <c r="AK441">
        <v>0</v>
      </c>
      <c r="AL441" t="s">
        <v>7360</v>
      </c>
      <c r="AM441">
        <v>0</v>
      </c>
      <c r="AN441" s="20">
        <v>44979</v>
      </c>
      <c r="AO441" s="20">
        <v>44979</v>
      </c>
      <c r="AP441" s="20">
        <v>44979</v>
      </c>
      <c r="AQ441">
        <v>0</v>
      </c>
      <c r="AR441">
        <v>0</v>
      </c>
      <c r="AS441">
        <v>0</v>
      </c>
      <c r="AT441">
        <v>0</v>
      </c>
      <c r="AU441">
        <v>0</v>
      </c>
      <c r="AV441" t="s">
        <v>7360</v>
      </c>
      <c r="AW441">
        <v>0</v>
      </c>
      <c r="AX441" t="s">
        <v>7360</v>
      </c>
      <c r="AY441" t="s">
        <v>7373</v>
      </c>
      <c r="BA441">
        <v>0</v>
      </c>
      <c r="BB441" s="20">
        <v>44979</v>
      </c>
      <c r="BC441">
        <v>0</v>
      </c>
      <c r="BD441" t="s">
        <v>7360</v>
      </c>
      <c r="BE441">
        <v>85</v>
      </c>
      <c r="BF441" s="20">
        <v>44979</v>
      </c>
      <c r="BG441">
        <v>0</v>
      </c>
      <c r="BH441" t="s">
        <v>1729</v>
      </c>
      <c r="BJ441" t="s">
        <v>7362</v>
      </c>
      <c r="BK441">
        <v>0</v>
      </c>
      <c r="BL441">
        <v>0</v>
      </c>
      <c r="BM441">
        <v>0</v>
      </c>
      <c r="BN441">
        <v>0</v>
      </c>
      <c r="BO441">
        <v>169</v>
      </c>
      <c r="BP441">
        <v>11</v>
      </c>
      <c r="BQ441">
        <v>1</v>
      </c>
      <c r="BR441" t="s">
        <v>7364</v>
      </c>
      <c r="BS441" t="s">
        <v>7386</v>
      </c>
      <c r="BT441" t="s">
        <v>7360</v>
      </c>
      <c r="BU441" t="s">
        <v>7360</v>
      </c>
      <c r="BV441" t="s">
        <v>7360</v>
      </c>
      <c r="BX441">
        <v>0</v>
      </c>
      <c r="BY441">
        <v>0</v>
      </c>
      <c r="BZ441" t="s">
        <v>7360</v>
      </c>
      <c r="CA441" t="s">
        <v>7360</v>
      </c>
      <c r="CB441">
        <v>3380666</v>
      </c>
      <c r="CC441" s="21">
        <v>44979.893564814818</v>
      </c>
      <c r="CE441" t="s">
        <v>7366</v>
      </c>
      <c r="CF441">
        <v>0</v>
      </c>
      <c r="CG441">
        <v>702002</v>
      </c>
      <c r="CH441">
        <v>702002</v>
      </c>
      <c r="CI441" s="21">
        <v>44979.896678240744</v>
      </c>
      <c r="CJ441" t="s">
        <v>7367</v>
      </c>
      <c r="CK441" t="s">
        <v>7367</v>
      </c>
      <c r="CL441" t="s">
        <v>7368</v>
      </c>
      <c r="CM441" t="s">
        <v>7368</v>
      </c>
      <c r="CS441" t="s">
        <v>7361</v>
      </c>
      <c r="CT441" t="s">
        <v>7362</v>
      </c>
      <c r="CU441" t="s">
        <v>7362</v>
      </c>
      <c r="CV441" t="s">
        <v>7362</v>
      </c>
      <c r="CW441" t="s">
        <v>7362</v>
      </c>
      <c r="CX441">
        <v>1320500</v>
      </c>
      <c r="DA441">
        <v>0</v>
      </c>
      <c r="DB441">
        <v>134001</v>
      </c>
    </row>
    <row r="442" spans="1:106" x14ac:dyDescent="0.3">
      <c r="A442">
        <v>1356</v>
      </c>
      <c r="B442" t="s">
        <v>7402</v>
      </c>
      <c r="C442">
        <v>468</v>
      </c>
      <c r="D442" s="20">
        <v>44979</v>
      </c>
      <c r="E442" t="s">
        <v>7372</v>
      </c>
      <c r="F442" t="s">
        <v>5924</v>
      </c>
      <c r="G442" t="s">
        <v>7377</v>
      </c>
      <c r="H442">
        <v>1</v>
      </c>
      <c r="I442" t="s">
        <v>7358</v>
      </c>
      <c r="J442">
        <v>1</v>
      </c>
      <c r="K442" s="20">
        <v>44979</v>
      </c>
      <c r="L442" s="23">
        <v>1320500</v>
      </c>
      <c r="M442" t="s">
        <v>7403</v>
      </c>
      <c r="N442" t="s">
        <v>7360</v>
      </c>
      <c r="O442">
        <v>0</v>
      </c>
      <c r="P442">
        <v>12617</v>
      </c>
      <c r="Q442">
        <v>134002</v>
      </c>
      <c r="R442">
        <v>0</v>
      </c>
      <c r="S442">
        <v>20230222</v>
      </c>
      <c r="T442">
        <v>0</v>
      </c>
      <c r="U442" t="s">
        <v>7362</v>
      </c>
      <c r="V442" t="s">
        <v>7360</v>
      </c>
      <c r="W442" t="s">
        <v>7360</v>
      </c>
      <c r="X442" t="s">
        <v>7360</v>
      </c>
      <c r="Y442" t="s">
        <v>7360</v>
      </c>
      <c r="Z442" t="s">
        <v>7360</v>
      </c>
      <c r="AA442" t="s">
        <v>7362</v>
      </c>
      <c r="AB442" t="s">
        <v>7360</v>
      </c>
      <c r="AC442" t="s">
        <v>7360</v>
      </c>
      <c r="AD442" t="s">
        <v>7360</v>
      </c>
      <c r="AE442" t="s">
        <v>7360</v>
      </c>
      <c r="AF442" t="s">
        <v>1684</v>
      </c>
      <c r="AG442">
        <v>0</v>
      </c>
      <c r="AH442">
        <v>0</v>
      </c>
      <c r="AI442">
        <v>0</v>
      </c>
      <c r="AJ442">
        <v>0</v>
      </c>
      <c r="AK442">
        <v>0</v>
      </c>
      <c r="AL442" t="s">
        <v>7360</v>
      </c>
      <c r="AM442">
        <v>0</v>
      </c>
      <c r="AN442" s="20">
        <v>44979</v>
      </c>
      <c r="AO442" s="20">
        <v>44979</v>
      </c>
      <c r="AP442" s="20">
        <v>44979</v>
      </c>
      <c r="AQ442">
        <v>0</v>
      </c>
      <c r="AR442">
        <v>0</v>
      </c>
      <c r="AS442">
        <v>0</v>
      </c>
      <c r="AT442">
        <v>0</v>
      </c>
      <c r="AU442">
        <v>0</v>
      </c>
      <c r="AV442" t="s">
        <v>7360</v>
      </c>
      <c r="AW442">
        <v>0</v>
      </c>
      <c r="AX442" t="s">
        <v>7360</v>
      </c>
      <c r="AY442" t="s">
        <v>7373</v>
      </c>
      <c r="BA442">
        <v>0</v>
      </c>
      <c r="BB442" s="20">
        <v>44979</v>
      </c>
      <c r="BC442">
        <v>0</v>
      </c>
      <c r="BD442" t="s">
        <v>7360</v>
      </c>
      <c r="BE442">
        <v>84</v>
      </c>
      <c r="BF442" s="20">
        <v>44979</v>
      </c>
      <c r="BG442">
        <v>0</v>
      </c>
      <c r="BH442" t="s">
        <v>1729</v>
      </c>
      <c r="BJ442" t="s">
        <v>7362</v>
      </c>
      <c r="BK442">
        <v>0</v>
      </c>
      <c r="BL442">
        <v>0</v>
      </c>
      <c r="BM442">
        <v>0</v>
      </c>
      <c r="BN442">
        <v>0</v>
      </c>
      <c r="BO442">
        <v>169</v>
      </c>
      <c r="BP442">
        <v>11</v>
      </c>
      <c r="BQ442">
        <v>1</v>
      </c>
      <c r="BR442" t="s">
        <v>7364</v>
      </c>
      <c r="BS442" t="s">
        <v>7386</v>
      </c>
      <c r="BT442" t="s">
        <v>7360</v>
      </c>
      <c r="BU442" t="s">
        <v>7360</v>
      </c>
      <c r="BV442" t="s">
        <v>7360</v>
      </c>
      <c r="BX442">
        <v>0</v>
      </c>
      <c r="BY442">
        <v>0</v>
      </c>
      <c r="BZ442" t="s">
        <v>7360</v>
      </c>
      <c r="CA442" t="s">
        <v>7360</v>
      </c>
      <c r="CB442">
        <v>3380666</v>
      </c>
      <c r="CC442" s="21">
        <v>44979.902604166666</v>
      </c>
      <c r="CE442" t="s">
        <v>7366</v>
      </c>
      <c r="CF442">
        <v>0</v>
      </c>
      <c r="CG442">
        <v>702002</v>
      </c>
      <c r="CH442">
        <v>702002</v>
      </c>
      <c r="CI442" s="21">
        <v>44979.90552083333</v>
      </c>
      <c r="CJ442" t="s">
        <v>7367</v>
      </c>
      <c r="CK442" t="s">
        <v>7367</v>
      </c>
      <c r="CL442" t="s">
        <v>7368</v>
      </c>
      <c r="CM442" t="s">
        <v>7368</v>
      </c>
      <c r="CS442" t="s">
        <v>7361</v>
      </c>
      <c r="CT442" t="s">
        <v>7362</v>
      </c>
      <c r="CU442" t="s">
        <v>7362</v>
      </c>
      <c r="CV442" t="s">
        <v>7362</v>
      </c>
      <c r="CW442" t="s">
        <v>7362</v>
      </c>
      <c r="CX442">
        <v>1320500</v>
      </c>
      <c r="DA442">
        <v>0</v>
      </c>
      <c r="DB442">
        <v>134002</v>
      </c>
    </row>
    <row r="443" spans="1:106" x14ac:dyDescent="0.3">
      <c r="A443">
        <v>1362</v>
      </c>
      <c r="B443" t="s">
        <v>7371</v>
      </c>
      <c r="C443">
        <v>549</v>
      </c>
      <c r="D443" s="20">
        <v>44993</v>
      </c>
      <c r="E443" t="s">
        <v>7372</v>
      </c>
      <c r="F443" t="s">
        <v>5929</v>
      </c>
      <c r="G443" t="s">
        <v>7357</v>
      </c>
      <c r="H443">
        <v>1</v>
      </c>
      <c r="I443" t="s">
        <v>7358</v>
      </c>
      <c r="J443">
        <v>1</v>
      </c>
      <c r="K443" s="20">
        <v>44993</v>
      </c>
      <c r="L443" s="23">
        <v>27243554</v>
      </c>
      <c r="M443" t="s">
        <v>7403</v>
      </c>
      <c r="N443" t="s">
        <v>7360</v>
      </c>
      <c r="O443">
        <v>0</v>
      </c>
      <c r="P443">
        <v>11994</v>
      </c>
      <c r="Q443">
        <v>135002</v>
      </c>
      <c r="R443">
        <v>0</v>
      </c>
      <c r="S443">
        <v>20230308</v>
      </c>
      <c r="T443">
        <v>0</v>
      </c>
      <c r="U443" t="s">
        <v>7362</v>
      </c>
      <c r="V443" t="s">
        <v>7360</v>
      </c>
      <c r="W443" t="s">
        <v>7360</v>
      </c>
      <c r="X443" t="s">
        <v>7360</v>
      </c>
      <c r="Y443" t="s">
        <v>7360</v>
      </c>
      <c r="Z443" t="s">
        <v>7360</v>
      </c>
      <c r="AA443" t="s">
        <v>7362</v>
      </c>
      <c r="AB443" t="s">
        <v>7360</v>
      </c>
      <c r="AC443" t="s">
        <v>7360</v>
      </c>
      <c r="AD443" t="s">
        <v>7360</v>
      </c>
      <c r="AE443" t="s">
        <v>7360</v>
      </c>
      <c r="AF443" t="s">
        <v>1684</v>
      </c>
      <c r="AG443">
        <v>0</v>
      </c>
      <c r="AH443">
        <v>0</v>
      </c>
      <c r="AI443">
        <v>0</v>
      </c>
      <c r="AJ443">
        <v>0</v>
      </c>
      <c r="AK443">
        <v>0</v>
      </c>
      <c r="AL443" t="s">
        <v>7360</v>
      </c>
      <c r="AM443">
        <v>0</v>
      </c>
      <c r="AN443" s="20">
        <v>44993</v>
      </c>
      <c r="AO443" s="20">
        <v>44993</v>
      </c>
      <c r="AP443" s="20">
        <v>44993</v>
      </c>
      <c r="AQ443">
        <v>0</v>
      </c>
      <c r="AR443">
        <v>0</v>
      </c>
      <c r="AS443">
        <v>0</v>
      </c>
      <c r="AT443">
        <v>0</v>
      </c>
      <c r="AU443">
        <v>0</v>
      </c>
      <c r="AV443" t="s">
        <v>7360</v>
      </c>
      <c r="AW443">
        <v>0</v>
      </c>
      <c r="AX443" t="s">
        <v>7360</v>
      </c>
      <c r="AY443" t="s">
        <v>7373</v>
      </c>
      <c r="BA443">
        <v>0</v>
      </c>
      <c r="BB443" s="20">
        <v>44993</v>
      </c>
      <c r="BC443">
        <v>0</v>
      </c>
      <c r="BD443" t="s">
        <v>7360</v>
      </c>
      <c r="BE443">
        <v>232</v>
      </c>
      <c r="BF443" s="20">
        <v>44993</v>
      </c>
      <c r="BG443">
        <v>0</v>
      </c>
      <c r="BH443" t="s">
        <v>7363</v>
      </c>
      <c r="BJ443" t="s">
        <v>7362</v>
      </c>
      <c r="BK443">
        <v>169</v>
      </c>
      <c r="BL443">
        <v>11</v>
      </c>
      <c r="BM443">
        <v>1</v>
      </c>
      <c r="BN443" t="s">
        <v>7364</v>
      </c>
      <c r="BO443">
        <v>169</v>
      </c>
      <c r="BP443">
        <v>11</v>
      </c>
      <c r="BQ443">
        <v>1</v>
      </c>
      <c r="BR443" t="s">
        <v>7364</v>
      </c>
      <c r="BS443" t="s">
        <v>132</v>
      </c>
      <c r="BT443" t="s">
        <v>7360</v>
      </c>
      <c r="BU443" t="s">
        <v>7360</v>
      </c>
      <c r="BV443" t="s">
        <v>7360</v>
      </c>
      <c r="BX443" t="s">
        <v>7391</v>
      </c>
      <c r="BY443">
        <v>74</v>
      </c>
      <c r="BZ443" t="s">
        <v>7360</v>
      </c>
      <c r="CA443" t="s">
        <v>7360</v>
      </c>
      <c r="CB443">
        <v>3380666</v>
      </c>
      <c r="CC443" s="21">
        <v>44999.45212962963</v>
      </c>
      <c r="CE443" t="s">
        <v>7392</v>
      </c>
      <c r="CF443">
        <v>1100101</v>
      </c>
      <c r="CG443">
        <v>51669</v>
      </c>
      <c r="CH443">
        <v>51669</v>
      </c>
      <c r="CI443" s="21">
        <v>44999.45385416667</v>
      </c>
      <c r="CJ443" t="s">
        <v>7406</v>
      </c>
      <c r="CK443" t="s">
        <v>7406</v>
      </c>
      <c r="CL443" t="s">
        <v>7407</v>
      </c>
      <c r="CM443" t="s">
        <v>7407</v>
      </c>
      <c r="CS443" t="s">
        <v>7361</v>
      </c>
      <c r="CT443" t="s">
        <v>7362</v>
      </c>
      <c r="CU443" t="s">
        <v>7362</v>
      </c>
      <c r="CV443" t="s">
        <v>7362</v>
      </c>
      <c r="CW443" t="s">
        <v>7362</v>
      </c>
      <c r="CX443">
        <v>30000000</v>
      </c>
      <c r="DA443">
        <v>0</v>
      </c>
      <c r="DB443">
        <v>137003</v>
      </c>
    </row>
    <row r="444" spans="1:106" x14ac:dyDescent="0.3">
      <c r="A444">
        <v>1356</v>
      </c>
      <c r="B444" t="s">
        <v>7402</v>
      </c>
      <c r="C444">
        <v>470</v>
      </c>
      <c r="D444" s="20">
        <v>44979</v>
      </c>
      <c r="E444" t="s">
        <v>7356</v>
      </c>
      <c r="F444" t="s">
        <v>5934</v>
      </c>
      <c r="G444" t="s">
        <v>7377</v>
      </c>
      <c r="H444">
        <v>1</v>
      </c>
      <c r="I444" t="s">
        <v>7358</v>
      </c>
      <c r="J444">
        <v>1</v>
      </c>
      <c r="K444" s="20">
        <v>44979</v>
      </c>
      <c r="L444" s="23">
        <v>8022556</v>
      </c>
      <c r="M444" t="s">
        <v>7359</v>
      </c>
      <c r="N444" t="s">
        <v>7360</v>
      </c>
      <c r="O444">
        <v>0</v>
      </c>
      <c r="P444">
        <v>12619</v>
      </c>
      <c r="Q444">
        <v>448003</v>
      </c>
      <c r="R444">
        <v>0</v>
      </c>
      <c r="S444">
        <v>20230222</v>
      </c>
      <c r="T444">
        <v>0</v>
      </c>
      <c r="U444" t="s">
        <v>7361</v>
      </c>
      <c r="V444" t="s">
        <v>7360</v>
      </c>
      <c r="W444" t="s">
        <v>7360</v>
      </c>
      <c r="X444" t="s">
        <v>7360</v>
      </c>
      <c r="Y444" t="s">
        <v>7360</v>
      </c>
      <c r="Z444" t="s">
        <v>7360</v>
      </c>
      <c r="AA444" t="s">
        <v>7362</v>
      </c>
      <c r="AB444" t="s">
        <v>7360</v>
      </c>
      <c r="AC444" t="s">
        <v>7360</v>
      </c>
      <c r="AD444" t="s">
        <v>7360</v>
      </c>
      <c r="AE444" t="s">
        <v>7360</v>
      </c>
      <c r="AF444" t="s">
        <v>1684</v>
      </c>
      <c r="AG444">
        <v>0</v>
      </c>
      <c r="AH444">
        <v>0</v>
      </c>
      <c r="AI444">
        <v>0</v>
      </c>
      <c r="AJ444">
        <v>0</v>
      </c>
      <c r="AK444">
        <v>0</v>
      </c>
      <c r="AL444" t="s">
        <v>7360</v>
      </c>
      <c r="AM444">
        <v>0</v>
      </c>
      <c r="AN444" s="20">
        <v>44979</v>
      </c>
      <c r="AO444" s="20">
        <v>44979</v>
      </c>
      <c r="AP444" s="20">
        <v>44979</v>
      </c>
      <c r="AQ444">
        <v>0</v>
      </c>
      <c r="AR444">
        <v>0</v>
      </c>
      <c r="AS444">
        <v>0</v>
      </c>
      <c r="AT444">
        <v>0</v>
      </c>
      <c r="AU444">
        <v>0</v>
      </c>
      <c r="AV444" t="s">
        <v>7360</v>
      </c>
      <c r="AW444">
        <v>0</v>
      </c>
      <c r="AX444" t="s">
        <v>7360</v>
      </c>
      <c r="AY444" t="s">
        <v>7363</v>
      </c>
      <c r="BA444">
        <v>0</v>
      </c>
      <c r="BB444" s="20">
        <v>44979</v>
      </c>
      <c r="BC444">
        <v>0</v>
      </c>
      <c r="BD444" t="s">
        <v>7360</v>
      </c>
      <c r="BF444" s="20">
        <v>44979</v>
      </c>
      <c r="BG444">
        <v>0</v>
      </c>
      <c r="BH444" t="s">
        <v>1729</v>
      </c>
      <c r="BJ444" t="s">
        <v>7362</v>
      </c>
      <c r="BK444">
        <v>0</v>
      </c>
      <c r="BL444">
        <v>0</v>
      </c>
      <c r="BM444">
        <v>0</v>
      </c>
      <c r="BN444">
        <v>0</v>
      </c>
      <c r="BO444">
        <v>169</v>
      </c>
      <c r="BP444">
        <v>11</v>
      </c>
      <c r="BQ444">
        <v>1</v>
      </c>
      <c r="BR444" t="s">
        <v>7364</v>
      </c>
      <c r="BS444" t="s">
        <v>7386</v>
      </c>
      <c r="BT444" t="s">
        <v>7360</v>
      </c>
      <c r="BU444" t="s">
        <v>7360</v>
      </c>
      <c r="BV444" t="s">
        <v>7360</v>
      </c>
      <c r="BX444">
        <v>0</v>
      </c>
      <c r="BY444">
        <v>0</v>
      </c>
      <c r="BZ444" t="s">
        <v>7360</v>
      </c>
      <c r="CA444" t="s">
        <v>7360</v>
      </c>
      <c r="CB444">
        <v>3380666</v>
      </c>
      <c r="CC444" s="21">
        <v>44979.919525462959</v>
      </c>
      <c r="CE444" t="s">
        <v>7366</v>
      </c>
      <c r="CF444">
        <v>0</v>
      </c>
      <c r="CG444">
        <v>702002</v>
      </c>
      <c r="CH444">
        <v>702002</v>
      </c>
      <c r="CI444" s="21">
        <v>44979.922164351854</v>
      </c>
      <c r="CJ444" t="s">
        <v>7367</v>
      </c>
      <c r="CK444" t="s">
        <v>7367</v>
      </c>
      <c r="CL444" t="s">
        <v>7368</v>
      </c>
      <c r="CM444" t="s">
        <v>7368</v>
      </c>
      <c r="CS444" t="s">
        <v>7361</v>
      </c>
      <c r="CT444" t="s">
        <v>7362</v>
      </c>
      <c r="CU444" t="s">
        <v>7362</v>
      </c>
      <c r="CV444" t="s">
        <v>7362</v>
      </c>
      <c r="CW444" t="s">
        <v>7362</v>
      </c>
      <c r="CX444">
        <v>8022556</v>
      </c>
      <c r="DA444">
        <v>0</v>
      </c>
    </row>
    <row r="445" spans="1:106" x14ac:dyDescent="0.3">
      <c r="A445">
        <v>1354</v>
      </c>
      <c r="B445" t="s">
        <v>7396</v>
      </c>
      <c r="C445">
        <v>471</v>
      </c>
      <c r="D445" s="20">
        <v>44980</v>
      </c>
      <c r="E445" t="s">
        <v>7356</v>
      </c>
      <c r="F445" t="s">
        <v>5940</v>
      </c>
      <c r="G445" t="s">
        <v>7370</v>
      </c>
      <c r="H445">
        <v>1</v>
      </c>
      <c r="I445" t="s">
        <v>7358</v>
      </c>
      <c r="J445">
        <v>1</v>
      </c>
      <c r="K445" s="20">
        <v>44980</v>
      </c>
      <c r="L445" s="23">
        <v>840000</v>
      </c>
      <c r="M445" t="s">
        <v>7359</v>
      </c>
      <c r="N445" t="s">
        <v>7360</v>
      </c>
      <c r="O445">
        <v>0</v>
      </c>
      <c r="P445">
        <v>12660</v>
      </c>
      <c r="Q445">
        <v>449022</v>
      </c>
      <c r="R445">
        <v>0</v>
      </c>
      <c r="S445">
        <v>20230223</v>
      </c>
      <c r="T445">
        <v>0</v>
      </c>
      <c r="U445" t="s">
        <v>7361</v>
      </c>
      <c r="V445" t="s">
        <v>7360</v>
      </c>
      <c r="W445" t="s">
        <v>7360</v>
      </c>
      <c r="X445" t="s">
        <v>7360</v>
      </c>
      <c r="Y445" t="s">
        <v>7360</v>
      </c>
      <c r="Z445" t="s">
        <v>7360</v>
      </c>
      <c r="AA445" t="s">
        <v>7362</v>
      </c>
      <c r="AB445" t="s">
        <v>7360</v>
      </c>
      <c r="AC445" t="s">
        <v>7360</v>
      </c>
      <c r="AD445" t="s">
        <v>7360</v>
      </c>
      <c r="AE445" t="s">
        <v>7360</v>
      </c>
      <c r="AF445" t="s">
        <v>1684</v>
      </c>
      <c r="AG445">
        <v>0</v>
      </c>
      <c r="AH445">
        <v>0</v>
      </c>
      <c r="AI445">
        <v>0</v>
      </c>
      <c r="AJ445">
        <v>0</v>
      </c>
      <c r="AK445">
        <v>0</v>
      </c>
      <c r="AL445" t="s">
        <v>7360</v>
      </c>
      <c r="AM445">
        <v>0</v>
      </c>
      <c r="AN445" s="20">
        <v>44980</v>
      </c>
      <c r="AO445" s="20">
        <v>44980</v>
      </c>
      <c r="AP445" s="20">
        <v>44980</v>
      </c>
      <c r="AQ445">
        <v>0</v>
      </c>
      <c r="AR445">
        <v>0</v>
      </c>
      <c r="AS445">
        <v>0</v>
      </c>
      <c r="AT445">
        <v>0</v>
      </c>
      <c r="AU445">
        <v>0</v>
      </c>
      <c r="AV445" t="s">
        <v>7360</v>
      </c>
      <c r="AW445">
        <v>0</v>
      </c>
      <c r="AX445" t="s">
        <v>7360</v>
      </c>
      <c r="AY445" t="s">
        <v>7363</v>
      </c>
      <c r="BA445">
        <v>0</v>
      </c>
      <c r="BB445" s="20">
        <v>44980</v>
      </c>
      <c r="BC445">
        <v>0</v>
      </c>
      <c r="BD445" t="s">
        <v>7360</v>
      </c>
      <c r="BF445" s="20">
        <v>44980</v>
      </c>
      <c r="BG445">
        <v>0</v>
      </c>
      <c r="BH445" t="s">
        <v>7363</v>
      </c>
      <c r="BJ445" t="s">
        <v>7362</v>
      </c>
      <c r="BK445">
        <v>169</v>
      </c>
      <c r="BL445">
        <v>11</v>
      </c>
      <c r="BM445">
        <v>1</v>
      </c>
      <c r="BN445" t="s">
        <v>7364</v>
      </c>
      <c r="BO445">
        <v>169</v>
      </c>
      <c r="BP445">
        <v>11</v>
      </c>
      <c r="BQ445">
        <v>1</v>
      </c>
      <c r="BR445" t="s">
        <v>7364</v>
      </c>
      <c r="BS445" t="s">
        <v>7427</v>
      </c>
      <c r="BT445" t="s">
        <v>7360</v>
      </c>
      <c r="BU445" t="s">
        <v>7360</v>
      </c>
      <c r="BV445" t="s">
        <v>7360</v>
      </c>
      <c r="BX445" t="s">
        <v>7391</v>
      </c>
      <c r="BY445">
        <v>74</v>
      </c>
      <c r="BZ445" t="s">
        <v>7360</v>
      </c>
      <c r="CA445" t="s">
        <v>7360</v>
      </c>
      <c r="CB445">
        <v>3380666</v>
      </c>
      <c r="CC445" s="21">
        <v>44980.32613425926</v>
      </c>
      <c r="CE445" t="s">
        <v>7392</v>
      </c>
      <c r="CF445">
        <v>1100101</v>
      </c>
      <c r="CG445">
        <v>51669</v>
      </c>
      <c r="CH445">
        <v>51669</v>
      </c>
      <c r="CI445" s="21">
        <v>44980.327245370368</v>
      </c>
      <c r="CJ445" t="s">
        <v>7406</v>
      </c>
      <c r="CK445" t="s">
        <v>7406</v>
      </c>
      <c r="CL445" t="s">
        <v>7407</v>
      </c>
      <c r="CM445" t="s">
        <v>7407</v>
      </c>
      <c r="CS445" t="s">
        <v>7361</v>
      </c>
      <c r="CT445" t="s">
        <v>7362</v>
      </c>
      <c r="CU445" t="s">
        <v>7362</v>
      </c>
      <c r="CV445" t="s">
        <v>7362</v>
      </c>
      <c r="CW445" t="s">
        <v>7362</v>
      </c>
      <c r="CX445">
        <v>840000</v>
      </c>
      <c r="DA445">
        <v>0</v>
      </c>
    </row>
    <row r="446" spans="1:106" x14ac:dyDescent="0.3">
      <c r="A446">
        <v>1354</v>
      </c>
      <c r="B446" t="s">
        <v>7396</v>
      </c>
      <c r="C446">
        <v>472</v>
      </c>
      <c r="D446" s="20">
        <v>44980</v>
      </c>
      <c r="E446" t="s">
        <v>7372</v>
      </c>
      <c r="F446" t="s">
        <v>5945</v>
      </c>
      <c r="G446" t="s">
        <v>7370</v>
      </c>
      <c r="H446">
        <v>1</v>
      </c>
      <c r="I446" t="s">
        <v>7358</v>
      </c>
      <c r="J446">
        <v>1</v>
      </c>
      <c r="K446" s="20">
        <v>44980</v>
      </c>
      <c r="L446" s="23">
        <v>1400000</v>
      </c>
      <c r="M446" t="s">
        <v>7359</v>
      </c>
      <c r="N446" t="s">
        <v>7360</v>
      </c>
      <c r="O446">
        <v>0</v>
      </c>
      <c r="P446">
        <v>12661</v>
      </c>
      <c r="Q446">
        <v>449023</v>
      </c>
      <c r="R446">
        <v>0</v>
      </c>
      <c r="S446">
        <v>20230223</v>
      </c>
      <c r="T446">
        <v>0</v>
      </c>
      <c r="U446" t="s">
        <v>7362</v>
      </c>
      <c r="V446" t="s">
        <v>7360</v>
      </c>
      <c r="W446" t="s">
        <v>7360</v>
      </c>
      <c r="X446" t="s">
        <v>7360</v>
      </c>
      <c r="Y446" t="s">
        <v>7360</v>
      </c>
      <c r="Z446" t="s">
        <v>7360</v>
      </c>
      <c r="AA446" t="s">
        <v>7362</v>
      </c>
      <c r="AB446" t="s">
        <v>7360</v>
      </c>
      <c r="AC446" t="s">
        <v>7360</v>
      </c>
      <c r="AD446" t="s">
        <v>7360</v>
      </c>
      <c r="AE446" t="s">
        <v>7360</v>
      </c>
      <c r="AF446" t="s">
        <v>1684</v>
      </c>
      <c r="AG446">
        <v>0</v>
      </c>
      <c r="AH446">
        <v>0</v>
      </c>
      <c r="AI446">
        <v>0</v>
      </c>
      <c r="AJ446">
        <v>0</v>
      </c>
      <c r="AK446">
        <v>0</v>
      </c>
      <c r="AL446" t="s">
        <v>7360</v>
      </c>
      <c r="AM446">
        <v>0</v>
      </c>
      <c r="AN446" s="20">
        <v>44980</v>
      </c>
      <c r="AO446" s="20">
        <v>44980</v>
      </c>
      <c r="AP446" s="20">
        <v>44980</v>
      </c>
      <c r="AQ446">
        <v>0</v>
      </c>
      <c r="AR446">
        <v>0</v>
      </c>
      <c r="AS446">
        <v>0</v>
      </c>
      <c r="AT446">
        <v>0</v>
      </c>
      <c r="AU446">
        <v>0</v>
      </c>
      <c r="AV446" t="s">
        <v>7360</v>
      </c>
      <c r="AW446">
        <v>0</v>
      </c>
      <c r="AX446" t="s">
        <v>7360</v>
      </c>
      <c r="AY446" t="s">
        <v>7362</v>
      </c>
      <c r="BA446">
        <v>0</v>
      </c>
      <c r="BB446" s="20">
        <v>44980</v>
      </c>
      <c r="BC446">
        <v>0</v>
      </c>
      <c r="BD446" t="s">
        <v>7360</v>
      </c>
      <c r="BF446" s="20">
        <v>44980</v>
      </c>
      <c r="BG446">
        <v>0</v>
      </c>
      <c r="BH446" t="s">
        <v>7363</v>
      </c>
      <c r="BJ446" t="s">
        <v>7362</v>
      </c>
      <c r="BK446">
        <v>169</v>
      </c>
      <c r="BL446">
        <v>11</v>
      </c>
      <c r="BM446">
        <v>1</v>
      </c>
      <c r="BN446" t="s">
        <v>7364</v>
      </c>
      <c r="BO446">
        <v>169</v>
      </c>
      <c r="BP446">
        <v>11</v>
      </c>
      <c r="BQ446">
        <v>1</v>
      </c>
      <c r="BR446" t="s">
        <v>7364</v>
      </c>
      <c r="BS446" t="s">
        <v>7427</v>
      </c>
      <c r="BT446" t="s">
        <v>7360</v>
      </c>
      <c r="BU446" t="s">
        <v>7360</v>
      </c>
      <c r="BV446" t="s">
        <v>7360</v>
      </c>
      <c r="BX446" t="s">
        <v>7391</v>
      </c>
      <c r="BY446">
        <v>74</v>
      </c>
      <c r="BZ446" t="s">
        <v>7360</v>
      </c>
      <c r="CA446" t="s">
        <v>7360</v>
      </c>
      <c r="CB446">
        <v>3380666</v>
      </c>
      <c r="CC446" s="21">
        <v>44980.334699074076</v>
      </c>
      <c r="CE446" t="s">
        <v>7392</v>
      </c>
      <c r="CF446">
        <v>1100101</v>
      </c>
      <c r="CG446">
        <v>51669</v>
      </c>
      <c r="CH446">
        <v>51669</v>
      </c>
      <c r="CI446" s="21">
        <v>44980.335451388892</v>
      </c>
      <c r="CJ446" t="s">
        <v>7406</v>
      </c>
      <c r="CK446" t="s">
        <v>7406</v>
      </c>
      <c r="CL446" t="s">
        <v>7407</v>
      </c>
      <c r="CM446" t="s">
        <v>7407</v>
      </c>
      <c r="CS446" t="s">
        <v>7361</v>
      </c>
      <c r="CT446" t="s">
        <v>7362</v>
      </c>
      <c r="CU446" t="s">
        <v>7362</v>
      </c>
      <c r="CV446" t="s">
        <v>7362</v>
      </c>
      <c r="CW446" t="s">
        <v>7362</v>
      </c>
      <c r="CX446">
        <v>1400000</v>
      </c>
      <c r="DA446">
        <v>0</v>
      </c>
    </row>
    <row r="447" spans="1:106" x14ac:dyDescent="0.3">
      <c r="A447">
        <v>1354</v>
      </c>
      <c r="B447" t="s">
        <v>7396</v>
      </c>
      <c r="C447">
        <v>473</v>
      </c>
      <c r="D447" s="20">
        <v>44980</v>
      </c>
      <c r="E447" t="s">
        <v>7356</v>
      </c>
      <c r="F447" t="s">
        <v>5950</v>
      </c>
      <c r="G447" t="s">
        <v>7370</v>
      </c>
      <c r="H447">
        <v>1</v>
      </c>
      <c r="I447" t="s">
        <v>7358</v>
      </c>
      <c r="J447">
        <v>1</v>
      </c>
      <c r="K447" s="20">
        <v>44980</v>
      </c>
      <c r="L447" s="23">
        <v>1400000</v>
      </c>
      <c r="M447" t="s">
        <v>7359</v>
      </c>
      <c r="N447" t="s">
        <v>7360</v>
      </c>
      <c r="O447">
        <v>0</v>
      </c>
      <c r="P447">
        <v>12663</v>
      </c>
      <c r="Q447">
        <v>449025</v>
      </c>
      <c r="R447">
        <v>0</v>
      </c>
      <c r="S447">
        <v>20230223</v>
      </c>
      <c r="T447">
        <v>0</v>
      </c>
      <c r="U447" t="s">
        <v>7361</v>
      </c>
      <c r="V447" t="s">
        <v>7360</v>
      </c>
      <c r="W447" t="s">
        <v>7360</v>
      </c>
      <c r="X447" t="s">
        <v>7360</v>
      </c>
      <c r="Y447" t="s">
        <v>7360</v>
      </c>
      <c r="Z447" t="s">
        <v>7360</v>
      </c>
      <c r="AA447" t="s">
        <v>7362</v>
      </c>
      <c r="AB447" t="s">
        <v>7360</v>
      </c>
      <c r="AC447" t="s">
        <v>7360</v>
      </c>
      <c r="AD447" t="s">
        <v>7360</v>
      </c>
      <c r="AE447" t="s">
        <v>7360</v>
      </c>
      <c r="AF447" t="s">
        <v>1684</v>
      </c>
      <c r="AG447">
        <v>0</v>
      </c>
      <c r="AH447">
        <v>0</v>
      </c>
      <c r="AI447">
        <v>0</v>
      </c>
      <c r="AJ447">
        <v>0</v>
      </c>
      <c r="AK447">
        <v>0</v>
      </c>
      <c r="AL447" t="s">
        <v>7360</v>
      </c>
      <c r="AM447">
        <v>0</v>
      </c>
      <c r="AN447" s="20">
        <v>44980</v>
      </c>
      <c r="AO447" s="20">
        <v>44980</v>
      </c>
      <c r="AP447" s="20">
        <v>44980</v>
      </c>
      <c r="AQ447">
        <v>0</v>
      </c>
      <c r="AR447">
        <v>0</v>
      </c>
      <c r="AS447">
        <v>0</v>
      </c>
      <c r="AT447">
        <v>0</v>
      </c>
      <c r="AU447">
        <v>0</v>
      </c>
      <c r="AV447" t="s">
        <v>7360</v>
      </c>
      <c r="AW447">
        <v>0</v>
      </c>
      <c r="AX447" t="s">
        <v>7360</v>
      </c>
      <c r="AY447" t="s">
        <v>7363</v>
      </c>
      <c r="BA447">
        <v>0</v>
      </c>
      <c r="BB447" s="20">
        <v>44980</v>
      </c>
      <c r="BC447">
        <v>0</v>
      </c>
      <c r="BD447" t="s">
        <v>7360</v>
      </c>
      <c r="BF447" s="20">
        <v>44980</v>
      </c>
      <c r="BG447">
        <v>0</v>
      </c>
      <c r="BH447" t="s">
        <v>7363</v>
      </c>
      <c r="BJ447" t="s">
        <v>7362</v>
      </c>
      <c r="BK447">
        <v>169</v>
      </c>
      <c r="BL447">
        <v>11</v>
      </c>
      <c r="BM447">
        <v>1</v>
      </c>
      <c r="BN447" t="s">
        <v>7364</v>
      </c>
      <c r="BO447">
        <v>169</v>
      </c>
      <c r="BP447">
        <v>11</v>
      </c>
      <c r="BQ447">
        <v>1</v>
      </c>
      <c r="BR447" t="s">
        <v>7364</v>
      </c>
      <c r="BS447" t="s">
        <v>7427</v>
      </c>
      <c r="BT447" t="s">
        <v>7360</v>
      </c>
      <c r="BU447" t="s">
        <v>7360</v>
      </c>
      <c r="BV447" t="s">
        <v>7360</v>
      </c>
      <c r="BX447" t="s">
        <v>7391</v>
      </c>
      <c r="BY447">
        <v>74</v>
      </c>
      <c r="BZ447" t="s">
        <v>7360</v>
      </c>
      <c r="CA447" t="s">
        <v>7360</v>
      </c>
      <c r="CB447">
        <v>3380666</v>
      </c>
      <c r="CC447" s="21">
        <v>44980.339155092595</v>
      </c>
      <c r="CE447" t="s">
        <v>7392</v>
      </c>
      <c r="CF447">
        <v>1100101</v>
      </c>
      <c r="CG447">
        <v>51669</v>
      </c>
      <c r="CH447">
        <v>51669</v>
      </c>
      <c r="CI447" s="21">
        <v>44980.339872685188</v>
      </c>
      <c r="CJ447" t="s">
        <v>7406</v>
      </c>
      <c r="CK447" t="s">
        <v>7406</v>
      </c>
      <c r="CL447" t="s">
        <v>7407</v>
      </c>
      <c r="CM447" t="s">
        <v>7407</v>
      </c>
      <c r="CS447" t="s">
        <v>7361</v>
      </c>
      <c r="CT447" t="s">
        <v>7362</v>
      </c>
      <c r="CU447" t="s">
        <v>7362</v>
      </c>
      <c r="CV447" t="s">
        <v>7362</v>
      </c>
      <c r="CW447" t="s">
        <v>7362</v>
      </c>
      <c r="CX447">
        <v>1400000</v>
      </c>
      <c r="DA447">
        <v>0</v>
      </c>
    </row>
    <row r="448" spans="1:106" x14ac:dyDescent="0.3">
      <c r="A448">
        <v>1354</v>
      </c>
      <c r="B448" t="s">
        <v>7396</v>
      </c>
      <c r="C448">
        <v>474</v>
      </c>
      <c r="D448" s="20">
        <v>44980</v>
      </c>
      <c r="E448" t="s">
        <v>7356</v>
      </c>
      <c r="F448" t="s">
        <v>5956</v>
      </c>
      <c r="G448" t="s">
        <v>7370</v>
      </c>
      <c r="H448">
        <v>1</v>
      </c>
      <c r="I448" t="s">
        <v>7358</v>
      </c>
      <c r="J448">
        <v>1</v>
      </c>
      <c r="K448" s="20">
        <v>44980</v>
      </c>
      <c r="L448" s="23">
        <v>560000</v>
      </c>
      <c r="M448" t="s">
        <v>7359</v>
      </c>
      <c r="N448" t="s">
        <v>7360</v>
      </c>
      <c r="O448">
        <v>0</v>
      </c>
      <c r="P448">
        <v>12664</v>
      </c>
      <c r="Q448">
        <v>449027</v>
      </c>
      <c r="R448">
        <v>0</v>
      </c>
      <c r="S448">
        <v>20230223</v>
      </c>
      <c r="T448">
        <v>0</v>
      </c>
      <c r="U448" t="s">
        <v>7361</v>
      </c>
      <c r="V448" t="s">
        <v>7360</v>
      </c>
      <c r="W448" t="s">
        <v>7360</v>
      </c>
      <c r="X448" t="s">
        <v>7360</v>
      </c>
      <c r="Y448" t="s">
        <v>7360</v>
      </c>
      <c r="Z448" t="s">
        <v>7360</v>
      </c>
      <c r="AA448" t="s">
        <v>7362</v>
      </c>
      <c r="AB448" t="s">
        <v>7360</v>
      </c>
      <c r="AC448" t="s">
        <v>7360</v>
      </c>
      <c r="AD448" t="s">
        <v>7360</v>
      </c>
      <c r="AE448" t="s">
        <v>7360</v>
      </c>
      <c r="AF448" t="s">
        <v>1684</v>
      </c>
      <c r="AG448">
        <v>0</v>
      </c>
      <c r="AH448">
        <v>0</v>
      </c>
      <c r="AI448">
        <v>0</v>
      </c>
      <c r="AJ448">
        <v>0</v>
      </c>
      <c r="AK448">
        <v>0</v>
      </c>
      <c r="AL448" t="s">
        <v>7360</v>
      </c>
      <c r="AM448">
        <v>0</v>
      </c>
      <c r="AN448" s="20">
        <v>44980</v>
      </c>
      <c r="AO448" s="20">
        <v>44980</v>
      </c>
      <c r="AP448" s="20">
        <v>44980</v>
      </c>
      <c r="AQ448">
        <v>0</v>
      </c>
      <c r="AR448">
        <v>0</v>
      </c>
      <c r="AS448">
        <v>0</v>
      </c>
      <c r="AT448">
        <v>0</v>
      </c>
      <c r="AU448">
        <v>0</v>
      </c>
      <c r="AV448" t="s">
        <v>7360</v>
      </c>
      <c r="AW448">
        <v>0</v>
      </c>
      <c r="AX448" t="s">
        <v>7360</v>
      </c>
      <c r="AY448" t="s">
        <v>7363</v>
      </c>
      <c r="BA448">
        <v>0</v>
      </c>
      <c r="BB448" s="20">
        <v>44980</v>
      </c>
      <c r="BC448">
        <v>0</v>
      </c>
      <c r="BD448" t="s">
        <v>7360</v>
      </c>
      <c r="BF448" s="20">
        <v>44980</v>
      </c>
      <c r="BG448">
        <v>0</v>
      </c>
      <c r="BH448" t="s">
        <v>7363</v>
      </c>
      <c r="BJ448" t="s">
        <v>7362</v>
      </c>
      <c r="BK448">
        <v>169</v>
      </c>
      <c r="BL448">
        <v>11</v>
      </c>
      <c r="BM448">
        <v>1</v>
      </c>
      <c r="BN448" t="s">
        <v>7364</v>
      </c>
      <c r="BO448">
        <v>169</v>
      </c>
      <c r="BP448">
        <v>11</v>
      </c>
      <c r="BQ448">
        <v>1</v>
      </c>
      <c r="BR448" t="s">
        <v>7364</v>
      </c>
      <c r="BS448" t="s">
        <v>7427</v>
      </c>
      <c r="BT448" t="s">
        <v>7360</v>
      </c>
      <c r="BU448" t="s">
        <v>7360</v>
      </c>
      <c r="BV448" t="s">
        <v>7360</v>
      </c>
      <c r="BX448" t="s">
        <v>7391</v>
      </c>
      <c r="BY448">
        <v>74</v>
      </c>
      <c r="BZ448" t="s">
        <v>7360</v>
      </c>
      <c r="CA448" t="s">
        <v>7360</v>
      </c>
      <c r="CB448">
        <v>3380666</v>
      </c>
      <c r="CC448" s="21">
        <v>44980.345648148148</v>
      </c>
      <c r="CE448" t="s">
        <v>7392</v>
      </c>
      <c r="CF448">
        <v>1100101</v>
      </c>
      <c r="CG448">
        <v>51669</v>
      </c>
      <c r="CH448">
        <v>51669</v>
      </c>
      <c r="CI448" s="21">
        <v>44980.346643518518</v>
      </c>
      <c r="CJ448" t="s">
        <v>7406</v>
      </c>
      <c r="CK448" t="s">
        <v>7406</v>
      </c>
      <c r="CL448" t="s">
        <v>7407</v>
      </c>
      <c r="CM448" t="s">
        <v>7407</v>
      </c>
      <c r="CS448" t="s">
        <v>7361</v>
      </c>
      <c r="CT448" t="s">
        <v>7362</v>
      </c>
      <c r="CU448" t="s">
        <v>7362</v>
      </c>
      <c r="CV448" t="s">
        <v>7362</v>
      </c>
      <c r="CW448" t="s">
        <v>7362</v>
      </c>
      <c r="CX448">
        <v>560000</v>
      </c>
      <c r="DA448">
        <v>0</v>
      </c>
    </row>
    <row r="449" spans="1:106" x14ac:dyDescent="0.3">
      <c r="A449">
        <v>1354</v>
      </c>
      <c r="B449" t="s">
        <v>7396</v>
      </c>
      <c r="C449">
        <v>475</v>
      </c>
      <c r="D449" s="20">
        <v>44980</v>
      </c>
      <c r="E449" t="s">
        <v>7356</v>
      </c>
      <c r="F449" t="s">
        <v>5961</v>
      </c>
      <c r="G449" t="s">
        <v>7370</v>
      </c>
      <c r="H449">
        <v>1</v>
      </c>
      <c r="I449" t="s">
        <v>7358</v>
      </c>
      <c r="J449">
        <v>1</v>
      </c>
      <c r="K449" s="20">
        <v>44980</v>
      </c>
      <c r="L449" s="23">
        <v>840000</v>
      </c>
      <c r="M449" t="s">
        <v>7359</v>
      </c>
      <c r="N449" t="s">
        <v>7360</v>
      </c>
      <c r="O449">
        <v>0</v>
      </c>
      <c r="P449">
        <v>12655</v>
      </c>
      <c r="Q449">
        <v>449019</v>
      </c>
      <c r="R449">
        <v>0</v>
      </c>
      <c r="S449">
        <v>20230223</v>
      </c>
      <c r="T449">
        <v>0</v>
      </c>
      <c r="U449" t="s">
        <v>7361</v>
      </c>
      <c r="V449" t="s">
        <v>7360</v>
      </c>
      <c r="W449" t="s">
        <v>7360</v>
      </c>
      <c r="X449" t="s">
        <v>7360</v>
      </c>
      <c r="Y449" t="s">
        <v>7360</v>
      </c>
      <c r="Z449" t="s">
        <v>7360</v>
      </c>
      <c r="AA449" t="s">
        <v>7362</v>
      </c>
      <c r="AB449" t="s">
        <v>7360</v>
      </c>
      <c r="AC449" t="s">
        <v>7360</v>
      </c>
      <c r="AD449" t="s">
        <v>7360</v>
      </c>
      <c r="AE449" t="s">
        <v>7360</v>
      </c>
      <c r="AF449" t="s">
        <v>1684</v>
      </c>
      <c r="AG449">
        <v>0</v>
      </c>
      <c r="AH449">
        <v>0</v>
      </c>
      <c r="AI449">
        <v>0</v>
      </c>
      <c r="AJ449">
        <v>0</v>
      </c>
      <c r="AK449">
        <v>0</v>
      </c>
      <c r="AL449" t="s">
        <v>7360</v>
      </c>
      <c r="AM449">
        <v>0</v>
      </c>
      <c r="AN449" s="20">
        <v>44980</v>
      </c>
      <c r="AO449" s="20">
        <v>44980</v>
      </c>
      <c r="AP449" s="20">
        <v>44980</v>
      </c>
      <c r="AQ449">
        <v>0</v>
      </c>
      <c r="AR449">
        <v>0</v>
      </c>
      <c r="AS449">
        <v>0</v>
      </c>
      <c r="AT449">
        <v>0</v>
      </c>
      <c r="AU449">
        <v>0</v>
      </c>
      <c r="AV449" t="s">
        <v>7360</v>
      </c>
      <c r="AW449">
        <v>0</v>
      </c>
      <c r="AX449" t="s">
        <v>7360</v>
      </c>
      <c r="AY449" t="s">
        <v>7363</v>
      </c>
      <c r="BA449">
        <v>0</v>
      </c>
      <c r="BB449" s="20">
        <v>44980</v>
      </c>
      <c r="BC449">
        <v>0</v>
      </c>
      <c r="BD449" t="s">
        <v>7360</v>
      </c>
      <c r="BF449" s="20">
        <v>44980</v>
      </c>
      <c r="BG449">
        <v>0</v>
      </c>
      <c r="BH449" t="s">
        <v>7363</v>
      </c>
      <c r="BJ449" t="s">
        <v>7362</v>
      </c>
      <c r="BK449">
        <v>169</v>
      </c>
      <c r="BL449">
        <v>11</v>
      </c>
      <c r="BM449">
        <v>1</v>
      </c>
      <c r="BN449" t="s">
        <v>7364</v>
      </c>
      <c r="BO449">
        <v>169</v>
      </c>
      <c r="BP449">
        <v>11</v>
      </c>
      <c r="BQ449">
        <v>1</v>
      </c>
      <c r="BR449" t="s">
        <v>7364</v>
      </c>
      <c r="BS449" t="s">
        <v>7427</v>
      </c>
      <c r="BT449" t="s">
        <v>7360</v>
      </c>
      <c r="BU449" t="s">
        <v>7360</v>
      </c>
      <c r="BV449" t="s">
        <v>7360</v>
      </c>
      <c r="BX449" t="s">
        <v>7391</v>
      </c>
      <c r="BY449">
        <v>74</v>
      </c>
      <c r="BZ449" t="s">
        <v>7360</v>
      </c>
      <c r="CA449" t="s">
        <v>7360</v>
      </c>
      <c r="CB449">
        <v>3380666</v>
      </c>
      <c r="CC449" s="21">
        <v>44980.357222222221</v>
      </c>
      <c r="CE449" t="s">
        <v>7392</v>
      </c>
      <c r="CF449">
        <v>1100101</v>
      </c>
      <c r="CG449">
        <v>51669</v>
      </c>
      <c r="CH449">
        <v>51669</v>
      </c>
      <c r="CI449" s="21">
        <v>44980.357881944445</v>
      </c>
      <c r="CJ449" t="s">
        <v>7406</v>
      </c>
      <c r="CK449" t="s">
        <v>7406</v>
      </c>
      <c r="CL449" t="s">
        <v>7407</v>
      </c>
      <c r="CM449" t="s">
        <v>7407</v>
      </c>
      <c r="CS449" t="s">
        <v>7361</v>
      </c>
      <c r="CT449" t="s">
        <v>7362</v>
      </c>
      <c r="CU449" t="s">
        <v>7362</v>
      </c>
      <c r="CV449" t="s">
        <v>7362</v>
      </c>
      <c r="CW449" t="s">
        <v>7362</v>
      </c>
      <c r="CX449">
        <v>840000</v>
      </c>
      <c r="DA449">
        <v>0</v>
      </c>
    </row>
    <row r="450" spans="1:106" x14ac:dyDescent="0.3">
      <c r="A450">
        <v>1354</v>
      </c>
      <c r="B450" t="s">
        <v>7396</v>
      </c>
      <c r="C450">
        <v>476</v>
      </c>
      <c r="D450" s="20">
        <v>44979</v>
      </c>
      <c r="E450" t="s">
        <v>7356</v>
      </c>
      <c r="F450" t="s">
        <v>5966</v>
      </c>
      <c r="G450" t="s">
        <v>7370</v>
      </c>
      <c r="H450">
        <v>1</v>
      </c>
      <c r="I450" t="s">
        <v>7358</v>
      </c>
      <c r="J450">
        <v>1</v>
      </c>
      <c r="K450" s="20">
        <v>44980</v>
      </c>
      <c r="L450" s="23">
        <v>840000</v>
      </c>
      <c r="M450" t="s">
        <v>7359</v>
      </c>
      <c r="N450" t="s">
        <v>7360</v>
      </c>
      <c r="O450">
        <v>0</v>
      </c>
      <c r="P450">
        <v>12679</v>
      </c>
      <c r="Q450">
        <v>449041</v>
      </c>
      <c r="R450">
        <v>0</v>
      </c>
      <c r="S450">
        <v>20230222</v>
      </c>
      <c r="T450">
        <v>0</v>
      </c>
      <c r="U450" t="s">
        <v>7361</v>
      </c>
      <c r="V450" t="s">
        <v>7360</v>
      </c>
      <c r="W450" t="s">
        <v>7360</v>
      </c>
      <c r="X450" t="s">
        <v>7360</v>
      </c>
      <c r="Y450" t="s">
        <v>7360</v>
      </c>
      <c r="Z450" t="s">
        <v>7360</v>
      </c>
      <c r="AA450" t="s">
        <v>7362</v>
      </c>
      <c r="AB450" t="s">
        <v>7360</v>
      </c>
      <c r="AC450" t="s">
        <v>7360</v>
      </c>
      <c r="AD450" t="s">
        <v>7360</v>
      </c>
      <c r="AE450" t="s">
        <v>7360</v>
      </c>
      <c r="AF450" t="s">
        <v>1684</v>
      </c>
      <c r="AG450">
        <v>0</v>
      </c>
      <c r="AH450">
        <v>0</v>
      </c>
      <c r="AI450">
        <v>0</v>
      </c>
      <c r="AJ450">
        <v>0</v>
      </c>
      <c r="AK450">
        <v>0</v>
      </c>
      <c r="AL450" t="s">
        <v>7360</v>
      </c>
      <c r="AM450">
        <v>0</v>
      </c>
      <c r="AN450" s="20">
        <v>44980</v>
      </c>
      <c r="AO450" s="20">
        <v>44980</v>
      </c>
      <c r="AP450" s="20">
        <v>44980</v>
      </c>
      <c r="AQ450">
        <v>0</v>
      </c>
      <c r="AR450">
        <v>0</v>
      </c>
      <c r="AS450">
        <v>0</v>
      </c>
      <c r="AT450">
        <v>0</v>
      </c>
      <c r="AU450">
        <v>0</v>
      </c>
      <c r="AV450" t="s">
        <v>7360</v>
      </c>
      <c r="AW450">
        <v>0</v>
      </c>
      <c r="AX450" t="s">
        <v>7360</v>
      </c>
      <c r="AY450" t="s">
        <v>7363</v>
      </c>
      <c r="BA450">
        <v>0</v>
      </c>
      <c r="BB450" s="20">
        <v>44980</v>
      </c>
      <c r="BC450">
        <v>0</v>
      </c>
      <c r="BD450" t="s">
        <v>7360</v>
      </c>
      <c r="BF450" s="20">
        <v>44980</v>
      </c>
      <c r="BG450">
        <v>0</v>
      </c>
      <c r="BH450" t="s">
        <v>7363</v>
      </c>
      <c r="BJ450" t="s">
        <v>7362</v>
      </c>
      <c r="BK450">
        <v>169</v>
      </c>
      <c r="BL450">
        <v>11</v>
      </c>
      <c r="BM450">
        <v>1</v>
      </c>
      <c r="BN450" t="s">
        <v>7364</v>
      </c>
      <c r="BO450">
        <v>0</v>
      </c>
      <c r="BP450">
        <v>0</v>
      </c>
      <c r="BQ450">
        <v>0</v>
      </c>
      <c r="BR450">
        <v>0</v>
      </c>
      <c r="BS450" t="s">
        <v>7427</v>
      </c>
      <c r="BT450" t="s">
        <v>7360</v>
      </c>
      <c r="BU450" t="s">
        <v>7360</v>
      </c>
      <c r="BV450" t="s">
        <v>7360</v>
      </c>
      <c r="BX450" t="s">
        <v>7391</v>
      </c>
      <c r="BY450">
        <v>74</v>
      </c>
      <c r="BZ450" t="s">
        <v>7360</v>
      </c>
      <c r="CA450" t="s">
        <v>7360</v>
      </c>
      <c r="CB450" t="s">
        <v>7360</v>
      </c>
      <c r="CC450" s="21">
        <v>44980.522418981483</v>
      </c>
      <c r="CE450" t="s">
        <v>7392</v>
      </c>
      <c r="CF450">
        <v>1100101</v>
      </c>
      <c r="CG450">
        <v>53575</v>
      </c>
      <c r="CH450">
        <v>53575</v>
      </c>
      <c r="CI450" s="21">
        <v>44980.524641203701</v>
      </c>
      <c r="CJ450" t="s">
        <v>7393</v>
      </c>
      <c r="CK450" t="s">
        <v>7393</v>
      </c>
      <c r="CL450" t="s">
        <v>7394</v>
      </c>
      <c r="CM450" t="s">
        <v>7394</v>
      </c>
      <c r="CS450" t="s">
        <v>7361</v>
      </c>
      <c r="CT450" t="s">
        <v>7362</v>
      </c>
      <c r="CU450" t="s">
        <v>7362</v>
      </c>
      <c r="CV450" t="s">
        <v>7362</v>
      </c>
      <c r="CW450" t="s">
        <v>7362</v>
      </c>
      <c r="CX450">
        <v>840000</v>
      </c>
      <c r="DA450">
        <v>0</v>
      </c>
    </row>
    <row r="451" spans="1:106" x14ac:dyDescent="0.3">
      <c r="A451">
        <v>1356</v>
      </c>
      <c r="B451" t="s">
        <v>7402</v>
      </c>
      <c r="C451">
        <v>477</v>
      </c>
      <c r="D451" s="20">
        <v>44980</v>
      </c>
      <c r="E451" t="s">
        <v>7356</v>
      </c>
      <c r="F451" t="s">
        <v>5972</v>
      </c>
      <c r="G451" t="s">
        <v>7377</v>
      </c>
      <c r="H451">
        <v>1</v>
      </c>
      <c r="I451" t="s">
        <v>7358</v>
      </c>
      <c r="J451">
        <v>1</v>
      </c>
      <c r="K451" s="20">
        <v>44980</v>
      </c>
      <c r="L451" s="23">
        <v>2512548</v>
      </c>
      <c r="M451" t="s">
        <v>7403</v>
      </c>
      <c r="N451" t="s">
        <v>7360</v>
      </c>
      <c r="O451">
        <v>0</v>
      </c>
      <c r="P451">
        <v>12614</v>
      </c>
      <c r="Q451">
        <v>134011</v>
      </c>
      <c r="R451">
        <v>0</v>
      </c>
      <c r="S451">
        <v>20230223</v>
      </c>
      <c r="T451">
        <v>0</v>
      </c>
      <c r="U451" t="s">
        <v>7361</v>
      </c>
      <c r="V451" t="s">
        <v>7360</v>
      </c>
      <c r="W451" t="s">
        <v>7360</v>
      </c>
      <c r="X451" t="s">
        <v>7360</v>
      </c>
      <c r="Y451" t="s">
        <v>7360</v>
      </c>
      <c r="Z451" t="s">
        <v>7360</v>
      </c>
      <c r="AA451" t="s">
        <v>7362</v>
      </c>
      <c r="AB451" t="s">
        <v>7360</v>
      </c>
      <c r="AC451" t="s">
        <v>7360</v>
      </c>
      <c r="AD451" t="s">
        <v>7360</v>
      </c>
      <c r="AE451" t="s">
        <v>7360</v>
      </c>
      <c r="AF451" t="s">
        <v>1684</v>
      </c>
      <c r="AG451">
        <v>0</v>
      </c>
      <c r="AH451">
        <v>0</v>
      </c>
      <c r="AI451">
        <v>0</v>
      </c>
      <c r="AJ451">
        <v>0</v>
      </c>
      <c r="AK451">
        <v>0</v>
      </c>
      <c r="AL451" t="s">
        <v>7360</v>
      </c>
      <c r="AM451">
        <v>0</v>
      </c>
      <c r="AN451" s="20">
        <v>44980</v>
      </c>
      <c r="AO451" s="20">
        <v>44980</v>
      </c>
      <c r="AP451" s="20">
        <v>44980</v>
      </c>
      <c r="AQ451">
        <v>0</v>
      </c>
      <c r="AR451">
        <v>0</v>
      </c>
      <c r="AS451">
        <v>0</v>
      </c>
      <c r="AT451">
        <v>0</v>
      </c>
      <c r="AU451">
        <v>0</v>
      </c>
      <c r="AV451" t="s">
        <v>7360</v>
      </c>
      <c r="AW451">
        <v>0</v>
      </c>
      <c r="AX451" t="s">
        <v>7360</v>
      </c>
      <c r="AY451" t="s">
        <v>7363</v>
      </c>
      <c r="BA451">
        <v>0</v>
      </c>
      <c r="BB451" s="20">
        <v>44980</v>
      </c>
      <c r="BC451">
        <v>0</v>
      </c>
      <c r="BD451" t="s">
        <v>7360</v>
      </c>
      <c r="BE451">
        <v>225</v>
      </c>
      <c r="BF451" s="20">
        <v>44980</v>
      </c>
      <c r="BG451">
        <v>0</v>
      </c>
      <c r="BH451" t="s">
        <v>1729</v>
      </c>
      <c r="BJ451" t="s">
        <v>7362</v>
      </c>
      <c r="BK451">
        <v>0</v>
      </c>
      <c r="BL451">
        <v>0</v>
      </c>
      <c r="BM451">
        <v>0</v>
      </c>
      <c r="BN451">
        <v>0</v>
      </c>
      <c r="BO451">
        <v>169</v>
      </c>
      <c r="BP451">
        <v>11</v>
      </c>
      <c r="BQ451">
        <v>1</v>
      </c>
      <c r="BR451" t="s">
        <v>7364</v>
      </c>
      <c r="BS451" t="s">
        <v>7386</v>
      </c>
      <c r="BT451" t="s">
        <v>7360</v>
      </c>
      <c r="BU451" t="s">
        <v>7360</v>
      </c>
      <c r="BV451" t="s">
        <v>7360</v>
      </c>
      <c r="BX451">
        <v>0</v>
      </c>
      <c r="BY451">
        <v>0</v>
      </c>
      <c r="BZ451" t="s">
        <v>7360</v>
      </c>
      <c r="CA451" t="s">
        <v>7360</v>
      </c>
      <c r="CB451">
        <v>3380666</v>
      </c>
      <c r="CC451" s="21">
        <v>44980.528078703705</v>
      </c>
      <c r="CE451" t="s">
        <v>7366</v>
      </c>
      <c r="CF451">
        <v>0</v>
      </c>
      <c r="CG451">
        <v>702002</v>
      </c>
      <c r="CH451">
        <v>702002</v>
      </c>
      <c r="CI451" s="21">
        <v>44985.412766203706</v>
      </c>
      <c r="CJ451" t="s">
        <v>7367</v>
      </c>
      <c r="CK451" t="s">
        <v>7367</v>
      </c>
      <c r="CL451" t="s">
        <v>7368</v>
      </c>
      <c r="CM451" t="s">
        <v>7368</v>
      </c>
      <c r="CS451" t="s">
        <v>7361</v>
      </c>
      <c r="CT451" t="s">
        <v>7362</v>
      </c>
      <c r="CU451" t="s">
        <v>7362</v>
      </c>
      <c r="CV451" t="s">
        <v>7362</v>
      </c>
      <c r="CW451" t="s">
        <v>7362</v>
      </c>
      <c r="CX451">
        <v>2512548</v>
      </c>
      <c r="DA451">
        <v>0</v>
      </c>
      <c r="DB451">
        <v>134011</v>
      </c>
    </row>
    <row r="452" spans="1:106" x14ac:dyDescent="0.3">
      <c r="A452">
        <v>1354</v>
      </c>
      <c r="B452" t="s">
        <v>7396</v>
      </c>
      <c r="C452">
        <v>478</v>
      </c>
      <c r="D452" s="20">
        <v>44979</v>
      </c>
      <c r="E452" t="s">
        <v>7356</v>
      </c>
      <c r="F452" t="s">
        <v>5918</v>
      </c>
      <c r="G452" t="s">
        <v>7370</v>
      </c>
      <c r="H452">
        <v>1</v>
      </c>
      <c r="I452" t="s">
        <v>7358</v>
      </c>
      <c r="J452">
        <v>1</v>
      </c>
      <c r="K452" s="20">
        <v>44980</v>
      </c>
      <c r="L452" s="23">
        <v>840000</v>
      </c>
      <c r="M452" t="s">
        <v>7359</v>
      </c>
      <c r="N452" t="s">
        <v>7360</v>
      </c>
      <c r="O452">
        <v>0</v>
      </c>
      <c r="P452">
        <v>12681</v>
      </c>
      <c r="Q452">
        <v>449043</v>
      </c>
      <c r="R452">
        <v>0</v>
      </c>
      <c r="S452">
        <v>20230222</v>
      </c>
      <c r="T452">
        <v>0</v>
      </c>
      <c r="U452" t="s">
        <v>7361</v>
      </c>
      <c r="V452" t="s">
        <v>7360</v>
      </c>
      <c r="W452" t="s">
        <v>7360</v>
      </c>
      <c r="X452" t="s">
        <v>7360</v>
      </c>
      <c r="Y452" t="s">
        <v>7360</v>
      </c>
      <c r="Z452" t="s">
        <v>7360</v>
      </c>
      <c r="AA452" t="s">
        <v>7362</v>
      </c>
      <c r="AB452" t="s">
        <v>7360</v>
      </c>
      <c r="AC452" t="s">
        <v>7360</v>
      </c>
      <c r="AD452" t="s">
        <v>7360</v>
      </c>
      <c r="AE452" t="s">
        <v>7360</v>
      </c>
      <c r="AF452" t="s">
        <v>1684</v>
      </c>
      <c r="AG452">
        <v>0</v>
      </c>
      <c r="AH452">
        <v>0</v>
      </c>
      <c r="AI452">
        <v>0</v>
      </c>
      <c r="AJ452">
        <v>0</v>
      </c>
      <c r="AK452">
        <v>0</v>
      </c>
      <c r="AL452" t="s">
        <v>7360</v>
      </c>
      <c r="AM452">
        <v>0</v>
      </c>
      <c r="AN452" s="20">
        <v>44980</v>
      </c>
      <c r="AO452" s="20">
        <v>44980</v>
      </c>
      <c r="AP452" s="20">
        <v>44980</v>
      </c>
      <c r="AQ452">
        <v>0</v>
      </c>
      <c r="AR452">
        <v>0</v>
      </c>
      <c r="AS452">
        <v>0</v>
      </c>
      <c r="AT452">
        <v>0</v>
      </c>
      <c r="AU452">
        <v>0</v>
      </c>
      <c r="AV452" t="s">
        <v>7360</v>
      </c>
      <c r="AW452">
        <v>0</v>
      </c>
      <c r="AX452" t="s">
        <v>7360</v>
      </c>
      <c r="AY452" t="s">
        <v>7363</v>
      </c>
      <c r="BA452">
        <v>0</v>
      </c>
      <c r="BB452" s="20">
        <v>44980</v>
      </c>
      <c r="BC452">
        <v>0</v>
      </c>
      <c r="BD452" t="s">
        <v>7360</v>
      </c>
      <c r="BF452" s="20">
        <v>44980</v>
      </c>
      <c r="BG452">
        <v>0</v>
      </c>
      <c r="BH452" t="s">
        <v>7363</v>
      </c>
      <c r="BJ452" t="s">
        <v>7362</v>
      </c>
      <c r="BK452">
        <v>169</v>
      </c>
      <c r="BL452">
        <v>11</v>
      </c>
      <c r="BM452">
        <v>1</v>
      </c>
      <c r="BN452" t="s">
        <v>7364</v>
      </c>
      <c r="BO452">
        <v>0</v>
      </c>
      <c r="BP452">
        <v>0</v>
      </c>
      <c r="BQ452">
        <v>0</v>
      </c>
      <c r="BR452">
        <v>0</v>
      </c>
      <c r="BS452" t="s">
        <v>7427</v>
      </c>
      <c r="BT452" t="s">
        <v>7360</v>
      </c>
      <c r="BU452" t="s">
        <v>7360</v>
      </c>
      <c r="BV452" t="s">
        <v>7360</v>
      </c>
      <c r="BX452" t="s">
        <v>7391</v>
      </c>
      <c r="BY452">
        <v>74</v>
      </c>
      <c r="BZ452" t="s">
        <v>7360</v>
      </c>
      <c r="CA452" t="s">
        <v>7360</v>
      </c>
      <c r="CB452">
        <v>5558210</v>
      </c>
      <c r="CC452" s="21">
        <v>44980.6090625</v>
      </c>
      <c r="CE452" t="s">
        <v>7392</v>
      </c>
      <c r="CF452">
        <v>1100101</v>
      </c>
      <c r="CG452">
        <v>53575</v>
      </c>
      <c r="CH452">
        <v>53575</v>
      </c>
      <c r="CI452" s="21">
        <v>44980.611724537041</v>
      </c>
      <c r="CJ452" t="s">
        <v>7393</v>
      </c>
      <c r="CK452" t="s">
        <v>7393</v>
      </c>
      <c r="CL452" t="s">
        <v>7394</v>
      </c>
      <c r="CM452" t="s">
        <v>7394</v>
      </c>
      <c r="CS452" t="s">
        <v>7361</v>
      </c>
      <c r="CT452" t="s">
        <v>7362</v>
      </c>
      <c r="CU452" t="s">
        <v>7362</v>
      </c>
      <c r="CV452" t="s">
        <v>7362</v>
      </c>
      <c r="CW452" t="s">
        <v>7362</v>
      </c>
      <c r="CX452">
        <v>840000</v>
      </c>
      <c r="DA452">
        <v>0</v>
      </c>
    </row>
    <row r="453" spans="1:106" x14ac:dyDescent="0.3">
      <c r="A453">
        <v>1354</v>
      </c>
      <c r="B453" t="s">
        <v>7396</v>
      </c>
      <c r="C453">
        <v>479</v>
      </c>
      <c r="D453" s="20">
        <v>44980</v>
      </c>
      <c r="E453" t="s">
        <v>7356</v>
      </c>
      <c r="F453" t="s">
        <v>5924</v>
      </c>
      <c r="G453" t="s">
        <v>7370</v>
      </c>
      <c r="H453">
        <v>1</v>
      </c>
      <c r="I453" t="s">
        <v>7358</v>
      </c>
      <c r="J453">
        <v>1</v>
      </c>
      <c r="K453" s="20">
        <v>44980</v>
      </c>
      <c r="L453" s="23">
        <v>840000</v>
      </c>
      <c r="M453" t="s">
        <v>7359</v>
      </c>
      <c r="N453" t="s">
        <v>7360</v>
      </c>
      <c r="O453">
        <v>0</v>
      </c>
      <c r="P453">
        <v>12671</v>
      </c>
      <c r="Q453">
        <v>449033</v>
      </c>
      <c r="R453">
        <v>0</v>
      </c>
      <c r="S453">
        <v>20230223</v>
      </c>
      <c r="T453">
        <v>0</v>
      </c>
      <c r="U453" t="s">
        <v>7361</v>
      </c>
      <c r="V453" t="s">
        <v>7360</v>
      </c>
      <c r="W453" t="s">
        <v>7360</v>
      </c>
      <c r="X453" t="s">
        <v>7360</v>
      </c>
      <c r="Y453" t="s">
        <v>7360</v>
      </c>
      <c r="Z453" t="s">
        <v>7360</v>
      </c>
      <c r="AA453" t="s">
        <v>7362</v>
      </c>
      <c r="AB453" t="s">
        <v>7360</v>
      </c>
      <c r="AC453" t="s">
        <v>7360</v>
      </c>
      <c r="AD453" t="s">
        <v>7360</v>
      </c>
      <c r="AE453" t="s">
        <v>7360</v>
      </c>
      <c r="AF453" t="s">
        <v>1684</v>
      </c>
      <c r="AG453">
        <v>0</v>
      </c>
      <c r="AH453">
        <v>0</v>
      </c>
      <c r="AI453">
        <v>0</v>
      </c>
      <c r="AJ453">
        <v>0</v>
      </c>
      <c r="AK453">
        <v>0</v>
      </c>
      <c r="AL453" t="s">
        <v>7360</v>
      </c>
      <c r="AM453">
        <v>0</v>
      </c>
      <c r="AN453" s="20">
        <v>44980</v>
      </c>
      <c r="AO453" s="20">
        <v>44980</v>
      </c>
      <c r="AP453" s="20">
        <v>44980</v>
      </c>
      <c r="AQ453">
        <v>0</v>
      </c>
      <c r="AR453">
        <v>0</v>
      </c>
      <c r="AS453">
        <v>0</v>
      </c>
      <c r="AT453">
        <v>0</v>
      </c>
      <c r="AU453">
        <v>0</v>
      </c>
      <c r="AV453" t="s">
        <v>7360</v>
      </c>
      <c r="AW453">
        <v>0</v>
      </c>
      <c r="AX453" t="s">
        <v>7360</v>
      </c>
      <c r="AY453" t="s">
        <v>7363</v>
      </c>
      <c r="BA453">
        <v>0</v>
      </c>
      <c r="BB453" s="20">
        <v>44980</v>
      </c>
      <c r="BC453">
        <v>0</v>
      </c>
      <c r="BD453" t="s">
        <v>7360</v>
      </c>
      <c r="BF453" s="20">
        <v>44980</v>
      </c>
      <c r="BG453">
        <v>0</v>
      </c>
      <c r="BH453" t="s">
        <v>7363</v>
      </c>
      <c r="BJ453" t="s">
        <v>7362</v>
      </c>
      <c r="BK453">
        <v>169</v>
      </c>
      <c r="BL453">
        <v>11</v>
      </c>
      <c r="BM453">
        <v>1</v>
      </c>
      <c r="BN453" t="s">
        <v>7364</v>
      </c>
      <c r="BO453">
        <v>0</v>
      </c>
      <c r="BP453">
        <v>0</v>
      </c>
      <c r="BQ453">
        <v>0</v>
      </c>
      <c r="BR453">
        <v>0</v>
      </c>
      <c r="BS453" t="s">
        <v>7427</v>
      </c>
      <c r="BT453" t="s">
        <v>7360</v>
      </c>
      <c r="BU453" t="s">
        <v>7360</v>
      </c>
      <c r="BV453" t="s">
        <v>7360</v>
      </c>
      <c r="BX453" t="s">
        <v>7391</v>
      </c>
      <c r="BY453">
        <v>74</v>
      </c>
      <c r="BZ453" t="s">
        <v>7360</v>
      </c>
      <c r="CA453" t="s">
        <v>7360</v>
      </c>
      <c r="CC453" s="21">
        <v>44980.616030092591</v>
      </c>
      <c r="CE453" t="s">
        <v>7392</v>
      </c>
      <c r="CF453">
        <v>1100101</v>
      </c>
      <c r="CG453">
        <v>53575</v>
      </c>
      <c r="CH453">
        <v>53575</v>
      </c>
      <c r="CI453" s="21">
        <v>44980.616898148146</v>
      </c>
      <c r="CJ453" t="s">
        <v>7393</v>
      </c>
      <c r="CK453" t="s">
        <v>7393</v>
      </c>
      <c r="CL453" t="s">
        <v>7394</v>
      </c>
      <c r="CM453" t="s">
        <v>7394</v>
      </c>
      <c r="CS453" t="s">
        <v>7361</v>
      </c>
      <c r="CT453" t="s">
        <v>7362</v>
      </c>
      <c r="CU453" t="s">
        <v>7362</v>
      </c>
      <c r="CV453" t="s">
        <v>7362</v>
      </c>
      <c r="CW453" t="s">
        <v>7362</v>
      </c>
      <c r="CX453">
        <v>840000</v>
      </c>
      <c r="DA453">
        <v>0</v>
      </c>
    </row>
    <row r="454" spans="1:106" x14ac:dyDescent="0.3">
      <c r="A454">
        <v>1354</v>
      </c>
      <c r="B454" t="s">
        <v>7396</v>
      </c>
      <c r="C454">
        <v>480</v>
      </c>
      <c r="D454" s="20">
        <v>44980</v>
      </c>
      <c r="E454" t="s">
        <v>7356</v>
      </c>
      <c r="F454" t="s">
        <v>5929</v>
      </c>
      <c r="G454" t="s">
        <v>7370</v>
      </c>
      <c r="H454">
        <v>1</v>
      </c>
      <c r="I454" t="s">
        <v>7358</v>
      </c>
      <c r="J454">
        <v>1</v>
      </c>
      <c r="K454" s="20">
        <v>44980</v>
      </c>
      <c r="L454" s="23">
        <v>560000</v>
      </c>
      <c r="M454" t="s">
        <v>7359</v>
      </c>
      <c r="N454" t="s">
        <v>7360</v>
      </c>
      <c r="O454">
        <v>0</v>
      </c>
      <c r="P454">
        <v>12673</v>
      </c>
      <c r="Q454">
        <v>449034</v>
      </c>
      <c r="R454">
        <v>0</v>
      </c>
      <c r="S454">
        <v>20230223</v>
      </c>
      <c r="T454">
        <v>0</v>
      </c>
      <c r="U454" t="s">
        <v>7361</v>
      </c>
      <c r="V454" t="s">
        <v>7360</v>
      </c>
      <c r="W454" t="s">
        <v>7360</v>
      </c>
      <c r="X454" t="s">
        <v>7360</v>
      </c>
      <c r="Y454" t="s">
        <v>7360</v>
      </c>
      <c r="Z454" t="s">
        <v>7360</v>
      </c>
      <c r="AA454" t="s">
        <v>7362</v>
      </c>
      <c r="AB454" t="s">
        <v>7360</v>
      </c>
      <c r="AC454" t="s">
        <v>7360</v>
      </c>
      <c r="AD454" t="s">
        <v>7360</v>
      </c>
      <c r="AE454" t="s">
        <v>7360</v>
      </c>
      <c r="AF454" t="s">
        <v>1684</v>
      </c>
      <c r="AG454">
        <v>0</v>
      </c>
      <c r="AH454">
        <v>0</v>
      </c>
      <c r="AI454">
        <v>0</v>
      </c>
      <c r="AJ454">
        <v>0</v>
      </c>
      <c r="AK454">
        <v>0</v>
      </c>
      <c r="AL454" t="s">
        <v>7360</v>
      </c>
      <c r="AM454">
        <v>0</v>
      </c>
      <c r="AN454" s="20">
        <v>44980</v>
      </c>
      <c r="AO454" s="20">
        <v>44980</v>
      </c>
      <c r="AP454" s="20">
        <v>44980</v>
      </c>
      <c r="AQ454">
        <v>0</v>
      </c>
      <c r="AR454">
        <v>0</v>
      </c>
      <c r="AS454">
        <v>0</v>
      </c>
      <c r="AT454">
        <v>0</v>
      </c>
      <c r="AU454">
        <v>0</v>
      </c>
      <c r="AV454" t="s">
        <v>7360</v>
      </c>
      <c r="AW454">
        <v>0</v>
      </c>
      <c r="AX454" t="s">
        <v>7360</v>
      </c>
      <c r="AY454" t="s">
        <v>7363</v>
      </c>
      <c r="BA454">
        <v>0</v>
      </c>
      <c r="BB454" s="20">
        <v>44980</v>
      </c>
      <c r="BC454">
        <v>0</v>
      </c>
      <c r="BD454" t="s">
        <v>7360</v>
      </c>
      <c r="BF454" s="20">
        <v>44980</v>
      </c>
      <c r="BG454">
        <v>0</v>
      </c>
      <c r="BH454" t="s">
        <v>7363</v>
      </c>
      <c r="BJ454" t="s">
        <v>7362</v>
      </c>
      <c r="BK454">
        <v>169</v>
      </c>
      <c r="BL454">
        <v>11</v>
      </c>
      <c r="BM454">
        <v>1</v>
      </c>
      <c r="BN454" t="s">
        <v>7364</v>
      </c>
      <c r="BO454">
        <v>0</v>
      </c>
      <c r="BP454">
        <v>0</v>
      </c>
      <c r="BQ454">
        <v>0</v>
      </c>
      <c r="BR454">
        <v>0</v>
      </c>
      <c r="BS454" t="s">
        <v>7427</v>
      </c>
      <c r="BT454" t="s">
        <v>7360</v>
      </c>
      <c r="BU454" t="s">
        <v>7360</v>
      </c>
      <c r="BV454" t="s">
        <v>7360</v>
      </c>
      <c r="BX454" t="s">
        <v>7391</v>
      </c>
      <c r="BY454">
        <v>74</v>
      </c>
      <c r="BZ454" t="s">
        <v>7360</v>
      </c>
      <c r="CA454" t="s">
        <v>7360</v>
      </c>
      <c r="CB454">
        <v>5558210</v>
      </c>
      <c r="CC454" s="21">
        <v>44980.627395833333</v>
      </c>
      <c r="CE454" t="s">
        <v>7392</v>
      </c>
      <c r="CF454">
        <v>1100101</v>
      </c>
      <c r="CG454">
        <v>53575</v>
      </c>
      <c r="CH454">
        <v>53575</v>
      </c>
      <c r="CI454" s="21">
        <v>44980.628182870372</v>
      </c>
      <c r="CJ454" t="s">
        <v>7393</v>
      </c>
      <c r="CK454" t="s">
        <v>7393</v>
      </c>
      <c r="CL454" t="s">
        <v>7394</v>
      </c>
      <c r="CM454" t="s">
        <v>7394</v>
      </c>
      <c r="CS454" t="s">
        <v>7361</v>
      </c>
      <c r="CT454" t="s">
        <v>7362</v>
      </c>
      <c r="CU454" t="s">
        <v>7362</v>
      </c>
      <c r="CV454" t="s">
        <v>7362</v>
      </c>
      <c r="CW454" t="s">
        <v>7362</v>
      </c>
      <c r="CX454">
        <v>560000</v>
      </c>
      <c r="DA454">
        <v>0</v>
      </c>
    </row>
    <row r="455" spans="1:106" x14ac:dyDescent="0.3">
      <c r="A455">
        <v>1354</v>
      </c>
      <c r="B455" t="s">
        <v>7396</v>
      </c>
      <c r="C455">
        <v>481</v>
      </c>
      <c r="D455" s="20">
        <v>44979</v>
      </c>
      <c r="E455" t="s">
        <v>7356</v>
      </c>
      <c r="F455" t="s">
        <v>5934</v>
      </c>
      <c r="G455" t="s">
        <v>7370</v>
      </c>
      <c r="H455">
        <v>1</v>
      </c>
      <c r="I455" t="s">
        <v>7358</v>
      </c>
      <c r="J455">
        <v>1</v>
      </c>
      <c r="K455" s="20">
        <v>44980</v>
      </c>
      <c r="L455" s="23">
        <v>560000</v>
      </c>
      <c r="M455" t="s">
        <v>7359</v>
      </c>
      <c r="N455" t="s">
        <v>7360</v>
      </c>
      <c r="O455">
        <v>0</v>
      </c>
      <c r="P455">
        <v>12676</v>
      </c>
      <c r="Q455">
        <v>449037</v>
      </c>
      <c r="R455">
        <v>0</v>
      </c>
      <c r="S455">
        <v>20230222</v>
      </c>
      <c r="T455">
        <v>0</v>
      </c>
      <c r="U455" t="s">
        <v>7361</v>
      </c>
      <c r="V455" t="s">
        <v>7360</v>
      </c>
      <c r="W455" t="s">
        <v>7360</v>
      </c>
      <c r="X455" t="s">
        <v>7360</v>
      </c>
      <c r="Y455" t="s">
        <v>7360</v>
      </c>
      <c r="Z455" t="s">
        <v>7360</v>
      </c>
      <c r="AA455" t="s">
        <v>7362</v>
      </c>
      <c r="AB455" t="s">
        <v>7360</v>
      </c>
      <c r="AC455" t="s">
        <v>7360</v>
      </c>
      <c r="AD455" t="s">
        <v>7360</v>
      </c>
      <c r="AE455" t="s">
        <v>7360</v>
      </c>
      <c r="AF455" t="s">
        <v>1684</v>
      </c>
      <c r="AG455">
        <v>0</v>
      </c>
      <c r="AH455">
        <v>0</v>
      </c>
      <c r="AI455">
        <v>0</v>
      </c>
      <c r="AJ455">
        <v>0</v>
      </c>
      <c r="AK455">
        <v>0</v>
      </c>
      <c r="AL455" t="s">
        <v>7360</v>
      </c>
      <c r="AM455">
        <v>0</v>
      </c>
      <c r="AN455" s="20">
        <v>44980</v>
      </c>
      <c r="AO455" s="20">
        <v>44980</v>
      </c>
      <c r="AP455" s="20">
        <v>44980</v>
      </c>
      <c r="AQ455">
        <v>0</v>
      </c>
      <c r="AR455">
        <v>0</v>
      </c>
      <c r="AS455">
        <v>0</v>
      </c>
      <c r="AT455">
        <v>0</v>
      </c>
      <c r="AU455">
        <v>0</v>
      </c>
      <c r="AV455" t="s">
        <v>7360</v>
      </c>
      <c r="AW455">
        <v>0</v>
      </c>
      <c r="AX455" t="s">
        <v>7360</v>
      </c>
      <c r="AY455" t="s">
        <v>7363</v>
      </c>
      <c r="BA455">
        <v>0</v>
      </c>
      <c r="BB455" s="20">
        <v>44980</v>
      </c>
      <c r="BC455">
        <v>0</v>
      </c>
      <c r="BD455" t="s">
        <v>7360</v>
      </c>
      <c r="BF455" s="20">
        <v>44980</v>
      </c>
      <c r="BG455">
        <v>0</v>
      </c>
      <c r="BH455" t="s">
        <v>7363</v>
      </c>
      <c r="BJ455" t="s">
        <v>7362</v>
      </c>
      <c r="BK455">
        <v>169</v>
      </c>
      <c r="BL455">
        <v>11</v>
      </c>
      <c r="BM455">
        <v>1</v>
      </c>
      <c r="BN455" t="s">
        <v>7364</v>
      </c>
      <c r="BO455">
        <v>0</v>
      </c>
      <c r="BP455">
        <v>0</v>
      </c>
      <c r="BQ455">
        <v>0</v>
      </c>
      <c r="BR455">
        <v>0</v>
      </c>
      <c r="BS455" t="s">
        <v>7427</v>
      </c>
      <c r="BT455" t="s">
        <v>7360</v>
      </c>
      <c r="BU455" t="s">
        <v>7360</v>
      </c>
      <c r="BV455" t="s">
        <v>7360</v>
      </c>
      <c r="BX455" t="s">
        <v>7391</v>
      </c>
      <c r="BY455">
        <v>74</v>
      </c>
      <c r="BZ455" t="s">
        <v>7360</v>
      </c>
      <c r="CA455" t="s">
        <v>7360</v>
      </c>
      <c r="CC455" s="21">
        <v>44980.63045138889</v>
      </c>
      <c r="CE455" t="s">
        <v>7392</v>
      </c>
      <c r="CF455">
        <v>1100101</v>
      </c>
      <c r="CG455">
        <v>53575</v>
      </c>
      <c r="CH455">
        <v>53575</v>
      </c>
      <c r="CI455" s="21">
        <v>44980.63140046296</v>
      </c>
      <c r="CJ455" t="s">
        <v>7393</v>
      </c>
      <c r="CK455" t="s">
        <v>7393</v>
      </c>
      <c r="CL455" t="s">
        <v>7394</v>
      </c>
      <c r="CM455" t="s">
        <v>7394</v>
      </c>
      <c r="CS455" t="s">
        <v>7361</v>
      </c>
      <c r="CT455" t="s">
        <v>7362</v>
      </c>
      <c r="CU455" t="s">
        <v>7362</v>
      </c>
      <c r="CV455" t="s">
        <v>7362</v>
      </c>
      <c r="CW455" t="s">
        <v>7362</v>
      </c>
      <c r="CX455">
        <v>560000</v>
      </c>
      <c r="DA455">
        <v>0</v>
      </c>
    </row>
    <row r="456" spans="1:106" x14ac:dyDescent="0.3">
      <c r="A456">
        <v>1354</v>
      </c>
      <c r="B456" t="s">
        <v>7396</v>
      </c>
      <c r="C456">
        <v>482</v>
      </c>
      <c r="D456" s="20">
        <v>44980</v>
      </c>
      <c r="E456" t="s">
        <v>7356</v>
      </c>
      <c r="F456" t="s">
        <v>5940</v>
      </c>
      <c r="G456" t="s">
        <v>7370</v>
      </c>
      <c r="H456">
        <v>1</v>
      </c>
      <c r="I456" t="s">
        <v>7358</v>
      </c>
      <c r="J456">
        <v>1</v>
      </c>
      <c r="K456" s="20">
        <v>44980</v>
      </c>
      <c r="L456" s="23">
        <v>840000</v>
      </c>
      <c r="M456" t="s">
        <v>7359</v>
      </c>
      <c r="N456" t="s">
        <v>7360</v>
      </c>
      <c r="O456">
        <v>0</v>
      </c>
      <c r="P456">
        <v>12668</v>
      </c>
      <c r="Q456">
        <v>449030</v>
      </c>
      <c r="R456">
        <v>0</v>
      </c>
      <c r="S456">
        <v>20230223</v>
      </c>
      <c r="T456">
        <v>0</v>
      </c>
      <c r="U456" t="s">
        <v>7361</v>
      </c>
      <c r="V456" t="s">
        <v>7360</v>
      </c>
      <c r="W456" t="s">
        <v>7360</v>
      </c>
      <c r="X456" t="s">
        <v>7360</v>
      </c>
      <c r="Y456" t="s">
        <v>7360</v>
      </c>
      <c r="Z456" t="s">
        <v>7360</v>
      </c>
      <c r="AA456" t="s">
        <v>7362</v>
      </c>
      <c r="AB456" t="s">
        <v>7360</v>
      </c>
      <c r="AC456" t="s">
        <v>7360</v>
      </c>
      <c r="AD456" t="s">
        <v>7360</v>
      </c>
      <c r="AE456" t="s">
        <v>7360</v>
      </c>
      <c r="AF456" t="s">
        <v>1684</v>
      </c>
      <c r="AG456">
        <v>0</v>
      </c>
      <c r="AH456">
        <v>0</v>
      </c>
      <c r="AI456">
        <v>0</v>
      </c>
      <c r="AJ456">
        <v>0</v>
      </c>
      <c r="AK456">
        <v>0</v>
      </c>
      <c r="AL456" t="s">
        <v>7360</v>
      </c>
      <c r="AM456">
        <v>0</v>
      </c>
      <c r="AN456" s="20">
        <v>44980</v>
      </c>
      <c r="AO456" s="20">
        <v>44980</v>
      </c>
      <c r="AP456" s="20">
        <v>44980</v>
      </c>
      <c r="AQ456">
        <v>0</v>
      </c>
      <c r="AR456">
        <v>0</v>
      </c>
      <c r="AS456">
        <v>0</v>
      </c>
      <c r="AT456">
        <v>0</v>
      </c>
      <c r="AU456">
        <v>0</v>
      </c>
      <c r="AV456" t="s">
        <v>7360</v>
      </c>
      <c r="AW456">
        <v>0</v>
      </c>
      <c r="AX456" t="s">
        <v>7360</v>
      </c>
      <c r="AY456" t="s">
        <v>7363</v>
      </c>
      <c r="BA456">
        <v>0</v>
      </c>
      <c r="BB456" s="20">
        <v>44980</v>
      </c>
      <c r="BC456">
        <v>0</v>
      </c>
      <c r="BD456" t="s">
        <v>7360</v>
      </c>
      <c r="BF456" s="20">
        <v>44980</v>
      </c>
      <c r="BG456">
        <v>0</v>
      </c>
      <c r="BH456" t="s">
        <v>7363</v>
      </c>
      <c r="BJ456" t="s">
        <v>7362</v>
      </c>
      <c r="BK456">
        <v>169</v>
      </c>
      <c r="BL456">
        <v>11</v>
      </c>
      <c r="BM456">
        <v>1</v>
      </c>
      <c r="BN456" t="s">
        <v>7364</v>
      </c>
      <c r="BO456">
        <v>0</v>
      </c>
      <c r="BP456">
        <v>0</v>
      </c>
      <c r="BQ456">
        <v>0</v>
      </c>
      <c r="BR456">
        <v>0</v>
      </c>
      <c r="BS456" t="s">
        <v>7427</v>
      </c>
      <c r="BT456" t="s">
        <v>7360</v>
      </c>
      <c r="BU456" t="s">
        <v>7360</v>
      </c>
      <c r="BV456" t="s">
        <v>7360</v>
      </c>
      <c r="BX456" t="s">
        <v>7391</v>
      </c>
      <c r="BY456">
        <v>74</v>
      </c>
      <c r="BZ456" t="s">
        <v>7360</v>
      </c>
      <c r="CA456" t="s">
        <v>7360</v>
      </c>
      <c r="CC456" s="21">
        <v>44980.633622685185</v>
      </c>
      <c r="CE456" t="s">
        <v>7392</v>
      </c>
      <c r="CF456">
        <v>1100101</v>
      </c>
      <c r="CG456">
        <v>53575</v>
      </c>
      <c r="CH456">
        <v>53575</v>
      </c>
      <c r="CI456" s="21">
        <v>44980.63417824074</v>
      </c>
      <c r="CJ456" t="s">
        <v>7393</v>
      </c>
      <c r="CK456" t="s">
        <v>7393</v>
      </c>
      <c r="CL456" t="s">
        <v>7394</v>
      </c>
      <c r="CM456" t="s">
        <v>7394</v>
      </c>
      <c r="CS456" t="s">
        <v>7361</v>
      </c>
      <c r="CT456" t="s">
        <v>7362</v>
      </c>
      <c r="CU456" t="s">
        <v>7362</v>
      </c>
      <c r="CV456" t="s">
        <v>7362</v>
      </c>
      <c r="CW456" t="s">
        <v>7362</v>
      </c>
      <c r="CX456">
        <v>840000</v>
      </c>
      <c r="DA456">
        <v>0</v>
      </c>
    </row>
    <row r="457" spans="1:106" x14ac:dyDescent="0.3">
      <c r="A457">
        <v>1372</v>
      </c>
      <c r="B457" t="s">
        <v>7369</v>
      </c>
      <c r="C457">
        <v>483</v>
      </c>
      <c r="D457" s="20">
        <v>44981</v>
      </c>
      <c r="E457" t="s">
        <v>7356</v>
      </c>
      <c r="F457" t="s">
        <v>5945</v>
      </c>
      <c r="G457" t="s">
        <v>7357</v>
      </c>
      <c r="H457">
        <v>1</v>
      </c>
      <c r="I457" t="s">
        <v>7358</v>
      </c>
      <c r="J457">
        <v>1</v>
      </c>
      <c r="K457" s="20">
        <v>44981</v>
      </c>
      <c r="L457" s="23">
        <v>2940000</v>
      </c>
      <c r="M457" t="s">
        <v>7359</v>
      </c>
      <c r="N457" t="s">
        <v>7360</v>
      </c>
      <c r="O457">
        <v>0</v>
      </c>
      <c r="P457">
        <v>12581</v>
      </c>
      <c r="Q457">
        <v>440018</v>
      </c>
      <c r="R457">
        <v>0</v>
      </c>
      <c r="S457">
        <v>20230224</v>
      </c>
      <c r="T457">
        <v>0</v>
      </c>
      <c r="U457" t="s">
        <v>7361</v>
      </c>
      <c r="V457" t="s">
        <v>7360</v>
      </c>
      <c r="W457" t="s">
        <v>7360</v>
      </c>
      <c r="X457" t="s">
        <v>7360</v>
      </c>
      <c r="Y457" t="s">
        <v>7360</v>
      </c>
      <c r="Z457" t="s">
        <v>7360</v>
      </c>
      <c r="AA457" t="s">
        <v>7362</v>
      </c>
      <c r="AB457" t="s">
        <v>7360</v>
      </c>
      <c r="AC457" t="s">
        <v>7360</v>
      </c>
      <c r="AD457" t="s">
        <v>7360</v>
      </c>
      <c r="AE457" t="s">
        <v>7360</v>
      </c>
      <c r="AF457" t="s">
        <v>1684</v>
      </c>
      <c r="AG457">
        <v>0</v>
      </c>
      <c r="AH457">
        <v>0</v>
      </c>
      <c r="AI457">
        <v>0</v>
      </c>
      <c r="AJ457">
        <v>0</v>
      </c>
      <c r="AK457">
        <v>0</v>
      </c>
      <c r="AL457" t="s">
        <v>7360</v>
      </c>
      <c r="AM457">
        <v>0</v>
      </c>
      <c r="AN457" s="20">
        <v>44981</v>
      </c>
      <c r="AO457" s="20">
        <v>44981</v>
      </c>
      <c r="AP457" s="20">
        <v>44981</v>
      </c>
      <c r="AQ457">
        <v>0</v>
      </c>
      <c r="AR457">
        <v>0</v>
      </c>
      <c r="AS457">
        <v>0</v>
      </c>
      <c r="AT457">
        <v>0</v>
      </c>
      <c r="AU457">
        <v>0</v>
      </c>
      <c r="AV457" t="s">
        <v>7360</v>
      </c>
      <c r="AW457">
        <v>0</v>
      </c>
      <c r="AX457" t="s">
        <v>7360</v>
      </c>
      <c r="AY457" t="s">
        <v>7363</v>
      </c>
      <c r="BA457">
        <v>0</v>
      </c>
      <c r="BB457" s="20">
        <v>44981</v>
      </c>
      <c r="BC457">
        <v>0</v>
      </c>
      <c r="BD457" t="s">
        <v>7360</v>
      </c>
      <c r="BF457" s="20">
        <v>44981</v>
      </c>
      <c r="BG457">
        <v>0</v>
      </c>
      <c r="BH457" t="s">
        <v>7363</v>
      </c>
      <c r="BJ457" t="s">
        <v>7362</v>
      </c>
      <c r="BK457">
        <v>169</v>
      </c>
      <c r="BL457">
        <v>11</v>
      </c>
      <c r="BM457">
        <v>1</v>
      </c>
      <c r="BN457" t="s">
        <v>7364</v>
      </c>
      <c r="BO457">
        <v>0</v>
      </c>
      <c r="BP457">
        <v>0</v>
      </c>
      <c r="BQ457">
        <v>0</v>
      </c>
      <c r="BR457">
        <v>0</v>
      </c>
      <c r="BS457" t="s">
        <v>7365</v>
      </c>
      <c r="BT457" t="s">
        <v>7360</v>
      </c>
      <c r="BU457" t="s">
        <v>7360</v>
      </c>
      <c r="BV457" t="s">
        <v>7360</v>
      </c>
      <c r="BX457" t="s">
        <v>7391</v>
      </c>
      <c r="BY457">
        <v>74</v>
      </c>
      <c r="BZ457" t="s">
        <v>7360</v>
      </c>
      <c r="CA457" t="s">
        <v>7360</v>
      </c>
      <c r="CB457" t="s">
        <v>7360</v>
      </c>
      <c r="CC457" s="21">
        <v>44981.387106481481</v>
      </c>
      <c r="CE457" t="s">
        <v>7392</v>
      </c>
      <c r="CF457">
        <v>1100101</v>
      </c>
      <c r="CG457">
        <v>53575</v>
      </c>
      <c r="CH457">
        <v>53575</v>
      </c>
      <c r="CI457" s="21">
        <v>44981.416863425926</v>
      </c>
      <c r="CJ457" t="s">
        <v>7393</v>
      </c>
      <c r="CK457" t="s">
        <v>7393</v>
      </c>
      <c r="CL457" t="s">
        <v>7394</v>
      </c>
      <c r="CM457" t="s">
        <v>7394</v>
      </c>
      <c r="CS457" t="s">
        <v>7361</v>
      </c>
      <c r="CT457" t="s">
        <v>7362</v>
      </c>
      <c r="CU457" t="s">
        <v>7362</v>
      </c>
      <c r="CV457" t="s">
        <v>7362</v>
      </c>
      <c r="CW457" t="s">
        <v>7362</v>
      </c>
      <c r="CX457">
        <v>2940000</v>
      </c>
      <c r="DA457">
        <v>0</v>
      </c>
    </row>
    <row r="458" spans="1:106" x14ac:dyDescent="0.3">
      <c r="A458">
        <v>1354</v>
      </c>
      <c r="B458" t="s">
        <v>7396</v>
      </c>
      <c r="C458">
        <v>484</v>
      </c>
      <c r="D458" s="20">
        <v>44981</v>
      </c>
      <c r="E458" t="s">
        <v>7372</v>
      </c>
      <c r="F458" t="s">
        <v>5950</v>
      </c>
      <c r="G458" t="s">
        <v>7370</v>
      </c>
      <c r="H458">
        <v>1</v>
      </c>
      <c r="I458" t="s">
        <v>7358</v>
      </c>
      <c r="J458">
        <v>1</v>
      </c>
      <c r="K458" s="20">
        <v>44981</v>
      </c>
      <c r="L458" s="23">
        <v>2500000</v>
      </c>
      <c r="M458" t="s">
        <v>7359</v>
      </c>
      <c r="N458" t="s">
        <v>7360</v>
      </c>
      <c r="O458">
        <v>0</v>
      </c>
      <c r="P458">
        <v>12662</v>
      </c>
      <c r="Q458">
        <v>449024</v>
      </c>
      <c r="R458">
        <v>0</v>
      </c>
      <c r="S458">
        <v>20230224</v>
      </c>
      <c r="T458">
        <v>0</v>
      </c>
      <c r="U458" t="s">
        <v>7362</v>
      </c>
      <c r="V458" t="s">
        <v>7360</v>
      </c>
      <c r="W458" t="s">
        <v>7360</v>
      </c>
      <c r="X458" t="s">
        <v>7360</v>
      </c>
      <c r="Y458" t="s">
        <v>7360</v>
      </c>
      <c r="Z458" t="s">
        <v>7360</v>
      </c>
      <c r="AA458" t="s">
        <v>7362</v>
      </c>
      <c r="AB458" t="s">
        <v>7360</v>
      </c>
      <c r="AC458" t="s">
        <v>7360</v>
      </c>
      <c r="AD458" t="s">
        <v>7360</v>
      </c>
      <c r="AE458" t="s">
        <v>7360</v>
      </c>
      <c r="AF458" t="s">
        <v>1684</v>
      </c>
      <c r="AG458">
        <v>0</v>
      </c>
      <c r="AH458">
        <v>0</v>
      </c>
      <c r="AI458">
        <v>0</v>
      </c>
      <c r="AJ458">
        <v>0</v>
      </c>
      <c r="AK458">
        <v>0</v>
      </c>
      <c r="AL458" t="s">
        <v>7360</v>
      </c>
      <c r="AM458">
        <v>0</v>
      </c>
      <c r="AN458" s="20">
        <v>44981</v>
      </c>
      <c r="AO458" s="20">
        <v>44981</v>
      </c>
      <c r="AP458" s="20">
        <v>44981</v>
      </c>
      <c r="AQ458">
        <v>0</v>
      </c>
      <c r="AR458">
        <v>0</v>
      </c>
      <c r="AS458">
        <v>0</v>
      </c>
      <c r="AT458">
        <v>0</v>
      </c>
      <c r="AU458">
        <v>0</v>
      </c>
      <c r="AV458" t="s">
        <v>7360</v>
      </c>
      <c r="AW458">
        <v>0</v>
      </c>
      <c r="AX458" t="s">
        <v>7360</v>
      </c>
      <c r="AY458" t="s">
        <v>7362</v>
      </c>
      <c r="BA458">
        <v>0</v>
      </c>
      <c r="BB458" s="20">
        <v>44981</v>
      </c>
      <c r="BC458">
        <v>0</v>
      </c>
      <c r="BD458" t="s">
        <v>7360</v>
      </c>
      <c r="BF458" s="20">
        <v>44981</v>
      </c>
      <c r="BG458">
        <v>0</v>
      </c>
      <c r="BH458" t="s">
        <v>7363</v>
      </c>
      <c r="BJ458" t="s">
        <v>7362</v>
      </c>
      <c r="BK458">
        <v>169</v>
      </c>
      <c r="BL458">
        <v>11</v>
      </c>
      <c r="BM458">
        <v>1</v>
      </c>
      <c r="BN458" t="s">
        <v>7364</v>
      </c>
      <c r="BO458">
        <v>0</v>
      </c>
      <c r="BP458">
        <v>0</v>
      </c>
      <c r="BQ458">
        <v>0</v>
      </c>
      <c r="BR458">
        <v>0</v>
      </c>
      <c r="BS458" t="s">
        <v>132</v>
      </c>
      <c r="BT458" t="s">
        <v>7360</v>
      </c>
      <c r="BU458" t="s">
        <v>7360</v>
      </c>
      <c r="BV458" t="s">
        <v>7360</v>
      </c>
      <c r="BX458" t="s">
        <v>7391</v>
      </c>
      <c r="BY458">
        <v>74</v>
      </c>
      <c r="BZ458" t="s">
        <v>7360</v>
      </c>
      <c r="CA458" t="s">
        <v>7360</v>
      </c>
      <c r="CB458" t="s">
        <v>7360</v>
      </c>
      <c r="CC458" s="21">
        <v>44981.433206018519</v>
      </c>
      <c r="CE458" t="s">
        <v>7392</v>
      </c>
      <c r="CF458">
        <v>1100101</v>
      </c>
      <c r="CG458">
        <v>50947</v>
      </c>
      <c r="CH458">
        <v>50947</v>
      </c>
      <c r="CI458" s="21">
        <v>44981.435358796298</v>
      </c>
      <c r="CJ458" t="s">
        <v>7442</v>
      </c>
      <c r="CK458" t="s">
        <v>7442</v>
      </c>
      <c r="CL458" t="s">
        <v>7443</v>
      </c>
      <c r="CM458" t="s">
        <v>7443</v>
      </c>
      <c r="CS458" t="s">
        <v>7361</v>
      </c>
      <c r="CT458" t="s">
        <v>7362</v>
      </c>
      <c r="CU458" t="s">
        <v>7362</v>
      </c>
      <c r="CV458" t="s">
        <v>7362</v>
      </c>
      <c r="CW458" t="s">
        <v>7362</v>
      </c>
      <c r="CX458">
        <v>2500000</v>
      </c>
      <c r="DA458">
        <v>0</v>
      </c>
    </row>
    <row r="459" spans="1:106" x14ac:dyDescent="0.3">
      <c r="A459">
        <v>1356</v>
      </c>
      <c r="B459" t="s">
        <v>7402</v>
      </c>
      <c r="C459">
        <v>485</v>
      </c>
      <c r="D459" s="20">
        <v>44981</v>
      </c>
      <c r="E459" t="s">
        <v>7356</v>
      </c>
      <c r="F459" t="s">
        <v>5956</v>
      </c>
      <c r="G459" t="s">
        <v>7357</v>
      </c>
      <c r="H459">
        <v>1</v>
      </c>
      <c r="I459" t="s">
        <v>7358</v>
      </c>
      <c r="J459">
        <v>1</v>
      </c>
      <c r="K459" s="20">
        <v>44981</v>
      </c>
      <c r="L459" s="23">
        <v>8371092</v>
      </c>
      <c r="M459" t="s">
        <v>7403</v>
      </c>
      <c r="N459" t="s">
        <v>7360</v>
      </c>
      <c r="O459">
        <v>0</v>
      </c>
      <c r="P459">
        <v>12689</v>
      </c>
      <c r="Q459">
        <v>134012</v>
      </c>
      <c r="R459">
        <v>0</v>
      </c>
      <c r="S459">
        <v>20230224</v>
      </c>
      <c r="T459">
        <v>0</v>
      </c>
      <c r="U459" t="s">
        <v>7361</v>
      </c>
      <c r="V459" t="s">
        <v>7360</v>
      </c>
      <c r="W459" t="s">
        <v>7360</v>
      </c>
      <c r="X459" t="s">
        <v>7360</v>
      </c>
      <c r="Y459" t="s">
        <v>7360</v>
      </c>
      <c r="Z459" t="s">
        <v>7360</v>
      </c>
      <c r="AA459" t="s">
        <v>7362</v>
      </c>
      <c r="AB459" t="s">
        <v>7360</v>
      </c>
      <c r="AC459" t="s">
        <v>7360</v>
      </c>
      <c r="AD459" t="s">
        <v>7360</v>
      </c>
      <c r="AE459" t="s">
        <v>7360</v>
      </c>
      <c r="AF459" t="s">
        <v>1684</v>
      </c>
      <c r="AG459">
        <v>0</v>
      </c>
      <c r="AH459">
        <v>0</v>
      </c>
      <c r="AI459">
        <v>0</v>
      </c>
      <c r="AJ459">
        <v>0</v>
      </c>
      <c r="AK459">
        <v>0</v>
      </c>
      <c r="AL459" t="s">
        <v>7360</v>
      </c>
      <c r="AM459">
        <v>0</v>
      </c>
      <c r="AN459" s="20">
        <v>44981</v>
      </c>
      <c r="AO459" s="20">
        <v>44981</v>
      </c>
      <c r="AP459" s="20">
        <v>44981</v>
      </c>
      <c r="AQ459">
        <v>0</v>
      </c>
      <c r="AR459">
        <v>0</v>
      </c>
      <c r="AS459">
        <v>0</v>
      </c>
      <c r="AT459">
        <v>0</v>
      </c>
      <c r="AU459">
        <v>0</v>
      </c>
      <c r="AV459" t="s">
        <v>7360</v>
      </c>
      <c r="AW459">
        <v>0</v>
      </c>
      <c r="AX459" t="s">
        <v>7360</v>
      </c>
      <c r="AY459" t="s">
        <v>7363</v>
      </c>
      <c r="BA459">
        <v>0</v>
      </c>
      <c r="BB459" s="20">
        <v>44981</v>
      </c>
      <c r="BC459">
        <v>0</v>
      </c>
      <c r="BD459" t="s">
        <v>7360</v>
      </c>
      <c r="BE459">
        <v>90</v>
      </c>
      <c r="BF459" s="20">
        <v>44981</v>
      </c>
      <c r="BG459">
        <v>0</v>
      </c>
      <c r="BH459" t="s">
        <v>1729</v>
      </c>
      <c r="BJ459" t="s">
        <v>7362</v>
      </c>
      <c r="BK459">
        <v>169</v>
      </c>
      <c r="BL459">
        <v>11</v>
      </c>
      <c r="BM459">
        <v>1</v>
      </c>
      <c r="BN459" t="s">
        <v>7364</v>
      </c>
      <c r="BO459">
        <v>0</v>
      </c>
      <c r="BP459">
        <v>0</v>
      </c>
      <c r="BQ459">
        <v>0</v>
      </c>
      <c r="BR459">
        <v>0</v>
      </c>
      <c r="BS459" t="s">
        <v>7386</v>
      </c>
      <c r="BT459" t="s">
        <v>7360</v>
      </c>
      <c r="BU459" t="s">
        <v>7360</v>
      </c>
      <c r="BV459" t="s">
        <v>7360</v>
      </c>
      <c r="BX459" t="s">
        <v>7391</v>
      </c>
      <c r="BY459">
        <v>74</v>
      </c>
      <c r="BZ459" t="s">
        <v>7360</v>
      </c>
      <c r="CA459" t="s">
        <v>7360</v>
      </c>
      <c r="CB459" t="s">
        <v>7360</v>
      </c>
      <c r="CC459" s="21">
        <v>44981.446504629632</v>
      </c>
      <c r="CE459" t="s">
        <v>7392</v>
      </c>
      <c r="CF459">
        <v>1100101</v>
      </c>
      <c r="CG459">
        <v>53575</v>
      </c>
      <c r="CH459">
        <v>53575</v>
      </c>
      <c r="CI459" s="21">
        <v>44981.524918981479</v>
      </c>
      <c r="CJ459" t="s">
        <v>7393</v>
      </c>
      <c r="CK459" t="s">
        <v>7393</v>
      </c>
      <c r="CL459" t="s">
        <v>7394</v>
      </c>
      <c r="CM459" t="s">
        <v>7394</v>
      </c>
      <c r="CS459" t="s">
        <v>7361</v>
      </c>
      <c r="CT459" t="s">
        <v>7362</v>
      </c>
      <c r="CU459" t="s">
        <v>7362</v>
      </c>
      <c r="CV459" t="s">
        <v>7362</v>
      </c>
      <c r="CW459" t="s">
        <v>7362</v>
      </c>
      <c r="CX459">
        <v>8371092</v>
      </c>
      <c r="DA459">
        <v>0</v>
      </c>
      <c r="DB459">
        <v>134012</v>
      </c>
    </row>
    <row r="460" spans="1:106" x14ac:dyDescent="0.3">
      <c r="A460">
        <v>1370</v>
      </c>
      <c r="B460" t="s">
        <v>7390</v>
      </c>
      <c r="C460">
        <v>486</v>
      </c>
      <c r="D460" s="20">
        <v>44981</v>
      </c>
      <c r="E460" t="s">
        <v>7356</v>
      </c>
      <c r="F460" t="s">
        <v>5961</v>
      </c>
      <c r="G460" t="s">
        <v>7357</v>
      </c>
      <c r="H460">
        <v>1</v>
      </c>
      <c r="I460" t="s">
        <v>7358</v>
      </c>
      <c r="J460">
        <v>1</v>
      </c>
      <c r="K460" s="20">
        <v>44981</v>
      </c>
      <c r="L460" s="23">
        <v>229800</v>
      </c>
      <c r="M460" t="s">
        <v>7359</v>
      </c>
      <c r="N460" t="s">
        <v>7360</v>
      </c>
      <c r="O460">
        <v>0</v>
      </c>
      <c r="P460">
        <v>12696</v>
      </c>
      <c r="Q460">
        <v>449055</v>
      </c>
      <c r="R460">
        <v>0</v>
      </c>
      <c r="S460">
        <v>20230224</v>
      </c>
      <c r="T460">
        <v>0</v>
      </c>
      <c r="U460" t="s">
        <v>7361</v>
      </c>
      <c r="V460" t="s">
        <v>7360</v>
      </c>
      <c r="W460" t="s">
        <v>7360</v>
      </c>
      <c r="X460" t="s">
        <v>7360</v>
      </c>
      <c r="Y460" t="s">
        <v>7360</v>
      </c>
      <c r="Z460" t="s">
        <v>7360</v>
      </c>
      <c r="AA460" t="s">
        <v>7362</v>
      </c>
      <c r="AB460" t="s">
        <v>7360</v>
      </c>
      <c r="AC460" t="s">
        <v>7360</v>
      </c>
      <c r="AD460" t="s">
        <v>7360</v>
      </c>
      <c r="AE460" t="s">
        <v>7360</v>
      </c>
      <c r="AF460" t="s">
        <v>1684</v>
      </c>
      <c r="AG460">
        <v>0</v>
      </c>
      <c r="AH460">
        <v>0</v>
      </c>
      <c r="AI460">
        <v>0</v>
      </c>
      <c r="AJ460">
        <v>0</v>
      </c>
      <c r="AK460">
        <v>0</v>
      </c>
      <c r="AL460" t="s">
        <v>7360</v>
      </c>
      <c r="AM460">
        <v>0</v>
      </c>
      <c r="AN460" s="20">
        <v>44981</v>
      </c>
      <c r="AO460" s="20">
        <v>44981</v>
      </c>
      <c r="AP460" s="20">
        <v>44981</v>
      </c>
      <c r="AQ460">
        <v>0</v>
      </c>
      <c r="AR460">
        <v>0</v>
      </c>
      <c r="AS460">
        <v>0</v>
      </c>
      <c r="AT460">
        <v>0</v>
      </c>
      <c r="AU460">
        <v>0</v>
      </c>
      <c r="AV460" t="s">
        <v>7360</v>
      </c>
      <c r="AW460">
        <v>0</v>
      </c>
      <c r="AX460" t="s">
        <v>7360</v>
      </c>
      <c r="AY460" t="s">
        <v>7363</v>
      </c>
      <c r="BA460">
        <v>0</v>
      </c>
      <c r="BB460" s="20">
        <v>44981</v>
      </c>
      <c r="BC460">
        <v>0</v>
      </c>
      <c r="BD460" t="s">
        <v>7360</v>
      </c>
      <c r="BF460" s="20">
        <v>44981</v>
      </c>
      <c r="BG460">
        <v>0</v>
      </c>
      <c r="BH460" t="s">
        <v>7363</v>
      </c>
      <c r="BJ460" t="s">
        <v>7362</v>
      </c>
      <c r="BK460">
        <v>169</v>
      </c>
      <c r="BL460">
        <v>11</v>
      </c>
      <c r="BM460">
        <v>1</v>
      </c>
      <c r="BN460" t="s">
        <v>7364</v>
      </c>
      <c r="BO460">
        <v>0</v>
      </c>
      <c r="BP460">
        <v>0</v>
      </c>
      <c r="BQ460">
        <v>0</v>
      </c>
      <c r="BR460">
        <v>0</v>
      </c>
      <c r="BS460" t="s">
        <v>132</v>
      </c>
      <c r="BT460" t="s">
        <v>7360</v>
      </c>
      <c r="BU460" t="s">
        <v>7360</v>
      </c>
      <c r="BV460" t="s">
        <v>7360</v>
      </c>
      <c r="BX460" t="s">
        <v>7391</v>
      </c>
      <c r="BY460">
        <v>74</v>
      </c>
      <c r="BZ460" t="s">
        <v>7360</v>
      </c>
      <c r="CA460" t="s">
        <v>7360</v>
      </c>
      <c r="CB460" t="s">
        <v>7360</v>
      </c>
      <c r="CC460" s="21">
        <v>44981.453969907408</v>
      </c>
      <c r="CE460" t="s">
        <v>7392</v>
      </c>
      <c r="CF460">
        <v>1100101</v>
      </c>
      <c r="CG460">
        <v>50947</v>
      </c>
      <c r="CH460">
        <v>50947</v>
      </c>
      <c r="CI460" s="21">
        <v>44981.503564814811</v>
      </c>
      <c r="CJ460" t="s">
        <v>7442</v>
      </c>
      <c r="CK460" t="s">
        <v>7442</v>
      </c>
      <c r="CL460" t="s">
        <v>7443</v>
      </c>
      <c r="CM460" t="s">
        <v>7443</v>
      </c>
      <c r="CS460" t="s">
        <v>7361</v>
      </c>
      <c r="CT460" t="s">
        <v>7362</v>
      </c>
      <c r="CU460" t="s">
        <v>7362</v>
      </c>
      <c r="CV460" t="s">
        <v>7362</v>
      </c>
      <c r="CW460" t="s">
        <v>7362</v>
      </c>
      <c r="CX460">
        <v>229800</v>
      </c>
      <c r="DA460">
        <v>0</v>
      </c>
    </row>
    <row r="461" spans="1:106" x14ac:dyDescent="0.3">
      <c r="A461">
        <v>1354</v>
      </c>
      <c r="B461" t="s">
        <v>7396</v>
      </c>
      <c r="C461">
        <v>487</v>
      </c>
      <c r="D461" s="20">
        <v>44981</v>
      </c>
      <c r="E461" t="s">
        <v>7356</v>
      </c>
      <c r="F461" t="s">
        <v>5966</v>
      </c>
      <c r="G461" t="s">
        <v>7370</v>
      </c>
      <c r="H461">
        <v>1</v>
      </c>
      <c r="I461" t="s">
        <v>7358</v>
      </c>
      <c r="J461">
        <v>1</v>
      </c>
      <c r="K461" s="20">
        <v>44981</v>
      </c>
      <c r="L461" s="23">
        <v>2500000</v>
      </c>
      <c r="M461" t="s">
        <v>7359</v>
      </c>
      <c r="N461" t="s">
        <v>7360</v>
      </c>
      <c r="O461">
        <v>0</v>
      </c>
      <c r="P461">
        <v>12687</v>
      </c>
      <c r="Q461">
        <v>449048</v>
      </c>
      <c r="R461">
        <v>0</v>
      </c>
      <c r="S461">
        <v>20230224</v>
      </c>
      <c r="T461">
        <v>0</v>
      </c>
      <c r="U461" t="s">
        <v>7361</v>
      </c>
      <c r="V461" t="s">
        <v>7360</v>
      </c>
      <c r="W461" t="s">
        <v>7360</v>
      </c>
      <c r="X461" t="s">
        <v>7360</v>
      </c>
      <c r="Y461" t="s">
        <v>7360</v>
      </c>
      <c r="Z461" t="s">
        <v>7360</v>
      </c>
      <c r="AA461" t="s">
        <v>7362</v>
      </c>
      <c r="AB461" t="s">
        <v>7360</v>
      </c>
      <c r="AC461" t="s">
        <v>7360</v>
      </c>
      <c r="AD461" t="s">
        <v>7360</v>
      </c>
      <c r="AE461" t="s">
        <v>7360</v>
      </c>
      <c r="AF461" t="s">
        <v>1684</v>
      </c>
      <c r="AG461">
        <v>0</v>
      </c>
      <c r="AH461">
        <v>0</v>
      </c>
      <c r="AI461">
        <v>0</v>
      </c>
      <c r="AJ461">
        <v>0</v>
      </c>
      <c r="AK461">
        <v>0</v>
      </c>
      <c r="AL461" t="s">
        <v>7360</v>
      </c>
      <c r="AM461">
        <v>0</v>
      </c>
      <c r="AN461" s="20">
        <v>44981</v>
      </c>
      <c r="AO461" s="20">
        <v>44981</v>
      </c>
      <c r="AP461" s="20">
        <v>44981</v>
      </c>
      <c r="AQ461">
        <v>0</v>
      </c>
      <c r="AR461">
        <v>0</v>
      </c>
      <c r="AS461">
        <v>0</v>
      </c>
      <c r="AT461">
        <v>0</v>
      </c>
      <c r="AU461">
        <v>0</v>
      </c>
      <c r="AV461" t="s">
        <v>7360</v>
      </c>
      <c r="AW461">
        <v>0</v>
      </c>
      <c r="AX461" t="s">
        <v>7360</v>
      </c>
      <c r="AY461" t="s">
        <v>7363</v>
      </c>
      <c r="BA461">
        <v>0</v>
      </c>
      <c r="BB461" s="20">
        <v>44981</v>
      </c>
      <c r="BC461">
        <v>0</v>
      </c>
      <c r="BD461" t="s">
        <v>7360</v>
      </c>
      <c r="BF461" s="20">
        <v>44981</v>
      </c>
      <c r="BG461">
        <v>0</v>
      </c>
      <c r="BH461" t="s">
        <v>7363</v>
      </c>
      <c r="BJ461" t="s">
        <v>7362</v>
      </c>
      <c r="BK461">
        <v>169</v>
      </c>
      <c r="BL461">
        <v>11</v>
      </c>
      <c r="BM461">
        <v>1</v>
      </c>
      <c r="BN461" t="s">
        <v>7364</v>
      </c>
      <c r="BO461">
        <v>0</v>
      </c>
      <c r="BP461">
        <v>0</v>
      </c>
      <c r="BQ461">
        <v>0</v>
      </c>
      <c r="BR461">
        <v>0</v>
      </c>
      <c r="BS461" t="s">
        <v>132</v>
      </c>
      <c r="BT461" t="s">
        <v>7360</v>
      </c>
      <c r="BU461" t="s">
        <v>7360</v>
      </c>
      <c r="BV461" t="s">
        <v>7360</v>
      </c>
      <c r="BX461" t="s">
        <v>7391</v>
      </c>
      <c r="BY461">
        <v>74</v>
      </c>
      <c r="BZ461" t="s">
        <v>7360</v>
      </c>
      <c r="CA461" t="s">
        <v>7360</v>
      </c>
      <c r="CB461" t="s">
        <v>7360</v>
      </c>
      <c r="CC461" s="21">
        <v>44981.486666666664</v>
      </c>
      <c r="CE461" t="s">
        <v>7392</v>
      </c>
      <c r="CF461">
        <v>1100101</v>
      </c>
      <c r="CG461">
        <v>50947</v>
      </c>
      <c r="CH461">
        <v>50947</v>
      </c>
      <c r="CI461" s="21">
        <v>44981.497118055559</v>
      </c>
      <c r="CJ461" t="s">
        <v>7442</v>
      </c>
      <c r="CK461" t="s">
        <v>7442</v>
      </c>
      <c r="CL461" t="s">
        <v>7443</v>
      </c>
      <c r="CM461" t="s">
        <v>7443</v>
      </c>
      <c r="CS461" t="s">
        <v>7361</v>
      </c>
      <c r="CT461" t="s">
        <v>7362</v>
      </c>
      <c r="CU461" t="s">
        <v>7362</v>
      </c>
      <c r="CV461" t="s">
        <v>7362</v>
      </c>
      <c r="CW461" t="s">
        <v>7362</v>
      </c>
      <c r="CX461">
        <v>2500000</v>
      </c>
      <c r="DA461">
        <v>0</v>
      </c>
    </row>
    <row r="462" spans="1:106" x14ac:dyDescent="0.3">
      <c r="A462">
        <v>1354</v>
      </c>
      <c r="B462" t="s">
        <v>7396</v>
      </c>
      <c r="C462">
        <v>488</v>
      </c>
      <c r="D462" s="20">
        <v>44981</v>
      </c>
      <c r="E462" t="s">
        <v>7356</v>
      </c>
      <c r="F462" t="s">
        <v>5972</v>
      </c>
      <c r="G462" t="s">
        <v>7370</v>
      </c>
      <c r="H462">
        <v>1</v>
      </c>
      <c r="I462" t="s">
        <v>7358</v>
      </c>
      <c r="J462">
        <v>1</v>
      </c>
      <c r="K462" s="20">
        <v>44981</v>
      </c>
      <c r="L462" s="23">
        <v>2500000</v>
      </c>
      <c r="M462" t="s">
        <v>7359</v>
      </c>
      <c r="N462" t="s">
        <v>7360</v>
      </c>
      <c r="O462">
        <v>0</v>
      </c>
      <c r="P462">
        <v>12688</v>
      </c>
      <c r="Q462">
        <v>449049</v>
      </c>
      <c r="R462">
        <v>0</v>
      </c>
      <c r="S462">
        <v>20230224</v>
      </c>
      <c r="T462">
        <v>0</v>
      </c>
      <c r="U462" t="s">
        <v>7361</v>
      </c>
      <c r="V462" t="s">
        <v>7360</v>
      </c>
      <c r="W462" t="s">
        <v>7360</v>
      </c>
      <c r="X462" t="s">
        <v>7360</v>
      </c>
      <c r="Y462" t="s">
        <v>7360</v>
      </c>
      <c r="Z462" t="s">
        <v>7360</v>
      </c>
      <c r="AA462" t="s">
        <v>7362</v>
      </c>
      <c r="AB462" t="s">
        <v>7360</v>
      </c>
      <c r="AC462" t="s">
        <v>7360</v>
      </c>
      <c r="AD462" t="s">
        <v>7360</v>
      </c>
      <c r="AE462" t="s">
        <v>7360</v>
      </c>
      <c r="AF462" t="s">
        <v>1684</v>
      </c>
      <c r="AG462">
        <v>0</v>
      </c>
      <c r="AH462">
        <v>0</v>
      </c>
      <c r="AI462">
        <v>0</v>
      </c>
      <c r="AJ462">
        <v>0</v>
      </c>
      <c r="AK462">
        <v>0</v>
      </c>
      <c r="AL462" t="s">
        <v>7360</v>
      </c>
      <c r="AM462">
        <v>0</v>
      </c>
      <c r="AN462" s="20">
        <v>44981</v>
      </c>
      <c r="AO462" s="20">
        <v>44981</v>
      </c>
      <c r="AP462" s="20">
        <v>44981</v>
      </c>
      <c r="AQ462">
        <v>0</v>
      </c>
      <c r="AR462">
        <v>0</v>
      </c>
      <c r="AS462">
        <v>0</v>
      </c>
      <c r="AT462">
        <v>0</v>
      </c>
      <c r="AU462">
        <v>0</v>
      </c>
      <c r="AV462" t="s">
        <v>7360</v>
      </c>
      <c r="AW462">
        <v>0</v>
      </c>
      <c r="AX462" t="s">
        <v>7360</v>
      </c>
      <c r="AY462" t="s">
        <v>7363</v>
      </c>
      <c r="BA462">
        <v>0</v>
      </c>
      <c r="BB462" s="20">
        <v>44981</v>
      </c>
      <c r="BC462">
        <v>0</v>
      </c>
      <c r="BD462" t="s">
        <v>7360</v>
      </c>
      <c r="BF462" s="20">
        <v>44981</v>
      </c>
      <c r="BG462">
        <v>0</v>
      </c>
      <c r="BH462" t="s">
        <v>7363</v>
      </c>
      <c r="BJ462" t="s">
        <v>7362</v>
      </c>
      <c r="BK462">
        <v>169</v>
      </c>
      <c r="BL462">
        <v>11</v>
      </c>
      <c r="BM462">
        <v>1</v>
      </c>
      <c r="BN462" t="s">
        <v>7364</v>
      </c>
      <c r="BO462">
        <v>0</v>
      </c>
      <c r="BP462">
        <v>0</v>
      </c>
      <c r="BQ462">
        <v>0</v>
      </c>
      <c r="BR462">
        <v>0</v>
      </c>
      <c r="BS462" t="s">
        <v>132</v>
      </c>
      <c r="BT462" t="s">
        <v>7360</v>
      </c>
      <c r="BU462" t="s">
        <v>7360</v>
      </c>
      <c r="BV462" t="s">
        <v>7360</v>
      </c>
      <c r="BX462" t="s">
        <v>7391</v>
      </c>
      <c r="BY462">
        <v>74</v>
      </c>
      <c r="BZ462" t="s">
        <v>7360</v>
      </c>
      <c r="CA462" t="s">
        <v>7360</v>
      </c>
      <c r="CB462" t="s">
        <v>7360</v>
      </c>
      <c r="CC462" s="21">
        <v>44981.521851851852</v>
      </c>
      <c r="CE462" t="s">
        <v>7392</v>
      </c>
      <c r="CF462">
        <v>1100101</v>
      </c>
      <c r="CG462">
        <v>50947</v>
      </c>
      <c r="CH462">
        <v>50947</v>
      </c>
      <c r="CI462" s="21">
        <v>44981.523263888892</v>
      </c>
      <c r="CJ462" t="s">
        <v>7442</v>
      </c>
      <c r="CK462" t="s">
        <v>7442</v>
      </c>
      <c r="CL462" t="s">
        <v>7443</v>
      </c>
      <c r="CM462" t="s">
        <v>7443</v>
      </c>
      <c r="CS462" t="s">
        <v>7361</v>
      </c>
      <c r="CT462" t="s">
        <v>7362</v>
      </c>
      <c r="CU462" t="s">
        <v>7362</v>
      </c>
      <c r="CV462" t="s">
        <v>7362</v>
      </c>
      <c r="CW462" t="s">
        <v>7362</v>
      </c>
      <c r="CX462">
        <v>2500000</v>
      </c>
      <c r="DA462">
        <v>0</v>
      </c>
    </row>
    <row r="463" spans="1:106" x14ac:dyDescent="0.3">
      <c r="A463">
        <v>1351</v>
      </c>
      <c r="B463" t="s">
        <v>7420</v>
      </c>
      <c r="C463">
        <v>489</v>
      </c>
      <c r="D463" s="20">
        <v>44981</v>
      </c>
      <c r="E463" t="s">
        <v>7356</v>
      </c>
      <c r="F463" t="s">
        <v>5918</v>
      </c>
      <c r="G463" t="s">
        <v>7381</v>
      </c>
      <c r="H463">
        <v>2</v>
      </c>
      <c r="I463" t="s">
        <v>7428</v>
      </c>
      <c r="J463" t="s">
        <v>7446</v>
      </c>
      <c r="K463" s="20">
        <v>44981</v>
      </c>
      <c r="L463" s="23">
        <f>350*4853.9</f>
        <v>1698864.9999999998</v>
      </c>
      <c r="M463" t="s">
        <v>7359</v>
      </c>
      <c r="N463" t="s">
        <v>7360</v>
      </c>
      <c r="O463">
        <v>0</v>
      </c>
      <c r="P463">
        <v>12487</v>
      </c>
      <c r="Q463">
        <v>439006</v>
      </c>
      <c r="R463">
        <v>0</v>
      </c>
      <c r="S463">
        <v>20230224</v>
      </c>
      <c r="T463">
        <v>0</v>
      </c>
      <c r="U463" t="s">
        <v>7362</v>
      </c>
      <c r="V463" t="s">
        <v>7360</v>
      </c>
      <c r="W463" t="s">
        <v>7360</v>
      </c>
      <c r="X463" t="s">
        <v>7360</v>
      </c>
      <c r="Y463" t="s">
        <v>7360</v>
      </c>
      <c r="Z463" t="s">
        <v>7360</v>
      </c>
      <c r="AA463" t="s">
        <v>7362</v>
      </c>
      <c r="AB463" t="s">
        <v>7360</v>
      </c>
      <c r="AC463" t="s">
        <v>7360</v>
      </c>
      <c r="AD463" t="s">
        <v>7360</v>
      </c>
      <c r="AE463" t="s">
        <v>7360</v>
      </c>
      <c r="AF463" t="s">
        <v>1684</v>
      </c>
      <c r="AG463">
        <v>0</v>
      </c>
      <c r="AH463">
        <v>0</v>
      </c>
      <c r="AI463">
        <v>0</v>
      </c>
      <c r="AJ463">
        <v>0</v>
      </c>
      <c r="AK463">
        <v>0</v>
      </c>
      <c r="AL463" t="s">
        <v>7360</v>
      </c>
      <c r="AM463">
        <v>0</v>
      </c>
      <c r="AN463" s="20">
        <v>44981</v>
      </c>
      <c r="AO463" s="20">
        <v>44981</v>
      </c>
      <c r="AP463" s="20">
        <v>44981</v>
      </c>
      <c r="AQ463">
        <v>0</v>
      </c>
      <c r="AR463">
        <v>0</v>
      </c>
      <c r="AS463">
        <v>0</v>
      </c>
      <c r="AT463">
        <v>0</v>
      </c>
      <c r="AU463">
        <v>0</v>
      </c>
      <c r="AV463" t="s">
        <v>7360</v>
      </c>
      <c r="AW463">
        <v>0</v>
      </c>
      <c r="AX463" t="s">
        <v>7360</v>
      </c>
      <c r="AY463" t="s">
        <v>7362</v>
      </c>
      <c r="AZ463">
        <v>1383</v>
      </c>
      <c r="BA463">
        <v>666</v>
      </c>
      <c r="BB463" s="20">
        <v>45000</v>
      </c>
      <c r="BC463">
        <v>20230315</v>
      </c>
      <c r="BD463" t="s">
        <v>7447</v>
      </c>
      <c r="BF463" s="20">
        <v>44981</v>
      </c>
      <c r="BG463">
        <v>0</v>
      </c>
      <c r="BH463" t="s">
        <v>1729</v>
      </c>
      <c r="BJ463" t="s">
        <v>7362</v>
      </c>
      <c r="BK463">
        <v>169</v>
      </c>
      <c r="BL463">
        <v>11</v>
      </c>
      <c r="BM463">
        <v>1</v>
      </c>
      <c r="BN463" t="s">
        <v>7364</v>
      </c>
      <c r="BO463">
        <v>0</v>
      </c>
      <c r="BP463">
        <v>0</v>
      </c>
      <c r="BQ463">
        <v>0</v>
      </c>
      <c r="BR463">
        <v>0</v>
      </c>
      <c r="BS463" t="s">
        <v>7365</v>
      </c>
      <c r="BT463" t="s">
        <v>7360</v>
      </c>
      <c r="BU463" t="s">
        <v>7360</v>
      </c>
      <c r="BV463" t="s">
        <v>7360</v>
      </c>
      <c r="BX463" t="s">
        <v>7391</v>
      </c>
      <c r="BY463">
        <v>74</v>
      </c>
      <c r="BZ463" t="s">
        <v>7360</v>
      </c>
      <c r="CA463" t="s">
        <v>7360</v>
      </c>
      <c r="CC463" s="21">
        <v>44981.613969907405</v>
      </c>
      <c r="CE463" t="s">
        <v>7392</v>
      </c>
      <c r="CF463">
        <v>1100101</v>
      </c>
      <c r="CG463">
        <v>53575</v>
      </c>
      <c r="CH463">
        <v>53575</v>
      </c>
      <c r="CI463" s="21">
        <v>44981.61755787037</v>
      </c>
      <c r="CJ463" t="s">
        <v>7393</v>
      </c>
      <c r="CK463" t="s">
        <v>7393</v>
      </c>
      <c r="CL463" t="s">
        <v>7394</v>
      </c>
      <c r="CM463" t="s">
        <v>7394</v>
      </c>
      <c r="CS463" t="s">
        <v>7361</v>
      </c>
      <c r="CT463" t="s">
        <v>7362</v>
      </c>
      <c r="CU463" t="s">
        <v>7362</v>
      </c>
      <c r="CV463" t="s">
        <v>7362</v>
      </c>
      <c r="CW463" t="s">
        <v>7362</v>
      </c>
      <c r="CX463">
        <v>350</v>
      </c>
      <c r="CY463" t="s">
        <v>1684</v>
      </c>
      <c r="DA463">
        <v>0</v>
      </c>
    </row>
    <row r="464" spans="1:106" x14ac:dyDescent="0.3">
      <c r="A464">
        <v>1354</v>
      </c>
      <c r="B464" t="s">
        <v>7396</v>
      </c>
      <c r="C464">
        <v>490</v>
      </c>
      <c r="D464" s="20">
        <v>44981</v>
      </c>
      <c r="E464" t="s">
        <v>7356</v>
      </c>
      <c r="F464" t="s">
        <v>5924</v>
      </c>
      <c r="G464" t="s">
        <v>7370</v>
      </c>
      <c r="H464">
        <v>1</v>
      </c>
      <c r="I464" t="s">
        <v>7358</v>
      </c>
      <c r="J464">
        <v>1</v>
      </c>
      <c r="K464" s="20">
        <v>44981</v>
      </c>
      <c r="L464" s="23">
        <v>2500000</v>
      </c>
      <c r="M464" t="s">
        <v>7359</v>
      </c>
      <c r="N464" t="s">
        <v>7360</v>
      </c>
      <c r="O464">
        <v>0</v>
      </c>
      <c r="P464">
        <v>12685</v>
      </c>
      <c r="Q464">
        <v>449046</v>
      </c>
      <c r="R464">
        <v>0</v>
      </c>
      <c r="S464">
        <v>20230224</v>
      </c>
      <c r="T464">
        <v>0</v>
      </c>
      <c r="U464" t="s">
        <v>7361</v>
      </c>
      <c r="V464" t="s">
        <v>7360</v>
      </c>
      <c r="W464" t="s">
        <v>7360</v>
      </c>
      <c r="X464" t="s">
        <v>7360</v>
      </c>
      <c r="Y464" t="s">
        <v>7360</v>
      </c>
      <c r="Z464" t="s">
        <v>7360</v>
      </c>
      <c r="AA464" t="s">
        <v>7362</v>
      </c>
      <c r="AB464" t="s">
        <v>7360</v>
      </c>
      <c r="AC464" t="s">
        <v>7360</v>
      </c>
      <c r="AD464" t="s">
        <v>7360</v>
      </c>
      <c r="AE464" t="s">
        <v>7360</v>
      </c>
      <c r="AF464" t="s">
        <v>1684</v>
      </c>
      <c r="AG464">
        <v>0</v>
      </c>
      <c r="AH464">
        <v>0</v>
      </c>
      <c r="AI464">
        <v>0</v>
      </c>
      <c r="AJ464">
        <v>0</v>
      </c>
      <c r="AK464">
        <v>0</v>
      </c>
      <c r="AL464" t="s">
        <v>7360</v>
      </c>
      <c r="AM464">
        <v>0</v>
      </c>
      <c r="AN464" s="20">
        <v>44981</v>
      </c>
      <c r="AO464" s="20">
        <v>44981</v>
      </c>
      <c r="AP464" s="20">
        <v>44981</v>
      </c>
      <c r="AQ464">
        <v>0</v>
      </c>
      <c r="AR464">
        <v>0</v>
      </c>
      <c r="AS464">
        <v>0</v>
      </c>
      <c r="AT464">
        <v>0</v>
      </c>
      <c r="AU464">
        <v>0</v>
      </c>
      <c r="AV464" t="s">
        <v>7360</v>
      </c>
      <c r="AW464">
        <v>0</v>
      </c>
      <c r="AX464" t="s">
        <v>7360</v>
      </c>
      <c r="AY464" t="s">
        <v>7363</v>
      </c>
      <c r="BA464">
        <v>0</v>
      </c>
      <c r="BB464" s="20">
        <v>44981</v>
      </c>
      <c r="BC464">
        <v>0</v>
      </c>
      <c r="BD464" t="s">
        <v>7360</v>
      </c>
      <c r="BF464" s="20">
        <v>44981</v>
      </c>
      <c r="BG464">
        <v>0</v>
      </c>
      <c r="BH464" t="s">
        <v>7363</v>
      </c>
      <c r="BJ464" t="s">
        <v>7362</v>
      </c>
      <c r="BK464">
        <v>169</v>
      </c>
      <c r="BL464">
        <v>11</v>
      </c>
      <c r="BM464">
        <v>1</v>
      </c>
      <c r="BN464" t="s">
        <v>7364</v>
      </c>
      <c r="BO464">
        <v>0</v>
      </c>
      <c r="BP464">
        <v>0</v>
      </c>
      <c r="BQ464">
        <v>0</v>
      </c>
      <c r="BR464">
        <v>0</v>
      </c>
      <c r="BS464" t="s">
        <v>132</v>
      </c>
      <c r="BT464" t="s">
        <v>7360</v>
      </c>
      <c r="BU464" t="s">
        <v>7360</v>
      </c>
      <c r="BV464" t="s">
        <v>7360</v>
      </c>
      <c r="BX464" t="s">
        <v>7391</v>
      </c>
      <c r="BY464">
        <v>74</v>
      </c>
      <c r="BZ464" t="s">
        <v>7360</v>
      </c>
      <c r="CA464" t="s">
        <v>7360</v>
      </c>
      <c r="CB464" t="s">
        <v>7360</v>
      </c>
      <c r="CC464" s="21">
        <v>44981.646770833337</v>
      </c>
      <c r="CE464" t="s">
        <v>7392</v>
      </c>
      <c r="CF464">
        <v>1100101</v>
      </c>
      <c r="CG464">
        <v>50947</v>
      </c>
      <c r="CH464">
        <v>50947</v>
      </c>
      <c r="CI464" s="21">
        <v>44981.649965277778</v>
      </c>
      <c r="CJ464" t="s">
        <v>7442</v>
      </c>
      <c r="CK464" t="s">
        <v>7442</v>
      </c>
      <c r="CL464" t="s">
        <v>7443</v>
      </c>
      <c r="CM464" t="s">
        <v>7443</v>
      </c>
      <c r="CS464" t="s">
        <v>7361</v>
      </c>
      <c r="CT464" t="s">
        <v>7362</v>
      </c>
      <c r="CU464" t="s">
        <v>7362</v>
      </c>
      <c r="CV464" t="s">
        <v>7362</v>
      </c>
      <c r="CW464" t="s">
        <v>7362</v>
      </c>
      <c r="CX464">
        <v>2500000</v>
      </c>
      <c r="DA464">
        <v>0</v>
      </c>
    </row>
    <row r="465" spans="1:105" x14ac:dyDescent="0.3">
      <c r="A465">
        <v>1366</v>
      </c>
      <c r="B465" t="s">
        <v>7380</v>
      </c>
      <c r="C465">
        <v>491</v>
      </c>
      <c r="D465" s="20">
        <v>44981</v>
      </c>
      <c r="E465" t="s">
        <v>7356</v>
      </c>
      <c r="F465" t="s">
        <v>5929</v>
      </c>
      <c r="G465" t="s">
        <v>7370</v>
      </c>
      <c r="H465">
        <v>1</v>
      </c>
      <c r="I465" t="s">
        <v>7358</v>
      </c>
      <c r="J465">
        <v>1</v>
      </c>
      <c r="K465" s="20">
        <v>44981</v>
      </c>
      <c r="L465" s="23">
        <v>3480000</v>
      </c>
      <c r="M465" t="s">
        <v>7359</v>
      </c>
      <c r="N465" t="s">
        <v>7360</v>
      </c>
      <c r="O465">
        <v>0</v>
      </c>
      <c r="P465">
        <v>12523</v>
      </c>
      <c r="Q465">
        <v>440005</v>
      </c>
      <c r="R465">
        <v>0</v>
      </c>
      <c r="S465">
        <v>20230224</v>
      </c>
      <c r="T465">
        <v>0</v>
      </c>
      <c r="U465" t="s">
        <v>7361</v>
      </c>
      <c r="V465" t="s">
        <v>7360</v>
      </c>
      <c r="W465" t="s">
        <v>7360</v>
      </c>
      <c r="X465" t="s">
        <v>7360</v>
      </c>
      <c r="Y465" t="s">
        <v>7360</v>
      </c>
      <c r="Z465" t="s">
        <v>7360</v>
      </c>
      <c r="AA465" t="s">
        <v>7362</v>
      </c>
      <c r="AB465" t="s">
        <v>7360</v>
      </c>
      <c r="AC465" t="s">
        <v>7360</v>
      </c>
      <c r="AD465" t="s">
        <v>7360</v>
      </c>
      <c r="AE465" t="s">
        <v>7360</v>
      </c>
      <c r="AF465" t="s">
        <v>1684</v>
      </c>
      <c r="AG465">
        <v>0</v>
      </c>
      <c r="AH465">
        <v>0</v>
      </c>
      <c r="AI465">
        <v>0</v>
      </c>
      <c r="AJ465">
        <v>0</v>
      </c>
      <c r="AK465">
        <v>0</v>
      </c>
      <c r="AL465" t="s">
        <v>7360</v>
      </c>
      <c r="AM465">
        <v>0</v>
      </c>
      <c r="AN465" s="20">
        <v>44981</v>
      </c>
      <c r="AO465" s="20">
        <v>44981</v>
      </c>
      <c r="AP465" s="20">
        <v>44981</v>
      </c>
      <c r="AQ465">
        <v>0</v>
      </c>
      <c r="AR465">
        <v>0</v>
      </c>
      <c r="AS465">
        <v>0</v>
      </c>
      <c r="AT465">
        <v>0</v>
      </c>
      <c r="AU465">
        <v>0</v>
      </c>
      <c r="AV465" t="s">
        <v>7360</v>
      </c>
      <c r="AW465">
        <v>0</v>
      </c>
      <c r="AX465" t="s">
        <v>7360</v>
      </c>
      <c r="AY465" t="s">
        <v>7363</v>
      </c>
      <c r="BA465">
        <v>0</v>
      </c>
      <c r="BB465" s="20">
        <v>44981</v>
      </c>
      <c r="BC465">
        <v>0</v>
      </c>
      <c r="BD465" t="s">
        <v>7360</v>
      </c>
      <c r="BF465" s="20">
        <v>44981</v>
      </c>
      <c r="BG465">
        <v>0</v>
      </c>
      <c r="BH465" t="s">
        <v>7363</v>
      </c>
      <c r="BJ465" t="s">
        <v>7362</v>
      </c>
      <c r="BK465">
        <v>0</v>
      </c>
      <c r="BL465">
        <v>0</v>
      </c>
      <c r="BM465">
        <v>0</v>
      </c>
      <c r="BN465">
        <v>0</v>
      </c>
      <c r="BO465">
        <v>169</v>
      </c>
      <c r="BP465">
        <v>11</v>
      </c>
      <c r="BQ465">
        <v>1</v>
      </c>
      <c r="BR465" t="s">
        <v>7364</v>
      </c>
      <c r="BS465" t="s">
        <v>7365</v>
      </c>
      <c r="BT465" t="s">
        <v>7360</v>
      </c>
      <c r="BU465" t="s">
        <v>7360</v>
      </c>
      <c r="BV465" t="s">
        <v>7360</v>
      </c>
      <c r="BX465">
        <v>0</v>
      </c>
      <c r="BY465">
        <v>0</v>
      </c>
      <c r="BZ465" t="s">
        <v>7360</v>
      </c>
      <c r="CA465" t="s">
        <v>7360</v>
      </c>
      <c r="CB465">
        <v>3380666</v>
      </c>
      <c r="CC465" s="21">
        <v>44981.657384259262</v>
      </c>
      <c r="CE465" t="s">
        <v>7366</v>
      </c>
      <c r="CF465">
        <v>0</v>
      </c>
      <c r="CG465">
        <v>53575</v>
      </c>
      <c r="CH465">
        <v>702002</v>
      </c>
      <c r="CI465" s="21">
        <v>44984.670810185184</v>
      </c>
      <c r="CJ465" t="s">
        <v>7393</v>
      </c>
      <c r="CK465" t="s">
        <v>7367</v>
      </c>
      <c r="CL465" t="s">
        <v>7394</v>
      </c>
      <c r="CM465" t="s">
        <v>7368</v>
      </c>
      <c r="CS465" t="s">
        <v>7361</v>
      </c>
      <c r="CT465" t="s">
        <v>7362</v>
      </c>
      <c r="CU465" t="s">
        <v>7362</v>
      </c>
      <c r="CV465" t="s">
        <v>7362</v>
      </c>
      <c r="CW465" t="s">
        <v>7362</v>
      </c>
      <c r="CX465">
        <v>3480000</v>
      </c>
      <c r="DA465">
        <v>0</v>
      </c>
    </row>
    <row r="466" spans="1:105" x14ac:dyDescent="0.3">
      <c r="A466">
        <v>1354</v>
      </c>
      <c r="B466" t="s">
        <v>7396</v>
      </c>
      <c r="C466">
        <v>492</v>
      </c>
      <c r="D466" s="20">
        <v>44981</v>
      </c>
      <c r="E466" t="s">
        <v>7356</v>
      </c>
      <c r="F466" t="s">
        <v>5934</v>
      </c>
      <c r="G466" t="s">
        <v>7370</v>
      </c>
      <c r="H466">
        <v>1</v>
      </c>
      <c r="I466" t="s">
        <v>7358</v>
      </c>
      <c r="J466">
        <v>1</v>
      </c>
      <c r="K466" s="20">
        <v>44981</v>
      </c>
      <c r="L466" s="23">
        <v>2000000</v>
      </c>
      <c r="M466" t="s">
        <v>7359</v>
      </c>
      <c r="N466" t="s">
        <v>7360</v>
      </c>
      <c r="O466">
        <v>0</v>
      </c>
      <c r="P466">
        <v>12665</v>
      </c>
      <c r="Q466">
        <v>449026</v>
      </c>
      <c r="R466">
        <v>0</v>
      </c>
      <c r="S466">
        <v>20230224</v>
      </c>
      <c r="T466">
        <v>0</v>
      </c>
      <c r="U466" t="s">
        <v>7361</v>
      </c>
      <c r="V466" t="s">
        <v>7360</v>
      </c>
      <c r="W466" t="s">
        <v>7360</v>
      </c>
      <c r="X466" t="s">
        <v>7360</v>
      </c>
      <c r="Y466" t="s">
        <v>7360</v>
      </c>
      <c r="Z466" t="s">
        <v>7360</v>
      </c>
      <c r="AA466" t="s">
        <v>7362</v>
      </c>
      <c r="AB466" t="s">
        <v>7360</v>
      </c>
      <c r="AC466" t="s">
        <v>7360</v>
      </c>
      <c r="AD466" t="s">
        <v>7360</v>
      </c>
      <c r="AE466" t="s">
        <v>7360</v>
      </c>
      <c r="AF466" t="s">
        <v>1684</v>
      </c>
      <c r="AG466">
        <v>0</v>
      </c>
      <c r="AH466">
        <v>0</v>
      </c>
      <c r="AI466">
        <v>0</v>
      </c>
      <c r="AJ466">
        <v>0</v>
      </c>
      <c r="AK466">
        <v>0</v>
      </c>
      <c r="AL466" t="s">
        <v>7360</v>
      </c>
      <c r="AM466">
        <v>0</v>
      </c>
      <c r="AN466" s="20">
        <v>44981</v>
      </c>
      <c r="AO466" s="20">
        <v>44981</v>
      </c>
      <c r="AP466" s="20">
        <v>44981</v>
      </c>
      <c r="AQ466">
        <v>0</v>
      </c>
      <c r="AR466">
        <v>0</v>
      </c>
      <c r="AS466">
        <v>0</v>
      </c>
      <c r="AT466">
        <v>0</v>
      </c>
      <c r="AU466">
        <v>0</v>
      </c>
      <c r="AV466" t="s">
        <v>7360</v>
      </c>
      <c r="AW466">
        <v>0</v>
      </c>
      <c r="AX466" t="s">
        <v>7360</v>
      </c>
      <c r="AY466" t="s">
        <v>7363</v>
      </c>
      <c r="BA466">
        <v>0</v>
      </c>
      <c r="BB466" s="20">
        <v>44981</v>
      </c>
      <c r="BC466">
        <v>0</v>
      </c>
      <c r="BD466" t="s">
        <v>7360</v>
      </c>
      <c r="BF466" s="20">
        <v>44981</v>
      </c>
      <c r="BG466">
        <v>0</v>
      </c>
      <c r="BH466" t="s">
        <v>7363</v>
      </c>
      <c r="BJ466" t="s">
        <v>7362</v>
      </c>
      <c r="BK466">
        <v>169</v>
      </c>
      <c r="BL466">
        <v>11</v>
      </c>
      <c r="BM466">
        <v>1</v>
      </c>
      <c r="BN466" t="s">
        <v>7364</v>
      </c>
      <c r="BO466">
        <v>0</v>
      </c>
      <c r="BP466">
        <v>0</v>
      </c>
      <c r="BQ466">
        <v>0</v>
      </c>
      <c r="BR466">
        <v>0</v>
      </c>
      <c r="BS466" t="s">
        <v>132</v>
      </c>
      <c r="BT466" t="s">
        <v>7360</v>
      </c>
      <c r="BU466" t="s">
        <v>7360</v>
      </c>
      <c r="BV466" t="s">
        <v>7360</v>
      </c>
      <c r="BX466" t="s">
        <v>7391</v>
      </c>
      <c r="BY466">
        <v>74</v>
      </c>
      <c r="BZ466" t="s">
        <v>7360</v>
      </c>
      <c r="CA466" t="s">
        <v>7360</v>
      </c>
      <c r="CB466" t="s">
        <v>7360</v>
      </c>
      <c r="CC466" s="21">
        <v>44981.663587962961</v>
      </c>
      <c r="CE466" t="s">
        <v>7392</v>
      </c>
      <c r="CF466">
        <v>1100101</v>
      </c>
      <c r="CG466">
        <v>50947</v>
      </c>
      <c r="CH466">
        <v>50947</v>
      </c>
      <c r="CI466" s="21">
        <v>44981.664884259262</v>
      </c>
      <c r="CJ466" t="s">
        <v>7442</v>
      </c>
      <c r="CK466" t="s">
        <v>7442</v>
      </c>
      <c r="CL466" t="s">
        <v>7443</v>
      </c>
      <c r="CM466" t="s">
        <v>7443</v>
      </c>
      <c r="CS466" t="s">
        <v>7361</v>
      </c>
      <c r="CT466" t="s">
        <v>7362</v>
      </c>
      <c r="CU466" t="s">
        <v>7362</v>
      </c>
      <c r="CV466" t="s">
        <v>7362</v>
      </c>
      <c r="CW466" t="s">
        <v>7362</v>
      </c>
      <c r="CX466">
        <v>2000000</v>
      </c>
      <c r="DA466">
        <v>0</v>
      </c>
    </row>
    <row r="467" spans="1:105" x14ac:dyDescent="0.3">
      <c r="A467">
        <v>1354</v>
      </c>
      <c r="B467" t="s">
        <v>7396</v>
      </c>
      <c r="C467">
        <v>493</v>
      </c>
      <c r="D467" s="20">
        <v>44981</v>
      </c>
      <c r="E467" t="s">
        <v>7356</v>
      </c>
      <c r="F467" t="s">
        <v>5940</v>
      </c>
      <c r="G467" t="s">
        <v>7370</v>
      </c>
      <c r="H467">
        <v>1</v>
      </c>
      <c r="I467" t="s">
        <v>7358</v>
      </c>
      <c r="J467">
        <v>1</v>
      </c>
      <c r="K467" s="20">
        <v>44981</v>
      </c>
      <c r="L467" s="23">
        <v>1500000</v>
      </c>
      <c r="M467" t="s">
        <v>7359</v>
      </c>
      <c r="N467" t="s">
        <v>7360</v>
      </c>
      <c r="O467">
        <v>0</v>
      </c>
      <c r="P467">
        <v>12669</v>
      </c>
      <c r="Q467">
        <v>449031</v>
      </c>
      <c r="R467">
        <v>0</v>
      </c>
      <c r="S467">
        <v>20230224</v>
      </c>
      <c r="T467">
        <v>0</v>
      </c>
      <c r="U467" t="s">
        <v>7361</v>
      </c>
      <c r="V467" t="s">
        <v>7360</v>
      </c>
      <c r="W467" t="s">
        <v>7360</v>
      </c>
      <c r="X467" t="s">
        <v>7360</v>
      </c>
      <c r="Y467" t="s">
        <v>7360</v>
      </c>
      <c r="Z467" t="s">
        <v>7360</v>
      </c>
      <c r="AA467" t="s">
        <v>7362</v>
      </c>
      <c r="AB467" t="s">
        <v>7360</v>
      </c>
      <c r="AC467" t="s">
        <v>7360</v>
      </c>
      <c r="AD467" t="s">
        <v>7360</v>
      </c>
      <c r="AE467" t="s">
        <v>7360</v>
      </c>
      <c r="AF467" t="s">
        <v>1684</v>
      </c>
      <c r="AG467">
        <v>0</v>
      </c>
      <c r="AH467">
        <v>0</v>
      </c>
      <c r="AI467">
        <v>0</v>
      </c>
      <c r="AJ467">
        <v>0</v>
      </c>
      <c r="AK467">
        <v>0</v>
      </c>
      <c r="AL467" t="s">
        <v>7360</v>
      </c>
      <c r="AM467">
        <v>0</v>
      </c>
      <c r="AN467" s="20">
        <v>44981</v>
      </c>
      <c r="AO467" s="20">
        <v>44981</v>
      </c>
      <c r="AP467" s="20">
        <v>44981</v>
      </c>
      <c r="AQ467">
        <v>0</v>
      </c>
      <c r="AR467">
        <v>0</v>
      </c>
      <c r="AS467">
        <v>0</v>
      </c>
      <c r="AT467">
        <v>0</v>
      </c>
      <c r="AU467">
        <v>0</v>
      </c>
      <c r="AV467" t="s">
        <v>7360</v>
      </c>
      <c r="AW467">
        <v>0</v>
      </c>
      <c r="AX467" t="s">
        <v>7360</v>
      </c>
      <c r="AY467" t="s">
        <v>7363</v>
      </c>
      <c r="BA467">
        <v>0</v>
      </c>
      <c r="BB467" s="20">
        <v>44981</v>
      </c>
      <c r="BC467">
        <v>0</v>
      </c>
      <c r="BD467" t="s">
        <v>7360</v>
      </c>
      <c r="BF467" s="20">
        <v>44981</v>
      </c>
      <c r="BG467">
        <v>0</v>
      </c>
      <c r="BH467" t="s">
        <v>7363</v>
      </c>
      <c r="BJ467" t="s">
        <v>7362</v>
      </c>
      <c r="BK467">
        <v>169</v>
      </c>
      <c r="BL467">
        <v>11</v>
      </c>
      <c r="BM467">
        <v>1</v>
      </c>
      <c r="BN467" t="s">
        <v>7364</v>
      </c>
      <c r="BO467">
        <v>0</v>
      </c>
      <c r="BP467">
        <v>0</v>
      </c>
      <c r="BQ467">
        <v>0</v>
      </c>
      <c r="BR467">
        <v>0</v>
      </c>
      <c r="BS467" t="s">
        <v>132</v>
      </c>
      <c r="BT467" t="s">
        <v>7360</v>
      </c>
      <c r="BU467" t="s">
        <v>7360</v>
      </c>
      <c r="BV467" t="s">
        <v>7360</v>
      </c>
      <c r="BX467" t="s">
        <v>7391</v>
      </c>
      <c r="BY467">
        <v>74</v>
      </c>
      <c r="BZ467" t="s">
        <v>7360</v>
      </c>
      <c r="CA467" t="s">
        <v>7360</v>
      </c>
      <c r="CB467" t="s">
        <v>7360</v>
      </c>
      <c r="CC467" s="21">
        <v>44981.676655092589</v>
      </c>
      <c r="CE467" t="s">
        <v>7392</v>
      </c>
      <c r="CF467">
        <v>1100101</v>
      </c>
      <c r="CG467">
        <v>50947</v>
      </c>
      <c r="CH467">
        <v>50947</v>
      </c>
      <c r="CI467" s="21">
        <v>44981.677418981482</v>
      </c>
      <c r="CJ467" t="s">
        <v>7442</v>
      </c>
      <c r="CK467" t="s">
        <v>7442</v>
      </c>
      <c r="CL467" t="s">
        <v>7443</v>
      </c>
      <c r="CM467" t="s">
        <v>7443</v>
      </c>
      <c r="CS467" t="s">
        <v>7361</v>
      </c>
      <c r="CT467" t="s">
        <v>7362</v>
      </c>
      <c r="CU467" t="s">
        <v>7362</v>
      </c>
      <c r="CV467" t="s">
        <v>7362</v>
      </c>
      <c r="CW467" t="s">
        <v>7362</v>
      </c>
      <c r="CX467">
        <v>1500000</v>
      </c>
      <c r="DA467">
        <v>0</v>
      </c>
    </row>
    <row r="468" spans="1:105" x14ac:dyDescent="0.3">
      <c r="A468">
        <v>1354</v>
      </c>
      <c r="B468" t="s">
        <v>7396</v>
      </c>
      <c r="C468">
        <v>494</v>
      </c>
      <c r="D468" s="20">
        <v>44981</v>
      </c>
      <c r="E468" t="s">
        <v>7356</v>
      </c>
      <c r="F468" t="s">
        <v>5945</v>
      </c>
      <c r="G468" t="s">
        <v>7370</v>
      </c>
      <c r="H468">
        <v>1</v>
      </c>
      <c r="I468" t="s">
        <v>7358</v>
      </c>
      <c r="J468">
        <v>1</v>
      </c>
      <c r="K468" s="20">
        <v>44981</v>
      </c>
      <c r="L468" s="23">
        <v>2500000</v>
      </c>
      <c r="M468" t="s">
        <v>7359</v>
      </c>
      <c r="N468" t="s">
        <v>7360</v>
      </c>
      <c r="O468">
        <v>0</v>
      </c>
      <c r="P468">
        <v>12672</v>
      </c>
      <c r="Q468">
        <v>449035</v>
      </c>
      <c r="R468">
        <v>0</v>
      </c>
      <c r="S468">
        <v>20230224</v>
      </c>
      <c r="T468">
        <v>0</v>
      </c>
      <c r="U468" t="s">
        <v>7361</v>
      </c>
      <c r="V468" t="s">
        <v>7360</v>
      </c>
      <c r="W468" t="s">
        <v>7360</v>
      </c>
      <c r="X468" t="s">
        <v>7360</v>
      </c>
      <c r="Y468" t="s">
        <v>7360</v>
      </c>
      <c r="Z468" t="s">
        <v>7360</v>
      </c>
      <c r="AA468" t="s">
        <v>7362</v>
      </c>
      <c r="AB468" t="s">
        <v>7360</v>
      </c>
      <c r="AC468" t="s">
        <v>7360</v>
      </c>
      <c r="AD468" t="s">
        <v>7360</v>
      </c>
      <c r="AE468" t="s">
        <v>7360</v>
      </c>
      <c r="AF468" t="s">
        <v>1684</v>
      </c>
      <c r="AG468">
        <v>0</v>
      </c>
      <c r="AH468">
        <v>0</v>
      </c>
      <c r="AI468">
        <v>0</v>
      </c>
      <c r="AJ468">
        <v>0</v>
      </c>
      <c r="AK468">
        <v>0</v>
      </c>
      <c r="AL468" t="s">
        <v>7360</v>
      </c>
      <c r="AM468">
        <v>0</v>
      </c>
      <c r="AN468" s="20">
        <v>44981</v>
      </c>
      <c r="AO468" s="20">
        <v>44981</v>
      </c>
      <c r="AP468" s="20">
        <v>44981</v>
      </c>
      <c r="AQ468">
        <v>0</v>
      </c>
      <c r="AR468">
        <v>0</v>
      </c>
      <c r="AS468">
        <v>0</v>
      </c>
      <c r="AT468">
        <v>0</v>
      </c>
      <c r="AU468">
        <v>0</v>
      </c>
      <c r="AV468" t="s">
        <v>7360</v>
      </c>
      <c r="AW468">
        <v>0</v>
      </c>
      <c r="AX468" t="s">
        <v>7360</v>
      </c>
      <c r="AY468" t="s">
        <v>7363</v>
      </c>
      <c r="BA468">
        <v>0</v>
      </c>
      <c r="BB468" s="20">
        <v>44981</v>
      </c>
      <c r="BC468">
        <v>0</v>
      </c>
      <c r="BD468" t="s">
        <v>7360</v>
      </c>
      <c r="BF468" s="20">
        <v>44981</v>
      </c>
      <c r="BG468">
        <v>0</v>
      </c>
      <c r="BH468" t="s">
        <v>7363</v>
      </c>
      <c r="BJ468" t="s">
        <v>7362</v>
      </c>
      <c r="BK468">
        <v>169</v>
      </c>
      <c r="BL468">
        <v>11</v>
      </c>
      <c r="BM468">
        <v>1</v>
      </c>
      <c r="BN468" t="s">
        <v>7364</v>
      </c>
      <c r="BO468">
        <v>0</v>
      </c>
      <c r="BP468">
        <v>0</v>
      </c>
      <c r="BQ468">
        <v>0</v>
      </c>
      <c r="BR468">
        <v>0</v>
      </c>
      <c r="BS468" t="s">
        <v>132</v>
      </c>
      <c r="BT468" t="s">
        <v>7360</v>
      </c>
      <c r="BU468" t="s">
        <v>7360</v>
      </c>
      <c r="BV468" t="s">
        <v>7360</v>
      </c>
      <c r="BX468" t="s">
        <v>7391</v>
      </c>
      <c r="BY468">
        <v>74</v>
      </c>
      <c r="BZ468" t="s">
        <v>7360</v>
      </c>
      <c r="CA468" t="s">
        <v>7360</v>
      </c>
      <c r="CB468" t="s">
        <v>7360</v>
      </c>
      <c r="CC468" s="21">
        <v>44981.685787037037</v>
      </c>
      <c r="CE468" t="s">
        <v>7392</v>
      </c>
      <c r="CF468">
        <v>1100101</v>
      </c>
      <c r="CG468">
        <v>50947</v>
      </c>
      <c r="CH468">
        <v>50947</v>
      </c>
      <c r="CI468" s="21">
        <v>44981.6875462963</v>
      </c>
      <c r="CJ468" t="s">
        <v>7442</v>
      </c>
      <c r="CK468" t="s">
        <v>7442</v>
      </c>
      <c r="CL468" t="s">
        <v>7443</v>
      </c>
      <c r="CM468" t="s">
        <v>7443</v>
      </c>
      <c r="CS468" t="s">
        <v>7361</v>
      </c>
      <c r="CT468" t="s">
        <v>7362</v>
      </c>
      <c r="CU468" t="s">
        <v>7362</v>
      </c>
      <c r="CV468" t="s">
        <v>7362</v>
      </c>
      <c r="CW468" t="s">
        <v>7362</v>
      </c>
      <c r="CX468">
        <v>2500000</v>
      </c>
      <c r="DA468">
        <v>0</v>
      </c>
    </row>
    <row r="469" spans="1:105" x14ac:dyDescent="0.3">
      <c r="A469">
        <v>1354</v>
      </c>
      <c r="B469" t="s">
        <v>7396</v>
      </c>
      <c r="C469">
        <v>495</v>
      </c>
      <c r="D469" s="20">
        <v>44981</v>
      </c>
      <c r="E469" t="s">
        <v>7372</v>
      </c>
      <c r="F469" t="s">
        <v>5950</v>
      </c>
      <c r="G469" t="s">
        <v>7370</v>
      </c>
      <c r="H469">
        <v>1</v>
      </c>
      <c r="I469" t="s">
        <v>7358</v>
      </c>
      <c r="J469">
        <v>1</v>
      </c>
      <c r="K469" s="20">
        <v>44981</v>
      </c>
      <c r="L469" s="23">
        <v>1950000</v>
      </c>
      <c r="M469" t="s">
        <v>7359</v>
      </c>
      <c r="N469" t="s">
        <v>7360</v>
      </c>
      <c r="O469">
        <v>0</v>
      </c>
      <c r="P469">
        <v>12677</v>
      </c>
      <c r="Q469">
        <v>449040</v>
      </c>
      <c r="R469">
        <v>0</v>
      </c>
      <c r="S469">
        <v>20230224</v>
      </c>
      <c r="T469">
        <v>0</v>
      </c>
      <c r="U469" t="s">
        <v>7362</v>
      </c>
      <c r="V469" t="s">
        <v>7360</v>
      </c>
      <c r="W469" t="s">
        <v>7360</v>
      </c>
      <c r="X469" t="s">
        <v>7360</v>
      </c>
      <c r="Y469" t="s">
        <v>7360</v>
      </c>
      <c r="Z469" t="s">
        <v>7360</v>
      </c>
      <c r="AA469" t="s">
        <v>7362</v>
      </c>
      <c r="AB469" t="s">
        <v>7360</v>
      </c>
      <c r="AC469" t="s">
        <v>7360</v>
      </c>
      <c r="AD469" t="s">
        <v>7360</v>
      </c>
      <c r="AE469" t="s">
        <v>7360</v>
      </c>
      <c r="AF469" t="s">
        <v>1684</v>
      </c>
      <c r="AG469">
        <v>0</v>
      </c>
      <c r="AH469">
        <v>0</v>
      </c>
      <c r="AI469">
        <v>0</v>
      </c>
      <c r="AJ469">
        <v>0</v>
      </c>
      <c r="AK469">
        <v>0</v>
      </c>
      <c r="AL469" t="s">
        <v>7360</v>
      </c>
      <c r="AM469">
        <v>0</v>
      </c>
      <c r="AN469" s="20">
        <v>44981</v>
      </c>
      <c r="AO469" s="20">
        <v>44981</v>
      </c>
      <c r="AP469" s="20">
        <v>44981</v>
      </c>
      <c r="AQ469">
        <v>0</v>
      </c>
      <c r="AR469">
        <v>0</v>
      </c>
      <c r="AS469">
        <v>0</v>
      </c>
      <c r="AT469">
        <v>0</v>
      </c>
      <c r="AU469">
        <v>0</v>
      </c>
      <c r="AV469" t="s">
        <v>7360</v>
      </c>
      <c r="AW469">
        <v>0</v>
      </c>
      <c r="AX469" t="s">
        <v>7360</v>
      </c>
      <c r="AY469" t="s">
        <v>7373</v>
      </c>
      <c r="BA469">
        <v>0</v>
      </c>
      <c r="BB469" s="20">
        <v>44981</v>
      </c>
      <c r="BC469">
        <v>0</v>
      </c>
      <c r="BD469" t="s">
        <v>7360</v>
      </c>
      <c r="BF469" s="20">
        <v>44981</v>
      </c>
      <c r="BG469">
        <v>0</v>
      </c>
      <c r="BH469" t="s">
        <v>7363</v>
      </c>
      <c r="BJ469" t="s">
        <v>7362</v>
      </c>
      <c r="BK469">
        <v>169</v>
      </c>
      <c r="BL469">
        <v>11</v>
      </c>
      <c r="BM469">
        <v>1</v>
      </c>
      <c r="BN469" t="s">
        <v>7364</v>
      </c>
      <c r="BO469">
        <v>0</v>
      </c>
      <c r="BP469">
        <v>0</v>
      </c>
      <c r="BQ469">
        <v>0</v>
      </c>
      <c r="BR469">
        <v>0</v>
      </c>
      <c r="BS469" t="s">
        <v>7444</v>
      </c>
      <c r="BT469" t="s">
        <v>7360</v>
      </c>
      <c r="BU469" t="s">
        <v>7360</v>
      </c>
      <c r="BV469" t="s">
        <v>7360</v>
      </c>
      <c r="BX469" t="s">
        <v>7391</v>
      </c>
      <c r="BY469">
        <v>74</v>
      </c>
      <c r="BZ469" t="s">
        <v>7360</v>
      </c>
      <c r="CA469" t="s">
        <v>7360</v>
      </c>
      <c r="CB469" t="s">
        <v>7360</v>
      </c>
      <c r="CC469" s="21">
        <v>44981.692789351851</v>
      </c>
      <c r="CE469" t="s">
        <v>7392</v>
      </c>
      <c r="CF469">
        <v>1100101</v>
      </c>
      <c r="CG469">
        <v>50947</v>
      </c>
      <c r="CH469">
        <v>50947</v>
      </c>
      <c r="CI469" s="21">
        <v>44981.693854166668</v>
      </c>
      <c r="CJ469" t="s">
        <v>7442</v>
      </c>
      <c r="CK469" t="s">
        <v>7442</v>
      </c>
      <c r="CL469" t="s">
        <v>7443</v>
      </c>
      <c r="CM469" t="s">
        <v>7443</v>
      </c>
      <c r="CS469" t="s">
        <v>7361</v>
      </c>
      <c r="CT469" t="s">
        <v>7362</v>
      </c>
      <c r="CU469" t="s">
        <v>7362</v>
      </c>
      <c r="CV469" t="s">
        <v>7362</v>
      </c>
      <c r="CW469" t="s">
        <v>7362</v>
      </c>
      <c r="CX469">
        <v>1950000</v>
      </c>
      <c r="DA469">
        <v>0</v>
      </c>
    </row>
    <row r="470" spans="1:105" x14ac:dyDescent="0.3">
      <c r="A470">
        <v>1354</v>
      </c>
      <c r="B470" t="s">
        <v>7396</v>
      </c>
      <c r="C470">
        <v>496</v>
      </c>
      <c r="D470" s="20">
        <v>44981</v>
      </c>
      <c r="E470" t="s">
        <v>7356</v>
      </c>
      <c r="F470" t="s">
        <v>5956</v>
      </c>
      <c r="G470" t="s">
        <v>7370</v>
      </c>
      <c r="H470">
        <v>1</v>
      </c>
      <c r="I470" t="s">
        <v>7358</v>
      </c>
      <c r="J470">
        <v>1</v>
      </c>
      <c r="K470" s="20">
        <v>44981</v>
      </c>
      <c r="L470" s="23">
        <v>875000</v>
      </c>
      <c r="M470" t="s">
        <v>7359</v>
      </c>
      <c r="N470" t="s">
        <v>7360</v>
      </c>
      <c r="O470">
        <v>0</v>
      </c>
      <c r="P470">
        <v>12656</v>
      </c>
      <c r="Q470">
        <v>449018</v>
      </c>
      <c r="R470">
        <v>0</v>
      </c>
      <c r="S470">
        <v>20230224</v>
      </c>
      <c r="T470">
        <v>0</v>
      </c>
      <c r="U470" t="s">
        <v>7361</v>
      </c>
      <c r="V470" t="s">
        <v>7360</v>
      </c>
      <c r="W470" t="s">
        <v>7360</v>
      </c>
      <c r="X470" t="s">
        <v>7360</v>
      </c>
      <c r="Y470" t="s">
        <v>7360</v>
      </c>
      <c r="Z470" t="s">
        <v>7360</v>
      </c>
      <c r="AA470" t="s">
        <v>7362</v>
      </c>
      <c r="AB470" t="s">
        <v>7360</v>
      </c>
      <c r="AC470" t="s">
        <v>7360</v>
      </c>
      <c r="AD470" t="s">
        <v>7360</v>
      </c>
      <c r="AE470" t="s">
        <v>7360</v>
      </c>
      <c r="AF470" t="s">
        <v>1684</v>
      </c>
      <c r="AG470">
        <v>0</v>
      </c>
      <c r="AH470">
        <v>0</v>
      </c>
      <c r="AI470">
        <v>0</v>
      </c>
      <c r="AJ470">
        <v>0</v>
      </c>
      <c r="AK470">
        <v>0</v>
      </c>
      <c r="AL470" t="s">
        <v>7360</v>
      </c>
      <c r="AM470">
        <v>0</v>
      </c>
      <c r="AN470" s="20">
        <v>44981</v>
      </c>
      <c r="AO470" s="20">
        <v>44981</v>
      </c>
      <c r="AP470" s="20">
        <v>44981</v>
      </c>
      <c r="AQ470">
        <v>0</v>
      </c>
      <c r="AR470">
        <v>0</v>
      </c>
      <c r="AS470">
        <v>0</v>
      </c>
      <c r="AT470">
        <v>0</v>
      </c>
      <c r="AU470">
        <v>0</v>
      </c>
      <c r="AV470" t="s">
        <v>7360</v>
      </c>
      <c r="AW470">
        <v>0</v>
      </c>
      <c r="AX470" t="s">
        <v>7360</v>
      </c>
      <c r="AY470" t="s">
        <v>7363</v>
      </c>
      <c r="BA470">
        <v>0</v>
      </c>
      <c r="BB470" s="20">
        <v>44981</v>
      </c>
      <c r="BC470">
        <v>0</v>
      </c>
      <c r="BD470" t="s">
        <v>7360</v>
      </c>
      <c r="BF470" s="20">
        <v>44981</v>
      </c>
      <c r="BG470">
        <v>0</v>
      </c>
      <c r="BH470" t="s">
        <v>7363</v>
      </c>
      <c r="BJ470" t="s">
        <v>7362</v>
      </c>
      <c r="BK470">
        <v>169</v>
      </c>
      <c r="BL470">
        <v>11</v>
      </c>
      <c r="BM470">
        <v>1</v>
      </c>
      <c r="BN470" t="s">
        <v>7364</v>
      </c>
      <c r="BO470">
        <v>0</v>
      </c>
      <c r="BP470">
        <v>0</v>
      </c>
      <c r="BQ470">
        <v>0</v>
      </c>
      <c r="BR470">
        <v>0</v>
      </c>
      <c r="BS470" t="s">
        <v>7444</v>
      </c>
      <c r="BT470" t="s">
        <v>7360</v>
      </c>
      <c r="BU470" t="s">
        <v>7360</v>
      </c>
      <c r="BV470" t="s">
        <v>7360</v>
      </c>
      <c r="BX470" t="s">
        <v>7391</v>
      </c>
      <c r="BY470">
        <v>74</v>
      </c>
      <c r="BZ470" t="s">
        <v>7360</v>
      </c>
      <c r="CA470" t="s">
        <v>7360</v>
      </c>
      <c r="CB470" t="s">
        <v>7360</v>
      </c>
      <c r="CC470" s="21">
        <v>44981.699525462966</v>
      </c>
      <c r="CE470" t="s">
        <v>7392</v>
      </c>
      <c r="CF470">
        <v>1100101</v>
      </c>
      <c r="CG470">
        <v>50947</v>
      </c>
      <c r="CH470">
        <v>50947</v>
      </c>
      <c r="CI470" s="21">
        <v>44981.700520833336</v>
      </c>
      <c r="CJ470" t="s">
        <v>7442</v>
      </c>
      <c r="CK470" t="s">
        <v>7442</v>
      </c>
      <c r="CL470" t="s">
        <v>7443</v>
      </c>
      <c r="CM470" t="s">
        <v>7443</v>
      </c>
      <c r="CS470" t="s">
        <v>7361</v>
      </c>
      <c r="CT470" t="s">
        <v>7362</v>
      </c>
      <c r="CU470" t="s">
        <v>7362</v>
      </c>
      <c r="CV470" t="s">
        <v>7362</v>
      </c>
      <c r="CW470" t="s">
        <v>7362</v>
      </c>
      <c r="CX470">
        <v>875000</v>
      </c>
      <c r="DA470">
        <v>0</v>
      </c>
    </row>
    <row r="471" spans="1:105" x14ac:dyDescent="0.3">
      <c r="A471">
        <v>1373</v>
      </c>
      <c r="B471" t="s">
        <v>7383</v>
      </c>
      <c r="C471">
        <v>497</v>
      </c>
      <c r="D471" s="20">
        <v>44981</v>
      </c>
      <c r="E471" t="s">
        <v>7372</v>
      </c>
      <c r="F471" t="s">
        <v>5961</v>
      </c>
      <c r="G471" t="s">
        <v>7357</v>
      </c>
      <c r="H471">
        <v>1</v>
      </c>
      <c r="I471" t="s">
        <v>7358</v>
      </c>
      <c r="J471">
        <v>1</v>
      </c>
      <c r="K471" s="20">
        <v>44981</v>
      </c>
      <c r="L471" s="23">
        <v>137052</v>
      </c>
      <c r="M471" t="s">
        <v>7359</v>
      </c>
      <c r="N471" t="s">
        <v>7360</v>
      </c>
      <c r="O471">
        <v>0</v>
      </c>
      <c r="P471">
        <v>12175</v>
      </c>
      <c r="Q471">
        <v>421003</v>
      </c>
      <c r="R471">
        <v>0</v>
      </c>
      <c r="S471">
        <v>20230224</v>
      </c>
      <c r="T471">
        <v>0</v>
      </c>
      <c r="U471" t="s">
        <v>7362</v>
      </c>
      <c r="V471" t="s">
        <v>7360</v>
      </c>
      <c r="W471" t="s">
        <v>7360</v>
      </c>
      <c r="X471" t="s">
        <v>7360</v>
      </c>
      <c r="Y471" t="s">
        <v>7360</v>
      </c>
      <c r="Z471" t="s">
        <v>7360</v>
      </c>
      <c r="AA471" t="s">
        <v>7362</v>
      </c>
      <c r="AB471" t="s">
        <v>7360</v>
      </c>
      <c r="AC471" t="s">
        <v>7360</v>
      </c>
      <c r="AD471" t="s">
        <v>7360</v>
      </c>
      <c r="AE471" t="s">
        <v>7360</v>
      </c>
      <c r="AF471" t="s">
        <v>1684</v>
      </c>
      <c r="AG471">
        <v>0</v>
      </c>
      <c r="AH471">
        <v>0</v>
      </c>
      <c r="AI471">
        <v>0</v>
      </c>
      <c r="AJ471">
        <v>0</v>
      </c>
      <c r="AK471">
        <v>0</v>
      </c>
      <c r="AL471" t="s">
        <v>7360</v>
      </c>
      <c r="AM471">
        <v>0</v>
      </c>
      <c r="AN471" s="20">
        <v>44981</v>
      </c>
      <c r="AO471" s="20">
        <v>44981</v>
      </c>
      <c r="AP471" s="20">
        <v>44981</v>
      </c>
      <c r="AQ471">
        <v>0</v>
      </c>
      <c r="AR471">
        <v>0</v>
      </c>
      <c r="AS471">
        <v>0</v>
      </c>
      <c r="AT471">
        <v>0</v>
      </c>
      <c r="AU471">
        <v>0</v>
      </c>
      <c r="AV471" t="s">
        <v>7360</v>
      </c>
      <c r="AW471">
        <v>0</v>
      </c>
      <c r="AX471" t="s">
        <v>7360</v>
      </c>
      <c r="AY471" t="s">
        <v>7362</v>
      </c>
      <c r="BA471">
        <v>0</v>
      </c>
      <c r="BB471" s="20">
        <v>44981</v>
      </c>
      <c r="BC471">
        <v>0</v>
      </c>
      <c r="BD471" t="s">
        <v>7360</v>
      </c>
      <c r="BF471" s="20">
        <v>44981</v>
      </c>
      <c r="BG471">
        <v>0</v>
      </c>
      <c r="BH471" t="s">
        <v>7363</v>
      </c>
      <c r="BJ471" t="s">
        <v>7362</v>
      </c>
      <c r="BK471">
        <v>169</v>
      </c>
      <c r="BL471">
        <v>11</v>
      </c>
      <c r="BM471">
        <v>1</v>
      </c>
      <c r="BN471" t="s">
        <v>7364</v>
      </c>
      <c r="BO471">
        <v>0</v>
      </c>
      <c r="BP471">
        <v>0</v>
      </c>
      <c r="BQ471">
        <v>0</v>
      </c>
      <c r="BR471">
        <v>0</v>
      </c>
      <c r="BS471" t="s">
        <v>132</v>
      </c>
      <c r="BT471" t="s">
        <v>7360</v>
      </c>
      <c r="BU471" t="s">
        <v>7360</v>
      </c>
      <c r="BV471" t="s">
        <v>7360</v>
      </c>
      <c r="BX471" t="s">
        <v>7391</v>
      </c>
      <c r="BY471">
        <v>74</v>
      </c>
      <c r="BZ471" t="s">
        <v>7360</v>
      </c>
      <c r="CA471" t="s">
        <v>7360</v>
      </c>
      <c r="CB471" t="s">
        <v>7360</v>
      </c>
      <c r="CC471" s="21">
        <v>44981.707650462966</v>
      </c>
      <c r="CE471" t="s">
        <v>7392</v>
      </c>
      <c r="CF471">
        <v>1100101</v>
      </c>
      <c r="CG471">
        <v>50947</v>
      </c>
      <c r="CH471">
        <v>50947</v>
      </c>
      <c r="CI471" s="21">
        <v>44981.712037037039</v>
      </c>
      <c r="CJ471" t="s">
        <v>7442</v>
      </c>
      <c r="CK471" t="s">
        <v>7442</v>
      </c>
      <c r="CL471" t="s">
        <v>7443</v>
      </c>
      <c r="CM471" t="s">
        <v>7443</v>
      </c>
      <c r="CS471" t="s">
        <v>7361</v>
      </c>
      <c r="CT471" t="s">
        <v>7362</v>
      </c>
      <c r="CU471" t="s">
        <v>7362</v>
      </c>
      <c r="CV471" t="s">
        <v>7362</v>
      </c>
      <c r="CW471" t="s">
        <v>7362</v>
      </c>
      <c r="CX471">
        <v>137052</v>
      </c>
      <c r="DA471">
        <v>0</v>
      </c>
    </row>
    <row r="472" spans="1:105" x14ac:dyDescent="0.3">
      <c r="A472">
        <v>1354</v>
      </c>
      <c r="B472" t="s">
        <v>7396</v>
      </c>
      <c r="C472">
        <v>498</v>
      </c>
      <c r="D472" s="20">
        <v>44981</v>
      </c>
      <c r="E472" t="s">
        <v>7372</v>
      </c>
      <c r="F472" t="s">
        <v>5966</v>
      </c>
      <c r="G472" t="s">
        <v>7370</v>
      </c>
      <c r="H472">
        <v>1</v>
      </c>
      <c r="I472" t="s">
        <v>7358</v>
      </c>
      <c r="J472">
        <v>1</v>
      </c>
      <c r="K472" s="20">
        <v>44981</v>
      </c>
      <c r="L472" s="23">
        <v>1500000</v>
      </c>
      <c r="M472" t="s">
        <v>7359</v>
      </c>
      <c r="N472" t="s">
        <v>7360</v>
      </c>
      <c r="O472">
        <v>0</v>
      </c>
      <c r="P472">
        <v>12674</v>
      </c>
      <c r="Q472">
        <v>449038</v>
      </c>
      <c r="R472">
        <v>0</v>
      </c>
      <c r="S472">
        <v>20230224</v>
      </c>
      <c r="T472">
        <v>0</v>
      </c>
      <c r="U472" t="s">
        <v>7362</v>
      </c>
      <c r="V472" t="s">
        <v>7360</v>
      </c>
      <c r="W472" t="s">
        <v>7360</v>
      </c>
      <c r="X472" t="s">
        <v>7360</v>
      </c>
      <c r="Y472" t="s">
        <v>7360</v>
      </c>
      <c r="Z472" t="s">
        <v>7360</v>
      </c>
      <c r="AA472" t="s">
        <v>7362</v>
      </c>
      <c r="AB472" t="s">
        <v>7360</v>
      </c>
      <c r="AC472" t="s">
        <v>7360</v>
      </c>
      <c r="AD472" t="s">
        <v>7360</v>
      </c>
      <c r="AE472" t="s">
        <v>7360</v>
      </c>
      <c r="AF472" t="s">
        <v>1684</v>
      </c>
      <c r="AG472">
        <v>0</v>
      </c>
      <c r="AH472">
        <v>0</v>
      </c>
      <c r="AI472">
        <v>0</v>
      </c>
      <c r="AJ472">
        <v>0</v>
      </c>
      <c r="AK472">
        <v>0</v>
      </c>
      <c r="AL472" t="s">
        <v>7360</v>
      </c>
      <c r="AM472">
        <v>0</v>
      </c>
      <c r="AN472" s="20">
        <v>44981</v>
      </c>
      <c r="AO472" s="20">
        <v>44981</v>
      </c>
      <c r="AP472" s="20">
        <v>44981</v>
      </c>
      <c r="AQ472">
        <v>0</v>
      </c>
      <c r="AR472">
        <v>0</v>
      </c>
      <c r="AS472">
        <v>0</v>
      </c>
      <c r="AT472">
        <v>0</v>
      </c>
      <c r="AU472">
        <v>0</v>
      </c>
      <c r="AV472" t="s">
        <v>7360</v>
      </c>
      <c r="AW472">
        <v>0</v>
      </c>
      <c r="AX472" t="s">
        <v>7360</v>
      </c>
      <c r="AY472" t="s">
        <v>7362</v>
      </c>
      <c r="BA472">
        <v>0</v>
      </c>
      <c r="BB472" s="20">
        <v>44981</v>
      </c>
      <c r="BC472">
        <v>0</v>
      </c>
      <c r="BD472" t="s">
        <v>7360</v>
      </c>
      <c r="BF472" s="20">
        <v>44981</v>
      </c>
      <c r="BG472">
        <v>0</v>
      </c>
      <c r="BH472" t="s">
        <v>7363</v>
      </c>
      <c r="BJ472" t="s">
        <v>7362</v>
      </c>
      <c r="BK472">
        <v>169</v>
      </c>
      <c r="BL472">
        <v>11</v>
      </c>
      <c r="BM472">
        <v>1</v>
      </c>
      <c r="BN472" t="s">
        <v>7364</v>
      </c>
      <c r="BO472">
        <v>0</v>
      </c>
      <c r="BP472">
        <v>0</v>
      </c>
      <c r="BQ472">
        <v>0</v>
      </c>
      <c r="BR472">
        <v>0</v>
      </c>
      <c r="BS472" t="s">
        <v>132</v>
      </c>
      <c r="BT472" t="s">
        <v>7360</v>
      </c>
      <c r="BU472" t="s">
        <v>7360</v>
      </c>
      <c r="BV472" t="s">
        <v>7360</v>
      </c>
      <c r="BX472" t="s">
        <v>7391</v>
      </c>
      <c r="BY472">
        <v>74</v>
      </c>
      <c r="BZ472" t="s">
        <v>7360</v>
      </c>
      <c r="CA472" t="s">
        <v>7360</v>
      </c>
      <c r="CB472" t="s">
        <v>7360</v>
      </c>
      <c r="CC472" s="21">
        <v>44981.716666666667</v>
      </c>
      <c r="CE472" t="s">
        <v>7392</v>
      </c>
      <c r="CF472">
        <v>1100101</v>
      </c>
      <c r="CG472">
        <v>50947</v>
      </c>
      <c r="CH472">
        <v>50947</v>
      </c>
      <c r="CI472" s="21">
        <v>44981.717407407406</v>
      </c>
      <c r="CJ472" t="s">
        <v>7442</v>
      </c>
      <c r="CK472" t="s">
        <v>7442</v>
      </c>
      <c r="CL472" t="s">
        <v>7443</v>
      </c>
      <c r="CM472" t="s">
        <v>7443</v>
      </c>
      <c r="CS472" t="s">
        <v>7361</v>
      </c>
      <c r="CT472" t="s">
        <v>7362</v>
      </c>
      <c r="CU472" t="s">
        <v>7362</v>
      </c>
      <c r="CV472" t="s">
        <v>7362</v>
      </c>
      <c r="CW472" t="s">
        <v>7362</v>
      </c>
      <c r="CX472">
        <v>1500000</v>
      </c>
      <c r="DA472">
        <v>0</v>
      </c>
    </row>
    <row r="473" spans="1:105" x14ac:dyDescent="0.3">
      <c r="A473">
        <v>1354</v>
      </c>
      <c r="B473" t="s">
        <v>7396</v>
      </c>
      <c r="C473">
        <v>499</v>
      </c>
      <c r="D473" s="20">
        <v>44984</v>
      </c>
      <c r="E473" t="s">
        <v>7356</v>
      </c>
      <c r="F473" t="s">
        <v>5972</v>
      </c>
      <c r="G473" t="s">
        <v>7370</v>
      </c>
      <c r="H473">
        <v>1</v>
      </c>
      <c r="I473" t="s">
        <v>7358</v>
      </c>
      <c r="J473">
        <v>1</v>
      </c>
      <c r="K473" s="20">
        <v>44984</v>
      </c>
      <c r="L473" s="23">
        <v>2800000</v>
      </c>
      <c r="M473" t="s">
        <v>7359</v>
      </c>
      <c r="N473" t="s">
        <v>7360</v>
      </c>
      <c r="O473">
        <v>0</v>
      </c>
      <c r="P473">
        <v>12604</v>
      </c>
      <c r="Q473">
        <v>440024</v>
      </c>
      <c r="R473">
        <v>0</v>
      </c>
      <c r="S473">
        <v>20230227</v>
      </c>
      <c r="T473">
        <v>0</v>
      </c>
      <c r="U473" t="s">
        <v>7361</v>
      </c>
      <c r="V473" t="s">
        <v>7360</v>
      </c>
      <c r="W473" t="s">
        <v>7360</v>
      </c>
      <c r="X473" t="s">
        <v>7360</v>
      </c>
      <c r="Y473" t="s">
        <v>7360</v>
      </c>
      <c r="Z473" t="s">
        <v>7360</v>
      </c>
      <c r="AA473" t="s">
        <v>7362</v>
      </c>
      <c r="AB473" t="s">
        <v>7360</v>
      </c>
      <c r="AC473" t="s">
        <v>7360</v>
      </c>
      <c r="AD473" t="s">
        <v>7360</v>
      </c>
      <c r="AE473" t="s">
        <v>7360</v>
      </c>
      <c r="AF473" t="s">
        <v>1684</v>
      </c>
      <c r="AG473">
        <v>0</v>
      </c>
      <c r="AH473">
        <v>0</v>
      </c>
      <c r="AI473">
        <v>0</v>
      </c>
      <c r="AJ473">
        <v>0</v>
      </c>
      <c r="AK473">
        <v>0</v>
      </c>
      <c r="AL473" t="s">
        <v>7360</v>
      </c>
      <c r="AM473">
        <v>0</v>
      </c>
      <c r="AN473" s="20">
        <v>44984</v>
      </c>
      <c r="AO473" s="20">
        <v>44984</v>
      </c>
      <c r="AP473" s="20">
        <v>44984</v>
      </c>
      <c r="AQ473">
        <v>0</v>
      </c>
      <c r="AR473">
        <v>0</v>
      </c>
      <c r="AS473">
        <v>0</v>
      </c>
      <c r="AT473">
        <v>0</v>
      </c>
      <c r="AU473">
        <v>0</v>
      </c>
      <c r="AV473" t="s">
        <v>7360</v>
      </c>
      <c r="AW473">
        <v>0</v>
      </c>
      <c r="AX473" t="s">
        <v>7360</v>
      </c>
      <c r="AY473" t="s">
        <v>7363</v>
      </c>
      <c r="BA473">
        <v>0</v>
      </c>
      <c r="BB473" s="20">
        <v>44984</v>
      </c>
      <c r="BC473">
        <v>0</v>
      </c>
      <c r="BD473" t="s">
        <v>7360</v>
      </c>
      <c r="BF473" s="20">
        <v>44984</v>
      </c>
      <c r="BG473">
        <v>0</v>
      </c>
      <c r="BH473" t="s">
        <v>7363</v>
      </c>
      <c r="BJ473" t="s">
        <v>7362</v>
      </c>
      <c r="BK473">
        <v>169</v>
      </c>
      <c r="BL473">
        <v>11</v>
      </c>
      <c r="BM473">
        <v>1</v>
      </c>
      <c r="BN473" t="s">
        <v>7364</v>
      </c>
      <c r="BO473">
        <v>0</v>
      </c>
      <c r="BP473">
        <v>0</v>
      </c>
      <c r="BQ473">
        <v>0</v>
      </c>
      <c r="BR473">
        <v>0</v>
      </c>
      <c r="BS473" t="s">
        <v>7427</v>
      </c>
      <c r="BT473" t="s">
        <v>7360</v>
      </c>
      <c r="BU473" t="s">
        <v>7360</v>
      </c>
      <c r="BV473" t="s">
        <v>7360</v>
      </c>
      <c r="BX473" t="s">
        <v>7391</v>
      </c>
      <c r="BY473">
        <v>74</v>
      </c>
      <c r="BZ473" t="s">
        <v>7360</v>
      </c>
      <c r="CA473" t="s">
        <v>7360</v>
      </c>
      <c r="CC473" s="21">
        <v>44984.405081018522</v>
      </c>
      <c r="CE473" t="s">
        <v>7392</v>
      </c>
      <c r="CF473">
        <v>1100101</v>
      </c>
      <c r="CG473">
        <v>53575</v>
      </c>
      <c r="CH473">
        <v>53575</v>
      </c>
      <c r="CI473" s="21">
        <v>44984.406782407408</v>
      </c>
      <c r="CJ473" t="s">
        <v>7393</v>
      </c>
      <c r="CK473" t="s">
        <v>7393</v>
      </c>
      <c r="CL473" t="s">
        <v>7394</v>
      </c>
      <c r="CM473" t="s">
        <v>7394</v>
      </c>
      <c r="CS473" t="s">
        <v>7361</v>
      </c>
      <c r="CT473" t="s">
        <v>7362</v>
      </c>
      <c r="CU473" t="s">
        <v>7362</v>
      </c>
      <c r="CV473" t="s">
        <v>7362</v>
      </c>
      <c r="CW473" t="s">
        <v>7362</v>
      </c>
      <c r="CX473">
        <v>2800000</v>
      </c>
      <c r="DA473">
        <v>0</v>
      </c>
    </row>
    <row r="474" spans="1:105" x14ac:dyDescent="0.3">
      <c r="A474">
        <v>1354</v>
      </c>
      <c r="B474" t="s">
        <v>7396</v>
      </c>
      <c r="C474">
        <v>500</v>
      </c>
      <c r="D474" s="20">
        <v>44984</v>
      </c>
      <c r="E474" t="s">
        <v>7356</v>
      </c>
      <c r="F474" t="s">
        <v>5918</v>
      </c>
      <c r="G474" t="s">
        <v>7370</v>
      </c>
      <c r="H474">
        <v>1</v>
      </c>
      <c r="I474" t="s">
        <v>7358</v>
      </c>
      <c r="J474">
        <v>1</v>
      </c>
      <c r="K474" s="20">
        <v>44984</v>
      </c>
      <c r="L474" s="23">
        <v>4000000</v>
      </c>
      <c r="M474" t="s">
        <v>7359</v>
      </c>
      <c r="N474" t="s">
        <v>7360</v>
      </c>
      <c r="O474">
        <v>0</v>
      </c>
      <c r="P474">
        <v>12605</v>
      </c>
      <c r="Q474">
        <v>440025</v>
      </c>
      <c r="R474">
        <v>0</v>
      </c>
      <c r="S474">
        <v>20230227</v>
      </c>
      <c r="T474">
        <v>0</v>
      </c>
      <c r="U474" t="s">
        <v>7361</v>
      </c>
      <c r="V474" t="s">
        <v>7360</v>
      </c>
      <c r="W474" t="s">
        <v>7360</v>
      </c>
      <c r="X474" t="s">
        <v>7360</v>
      </c>
      <c r="Y474" t="s">
        <v>7360</v>
      </c>
      <c r="Z474" t="s">
        <v>7360</v>
      </c>
      <c r="AA474" t="s">
        <v>7362</v>
      </c>
      <c r="AB474" t="s">
        <v>7360</v>
      </c>
      <c r="AC474" t="s">
        <v>7360</v>
      </c>
      <c r="AD474" t="s">
        <v>7360</v>
      </c>
      <c r="AE474" t="s">
        <v>7360</v>
      </c>
      <c r="AF474" t="s">
        <v>1684</v>
      </c>
      <c r="AG474">
        <v>0</v>
      </c>
      <c r="AH474">
        <v>0</v>
      </c>
      <c r="AI474">
        <v>0</v>
      </c>
      <c r="AJ474">
        <v>0</v>
      </c>
      <c r="AK474">
        <v>0</v>
      </c>
      <c r="AL474" t="s">
        <v>7360</v>
      </c>
      <c r="AM474">
        <v>0</v>
      </c>
      <c r="AN474" s="20">
        <v>44984</v>
      </c>
      <c r="AO474" s="20">
        <v>44984</v>
      </c>
      <c r="AP474" s="20">
        <v>44984</v>
      </c>
      <c r="AQ474">
        <v>0</v>
      </c>
      <c r="AR474">
        <v>0</v>
      </c>
      <c r="AS474">
        <v>0</v>
      </c>
      <c r="AT474">
        <v>0</v>
      </c>
      <c r="AU474">
        <v>0</v>
      </c>
      <c r="AV474" t="s">
        <v>7360</v>
      </c>
      <c r="AW474">
        <v>0</v>
      </c>
      <c r="AX474" t="s">
        <v>7360</v>
      </c>
      <c r="AY474" t="s">
        <v>7363</v>
      </c>
      <c r="BA474">
        <v>0</v>
      </c>
      <c r="BB474" s="20">
        <v>44984</v>
      </c>
      <c r="BC474">
        <v>0</v>
      </c>
      <c r="BD474" t="s">
        <v>7360</v>
      </c>
      <c r="BF474" s="20">
        <v>44984</v>
      </c>
      <c r="BG474">
        <v>0</v>
      </c>
      <c r="BH474" t="s">
        <v>7363</v>
      </c>
      <c r="BJ474" t="s">
        <v>7362</v>
      </c>
      <c r="BK474">
        <v>169</v>
      </c>
      <c r="BL474">
        <v>11</v>
      </c>
      <c r="BM474">
        <v>1</v>
      </c>
      <c r="BN474" t="s">
        <v>7364</v>
      </c>
      <c r="BO474">
        <v>0</v>
      </c>
      <c r="BP474">
        <v>0</v>
      </c>
      <c r="BQ474">
        <v>0</v>
      </c>
      <c r="BR474">
        <v>0</v>
      </c>
      <c r="BS474" t="s">
        <v>7427</v>
      </c>
      <c r="BT474" t="s">
        <v>7360</v>
      </c>
      <c r="BU474" t="s">
        <v>7360</v>
      </c>
      <c r="BV474" t="s">
        <v>7360</v>
      </c>
      <c r="BX474" t="s">
        <v>7391</v>
      </c>
      <c r="BY474">
        <v>74</v>
      </c>
      <c r="BZ474" t="s">
        <v>7360</v>
      </c>
      <c r="CA474" t="s">
        <v>7360</v>
      </c>
      <c r="CB474" t="s">
        <v>7360</v>
      </c>
      <c r="CC474" s="21">
        <v>44984.414363425924</v>
      </c>
      <c r="CE474" t="s">
        <v>7392</v>
      </c>
      <c r="CF474">
        <v>1100101</v>
      </c>
      <c r="CG474">
        <v>53575</v>
      </c>
      <c r="CH474">
        <v>53575</v>
      </c>
      <c r="CI474" s="21">
        <v>44984.415243055555</v>
      </c>
      <c r="CJ474" t="s">
        <v>7393</v>
      </c>
      <c r="CK474" t="s">
        <v>7393</v>
      </c>
      <c r="CL474" t="s">
        <v>7394</v>
      </c>
      <c r="CM474" t="s">
        <v>7394</v>
      </c>
      <c r="CS474" t="s">
        <v>7361</v>
      </c>
      <c r="CT474" t="s">
        <v>7362</v>
      </c>
      <c r="CU474" t="s">
        <v>7362</v>
      </c>
      <c r="CV474" t="s">
        <v>7362</v>
      </c>
      <c r="CW474" t="s">
        <v>7362</v>
      </c>
      <c r="CX474">
        <v>4000000</v>
      </c>
      <c r="DA474">
        <v>0</v>
      </c>
    </row>
    <row r="475" spans="1:105" x14ac:dyDescent="0.3">
      <c r="A475">
        <v>1362</v>
      </c>
      <c r="B475" t="s">
        <v>7371</v>
      </c>
      <c r="C475">
        <v>501</v>
      </c>
      <c r="D475" s="20">
        <v>44984</v>
      </c>
      <c r="E475" t="s">
        <v>7356</v>
      </c>
      <c r="F475" t="s">
        <v>5924</v>
      </c>
      <c r="G475" t="s">
        <v>7357</v>
      </c>
      <c r="H475">
        <v>1</v>
      </c>
      <c r="I475" t="s">
        <v>7358</v>
      </c>
      <c r="J475">
        <v>1</v>
      </c>
      <c r="K475" s="20">
        <v>44984</v>
      </c>
      <c r="L475" s="23">
        <v>1771701</v>
      </c>
      <c r="M475" t="s">
        <v>7359</v>
      </c>
      <c r="N475" t="s">
        <v>7360</v>
      </c>
      <c r="O475">
        <v>0</v>
      </c>
      <c r="P475">
        <v>12680</v>
      </c>
      <c r="Q475">
        <v>449042</v>
      </c>
      <c r="R475">
        <v>0</v>
      </c>
      <c r="S475">
        <v>20230227</v>
      </c>
      <c r="T475">
        <v>0</v>
      </c>
      <c r="U475" t="s">
        <v>7361</v>
      </c>
      <c r="V475" t="s">
        <v>7360</v>
      </c>
      <c r="W475" t="s">
        <v>7360</v>
      </c>
      <c r="X475" t="s">
        <v>7360</v>
      </c>
      <c r="Y475" t="s">
        <v>7360</v>
      </c>
      <c r="Z475" t="s">
        <v>7360</v>
      </c>
      <c r="AA475" t="s">
        <v>7362</v>
      </c>
      <c r="AB475" t="s">
        <v>7360</v>
      </c>
      <c r="AC475" t="s">
        <v>7360</v>
      </c>
      <c r="AD475" t="s">
        <v>7360</v>
      </c>
      <c r="AE475" t="s">
        <v>7360</v>
      </c>
      <c r="AF475" t="s">
        <v>1684</v>
      </c>
      <c r="AG475">
        <v>0</v>
      </c>
      <c r="AH475">
        <v>0</v>
      </c>
      <c r="AI475">
        <v>0</v>
      </c>
      <c r="AJ475">
        <v>0</v>
      </c>
      <c r="AK475">
        <v>0</v>
      </c>
      <c r="AL475" t="s">
        <v>7360</v>
      </c>
      <c r="AM475">
        <v>0</v>
      </c>
      <c r="AN475" s="20">
        <v>44984</v>
      </c>
      <c r="AO475" s="20">
        <v>44984</v>
      </c>
      <c r="AP475" s="20">
        <v>44984</v>
      </c>
      <c r="AQ475">
        <v>0</v>
      </c>
      <c r="AR475">
        <v>0</v>
      </c>
      <c r="AS475">
        <v>0</v>
      </c>
      <c r="AT475">
        <v>0</v>
      </c>
      <c r="AU475">
        <v>0</v>
      </c>
      <c r="AV475" t="s">
        <v>7360</v>
      </c>
      <c r="AW475">
        <v>0</v>
      </c>
      <c r="AX475" t="s">
        <v>7360</v>
      </c>
      <c r="AY475" t="s">
        <v>7363</v>
      </c>
      <c r="BA475">
        <v>0</v>
      </c>
      <c r="BB475" s="20">
        <v>44984</v>
      </c>
      <c r="BC475">
        <v>0</v>
      </c>
      <c r="BD475" t="s">
        <v>7360</v>
      </c>
      <c r="BF475" s="20">
        <v>44984</v>
      </c>
      <c r="BG475">
        <v>0</v>
      </c>
      <c r="BH475" t="s">
        <v>7363</v>
      </c>
      <c r="BJ475" t="s">
        <v>7362</v>
      </c>
      <c r="BK475">
        <v>169</v>
      </c>
      <c r="BL475">
        <v>11</v>
      </c>
      <c r="BM475">
        <v>1</v>
      </c>
      <c r="BN475" t="s">
        <v>7364</v>
      </c>
      <c r="BO475">
        <v>0</v>
      </c>
      <c r="BP475">
        <v>0</v>
      </c>
      <c r="BQ475">
        <v>0</v>
      </c>
      <c r="BR475">
        <v>0</v>
      </c>
      <c r="BS475" t="s">
        <v>7411</v>
      </c>
      <c r="BT475" t="s">
        <v>7360</v>
      </c>
      <c r="BU475" t="s">
        <v>7360</v>
      </c>
      <c r="BV475" t="s">
        <v>7360</v>
      </c>
      <c r="BX475" t="s">
        <v>7391</v>
      </c>
      <c r="BY475">
        <v>80</v>
      </c>
      <c r="BZ475">
        <v>0</v>
      </c>
      <c r="CA475">
        <v>0</v>
      </c>
      <c r="CB475">
        <v>5558210</v>
      </c>
      <c r="CC475" s="21">
        <v>44984.429027777776</v>
      </c>
      <c r="CE475" t="s">
        <v>7412</v>
      </c>
      <c r="CF475">
        <v>1108001</v>
      </c>
      <c r="CG475">
        <v>53575</v>
      </c>
      <c r="CH475">
        <v>53575</v>
      </c>
      <c r="CI475" s="21">
        <v>44984.637071759258</v>
      </c>
      <c r="CJ475" t="s">
        <v>7393</v>
      </c>
      <c r="CK475" t="s">
        <v>7393</v>
      </c>
      <c r="CL475" t="s">
        <v>7394</v>
      </c>
      <c r="CM475" t="s">
        <v>7394</v>
      </c>
      <c r="CS475" t="s">
        <v>7361</v>
      </c>
      <c r="CT475" t="s">
        <v>7362</v>
      </c>
      <c r="CU475" t="s">
        <v>7362</v>
      </c>
      <c r="CV475" t="s">
        <v>7362</v>
      </c>
      <c r="CW475" t="s">
        <v>7362</v>
      </c>
      <c r="CX475">
        <v>1771701</v>
      </c>
      <c r="DA475">
        <v>0</v>
      </c>
    </row>
    <row r="476" spans="1:105" x14ac:dyDescent="0.3">
      <c r="A476">
        <v>1354</v>
      </c>
      <c r="B476" t="s">
        <v>7396</v>
      </c>
      <c r="C476">
        <v>502</v>
      </c>
      <c r="D476" s="20">
        <v>44984</v>
      </c>
      <c r="E476" t="s">
        <v>7372</v>
      </c>
      <c r="F476" t="s">
        <v>5929</v>
      </c>
      <c r="G476" t="s">
        <v>7370</v>
      </c>
      <c r="H476">
        <v>1</v>
      </c>
      <c r="I476" t="s">
        <v>7358</v>
      </c>
      <c r="J476">
        <v>1</v>
      </c>
      <c r="K476" s="20">
        <v>44984</v>
      </c>
      <c r="L476" s="23">
        <v>3240000</v>
      </c>
      <c r="M476" t="s">
        <v>7359</v>
      </c>
      <c r="N476" t="s">
        <v>7360</v>
      </c>
      <c r="O476">
        <v>0</v>
      </c>
      <c r="P476">
        <v>12686</v>
      </c>
      <c r="Q476">
        <v>449047</v>
      </c>
      <c r="R476">
        <v>0</v>
      </c>
      <c r="S476">
        <v>20230227</v>
      </c>
      <c r="T476">
        <v>0</v>
      </c>
      <c r="U476" t="s">
        <v>7362</v>
      </c>
      <c r="V476" t="s">
        <v>7360</v>
      </c>
      <c r="W476" t="s">
        <v>7360</v>
      </c>
      <c r="X476" t="s">
        <v>7360</v>
      </c>
      <c r="Y476" t="s">
        <v>7360</v>
      </c>
      <c r="Z476" t="s">
        <v>7360</v>
      </c>
      <c r="AA476" t="s">
        <v>7362</v>
      </c>
      <c r="AB476" t="s">
        <v>7360</v>
      </c>
      <c r="AC476" t="s">
        <v>7360</v>
      </c>
      <c r="AD476" t="s">
        <v>7360</v>
      </c>
      <c r="AE476" t="s">
        <v>7360</v>
      </c>
      <c r="AF476" t="s">
        <v>1684</v>
      </c>
      <c r="AG476">
        <v>0</v>
      </c>
      <c r="AH476">
        <v>0</v>
      </c>
      <c r="AI476">
        <v>0</v>
      </c>
      <c r="AJ476">
        <v>0</v>
      </c>
      <c r="AK476">
        <v>0</v>
      </c>
      <c r="AL476" t="s">
        <v>7360</v>
      </c>
      <c r="AM476">
        <v>0</v>
      </c>
      <c r="AN476" s="20">
        <v>44984</v>
      </c>
      <c r="AO476" s="20">
        <v>44984</v>
      </c>
      <c r="AP476" s="20">
        <v>44984</v>
      </c>
      <c r="AQ476">
        <v>0</v>
      </c>
      <c r="AR476">
        <v>0</v>
      </c>
      <c r="AS476">
        <v>0</v>
      </c>
      <c r="AT476">
        <v>0</v>
      </c>
      <c r="AU476">
        <v>0</v>
      </c>
      <c r="AV476" t="s">
        <v>7360</v>
      </c>
      <c r="AW476">
        <v>0</v>
      </c>
      <c r="AX476" t="s">
        <v>7360</v>
      </c>
      <c r="AY476" t="s">
        <v>7362</v>
      </c>
      <c r="BA476">
        <v>0</v>
      </c>
      <c r="BB476" s="20">
        <v>44984</v>
      </c>
      <c r="BC476">
        <v>0</v>
      </c>
      <c r="BD476" t="s">
        <v>7360</v>
      </c>
      <c r="BF476" s="20">
        <v>44984</v>
      </c>
      <c r="BG476">
        <v>0</v>
      </c>
      <c r="BH476" t="s">
        <v>7363</v>
      </c>
      <c r="BJ476" t="s">
        <v>7362</v>
      </c>
      <c r="BK476">
        <v>169</v>
      </c>
      <c r="BL476">
        <v>11</v>
      </c>
      <c r="BM476">
        <v>1</v>
      </c>
      <c r="BN476" t="s">
        <v>7364</v>
      </c>
      <c r="BO476">
        <v>0</v>
      </c>
      <c r="BP476">
        <v>0</v>
      </c>
      <c r="BQ476">
        <v>0</v>
      </c>
      <c r="BR476">
        <v>0</v>
      </c>
      <c r="BS476" t="s">
        <v>7411</v>
      </c>
      <c r="BT476" t="s">
        <v>7360</v>
      </c>
      <c r="BU476" t="s">
        <v>7360</v>
      </c>
      <c r="BV476" t="s">
        <v>7360</v>
      </c>
      <c r="BX476" t="s">
        <v>7391</v>
      </c>
      <c r="BY476">
        <v>80</v>
      </c>
      <c r="BZ476">
        <v>0</v>
      </c>
      <c r="CA476">
        <v>0</v>
      </c>
      <c r="CB476" t="s">
        <v>7360</v>
      </c>
      <c r="CC476" s="21">
        <v>44984.431840277779</v>
      </c>
      <c r="CE476" t="s">
        <v>7412</v>
      </c>
      <c r="CF476">
        <v>1108001</v>
      </c>
      <c r="CG476">
        <v>53575</v>
      </c>
      <c r="CH476">
        <v>53575</v>
      </c>
      <c r="CI476" s="21">
        <v>44984.432719907411</v>
      </c>
      <c r="CJ476" t="s">
        <v>7393</v>
      </c>
      <c r="CK476" t="s">
        <v>7393</v>
      </c>
      <c r="CL476" t="s">
        <v>7394</v>
      </c>
      <c r="CM476" t="s">
        <v>7394</v>
      </c>
      <c r="CS476" t="s">
        <v>7361</v>
      </c>
      <c r="CT476" t="s">
        <v>7362</v>
      </c>
      <c r="CU476" t="s">
        <v>7362</v>
      </c>
      <c r="CV476" t="s">
        <v>7362</v>
      </c>
      <c r="CW476" t="s">
        <v>7362</v>
      </c>
      <c r="CX476">
        <v>3240000</v>
      </c>
      <c r="DA476">
        <v>0</v>
      </c>
    </row>
    <row r="477" spans="1:105" x14ac:dyDescent="0.3">
      <c r="A477">
        <v>1362</v>
      </c>
      <c r="B477" t="s">
        <v>7371</v>
      </c>
      <c r="C477">
        <v>503</v>
      </c>
      <c r="D477" s="20">
        <v>44984</v>
      </c>
      <c r="E477" t="s">
        <v>7397</v>
      </c>
      <c r="F477" t="s">
        <v>5934</v>
      </c>
      <c r="G477" t="s">
        <v>7357</v>
      </c>
      <c r="H477">
        <v>1</v>
      </c>
      <c r="I477" t="s">
        <v>7358</v>
      </c>
      <c r="J477">
        <v>1</v>
      </c>
      <c r="K477" s="20">
        <v>44984</v>
      </c>
      <c r="L477" s="23">
        <v>5472929</v>
      </c>
      <c r="M477" t="s">
        <v>7398</v>
      </c>
      <c r="N477" t="s">
        <v>7360</v>
      </c>
      <c r="O477">
        <v>0</v>
      </c>
      <c r="P477">
        <v>12654</v>
      </c>
      <c r="R477">
        <v>0</v>
      </c>
      <c r="S477">
        <v>20230227</v>
      </c>
      <c r="T477">
        <v>0</v>
      </c>
      <c r="U477" t="s">
        <v>7362</v>
      </c>
      <c r="V477" t="s">
        <v>7360</v>
      </c>
      <c r="W477" t="s">
        <v>7360</v>
      </c>
      <c r="X477" t="s">
        <v>7360</v>
      </c>
      <c r="Y477" t="s">
        <v>7360</v>
      </c>
      <c r="Z477" t="s">
        <v>7360</v>
      </c>
      <c r="AA477" t="s">
        <v>1684</v>
      </c>
      <c r="AB477" t="s">
        <v>7360</v>
      </c>
      <c r="AC477" t="s">
        <v>7360</v>
      </c>
      <c r="AD477" t="s">
        <v>7360</v>
      </c>
      <c r="AE477" t="s">
        <v>7360</v>
      </c>
      <c r="AF477" t="s">
        <v>1684</v>
      </c>
      <c r="AG477">
        <v>0</v>
      </c>
      <c r="AH477">
        <v>0</v>
      </c>
      <c r="AI477">
        <v>0</v>
      </c>
      <c r="AJ477">
        <v>0</v>
      </c>
      <c r="AK477">
        <v>0</v>
      </c>
      <c r="AL477" t="s">
        <v>7360</v>
      </c>
      <c r="AM477">
        <v>0</v>
      </c>
      <c r="AN477" s="20">
        <v>44984</v>
      </c>
      <c r="AO477" s="20">
        <v>44984</v>
      </c>
      <c r="AP477" s="20">
        <v>44984</v>
      </c>
      <c r="AQ477">
        <v>0</v>
      </c>
      <c r="AR477">
        <v>0</v>
      </c>
      <c r="AS477">
        <v>0</v>
      </c>
      <c r="AT477">
        <v>0</v>
      </c>
      <c r="AU477">
        <v>0</v>
      </c>
      <c r="AV477" t="s">
        <v>7360</v>
      </c>
      <c r="AW477">
        <v>0</v>
      </c>
      <c r="AX477" t="s">
        <v>7360</v>
      </c>
      <c r="AY477" t="s">
        <v>7362</v>
      </c>
      <c r="BA477">
        <v>0</v>
      </c>
      <c r="BB477" s="20">
        <v>44984</v>
      </c>
      <c r="BC477">
        <v>0</v>
      </c>
      <c r="BD477" t="s">
        <v>7360</v>
      </c>
      <c r="BF477" s="20">
        <v>44984</v>
      </c>
      <c r="BG477">
        <v>0</v>
      </c>
      <c r="BH477" t="s">
        <v>7363</v>
      </c>
      <c r="BJ477" t="s">
        <v>7362</v>
      </c>
      <c r="BK477">
        <v>169</v>
      </c>
      <c r="BL477">
        <v>11</v>
      </c>
      <c r="BM477">
        <v>1</v>
      </c>
      <c r="BN477" t="s">
        <v>7364</v>
      </c>
      <c r="BO477">
        <v>0</v>
      </c>
      <c r="BP477">
        <v>0</v>
      </c>
      <c r="BQ477">
        <v>0</v>
      </c>
      <c r="BR477">
        <v>0</v>
      </c>
      <c r="BS477" t="s">
        <v>7400</v>
      </c>
      <c r="BT477" t="s">
        <v>7360</v>
      </c>
      <c r="BU477" t="s">
        <v>7360</v>
      </c>
      <c r="BV477" t="s">
        <v>7360</v>
      </c>
      <c r="BX477" t="s">
        <v>7391</v>
      </c>
      <c r="BY477">
        <v>74</v>
      </c>
      <c r="BZ477" t="s">
        <v>7360</v>
      </c>
      <c r="CA477" t="s">
        <v>7360</v>
      </c>
      <c r="CC477" s="21">
        <v>44984.435474537036</v>
      </c>
      <c r="CE477" t="s">
        <v>7392</v>
      </c>
      <c r="CF477">
        <v>1100101</v>
      </c>
      <c r="CG477">
        <v>53575</v>
      </c>
      <c r="CH477">
        <v>53575</v>
      </c>
      <c r="CI477" s="21">
        <v>44984.436412037037</v>
      </c>
      <c r="CJ477" t="s">
        <v>7393</v>
      </c>
      <c r="CK477" t="s">
        <v>7393</v>
      </c>
      <c r="CL477" t="s">
        <v>7394</v>
      </c>
      <c r="CM477" t="s">
        <v>7394</v>
      </c>
      <c r="CS477" t="s">
        <v>7361</v>
      </c>
      <c r="CT477" t="s">
        <v>7362</v>
      </c>
      <c r="CU477" t="s">
        <v>7362</v>
      </c>
      <c r="CV477" t="s">
        <v>7362</v>
      </c>
      <c r="CW477" t="s">
        <v>7362</v>
      </c>
      <c r="CX477">
        <v>5472929</v>
      </c>
      <c r="DA477">
        <v>0</v>
      </c>
    </row>
    <row r="478" spans="1:105" x14ac:dyDescent="0.3">
      <c r="A478">
        <v>1354</v>
      </c>
      <c r="B478" t="s">
        <v>7396</v>
      </c>
      <c r="C478">
        <v>504</v>
      </c>
      <c r="D478" s="20">
        <v>44984</v>
      </c>
      <c r="E478" t="s">
        <v>7356</v>
      </c>
      <c r="F478" t="s">
        <v>5940</v>
      </c>
      <c r="G478" t="s">
        <v>7370</v>
      </c>
      <c r="H478">
        <v>1</v>
      </c>
      <c r="I478" t="s">
        <v>7358</v>
      </c>
      <c r="J478">
        <v>1</v>
      </c>
      <c r="K478" s="20">
        <v>44984</v>
      </c>
      <c r="L478" s="23">
        <v>800000</v>
      </c>
      <c r="M478" t="s">
        <v>7359</v>
      </c>
      <c r="N478" t="s">
        <v>7360</v>
      </c>
      <c r="O478">
        <v>0</v>
      </c>
      <c r="P478">
        <v>12607</v>
      </c>
      <c r="Q478">
        <v>440027</v>
      </c>
      <c r="R478">
        <v>0</v>
      </c>
      <c r="S478">
        <v>20230227</v>
      </c>
      <c r="T478">
        <v>0</v>
      </c>
      <c r="U478" t="s">
        <v>7361</v>
      </c>
      <c r="V478" t="s">
        <v>7360</v>
      </c>
      <c r="W478" t="s">
        <v>7360</v>
      </c>
      <c r="X478" t="s">
        <v>7360</v>
      </c>
      <c r="Y478" t="s">
        <v>7360</v>
      </c>
      <c r="Z478" t="s">
        <v>7360</v>
      </c>
      <c r="AA478" t="s">
        <v>7362</v>
      </c>
      <c r="AB478" t="s">
        <v>7360</v>
      </c>
      <c r="AC478" t="s">
        <v>7360</v>
      </c>
      <c r="AD478" t="s">
        <v>7360</v>
      </c>
      <c r="AE478" t="s">
        <v>7360</v>
      </c>
      <c r="AF478" t="s">
        <v>1684</v>
      </c>
      <c r="AG478">
        <v>0</v>
      </c>
      <c r="AH478">
        <v>0</v>
      </c>
      <c r="AI478">
        <v>0</v>
      </c>
      <c r="AJ478">
        <v>0</v>
      </c>
      <c r="AK478">
        <v>0</v>
      </c>
      <c r="AL478" t="s">
        <v>7360</v>
      </c>
      <c r="AM478">
        <v>0</v>
      </c>
      <c r="AN478" s="20">
        <v>44984</v>
      </c>
      <c r="AO478" s="20">
        <v>44984</v>
      </c>
      <c r="AP478" s="20">
        <v>44984</v>
      </c>
      <c r="AQ478">
        <v>0</v>
      </c>
      <c r="AR478">
        <v>0</v>
      </c>
      <c r="AS478">
        <v>0</v>
      </c>
      <c r="AT478">
        <v>0</v>
      </c>
      <c r="AU478">
        <v>0</v>
      </c>
      <c r="AV478" t="s">
        <v>7360</v>
      </c>
      <c r="AW478">
        <v>0</v>
      </c>
      <c r="AX478" t="s">
        <v>7360</v>
      </c>
      <c r="AY478" t="s">
        <v>7363</v>
      </c>
      <c r="BA478">
        <v>0</v>
      </c>
      <c r="BB478" s="20">
        <v>44984</v>
      </c>
      <c r="BC478">
        <v>0</v>
      </c>
      <c r="BD478" t="s">
        <v>7360</v>
      </c>
      <c r="BF478" s="20">
        <v>44984</v>
      </c>
      <c r="BG478">
        <v>0</v>
      </c>
      <c r="BH478" t="s">
        <v>7363</v>
      </c>
      <c r="BJ478" t="s">
        <v>7362</v>
      </c>
      <c r="BK478">
        <v>169</v>
      </c>
      <c r="BL478">
        <v>11</v>
      </c>
      <c r="BM478">
        <v>1</v>
      </c>
      <c r="BN478" t="s">
        <v>7364</v>
      </c>
      <c r="BO478">
        <v>0</v>
      </c>
      <c r="BP478">
        <v>0</v>
      </c>
      <c r="BQ478">
        <v>0</v>
      </c>
      <c r="BR478">
        <v>0</v>
      </c>
      <c r="BS478" t="s">
        <v>7427</v>
      </c>
      <c r="BT478" t="s">
        <v>7360</v>
      </c>
      <c r="BU478" t="s">
        <v>7360</v>
      </c>
      <c r="BV478" t="s">
        <v>7360</v>
      </c>
      <c r="BX478" t="s">
        <v>7391</v>
      </c>
      <c r="BY478">
        <v>74</v>
      </c>
      <c r="BZ478" t="s">
        <v>7360</v>
      </c>
      <c r="CA478" t="s">
        <v>7360</v>
      </c>
      <c r="CB478">
        <v>5558210</v>
      </c>
      <c r="CC478" s="21">
        <v>44984.466666666667</v>
      </c>
      <c r="CE478" t="s">
        <v>7392</v>
      </c>
      <c r="CF478">
        <v>1100101</v>
      </c>
      <c r="CG478">
        <v>53575</v>
      </c>
      <c r="CH478">
        <v>53575</v>
      </c>
      <c r="CI478" s="21">
        <v>44984.467407407406</v>
      </c>
      <c r="CJ478" t="s">
        <v>7393</v>
      </c>
      <c r="CK478" t="s">
        <v>7393</v>
      </c>
      <c r="CL478" t="s">
        <v>7394</v>
      </c>
      <c r="CM478" t="s">
        <v>7394</v>
      </c>
      <c r="CS478" t="s">
        <v>7361</v>
      </c>
      <c r="CT478" t="s">
        <v>7362</v>
      </c>
      <c r="CU478" t="s">
        <v>7362</v>
      </c>
      <c r="CV478" t="s">
        <v>7362</v>
      </c>
      <c r="CW478" t="s">
        <v>7362</v>
      </c>
      <c r="CX478">
        <v>800000</v>
      </c>
      <c r="DA478">
        <v>0</v>
      </c>
    </row>
    <row r="479" spans="1:105" x14ac:dyDescent="0.3">
      <c r="A479">
        <v>1373</v>
      </c>
      <c r="B479" t="s">
        <v>7383</v>
      </c>
      <c r="C479">
        <v>505</v>
      </c>
      <c r="D479" s="20">
        <v>44984</v>
      </c>
      <c r="E479" t="s">
        <v>7356</v>
      </c>
      <c r="F479" t="s">
        <v>5945</v>
      </c>
      <c r="G479" t="s">
        <v>7357</v>
      </c>
      <c r="H479">
        <v>1</v>
      </c>
      <c r="I479" t="s">
        <v>7358</v>
      </c>
      <c r="J479">
        <v>1</v>
      </c>
      <c r="K479" s="20">
        <v>44984</v>
      </c>
      <c r="L479" s="23">
        <v>802980</v>
      </c>
      <c r="M479" t="s">
        <v>7359</v>
      </c>
      <c r="N479" t="s">
        <v>7360</v>
      </c>
      <c r="O479">
        <v>0</v>
      </c>
      <c r="P479">
        <v>12241</v>
      </c>
      <c r="Q479">
        <v>422025</v>
      </c>
      <c r="R479">
        <v>0</v>
      </c>
      <c r="S479">
        <v>20230227</v>
      </c>
      <c r="T479">
        <v>0</v>
      </c>
      <c r="U479" t="s">
        <v>7361</v>
      </c>
      <c r="V479" t="s">
        <v>7360</v>
      </c>
      <c r="W479" t="s">
        <v>7360</v>
      </c>
      <c r="X479" t="s">
        <v>7360</v>
      </c>
      <c r="Y479" t="s">
        <v>7360</v>
      </c>
      <c r="Z479" t="s">
        <v>7360</v>
      </c>
      <c r="AA479" t="s">
        <v>7362</v>
      </c>
      <c r="AB479" t="s">
        <v>7360</v>
      </c>
      <c r="AC479" t="s">
        <v>7360</v>
      </c>
      <c r="AD479" t="s">
        <v>7360</v>
      </c>
      <c r="AE479" t="s">
        <v>7360</v>
      </c>
      <c r="AF479" t="s">
        <v>1684</v>
      </c>
      <c r="AG479">
        <v>0</v>
      </c>
      <c r="AH479">
        <v>0</v>
      </c>
      <c r="AI479">
        <v>0</v>
      </c>
      <c r="AJ479">
        <v>0</v>
      </c>
      <c r="AK479">
        <v>0</v>
      </c>
      <c r="AL479" t="s">
        <v>7360</v>
      </c>
      <c r="AM479">
        <v>0</v>
      </c>
      <c r="AN479" s="20">
        <v>44984</v>
      </c>
      <c r="AO479" s="20">
        <v>44984</v>
      </c>
      <c r="AP479" s="20">
        <v>44984</v>
      </c>
      <c r="AQ479">
        <v>0</v>
      </c>
      <c r="AR479">
        <v>0</v>
      </c>
      <c r="AS479">
        <v>0</v>
      </c>
      <c r="AT479">
        <v>0</v>
      </c>
      <c r="AU479">
        <v>0</v>
      </c>
      <c r="AV479" t="s">
        <v>7360</v>
      </c>
      <c r="AW479">
        <v>0</v>
      </c>
      <c r="AX479" t="s">
        <v>7360</v>
      </c>
      <c r="AY479" t="s">
        <v>7363</v>
      </c>
      <c r="BA479">
        <v>0</v>
      </c>
      <c r="BB479" s="20">
        <v>44984</v>
      </c>
      <c r="BC479">
        <v>0</v>
      </c>
      <c r="BD479" t="s">
        <v>7360</v>
      </c>
      <c r="BF479" s="20">
        <v>44984</v>
      </c>
      <c r="BG479">
        <v>0</v>
      </c>
      <c r="BH479" t="s">
        <v>7363</v>
      </c>
      <c r="BJ479" t="s">
        <v>7362</v>
      </c>
      <c r="BK479">
        <v>0</v>
      </c>
      <c r="BL479">
        <v>0</v>
      </c>
      <c r="BM479">
        <v>0</v>
      </c>
      <c r="BN479">
        <v>0</v>
      </c>
      <c r="BO479">
        <v>169</v>
      </c>
      <c r="BP479">
        <v>11</v>
      </c>
      <c r="BQ479">
        <v>1</v>
      </c>
      <c r="BR479" t="s">
        <v>7364</v>
      </c>
      <c r="BS479" t="s">
        <v>7375</v>
      </c>
      <c r="BT479" t="s">
        <v>7360</v>
      </c>
      <c r="BU479" t="s">
        <v>7360</v>
      </c>
      <c r="BV479" t="s">
        <v>7360</v>
      </c>
      <c r="BX479">
        <v>0</v>
      </c>
      <c r="BY479">
        <v>0</v>
      </c>
      <c r="BZ479" t="s">
        <v>7360</v>
      </c>
      <c r="CA479" t="s">
        <v>7360</v>
      </c>
      <c r="CB479">
        <v>3380666</v>
      </c>
      <c r="CC479" s="21">
        <v>44984.536111111112</v>
      </c>
      <c r="CE479" t="s">
        <v>7366</v>
      </c>
      <c r="CF479">
        <v>0</v>
      </c>
      <c r="CG479">
        <v>702002</v>
      </c>
      <c r="CH479">
        <v>702002</v>
      </c>
      <c r="CI479" s="21">
        <v>44984.537349537037</v>
      </c>
      <c r="CJ479" t="s">
        <v>7367</v>
      </c>
      <c r="CK479" t="s">
        <v>7367</v>
      </c>
      <c r="CL479" t="s">
        <v>7368</v>
      </c>
      <c r="CM479" t="s">
        <v>7368</v>
      </c>
      <c r="CS479" t="s">
        <v>7361</v>
      </c>
      <c r="CT479" t="s">
        <v>7362</v>
      </c>
      <c r="CU479" t="s">
        <v>7362</v>
      </c>
      <c r="CV479" t="s">
        <v>7362</v>
      </c>
      <c r="CW479" t="s">
        <v>7362</v>
      </c>
      <c r="CX479">
        <v>802980</v>
      </c>
      <c r="DA479">
        <v>0</v>
      </c>
    </row>
    <row r="480" spans="1:105" x14ac:dyDescent="0.3">
      <c r="A480">
        <v>1354</v>
      </c>
      <c r="B480" t="s">
        <v>7396</v>
      </c>
      <c r="C480">
        <v>506</v>
      </c>
      <c r="D480" s="20">
        <v>44984</v>
      </c>
      <c r="E480" t="s">
        <v>7356</v>
      </c>
      <c r="F480" t="s">
        <v>5950</v>
      </c>
      <c r="G480" t="s">
        <v>7370</v>
      </c>
      <c r="H480">
        <v>1</v>
      </c>
      <c r="I480" t="s">
        <v>7358</v>
      </c>
      <c r="J480">
        <v>1</v>
      </c>
      <c r="K480" s="20">
        <v>44985</v>
      </c>
      <c r="L480" s="23">
        <v>1350000</v>
      </c>
      <c r="M480" t="s">
        <v>7359</v>
      </c>
      <c r="N480" t="s">
        <v>7360</v>
      </c>
      <c r="O480">
        <v>0</v>
      </c>
      <c r="P480">
        <v>12694</v>
      </c>
      <c r="Q480">
        <v>449054</v>
      </c>
      <c r="R480">
        <v>0</v>
      </c>
      <c r="S480">
        <v>20230227</v>
      </c>
      <c r="T480">
        <v>0</v>
      </c>
      <c r="U480" t="s">
        <v>7361</v>
      </c>
      <c r="V480" t="s">
        <v>7360</v>
      </c>
      <c r="W480" t="s">
        <v>7360</v>
      </c>
      <c r="X480" t="s">
        <v>7360</v>
      </c>
      <c r="Y480" t="s">
        <v>7360</v>
      </c>
      <c r="Z480" t="s">
        <v>7360</v>
      </c>
      <c r="AA480" t="s">
        <v>7362</v>
      </c>
      <c r="AB480" t="s">
        <v>7360</v>
      </c>
      <c r="AC480" t="s">
        <v>7360</v>
      </c>
      <c r="AD480" t="s">
        <v>7360</v>
      </c>
      <c r="AE480" t="s">
        <v>7360</v>
      </c>
      <c r="AF480" t="s">
        <v>1684</v>
      </c>
      <c r="AG480">
        <v>0</v>
      </c>
      <c r="AH480">
        <v>0</v>
      </c>
      <c r="AI480">
        <v>0</v>
      </c>
      <c r="AJ480">
        <v>0</v>
      </c>
      <c r="AK480">
        <v>0</v>
      </c>
      <c r="AL480" t="s">
        <v>7360</v>
      </c>
      <c r="AM480">
        <v>0</v>
      </c>
      <c r="AN480" s="20">
        <v>44985</v>
      </c>
      <c r="AO480" s="20">
        <v>44985</v>
      </c>
      <c r="AP480" s="20">
        <v>44985</v>
      </c>
      <c r="AQ480">
        <v>0</v>
      </c>
      <c r="AR480">
        <v>0</v>
      </c>
      <c r="AS480">
        <v>0</v>
      </c>
      <c r="AT480">
        <v>0</v>
      </c>
      <c r="AU480">
        <v>0</v>
      </c>
      <c r="AV480" t="s">
        <v>7360</v>
      </c>
      <c r="AW480">
        <v>0</v>
      </c>
      <c r="AX480" t="s">
        <v>7360</v>
      </c>
      <c r="AY480" t="s">
        <v>7363</v>
      </c>
      <c r="BA480">
        <v>0</v>
      </c>
      <c r="BB480" s="20">
        <v>44985</v>
      </c>
      <c r="BC480">
        <v>0</v>
      </c>
      <c r="BD480" t="s">
        <v>7360</v>
      </c>
      <c r="BF480" s="20">
        <v>44985</v>
      </c>
      <c r="BG480">
        <v>0</v>
      </c>
      <c r="BH480" t="s">
        <v>7363</v>
      </c>
      <c r="BJ480" t="s">
        <v>7362</v>
      </c>
      <c r="BK480">
        <v>169</v>
      </c>
      <c r="BL480">
        <v>11</v>
      </c>
      <c r="BM480">
        <v>1</v>
      </c>
      <c r="BN480" t="s">
        <v>7364</v>
      </c>
      <c r="BO480">
        <v>0</v>
      </c>
      <c r="BP480">
        <v>0</v>
      </c>
      <c r="BQ480">
        <v>0</v>
      </c>
      <c r="BR480">
        <v>0</v>
      </c>
      <c r="BS480" t="s">
        <v>132</v>
      </c>
      <c r="BT480" t="s">
        <v>7360</v>
      </c>
      <c r="BU480" t="s">
        <v>7360</v>
      </c>
      <c r="BV480" t="s">
        <v>7360</v>
      </c>
      <c r="BX480" t="s">
        <v>7391</v>
      </c>
      <c r="BY480">
        <v>74</v>
      </c>
      <c r="BZ480" t="s">
        <v>7360</v>
      </c>
      <c r="CA480" t="s">
        <v>7360</v>
      </c>
      <c r="CB480">
        <v>5558210</v>
      </c>
      <c r="CC480" s="21">
        <v>44985.447453703702</v>
      </c>
      <c r="CE480" t="s">
        <v>7392</v>
      </c>
      <c r="CF480">
        <v>1100101</v>
      </c>
      <c r="CG480">
        <v>53575</v>
      </c>
      <c r="CH480">
        <v>53575</v>
      </c>
      <c r="CI480" s="21">
        <v>44985.449548611112</v>
      </c>
      <c r="CJ480" t="s">
        <v>7393</v>
      </c>
      <c r="CK480" t="s">
        <v>7393</v>
      </c>
      <c r="CL480" t="s">
        <v>7394</v>
      </c>
      <c r="CM480" t="s">
        <v>7394</v>
      </c>
      <c r="CS480" t="s">
        <v>7361</v>
      </c>
      <c r="CT480" t="s">
        <v>7362</v>
      </c>
      <c r="CU480" t="s">
        <v>7362</v>
      </c>
      <c r="CV480" t="s">
        <v>7362</v>
      </c>
      <c r="CW480" t="s">
        <v>7362</v>
      </c>
      <c r="CX480">
        <v>1350000</v>
      </c>
      <c r="DA480">
        <v>0</v>
      </c>
    </row>
    <row r="481" spans="1:110" x14ac:dyDescent="0.3">
      <c r="A481">
        <v>1366</v>
      </c>
      <c r="B481" t="s">
        <v>7380</v>
      </c>
      <c r="C481">
        <v>507</v>
      </c>
      <c r="D481" s="20">
        <v>44973</v>
      </c>
      <c r="E481" t="s">
        <v>7356</v>
      </c>
      <c r="F481" t="s">
        <v>5956</v>
      </c>
      <c r="G481" t="s">
        <v>7381</v>
      </c>
      <c r="H481">
        <v>1</v>
      </c>
      <c r="I481" t="s">
        <v>7358</v>
      </c>
      <c r="J481">
        <v>1</v>
      </c>
      <c r="K481" s="20">
        <v>44986</v>
      </c>
      <c r="L481" s="23">
        <v>282178</v>
      </c>
      <c r="M481" t="s">
        <v>7359</v>
      </c>
      <c r="N481" t="s">
        <v>7360</v>
      </c>
      <c r="O481">
        <v>0</v>
      </c>
      <c r="P481">
        <v>12815</v>
      </c>
      <c r="Q481">
        <v>450001</v>
      </c>
      <c r="R481">
        <v>0</v>
      </c>
      <c r="S481">
        <v>20230216</v>
      </c>
      <c r="T481">
        <v>0</v>
      </c>
      <c r="U481" t="s">
        <v>7361</v>
      </c>
      <c r="V481" t="s">
        <v>7360</v>
      </c>
      <c r="W481" t="s">
        <v>7360</v>
      </c>
      <c r="X481" t="s">
        <v>7360</v>
      </c>
      <c r="Y481" t="s">
        <v>7360</v>
      </c>
      <c r="Z481" t="s">
        <v>7360</v>
      </c>
      <c r="AA481" t="s">
        <v>7362</v>
      </c>
      <c r="AB481" t="s">
        <v>7360</v>
      </c>
      <c r="AC481" t="s">
        <v>7360</v>
      </c>
      <c r="AD481" t="s">
        <v>7360</v>
      </c>
      <c r="AE481" t="s">
        <v>7360</v>
      </c>
      <c r="AF481" t="s">
        <v>1684</v>
      </c>
      <c r="AG481">
        <v>0</v>
      </c>
      <c r="AH481">
        <v>0</v>
      </c>
      <c r="AI481">
        <v>0</v>
      </c>
      <c r="AJ481">
        <v>0</v>
      </c>
      <c r="AK481">
        <v>0</v>
      </c>
      <c r="AL481" t="s">
        <v>7360</v>
      </c>
      <c r="AM481">
        <v>0</v>
      </c>
      <c r="AN481" s="20">
        <v>44986</v>
      </c>
      <c r="AO481" s="20">
        <v>44986</v>
      </c>
      <c r="AP481" s="20">
        <v>44986</v>
      </c>
      <c r="AQ481">
        <v>0</v>
      </c>
      <c r="AR481">
        <v>0</v>
      </c>
      <c r="AS481">
        <v>0</v>
      </c>
      <c r="AT481">
        <v>0</v>
      </c>
      <c r="AU481">
        <v>0</v>
      </c>
      <c r="AV481" t="s">
        <v>7360</v>
      </c>
      <c r="AW481">
        <v>0</v>
      </c>
      <c r="AX481" t="s">
        <v>7360</v>
      </c>
      <c r="AY481" t="s">
        <v>7363</v>
      </c>
      <c r="BA481">
        <v>0</v>
      </c>
      <c r="BB481" s="20">
        <v>44986</v>
      </c>
      <c r="BC481">
        <v>0</v>
      </c>
      <c r="BD481" t="s">
        <v>7360</v>
      </c>
      <c r="BF481" s="20">
        <v>44986</v>
      </c>
      <c r="BG481">
        <v>0</v>
      </c>
      <c r="BH481" t="s">
        <v>7363</v>
      </c>
      <c r="BJ481" t="s">
        <v>7362</v>
      </c>
      <c r="BK481">
        <v>169</v>
      </c>
      <c r="BL481">
        <v>11</v>
      </c>
      <c r="BM481">
        <v>1</v>
      </c>
      <c r="BN481" t="s">
        <v>7364</v>
      </c>
      <c r="BO481">
        <v>0</v>
      </c>
      <c r="BP481">
        <v>0</v>
      </c>
      <c r="BQ481">
        <v>0</v>
      </c>
      <c r="BR481">
        <v>0</v>
      </c>
      <c r="BS481" t="s">
        <v>7431</v>
      </c>
      <c r="BT481" t="s">
        <v>7360</v>
      </c>
      <c r="BU481" t="s">
        <v>7360</v>
      </c>
      <c r="BV481" t="s">
        <v>7360</v>
      </c>
      <c r="BX481" t="s">
        <v>7391</v>
      </c>
      <c r="BY481">
        <v>74</v>
      </c>
      <c r="BZ481" t="s">
        <v>7360</v>
      </c>
      <c r="CA481" t="s">
        <v>7360</v>
      </c>
      <c r="CC481" s="21">
        <v>44986.433634259258</v>
      </c>
      <c r="CE481" t="s">
        <v>7392</v>
      </c>
      <c r="CF481">
        <v>1100101</v>
      </c>
      <c r="CG481">
        <v>53575</v>
      </c>
      <c r="CH481">
        <v>53575</v>
      </c>
      <c r="CI481" s="21">
        <v>44986.438067129631</v>
      </c>
      <c r="CJ481" t="s">
        <v>7393</v>
      </c>
      <c r="CK481" t="s">
        <v>7393</v>
      </c>
      <c r="CL481" t="s">
        <v>7394</v>
      </c>
      <c r="CM481" t="s">
        <v>7394</v>
      </c>
      <c r="CS481" t="s">
        <v>7361</v>
      </c>
      <c r="CT481" t="s">
        <v>7362</v>
      </c>
      <c r="CU481" t="s">
        <v>7362</v>
      </c>
      <c r="CV481" t="s">
        <v>7362</v>
      </c>
      <c r="CW481" t="s">
        <v>7362</v>
      </c>
      <c r="CX481">
        <v>282178</v>
      </c>
      <c r="DA481">
        <v>0</v>
      </c>
    </row>
    <row r="482" spans="1:110" x14ac:dyDescent="0.3">
      <c r="A482">
        <v>1374</v>
      </c>
      <c r="B482" t="s">
        <v>7413</v>
      </c>
      <c r="C482">
        <v>508</v>
      </c>
      <c r="D482" s="20">
        <v>44986</v>
      </c>
      <c r="E482" t="s">
        <v>7372</v>
      </c>
      <c r="F482" t="s">
        <v>5961</v>
      </c>
      <c r="G482" t="s">
        <v>7357</v>
      </c>
      <c r="H482">
        <v>1</v>
      </c>
      <c r="I482" t="s">
        <v>7358</v>
      </c>
      <c r="J482">
        <v>1</v>
      </c>
      <c r="K482" s="20">
        <v>44986</v>
      </c>
      <c r="L482" s="23">
        <v>2500000</v>
      </c>
      <c r="M482" t="s">
        <v>7359</v>
      </c>
      <c r="N482" t="s">
        <v>7360</v>
      </c>
      <c r="O482">
        <v>0</v>
      </c>
      <c r="P482">
        <v>12843</v>
      </c>
      <c r="Q482">
        <v>450011</v>
      </c>
      <c r="R482">
        <v>0</v>
      </c>
      <c r="S482">
        <v>20230301</v>
      </c>
      <c r="T482">
        <v>0</v>
      </c>
      <c r="U482" t="s">
        <v>7362</v>
      </c>
      <c r="V482" t="s">
        <v>7360</v>
      </c>
      <c r="W482" t="s">
        <v>7360</v>
      </c>
      <c r="X482" t="s">
        <v>7360</v>
      </c>
      <c r="Y482" t="s">
        <v>7360</v>
      </c>
      <c r="Z482" t="s">
        <v>7360</v>
      </c>
      <c r="AA482" t="s">
        <v>7362</v>
      </c>
      <c r="AB482" t="s">
        <v>7360</v>
      </c>
      <c r="AC482" t="s">
        <v>7360</v>
      </c>
      <c r="AD482" t="s">
        <v>7360</v>
      </c>
      <c r="AE482" t="s">
        <v>7360</v>
      </c>
      <c r="AF482" t="s">
        <v>1684</v>
      </c>
      <c r="AG482">
        <v>0</v>
      </c>
      <c r="AH482">
        <v>0</v>
      </c>
      <c r="AI482">
        <v>0</v>
      </c>
      <c r="AJ482">
        <v>0</v>
      </c>
      <c r="AK482">
        <v>0</v>
      </c>
      <c r="AL482" t="s">
        <v>7360</v>
      </c>
      <c r="AM482">
        <v>0</v>
      </c>
      <c r="AN482" s="20">
        <v>44986</v>
      </c>
      <c r="AO482" s="20">
        <v>44986</v>
      </c>
      <c r="AP482" s="20">
        <v>44986</v>
      </c>
      <c r="AQ482">
        <v>0</v>
      </c>
      <c r="AR482">
        <v>0</v>
      </c>
      <c r="AS482">
        <v>0</v>
      </c>
      <c r="AT482">
        <v>0</v>
      </c>
      <c r="AU482">
        <v>0</v>
      </c>
      <c r="AV482" t="s">
        <v>7360</v>
      </c>
      <c r="AW482">
        <v>0</v>
      </c>
      <c r="AX482" t="s">
        <v>7360</v>
      </c>
      <c r="AY482" t="s">
        <v>7362</v>
      </c>
      <c r="AZ482">
        <v>1384</v>
      </c>
      <c r="BA482">
        <v>76</v>
      </c>
      <c r="BB482" s="20">
        <v>45002</v>
      </c>
      <c r="BC482">
        <v>20230317</v>
      </c>
      <c r="BD482" t="s">
        <v>7448</v>
      </c>
      <c r="BF482" s="20">
        <v>44986</v>
      </c>
      <c r="BG482">
        <v>0</v>
      </c>
      <c r="BH482" t="s">
        <v>7363</v>
      </c>
      <c r="BJ482" t="s">
        <v>7362</v>
      </c>
      <c r="BK482">
        <v>0</v>
      </c>
      <c r="BL482">
        <v>0</v>
      </c>
      <c r="BM482">
        <v>0</v>
      </c>
      <c r="BN482">
        <v>0</v>
      </c>
      <c r="BO482">
        <v>169</v>
      </c>
      <c r="BP482">
        <v>11</v>
      </c>
      <c r="BQ482">
        <v>1</v>
      </c>
      <c r="BR482" t="s">
        <v>7364</v>
      </c>
      <c r="BS482" t="s">
        <v>132</v>
      </c>
      <c r="BT482" t="s">
        <v>7360</v>
      </c>
      <c r="BU482" t="s">
        <v>7360</v>
      </c>
      <c r="BV482" t="s">
        <v>7360</v>
      </c>
      <c r="BX482">
        <v>0</v>
      </c>
      <c r="BY482">
        <v>0</v>
      </c>
      <c r="BZ482" t="s">
        <v>7360</v>
      </c>
      <c r="CA482" t="s">
        <v>7360</v>
      </c>
      <c r="CB482">
        <v>3380666</v>
      </c>
      <c r="CC482" s="21">
        <v>44986.650381944448</v>
      </c>
      <c r="CE482" t="s">
        <v>7366</v>
      </c>
      <c r="CF482">
        <v>0</v>
      </c>
      <c r="CG482">
        <v>702002</v>
      </c>
      <c r="CH482">
        <v>51669</v>
      </c>
      <c r="CI482" s="21">
        <v>45008.594166666669</v>
      </c>
      <c r="CJ482" t="s">
        <v>7367</v>
      </c>
      <c r="CK482" t="s">
        <v>7406</v>
      </c>
      <c r="CL482" t="s">
        <v>7368</v>
      </c>
      <c r="CM482" t="s">
        <v>7407</v>
      </c>
      <c r="CS482" t="s">
        <v>7361</v>
      </c>
      <c r="CT482" t="s">
        <v>7362</v>
      </c>
      <c r="CU482" t="s">
        <v>7362</v>
      </c>
      <c r="CV482" t="s">
        <v>7362</v>
      </c>
      <c r="CW482" t="s">
        <v>7362</v>
      </c>
      <c r="CX482">
        <v>2500000</v>
      </c>
      <c r="CY482" t="s">
        <v>1666</v>
      </c>
      <c r="DA482">
        <v>0</v>
      </c>
    </row>
    <row r="483" spans="1:110" x14ac:dyDescent="0.3">
      <c r="A483">
        <v>1357</v>
      </c>
      <c r="B483" t="s">
        <v>7405</v>
      </c>
      <c r="C483">
        <v>509</v>
      </c>
      <c r="D483" s="20">
        <v>44987</v>
      </c>
      <c r="E483" t="s">
        <v>7356</v>
      </c>
      <c r="F483" t="s">
        <v>5966</v>
      </c>
      <c r="G483" t="s">
        <v>7370</v>
      </c>
      <c r="H483">
        <v>1</v>
      </c>
      <c r="I483" t="s">
        <v>7358</v>
      </c>
      <c r="J483">
        <v>1</v>
      </c>
      <c r="K483" s="20">
        <v>44987</v>
      </c>
      <c r="L483" s="23">
        <v>2900000</v>
      </c>
      <c r="M483" t="s">
        <v>7359</v>
      </c>
      <c r="N483" t="s">
        <v>7360</v>
      </c>
      <c r="O483">
        <v>0</v>
      </c>
      <c r="P483">
        <v>12833</v>
      </c>
      <c r="Q483">
        <v>450002</v>
      </c>
      <c r="R483">
        <v>0</v>
      </c>
      <c r="S483">
        <v>20230302</v>
      </c>
      <c r="T483">
        <v>0</v>
      </c>
      <c r="U483" t="s">
        <v>7361</v>
      </c>
      <c r="V483" t="s">
        <v>7360</v>
      </c>
      <c r="W483" t="s">
        <v>7360</v>
      </c>
      <c r="X483" t="s">
        <v>7360</v>
      </c>
      <c r="Y483" t="s">
        <v>7360</v>
      </c>
      <c r="Z483" t="s">
        <v>7360</v>
      </c>
      <c r="AA483" t="s">
        <v>7362</v>
      </c>
      <c r="AB483" t="s">
        <v>7360</v>
      </c>
      <c r="AC483" t="s">
        <v>7360</v>
      </c>
      <c r="AD483" t="s">
        <v>7360</v>
      </c>
      <c r="AE483" t="s">
        <v>7360</v>
      </c>
      <c r="AF483" t="s">
        <v>1684</v>
      </c>
      <c r="AG483">
        <v>0</v>
      </c>
      <c r="AH483">
        <v>0</v>
      </c>
      <c r="AI483">
        <v>0</v>
      </c>
      <c r="AJ483">
        <v>0</v>
      </c>
      <c r="AK483">
        <v>0</v>
      </c>
      <c r="AL483" t="s">
        <v>7360</v>
      </c>
      <c r="AM483">
        <v>0</v>
      </c>
      <c r="AN483" s="20">
        <v>44987</v>
      </c>
      <c r="AO483" s="20">
        <v>44987</v>
      </c>
      <c r="AP483" s="20">
        <v>44987</v>
      </c>
      <c r="AQ483">
        <v>0</v>
      </c>
      <c r="AR483">
        <v>0</v>
      </c>
      <c r="AS483">
        <v>0</v>
      </c>
      <c r="AT483">
        <v>0</v>
      </c>
      <c r="AU483">
        <v>0</v>
      </c>
      <c r="AV483" t="s">
        <v>7360</v>
      </c>
      <c r="AW483">
        <v>0</v>
      </c>
      <c r="AX483" t="s">
        <v>7360</v>
      </c>
      <c r="AY483" t="s">
        <v>7363</v>
      </c>
      <c r="BA483">
        <v>0</v>
      </c>
      <c r="BB483" s="20">
        <v>44987</v>
      </c>
      <c r="BC483">
        <v>0</v>
      </c>
      <c r="BD483" t="s">
        <v>7360</v>
      </c>
      <c r="BF483" s="20">
        <v>44987</v>
      </c>
      <c r="BG483">
        <v>0</v>
      </c>
      <c r="BH483" t="s">
        <v>1684</v>
      </c>
      <c r="BJ483" t="s">
        <v>7362</v>
      </c>
      <c r="BK483">
        <v>169</v>
      </c>
      <c r="BL483">
        <v>11</v>
      </c>
      <c r="BM483">
        <v>1</v>
      </c>
      <c r="BN483" t="s">
        <v>7364</v>
      </c>
      <c r="BO483">
        <v>0</v>
      </c>
      <c r="BP483">
        <v>0</v>
      </c>
      <c r="BQ483">
        <v>0</v>
      </c>
      <c r="BR483">
        <v>0</v>
      </c>
      <c r="BS483" t="s">
        <v>7365</v>
      </c>
      <c r="BT483" t="s">
        <v>7360</v>
      </c>
      <c r="BU483" t="s">
        <v>7360</v>
      </c>
      <c r="BV483" t="s">
        <v>7360</v>
      </c>
      <c r="BX483" t="s">
        <v>7391</v>
      </c>
      <c r="BY483">
        <v>74</v>
      </c>
      <c r="BZ483" t="s">
        <v>7360</v>
      </c>
      <c r="CA483" t="s">
        <v>7360</v>
      </c>
      <c r="CC483" s="21">
        <v>44987.350092592591</v>
      </c>
      <c r="CE483" t="s">
        <v>7392</v>
      </c>
      <c r="CF483">
        <v>1100101</v>
      </c>
      <c r="CG483">
        <v>53575</v>
      </c>
      <c r="CH483">
        <v>53575</v>
      </c>
      <c r="CI483" s="21">
        <v>44987.351238425923</v>
      </c>
      <c r="CJ483" t="s">
        <v>7393</v>
      </c>
      <c r="CK483" t="s">
        <v>7393</v>
      </c>
      <c r="CL483" t="s">
        <v>7394</v>
      </c>
      <c r="CM483" t="s">
        <v>7394</v>
      </c>
      <c r="CS483" t="s">
        <v>7361</v>
      </c>
      <c r="CT483" t="s">
        <v>7362</v>
      </c>
      <c r="CU483" t="s">
        <v>7362</v>
      </c>
      <c r="CV483" t="s">
        <v>7362</v>
      </c>
      <c r="CW483" t="s">
        <v>7362</v>
      </c>
      <c r="CX483">
        <v>2900000</v>
      </c>
      <c r="DA483">
        <v>0</v>
      </c>
    </row>
    <row r="484" spans="1:110" x14ac:dyDescent="0.3">
      <c r="A484">
        <v>1354</v>
      </c>
      <c r="B484" t="s">
        <v>7396</v>
      </c>
      <c r="C484">
        <v>513</v>
      </c>
      <c r="D484" s="20">
        <v>44987</v>
      </c>
      <c r="E484" t="s">
        <v>7356</v>
      </c>
      <c r="F484" t="s">
        <v>5972</v>
      </c>
      <c r="G484" t="s">
        <v>7370</v>
      </c>
      <c r="H484">
        <v>1</v>
      </c>
      <c r="I484" t="s">
        <v>7358</v>
      </c>
      <c r="J484">
        <v>1</v>
      </c>
      <c r="K484" s="20">
        <v>44987</v>
      </c>
      <c r="L484" s="23">
        <v>1570800</v>
      </c>
      <c r="M484" t="s">
        <v>7359</v>
      </c>
      <c r="N484" t="s">
        <v>7360</v>
      </c>
      <c r="O484">
        <v>0</v>
      </c>
      <c r="P484">
        <v>12837</v>
      </c>
      <c r="Q484">
        <v>450005</v>
      </c>
      <c r="R484">
        <v>0</v>
      </c>
      <c r="S484">
        <v>20230302</v>
      </c>
      <c r="T484">
        <v>0</v>
      </c>
      <c r="U484" t="s">
        <v>7361</v>
      </c>
      <c r="V484" t="s">
        <v>7360</v>
      </c>
      <c r="W484" t="s">
        <v>7360</v>
      </c>
      <c r="X484" t="s">
        <v>7360</v>
      </c>
      <c r="Y484" t="s">
        <v>7360</v>
      </c>
      <c r="Z484" t="s">
        <v>7360</v>
      </c>
      <c r="AA484" t="s">
        <v>7362</v>
      </c>
      <c r="AB484" t="s">
        <v>7360</v>
      </c>
      <c r="AC484" t="s">
        <v>7360</v>
      </c>
      <c r="AD484" t="s">
        <v>7360</v>
      </c>
      <c r="AE484" t="s">
        <v>7360</v>
      </c>
      <c r="AF484" t="s">
        <v>1684</v>
      </c>
      <c r="AG484">
        <v>0</v>
      </c>
      <c r="AH484">
        <v>0</v>
      </c>
      <c r="AI484">
        <v>0</v>
      </c>
      <c r="AJ484">
        <v>0</v>
      </c>
      <c r="AK484">
        <v>0</v>
      </c>
      <c r="AL484" t="s">
        <v>7360</v>
      </c>
      <c r="AM484">
        <v>0</v>
      </c>
      <c r="AN484" s="20">
        <v>44987</v>
      </c>
      <c r="AO484" s="20">
        <v>44987</v>
      </c>
      <c r="AP484" s="20">
        <v>44987</v>
      </c>
      <c r="AQ484">
        <v>0</v>
      </c>
      <c r="AR484">
        <v>0</v>
      </c>
      <c r="AS484">
        <v>0</v>
      </c>
      <c r="AT484">
        <v>0</v>
      </c>
      <c r="AU484">
        <v>0</v>
      </c>
      <c r="AV484" t="s">
        <v>7360</v>
      </c>
      <c r="AW484">
        <v>0</v>
      </c>
      <c r="AX484" t="s">
        <v>7360</v>
      </c>
      <c r="AY484" t="s">
        <v>7363</v>
      </c>
      <c r="BA484">
        <v>0</v>
      </c>
      <c r="BB484" s="20">
        <v>44987</v>
      </c>
      <c r="BC484">
        <v>0</v>
      </c>
      <c r="BD484" t="s">
        <v>7360</v>
      </c>
      <c r="BF484" s="20">
        <v>44987</v>
      </c>
      <c r="BG484">
        <v>0</v>
      </c>
      <c r="BH484" t="s">
        <v>7363</v>
      </c>
      <c r="BJ484" t="s">
        <v>7362</v>
      </c>
      <c r="BK484">
        <v>169</v>
      </c>
      <c r="BL484">
        <v>11</v>
      </c>
      <c r="BM484">
        <v>1</v>
      </c>
      <c r="BN484" t="s">
        <v>7364</v>
      </c>
      <c r="BO484">
        <v>0</v>
      </c>
      <c r="BP484">
        <v>0</v>
      </c>
      <c r="BQ484">
        <v>0</v>
      </c>
      <c r="BR484">
        <v>0</v>
      </c>
      <c r="BS484" t="s">
        <v>7388</v>
      </c>
      <c r="BT484" t="s">
        <v>7360</v>
      </c>
      <c r="BU484" t="s">
        <v>7360</v>
      </c>
      <c r="BV484" t="s">
        <v>7360</v>
      </c>
      <c r="BX484" t="s">
        <v>7391</v>
      </c>
      <c r="BY484">
        <v>74</v>
      </c>
      <c r="BZ484" t="s">
        <v>7360</v>
      </c>
      <c r="CA484" t="s">
        <v>7360</v>
      </c>
      <c r="CC484" s="21">
        <v>44987.413113425922</v>
      </c>
      <c r="CE484" t="s">
        <v>7392</v>
      </c>
      <c r="CF484">
        <v>1100101</v>
      </c>
      <c r="CG484">
        <v>53575</v>
      </c>
      <c r="CH484">
        <v>53575</v>
      </c>
      <c r="CI484" s="21">
        <v>44987.444664351853</v>
      </c>
      <c r="CJ484" t="s">
        <v>7393</v>
      </c>
      <c r="CK484" t="s">
        <v>7393</v>
      </c>
      <c r="CL484" t="s">
        <v>7394</v>
      </c>
      <c r="CM484" t="s">
        <v>7394</v>
      </c>
      <c r="CS484" t="s">
        <v>7361</v>
      </c>
      <c r="CT484" t="s">
        <v>7362</v>
      </c>
      <c r="CU484" t="s">
        <v>7362</v>
      </c>
      <c r="CV484" t="s">
        <v>7362</v>
      </c>
      <c r="CW484" t="s">
        <v>7362</v>
      </c>
      <c r="CX484">
        <v>1570800</v>
      </c>
      <c r="DA484">
        <v>0</v>
      </c>
    </row>
    <row r="485" spans="1:110" x14ac:dyDescent="0.3">
      <c r="A485">
        <v>1354</v>
      </c>
      <c r="B485" t="s">
        <v>7396</v>
      </c>
      <c r="C485">
        <v>514</v>
      </c>
      <c r="D485" s="20">
        <v>44987</v>
      </c>
      <c r="E485" t="s">
        <v>7372</v>
      </c>
      <c r="F485" t="s">
        <v>5918</v>
      </c>
      <c r="G485" t="s">
        <v>7370</v>
      </c>
      <c r="H485">
        <v>1</v>
      </c>
      <c r="I485" t="s">
        <v>7358</v>
      </c>
      <c r="J485">
        <v>1</v>
      </c>
      <c r="K485" s="20">
        <v>44987</v>
      </c>
      <c r="L485" s="23">
        <v>8996400</v>
      </c>
      <c r="M485" t="s">
        <v>7359</v>
      </c>
      <c r="N485" t="s">
        <v>7360</v>
      </c>
      <c r="O485">
        <v>0</v>
      </c>
      <c r="P485">
        <v>12838</v>
      </c>
      <c r="Q485">
        <v>450006</v>
      </c>
      <c r="R485">
        <v>0</v>
      </c>
      <c r="S485">
        <v>20230302</v>
      </c>
      <c r="T485">
        <v>0</v>
      </c>
      <c r="U485" t="s">
        <v>7362</v>
      </c>
      <c r="V485" t="s">
        <v>7360</v>
      </c>
      <c r="W485" t="s">
        <v>7360</v>
      </c>
      <c r="X485" t="s">
        <v>7360</v>
      </c>
      <c r="Y485" t="s">
        <v>7360</v>
      </c>
      <c r="Z485" t="s">
        <v>7360</v>
      </c>
      <c r="AA485" t="s">
        <v>7362</v>
      </c>
      <c r="AB485" t="s">
        <v>7360</v>
      </c>
      <c r="AC485" t="s">
        <v>7360</v>
      </c>
      <c r="AD485" t="s">
        <v>7360</v>
      </c>
      <c r="AE485" t="s">
        <v>7360</v>
      </c>
      <c r="AF485" t="s">
        <v>1684</v>
      </c>
      <c r="AG485">
        <v>0</v>
      </c>
      <c r="AH485">
        <v>0</v>
      </c>
      <c r="AI485">
        <v>0</v>
      </c>
      <c r="AJ485">
        <v>0</v>
      </c>
      <c r="AK485">
        <v>0</v>
      </c>
      <c r="AL485" t="s">
        <v>7360</v>
      </c>
      <c r="AM485">
        <v>0</v>
      </c>
      <c r="AN485" s="20">
        <v>44987</v>
      </c>
      <c r="AO485" s="20">
        <v>44987</v>
      </c>
      <c r="AP485" s="20">
        <v>44987</v>
      </c>
      <c r="AQ485">
        <v>0</v>
      </c>
      <c r="AR485">
        <v>0</v>
      </c>
      <c r="AS485">
        <v>0</v>
      </c>
      <c r="AT485">
        <v>0</v>
      </c>
      <c r="AU485">
        <v>0</v>
      </c>
      <c r="AV485" t="s">
        <v>7360</v>
      </c>
      <c r="AW485">
        <v>0</v>
      </c>
      <c r="AX485" t="s">
        <v>7360</v>
      </c>
      <c r="AY485" t="s">
        <v>7362</v>
      </c>
      <c r="BA485">
        <v>0</v>
      </c>
      <c r="BB485" s="20">
        <v>44987</v>
      </c>
      <c r="BC485">
        <v>0</v>
      </c>
      <c r="BD485" t="s">
        <v>7360</v>
      </c>
      <c r="BF485" s="20">
        <v>44987</v>
      </c>
      <c r="BG485">
        <v>0</v>
      </c>
      <c r="BH485" t="s">
        <v>7363</v>
      </c>
      <c r="BJ485" t="s">
        <v>7362</v>
      </c>
      <c r="BK485">
        <v>169</v>
      </c>
      <c r="BL485">
        <v>11</v>
      </c>
      <c r="BM485">
        <v>1</v>
      </c>
      <c r="BN485" t="s">
        <v>7364</v>
      </c>
      <c r="BO485">
        <v>0</v>
      </c>
      <c r="BP485">
        <v>0</v>
      </c>
      <c r="BQ485">
        <v>0</v>
      </c>
      <c r="BR485">
        <v>0</v>
      </c>
      <c r="BS485" t="s">
        <v>7388</v>
      </c>
      <c r="BT485" t="s">
        <v>7360</v>
      </c>
      <c r="BU485" t="s">
        <v>7360</v>
      </c>
      <c r="BV485" t="s">
        <v>7360</v>
      </c>
      <c r="BX485" t="s">
        <v>7391</v>
      </c>
      <c r="BY485">
        <v>74</v>
      </c>
      <c r="BZ485" t="s">
        <v>7360</v>
      </c>
      <c r="CA485" t="s">
        <v>7360</v>
      </c>
      <c r="CC485" s="21">
        <v>44987.452384259261</v>
      </c>
      <c r="CE485" t="s">
        <v>7392</v>
      </c>
      <c r="CF485">
        <v>1100101</v>
      </c>
      <c r="CG485">
        <v>53575</v>
      </c>
      <c r="CH485">
        <v>53575</v>
      </c>
      <c r="CI485" s="21">
        <v>44987.454733796294</v>
      </c>
      <c r="CJ485" t="s">
        <v>7393</v>
      </c>
      <c r="CK485" t="s">
        <v>7393</v>
      </c>
      <c r="CL485" t="s">
        <v>7394</v>
      </c>
      <c r="CM485" t="s">
        <v>7394</v>
      </c>
      <c r="CS485" t="s">
        <v>7361</v>
      </c>
      <c r="CT485" t="s">
        <v>7362</v>
      </c>
      <c r="CU485" t="s">
        <v>7362</v>
      </c>
      <c r="CV485" t="s">
        <v>7362</v>
      </c>
      <c r="CW485" t="s">
        <v>7362</v>
      </c>
      <c r="CX485">
        <v>8996400</v>
      </c>
      <c r="DA485">
        <v>0</v>
      </c>
    </row>
    <row r="486" spans="1:110" x14ac:dyDescent="0.3">
      <c r="A486">
        <v>1371</v>
      </c>
      <c r="B486" t="s">
        <v>7389</v>
      </c>
      <c r="C486">
        <v>515</v>
      </c>
      <c r="D486" s="20">
        <v>44987</v>
      </c>
      <c r="E486" t="s">
        <v>7356</v>
      </c>
      <c r="F486" t="s">
        <v>5924</v>
      </c>
      <c r="G486" t="s">
        <v>7357</v>
      </c>
      <c r="H486">
        <v>1</v>
      </c>
      <c r="I486" t="s">
        <v>7358</v>
      </c>
      <c r="J486">
        <v>1</v>
      </c>
      <c r="K486" s="20">
        <v>44987</v>
      </c>
      <c r="L486" s="23">
        <v>302022</v>
      </c>
      <c r="M486" t="s">
        <v>7359</v>
      </c>
      <c r="N486" t="s">
        <v>7360</v>
      </c>
      <c r="O486">
        <v>0</v>
      </c>
      <c r="P486">
        <v>12839</v>
      </c>
      <c r="Q486">
        <v>450008</v>
      </c>
      <c r="R486">
        <v>0</v>
      </c>
      <c r="S486">
        <v>20230302</v>
      </c>
      <c r="T486">
        <v>0</v>
      </c>
      <c r="U486" t="s">
        <v>7361</v>
      </c>
      <c r="V486" t="s">
        <v>7360</v>
      </c>
      <c r="W486" t="s">
        <v>7360</v>
      </c>
      <c r="X486" t="s">
        <v>7360</v>
      </c>
      <c r="Y486" t="s">
        <v>7360</v>
      </c>
      <c r="Z486" t="s">
        <v>7360</v>
      </c>
      <c r="AA486" t="s">
        <v>7362</v>
      </c>
      <c r="AB486" t="s">
        <v>7360</v>
      </c>
      <c r="AC486" t="s">
        <v>7360</v>
      </c>
      <c r="AD486" t="s">
        <v>7360</v>
      </c>
      <c r="AE486" t="s">
        <v>7360</v>
      </c>
      <c r="AF486" t="s">
        <v>1684</v>
      </c>
      <c r="AG486">
        <v>0</v>
      </c>
      <c r="AH486">
        <v>0</v>
      </c>
      <c r="AI486">
        <v>0</v>
      </c>
      <c r="AJ486">
        <v>0</v>
      </c>
      <c r="AK486">
        <v>0</v>
      </c>
      <c r="AL486" t="s">
        <v>7360</v>
      </c>
      <c r="AM486">
        <v>0</v>
      </c>
      <c r="AN486" s="20">
        <v>44987</v>
      </c>
      <c r="AO486" s="20">
        <v>44987</v>
      </c>
      <c r="AP486" s="20">
        <v>44987</v>
      </c>
      <c r="AQ486">
        <v>0</v>
      </c>
      <c r="AR486">
        <v>0</v>
      </c>
      <c r="AS486">
        <v>0</v>
      </c>
      <c r="AT486">
        <v>0</v>
      </c>
      <c r="AU486">
        <v>0</v>
      </c>
      <c r="AV486" t="s">
        <v>7360</v>
      </c>
      <c r="AW486">
        <v>0</v>
      </c>
      <c r="AX486" t="s">
        <v>7360</v>
      </c>
      <c r="AY486" t="s">
        <v>7363</v>
      </c>
      <c r="BA486">
        <v>0</v>
      </c>
      <c r="BB486" s="20">
        <v>44987</v>
      </c>
      <c r="BC486">
        <v>0</v>
      </c>
      <c r="BD486" t="s">
        <v>7360</v>
      </c>
      <c r="BF486" s="20">
        <v>44987</v>
      </c>
      <c r="BG486">
        <v>0</v>
      </c>
      <c r="BH486" t="s">
        <v>7363</v>
      </c>
      <c r="BJ486" t="s">
        <v>7362</v>
      </c>
      <c r="BK486">
        <v>0</v>
      </c>
      <c r="BL486">
        <v>0</v>
      </c>
      <c r="BM486">
        <v>0</v>
      </c>
      <c r="BN486">
        <v>0</v>
      </c>
      <c r="BO486">
        <v>169</v>
      </c>
      <c r="BP486">
        <v>11</v>
      </c>
      <c r="BQ486">
        <v>1</v>
      </c>
      <c r="BR486" t="s">
        <v>7364</v>
      </c>
      <c r="BS486" t="s">
        <v>7386</v>
      </c>
      <c r="BT486" t="s">
        <v>7360</v>
      </c>
      <c r="BU486" t="s">
        <v>7360</v>
      </c>
      <c r="BV486" t="s">
        <v>7360</v>
      </c>
      <c r="BX486">
        <v>0</v>
      </c>
      <c r="BY486">
        <v>0</v>
      </c>
      <c r="BZ486" t="s">
        <v>7360</v>
      </c>
      <c r="CA486" t="s">
        <v>7360</v>
      </c>
      <c r="CB486">
        <v>3380666</v>
      </c>
      <c r="CC486" s="21">
        <v>44987.456087962964</v>
      </c>
      <c r="CE486" t="s">
        <v>7366</v>
      </c>
      <c r="CF486">
        <v>0</v>
      </c>
      <c r="CG486">
        <v>702002</v>
      </c>
      <c r="CH486">
        <v>702002</v>
      </c>
      <c r="CI486" s="21">
        <v>44987.457175925927</v>
      </c>
      <c r="CJ486" t="s">
        <v>7367</v>
      </c>
      <c r="CK486" t="s">
        <v>7367</v>
      </c>
      <c r="CL486" t="s">
        <v>7368</v>
      </c>
      <c r="CM486" t="s">
        <v>7368</v>
      </c>
      <c r="CS486" t="s">
        <v>7361</v>
      </c>
      <c r="CT486" t="s">
        <v>7362</v>
      </c>
      <c r="CU486" t="s">
        <v>7362</v>
      </c>
      <c r="CV486" t="s">
        <v>7362</v>
      </c>
      <c r="CW486" t="s">
        <v>7362</v>
      </c>
      <c r="CX486">
        <v>302022</v>
      </c>
      <c r="DA486">
        <v>0</v>
      </c>
    </row>
    <row r="487" spans="1:110" x14ac:dyDescent="0.3">
      <c r="A487">
        <v>1354</v>
      </c>
      <c r="B487" t="s">
        <v>7396</v>
      </c>
      <c r="C487">
        <v>516</v>
      </c>
      <c r="D487" s="20">
        <v>44987</v>
      </c>
      <c r="E487" t="s">
        <v>7372</v>
      </c>
      <c r="F487" t="s">
        <v>5929</v>
      </c>
      <c r="G487" t="s">
        <v>7370</v>
      </c>
      <c r="H487">
        <v>1</v>
      </c>
      <c r="I487" t="s">
        <v>7358</v>
      </c>
      <c r="J487">
        <v>1</v>
      </c>
      <c r="K487" s="20">
        <v>44987</v>
      </c>
      <c r="L487" s="23">
        <v>3700000</v>
      </c>
      <c r="M487" t="s">
        <v>7359</v>
      </c>
      <c r="N487" t="s">
        <v>7360</v>
      </c>
      <c r="O487">
        <v>0</v>
      </c>
      <c r="P487">
        <v>12846</v>
      </c>
      <c r="Q487">
        <v>450013</v>
      </c>
      <c r="R487">
        <v>0</v>
      </c>
      <c r="S487">
        <v>20230302</v>
      </c>
      <c r="T487">
        <v>0</v>
      </c>
      <c r="U487" t="s">
        <v>7362</v>
      </c>
      <c r="V487" t="s">
        <v>7360</v>
      </c>
      <c r="W487" t="s">
        <v>7360</v>
      </c>
      <c r="X487" t="s">
        <v>7360</v>
      </c>
      <c r="Y487" t="s">
        <v>7360</v>
      </c>
      <c r="Z487" t="s">
        <v>7360</v>
      </c>
      <c r="AA487" t="s">
        <v>7362</v>
      </c>
      <c r="AB487" t="s">
        <v>7360</v>
      </c>
      <c r="AC487" t="s">
        <v>7360</v>
      </c>
      <c r="AD487" t="s">
        <v>7360</v>
      </c>
      <c r="AE487" t="s">
        <v>7360</v>
      </c>
      <c r="AF487" t="s">
        <v>1684</v>
      </c>
      <c r="AG487">
        <v>0</v>
      </c>
      <c r="AH487">
        <v>0</v>
      </c>
      <c r="AI487">
        <v>0</v>
      </c>
      <c r="AJ487">
        <v>0</v>
      </c>
      <c r="AK487">
        <v>0</v>
      </c>
      <c r="AL487" t="s">
        <v>7360</v>
      </c>
      <c r="AM487">
        <v>0</v>
      </c>
      <c r="AN487" s="20">
        <v>44987</v>
      </c>
      <c r="AO487" s="20">
        <v>44987</v>
      </c>
      <c r="AP487" s="20">
        <v>44987</v>
      </c>
      <c r="AQ487">
        <v>0</v>
      </c>
      <c r="AR487">
        <v>0</v>
      </c>
      <c r="AS487">
        <v>0</v>
      </c>
      <c r="AT487">
        <v>0</v>
      </c>
      <c r="AU487">
        <v>0</v>
      </c>
      <c r="AV487" t="s">
        <v>7360</v>
      </c>
      <c r="AW487">
        <v>0</v>
      </c>
      <c r="AX487" t="s">
        <v>7360</v>
      </c>
      <c r="AY487" t="s">
        <v>7362</v>
      </c>
      <c r="BA487">
        <v>0</v>
      </c>
      <c r="BB487" s="20">
        <v>44987</v>
      </c>
      <c r="BC487">
        <v>0</v>
      </c>
      <c r="BD487" t="s">
        <v>7360</v>
      </c>
      <c r="BF487" s="20">
        <v>44987</v>
      </c>
      <c r="BG487">
        <v>0</v>
      </c>
      <c r="BH487" t="s">
        <v>7363</v>
      </c>
      <c r="BJ487" t="s">
        <v>7362</v>
      </c>
      <c r="BK487">
        <v>169</v>
      </c>
      <c r="BL487">
        <v>11</v>
      </c>
      <c r="BM487">
        <v>1</v>
      </c>
      <c r="BN487" t="s">
        <v>7364</v>
      </c>
      <c r="BO487">
        <v>0</v>
      </c>
      <c r="BP487">
        <v>0</v>
      </c>
      <c r="BQ487">
        <v>0</v>
      </c>
      <c r="BR487">
        <v>0</v>
      </c>
      <c r="BS487" t="s">
        <v>7388</v>
      </c>
      <c r="BT487" t="s">
        <v>7360</v>
      </c>
      <c r="BU487" t="s">
        <v>7360</v>
      </c>
      <c r="BV487" t="s">
        <v>7360</v>
      </c>
      <c r="BX487" t="s">
        <v>7391</v>
      </c>
      <c r="BY487">
        <v>74</v>
      </c>
      <c r="BZ487" t="s">
        <v>7360</v>
      </c>
      <c r="CA487" t="s">
        <v>7360</v>
      </c>
      <c r="CC487" s="21">
        <v>44987.464560185188</v>
      </c>
      <c r="CE487" t="s">
        <v>7392</v>
      </c>
      <c r="CF487">
        <v>1100101</v>
      </c>
      <c r="CG487">
        <v>53575</v>
      </c>
      <c r="CH487">
        <v>53575</v>
      </c>
      <c r="CI487" s="21">
        <v>44987.466087962966</v>
      </c>
      <c r="CJ487" t="s">
        <v>7393</v>
      </c>
      <c r="CK487" t="s">
        <v>7393</v>
      </c>
      <c r="CL487" t="s">
        <v>7394</v>
      </c>
      <c r="CM487" t="s">
        <v>7394</v>
      </c>
      <c r="CS487" t="s">
        <v>7361</v>
      </c>
      <c r="CT487" t="s">
        <v>7362</v>
      </c>
      <c r="CU487" t="s">
        <v>7362</v>
      </c>
      <c r="CV487" t="s">
        <v>7362</v>
      </c>
      <c r="CW487" t="s">
        <v>7362</v>
      </c>
      <c r="CX487">
        <v>3700000</v>
      </c>
      <c r="DA487">
        <v>0</v>
      </c>
    </row>
    <row r="488" spans="1:110" x14ac:dyDescent="0.3">
      <c r="A488">
        <v>1355</v>
      </c>
      <c r="B488" t="s">
        <v>7409</v>
      </c>
      <c r="C488">
        <v>517</v>
      </c>
      <c r="D488" s="20">
        <v>44987</v>
      </c>
      <c r="E488" t="s">
        <v>7356</v>
      </c>
      <c r="F488" t="s">
        <v>5934</v>
      </c>
      <c r="G488" t="s">
        <v>7370</v>
      </c>
      <c r="H488">
        <v>1</v>
      </c>
      <c r="I488" t="s">
        <v>7358</v>
      </c>
      <c r="J488">
        <v>1</v>
      </c>
      <c r="K488" s="20">
        <v>44987</v>
      </c>
      <c r="L488" s="23">
        <v>1680000</v>
      </c>
      <c r="M488" t="s">
        <v>7359</v>
      </c>
      <c r="N488" t="s">
        <v>7360</v>
      </c>
      <c r="O488">
        <v>0</v>
      </c>
      <c r="P488">
        <v>12855</v>
      </c>
      <c r="Q488">
        <v>450019</v>
      </c>
      <c r="R488">
        <v>0</v>
      </c>
      <c r="S488">
        <v>20230302</v>
      </c>
      <c r="T488">
        <v>0</v>
      </c>
      <c r="U488" t="s">
        <v>7361</v>
      </c>
      <c r="V488" t="s">
        <v>7360</v>
      </c>
      <c r="W488" t="s">
        <v>7360</v>
      </c>
      <c r="X488" t="s">
        <v>7360</v>
      </c>
      <c r="Y488" t="s">
        <v>7360</v>
      </c>
      <c r="Z488" t="s">
        <v>7360</v>
      </c>
      <c r="AA488" t="s">
        <v>7362</v>
      </c>
      <c r="AB488" t="s">
        <v>7360</v>
      </c>
      <c r="AC488" t="s">
        <v>7360</v>
      </c>
      <c r="AD488" t="s">
        <v>7360</v>
      </c>
      <c r="AE488" t="s">
        <v>7360</v>
      </c>
      <c r="AF488" t="s">
        <v>1684</v>
      </c>
      <c r="AG488">
        <v>0</v>
      </c>
      <c r="AH488">
        <v>0</v>
      </c>
      <c r="AI488">
        <v>0</v>
      </c>
      <c r="AJ488">
        <v>0</v>
      </c>
      <c r="AK488">
        <v>0</v>
      </c>
      <c r="AL488" t="s">
        <v>7360</v>
      </c>
      <c r="AM488">
        <v>0</v>
      </c>
      <c r="AN488" s="20">
        <v>44987</v>
      </c>
      <c r="AO488" s="20">
        <v>44987</v>
      </c>
      <c r="AP488" s="20">
        <v>44987</v>
      </c>
      <c r="AQ488">
        <v>0</v>
      </c>
      <c r="AR488">
        <v>0</v>
      </c>
      <c r="AS488">
        <v>0</v>
      </c>
      <c r="AT488">
        <v>0</v>
      </c>
      <c r="AU488">
        <v>0</v>
      </c>
      <c r="AV488" t="s">
        <v>7360</v>
      </c>
      <c r="AW488">
        <v>0</v>
      </c>
      <c r="AX488" t="s">
        <v>7360</v>
      </c>
      <c r="AY488" t="s">
        <v>7363</v>
      </c>
      <c r="BA488">
        <v>0</v>
      </c>
      <c r="BB488" s="20">
        <v>44987</v>
      </c>
      <c r="BC488">
        <v>0</v>
      </c>
      <c r="BD488" t="s">
        <v>7360</v>
      </c>
      <c r="BF488" s="20">
        <v>44987</v>
      </c>
      <c r="BG488">
        <v>0</v>
      </c>
      <c r="BH488" t="s">
        <v>7363</v>
      </c>
      <c r="BJ488" t="s">
        <v>7362</v>
      </c>
      <c r="BK488">
        <v>169</v>
      </c>
      <c r="BL488">
        <v>11</v>
      </c>
      <c r="BM488">
        <v>1</v>
      </c>
      <c r="BN488" t="s">
        <v>7364</v>
      </c>
      <c r="BO488">
        <v>0</v>
      </c>
      <c r="BP488">
        <v>0</v>
      </c>
      <c r="BQ488">
        <v>0</v>
      </c>
      <c r="BR488">
        <v>0</v>
      </c>
      <c r="BS488" t="s">
        <v>7411</v>
      </c>
      <c r="BT488" t="s">
        <v>7360</v>
      </c>
      <c r="BU488" t="s">
        <v>7360</v>
      </c>
      <c r="BV488" t="s">
        <v>7360</v>
      </c>
      <c r="BX488" t="s">
        <v>7391</v>
      </c>
      <c r="BY488">
        <v>74</v>
      </c>
      <c r="BZ488" t="s">
        <v>7360</v>
      </c>
      <c r="CA488" t="s">
        <v>7360</v>
      </c>
      <c r="CC488" s="21">
        <v>44987.478587962964</v>
      </c>
      <c r="CE488" t="s">
        <v>7392</v>
      </c>
      <c r="CF488">
        <v>1100101</v>
      </c>
      <c r="CG488">
        <v>53575</v>
      </c>
      <c r="CH488">
        <v>53575</v>
      </c>
      <c r="CI488" s="21">
        <v>44987.479710648149</v>
      </c>
      <c r="CJ488" t="s">
        <v>7393</v>
      </c>
      <c r="CK488" t="s">
        <v>7393</v>
      </c>
      <c r="CL488" t="s">
        <v>7394</v>
      </c>
      <c r="CM488" t="s">
        <v>7394</v>
      </c>
      <c r="CS488" t="s">
        <v>7361</v>
      </c>
      <c r="CT488" t="s">
        <v>7362</v>
      </c>
      <c r="CU488" t="s">
        <v>7362</v>
      </c>
      <c r="CV488" t="s">
        <v>7362</v>
      </c>
      <c r="CW488" t="s">
        <v>7362</v>
      </c>
      <c r="CX488">
        <v>1680000</v>
      </c>
      <c r="DA488">
        <v>0</v>
      </c>
    </row>
    <row r="489" spans="1:110" x14ac:dyDescent="0.3">
      <c r="A489">
        <v>1354</v>
      </c>
      <c r="B489" t="s">
        <v>7396</v>
      </c>
      <c r="C489">
        <v>518</v>
      </c>
      <c r="D489" s="20">
        <v>44987</v>
      </c>
      <c r="E489" t="s">
        <v>7372</v>
      </c>
      <c r="F489" t="s">
        <v>5940</v>
      </c>
      <c r="G489" t="s">
        <v>7370</v>
      </c>
      <c r="H489">
        <v>1</v>
      </c>
      <c r="I489" t="s">
        <v>7358</v>
      </c>
      <c r="J489">
        <v>1</v>
      </c>
      <c r="K489" s="20">
        <v>44987</v>
      </c>
      <c r="L489" s="23">
        <v>400000</v>
      </c>
      <c r="M489" t="s">
        <v>7359</v>
      </c>
      <c r="N489" t="s">
        <v>7360</v>
      </c>
      <c r="O489">
        <v>0</v>
      </c>
      <c r="P489">
        <v>12856</v>
      </c>
      <c r="Q489">
        <v>450021</v>
      </c>
      <c r="R489">
        <v>0</v>
      </c>
      <c r="S489">
        <v>20230302</v>
      </c>
      <c r="T489">
        <v>0</v>
      </c>
      <c r="U489" t="s">
        <v>7362</v>
      </c>
      <c r="V489" t="s">
        <v>7360</v>
      </c>
      <c r="W489" t="s">
        <v>7360</v>
      </c>
      <c r="X489" t="s">
        <v>7360</v>
      </c>
      <c r="Y489" t="s">
        <v>7360</v>
      </c>
      <c r="Z489" t="s">
        <v>7360</v>
      </c>
      <c r="AA489" t="s">
        <v>7362</v>
      </c>
      <c r="AB489" t="s">
        <v>7360</v>
      </c>
      <c r="AC489" t="s">
        <v>7360</v>
      </c>
      <c r="AD489" t="s">
        <v>7360</v>
      </c>
      <c r="AE489" t="s">
        <v>7360</v>
      </c>
      <c r="AF489" t="s">
        <v>1684</v>
      </c>
      <c r="AG489">
        <v>0</v>
      </c>
      <c r="AH489">
        <v>0</v>
      </c>
      <c r="AI489">
        <v>0</v>
      </c>
      <c r="AJ489">
        <v>0</v>
      </c>
      <c r="AK489">
        <v>0</v>
      </c>
      <c r="AL489" t="s">
        <v>7360</v>
      </c>
      <c r="AM489">
        <v>0</v>
      </c>
      <c r="AN489" s="20">
        <v>44987</v>
      </c>
      <c r="AO489" s="20">
        <v>44987</v>
      </c>
      <c r="AP489" s="20">
        <v>44987</v>
      </c>
      <c r="AQ489">
        <v>0</v>
      </c>
      <c r="AR489">
        <v>0</v>
      </c>
      <c r="AS489">
        <v>0</v>
      </c>
      <c r="AT489">
        <v>0</v>
      </c>
      <c r="AU489">
        <v>0</v>
      </c>
      <c r="AV489" t="s">
        <v>7360</v>
      </c>
      <c r="AW489">
        <v>0</v>
      </c>
      <c r="AX489" t="s">
        <v>7360</v>
      </c>
      <c r="AY489" t="s">
        <v>7362</v>
      </c>
      <c r="BA489">
        <v>0</v>
      </c>
      <c r="BB489" s="20">
        <v>44987</v>
      </c>
      <c r="BC489">
        <v>0</v>
      </c>
      <c r="BD489" t="s">
        <v>7360</v>
      </c>
      <c r="BF489" s="20">
        <v>44987</v>
      </c>
      <c r="BG489">
        <v>0</v>
      </c>
      <c r="BH489" t="s">
        <v>7363</v>
      </c>
      <c r="BJ489" t="s">
        <v>7362</v>
      </c>
      <c r="BK489">
        <v>169</v>
      </c>
      <c r="BL489">
        <v>11</v>
      </c>
      <c r="BM489">
        <v>1</v>
      </c>
      <c r="BN489" t="s">
        <v>7364</v>
      </c>
      <c r="BO489">
        <v>0</v>
      </c>
      <c r="BP489">
        <v>0</v>
      </c>
      <c r="BQ489">
        <v>0</v>
      </c>
      <c r="BR489">
        <v>0</v>
      </c>
      <c r="BS489" t="s">
        <v>7411</v>
      </c>
      <c r="BT489" t="s">
        <v>7360</v>
      </c>
      <c r="BU489" t="s">
        <v>7360</v>
      </c>
      <c r="BV489" t="s">
        <v>7360</v>
      </c>
      <c r="BX489" t="s">
        <v>7391</v>
      </c>
      <c r="BY489">
        <v>80</v>
      </c>
      <c r="BZ489">
        <v>0</v>
      </c>
      <c r="CA489">
        <v>0</v>
      </c>
      <c r="CB489" t="s">
        <v>7360</v>
      </c>
      <c r="CC489" s="21">
        <v>44987.482870370368</v>
      </c>
      <c r="CE489" t="s">
        <v>7412</v>
      </c>
      <c r="CF489">
        <v>1108001</v>
      </c>
      <c r="CG489">
        <v>53575</v>
      </c>
      <c r="CH489">
        <v>53575</v>
      </c>
      <c r="CI489" s="21">
        <v>44987.484710648147</v>
      </c>
      <c r="CJ489" t="s">
        <v>7393</v>
      </c>
      <c r="CK489" t="s">
        <v>7393</v>
      </c>
      <c r="CL489" t="s">
        <v>7394</v>
      </c>
      <c r="CM489" t="s">
        <v>7394</v>
      </c>
      <c r="CS489" t="s">
        <v>7361</v>
      </c>
      <c r="CT489" t="s">
        <v>7362</v>
      </c>
      <c r="CU489" t="s">
        <v>7362</v>
      </c>
      <c r="CV489" t="s">
        <v>7362</v>
      </c>
      <c r="CW489" t="s">
        <v>7362</v>
      </c>
      <c r="CX489">
        <v>400000</v>
      </c>
      <c r="DA489">
        <v>0</v>
      </c>
    </row>
    <row r="490" spans="1:110" x14ac:dyDescent="0.3">
      <c r="A490">
        <v>1356</v>
      </c>
      <c r="B490" t="s">
        <v>7402</v>
      </c>
      <c r="C490">
        <v>109</v>
      </c>
      <c r="D490" s="20">
        <v>44956</v>
      </c>
      <c r="E490" t="s">
        <v>7356</v>
      </c>
      <c r="F490" t="s">
        <v>5945</v>
      </c>
      <c r="G490" t="s">
        <v>7377</v>
      </c>
      <c r="H490">
        <v>1</v>
      </c>
      <c r="I490" t="s">
        <v>7358</v>
      </c>
      <c r="J490">
        <v>1</v>
      </c>
      <c r="K490" s="20">
        <v>44952</v>
      </c>
      <c r="L490" s="23">
        <v>27370000</v>
      </c>
      <c r="M490" t="s">
        <v>7403</v>
      </c>
      <c r="N490" t="s">
        <v>7360</v>
      </c>
      <c r="O490">
        <v>0</v>
      </c>
      <c r="P490">
        <v>11768</v>
      </c>
      <c r="Q490">
        <v>130003</v>
      </c>
      <c r="R490">
        <v>0</v>
      </c>
      <c r="S490">
        <v>20230130</v>
      </c>
      <c r="T490">
        <v>0</v>
      </c>
      <c r="U490" t="s">
        <v>7361</v>
      </c>
      <c r="V490" t="s">
        <v>7360</v>
      </c>
      <c r="W490" t="s">
        <v>7360</v>
      </c>
      <c r="X490" t="s">
        <v>7360</v>
      </c>
      <c r="Y490" t="s">
        <v>7360</v>
      </c>
      <c r="Z490" t="s">
        <v>7360</v>
      </c>
      <c r="AA490" t="s">
        <v>7362</v>
      </c>
      <c r="AB490" t="s">
        <v>7360</v>
      </c>
      <c r="AC490" t="s">
        <v>7360</v>
      </c>
      <c r="AD490" t="s">
        <v>7360</v>
      </c>
      <c r="AE490" t="s">
        <v>7360</v>
      </c>
      <c r="AF490" t="s">
        <v>1684</v>
      </c>
      <c r="AG490">
        <v>0</v>
      </c>
      <c r="AH490">
        <v>0</v>
      </c>
      <c r="AI490">
        <v>0</v>
      </c>
      <c r="AJ490">
        <v>0</v>
      </c>
      <c r="AK490">
        <v>0</v>
      </c>
      <c r="AL490" t="s">
        <v>7360</v>
      </c>
      <c r="AM490">
        <v>0</v>
      </c>
      <c r="AN490" s="20">
        <v>44952</v>
      </c>
      <c r="AO490" s="20">
        <v>44952</v>
      </c>
      <c r="AP490" s="20">
        <v>44952</v>
      </c>
      <c r="AQ490">
        <v>0</v>
      </c>
      <c r="AR490">
        <v>0</v>
      </c>
      <c r="AS490">
        <v>0</v>
      </c>
      <c r="AT490">
        <v>0</v>
      </c>
      <c r="AU490">
        <v>0</v>
      </c>
      <c r="AV490" t="s">
        <v>7360</v>
      </c>
      <c r="AW490">
        <v>0</v>
      </c>
      <c r="AX490" t="s">
        <v>7360</v>
      </c>
      <c r="AY490" t="s">
        <v>7363</v>
      </c>
      <c r="BA490">
        <v>0</v>
      </c>
      <c r="BB490" s="20">
        <v>44952</v>
      </c>
      <c r="BC490">
        <v>0</v>
      </c>
      <c r="BD490" t="s">
        <v>7360</v>
      </c>
      <c r="BE490">
        <v>106</v>
      </c>
      <c r="BF490" s="20">
        <v>44952</v>
      </c>
      <c r="BG490">
        <v>0</v>
      </c>
      <c r="BH490" t="s">
        <v>1729</v>
      </c>
      <c r="BJ490" t="s">
        <v>7362</v>
      </c>
      <c r="BK490">
        <v>169</v>
      </c>
      <c r="BL490">
        <v>11</v>
      </c>
      <c r="BM490">
        <v>1</v>
      </c>
      <c r="BN490" t="s">
        <v>7364</v>
      </c>
      <c r="BO490">
        <v>169</v>
      </c>
      <c r="BP490">
        <v>11</v>
      </c>
      <c r="BQ490">
        <v>1</v>
      </c>
      <c r="BR490" t="s">
        <v>7364</v>
      </c>
      <c r="BS490" t="s">
        <v>132</v>
      </c>
      <c r="BT490" t="s">
        <v>7360</v>
      </c>
      <c r="BU490" t="s">
        <v>7360</v>
      </c>
      <c r="BV490" t="s">
        <v>7360</v>
      </c>
      <c r="BX490" t="s">
        <v>7391</v>
      </c>
      <c r="BY490">
        <v>74</v>
      </c>
      <c r="BZ490" t="s">
        <v>7360</v>
      </c>
      <c r="CA490" t="s">
        <v>7360</v>
      </c>
      <c r="CB490">
        <v>3380666</v>
      </c>
      <c r="CC490" s="21">
        <v>44999.461585648147</v>
      </c>
      <c r="CE490" t="s">
        <v>7392</v>
      </c>
      <c r="CF490">
        <v>1100101</v>
      </c>
      <c r="CG490">
        <v>51669</v>
      </c>
      <c r="CH490">
        <v>51669</v>
      </c>
      <c r="CI490" s="21">
        <v>44999.472303240742</v>
      </c>
      <c r="CJ490" t="s">
        <v>7406</v>
      </c>
      <c r="CK490" t="s">
        <v>7406</v>
      </c>
      <c r="CL490" t="s">
        <v>7407</v>
      </c>
      <c r="CM490" t="s">
        <v>7407</v>
      </c>
      <c r="CS490" t="s">
        <v>7361</v>
      </c>
      <c r="CT490" t="s">
        <v>7362</v>
      </c>
      <c r="CU490" t="s">
        <v>7362</v>
      </c>
      <c r="CV490" t="s">
        <v>7362</v>
      </c>
      <c r="CW490" t="s">
        <v>7362</v>
      </c>
      <c r="CX490">
        <v>30000000</v>
      </c>
      <c r="DA490">
        <v>0</v>
      </c>
      <c r="DB490">
        <v>137005</v>
      </c>
    </row>
    <row r="491" spans="1:110" x14ac:dyDescent="0.3">
      <c r="A491">
        <v>1367</v>
      </c>
      <c r="B491" t="s">
        <v>7434</v>
      </c>
      <c r="C491">
        <v>453</v>
      </c>
      <c r="D491" s="20">
        <v>44979</v>
      </c>
      <c r="E491" t="s">
        <v>7372</v>
      </c>
      <c r="F491" t="s">
        <v>5950</v>
      </c>
      <c r="G491" t="s">
        <v>7357</v>
      </c>
      <c r="H491">
        <v>1</v>
      </c>
      <c r="I491" t="s">
        <v>7358</v>
      </c>
      <c r="J491">
        <v>1</v>
      </c>
      <c r="K491" s="20">
        <v>44979</v>
      </c>
      <c r="L491" s="23">
        <v>28941847</v>
      </c>
      <c r="M491" t="s">
        <v>7359</v>
      </c>
      <c r="N491" t="s">
        <v>7360</v>
      </c>
      <c r="O491">
        <v>0</v>
      </c>
      <c r="P491">
        <v>12504</v>
      </c>
      <c r="Q491">
        <v>439021</v>
      </c>
      <c r="R491">
        <v>0</v>
      </c>
      <c r="S491">
        <v>20230222</v>
      </c>
      <c r="T491">
        <v>0</v>
      </c>
      <c r="U491" t="s">
        <v>7362</v>
      </c>
      <c r="V491" t="s">
        <v>7360</v>
      </c>
      <c r="W491" t="s">
        <v>7360</v>
      </c>
      <c r="X491" t="s">
        <v>7360</v>
      </c>
      <c r="Y491" t="s">
        <v>7360</v>
      </c>
      <c r="Z491" t="s">
        <v>7360</v>
      </c>
      <c r="AA491" t="s">
        <v>7362</v>
      </c>
      <c r="AB491" t="s">
        <v>7360</v>
      </c>
      <c r="AC491" t="s">
        <v>7360</v>
      </c>
      <c r="AD491" t="s">
        <v>7360</v>
      </c>
      <c r="AE491" t="s">
        <v>7360</v>
      </c>
      <c r="AF491" t="s">
        <v>1684</v>
      </c>
      <c r="AG491">
        <v>0</v>
      </c>
      <c r="AH491">
        <v>0</v>
      </c>
      <c r="AI491">
        <v>0</v>
      </c>
      <c r="AJ491">
        <v>0</v>
      </c>
      <c r="AK491">
        <v>0</v>
      </c>
      <c r="AL491" t="s">
        <v>7360</v>
      </c>
      <c r="AM491">
        <v>0</v>
      </c>
      <c r="AN491" s="20">
        <v>44979</v>
      </c>
      <c r="AO491" s="20">
        <v>44979</v>
      </c>
      <c r="AP491" s="20">
        <v>44979</v>
      </c>
      <c r="AQ491">
        <v>0</v>
      </c>
      <c r="AR491">
        <v>0</v>
      </c>
      <c r="AS491">
        <v>0</v>
      </c>
      <c r="AT491">
        <v>0</v>
      </c>
      <c r="AU491">
        <v>0</v>
      </c>
      <c r="AV491" t="s">
        <v>7360</v>
      </c>
      <c r="AW491">
        <v>0</v>
      </c>
      <c r="AX491" t="s">
        <v>7360</v>
      </c>
      <c r="AY491" t="s">
        <v>7362</v>
      </c>
      <c r="BA491">
        <v>0</v>
      </c>
      <c r="BB491" s="20">
        <v>44979</v>
      </c>
      <c r="BC491">
        <v>0</v>
      </c>
      <c r="BD491" t="s">
        <v>7360</v>
      </c>
      <c r="BF491" s="20">
        <v>44979</v>
      </c>
      <c r="BG491">
        <v>0</v>
      </c>
      <c r="BH491" t="s">
        <v>7363</v>
      </c>
      <c r="BJ491" t="s">
        <v>7362</v>
      </c>
      <c r="BK491">
        <v>169</v>
      </c>
      <c r="BL491">
        <v>11</v>
      </c>
      <c r="BM491">
        <v>1</v>
      </c>
      <c r="BN491" t="s">
        <v>7364</v>
      </c>
      <c r="BO491">
        <v>169</v>
      </c>
      <c r="BP491">
        <v>11</v>
      </c>
      <c r="BQ491">
        <v>1</v>
      </c>
      <c r="BR491" t="s">
        <v>7364</v>
      </c>
      <c r="BS491" t="s">
        <v>7374</v>
      </c>
      <c r="BT491" t="s">
        <v>7360</v>
      </c>
      <c r="BU491" t="s">
        <v>7360</v>
      </c>
      <c r="BV491" t="s">
        <v>7360</v>
      </c>
      <c r="BX491" t="s">
        <v>7391</v>
      </c>
      <c r="BY491">
        <v>74</v>
      </c>
      <c r="BZ491" t="s">
        <v>7360</v>
      </c>
      <c r="CA491" t="s">
        <v>7360</v>
      </c>
      <c r="CB491">
        <v>3380666</v>
      </c>
      <c r="CC491" s="21">
        <v>45000.484363425923</v>
      </c>
      <c r="CE491" t="s">
        <v>7392</v>
      </c>
      <c r="CF491">
        <v>1100101</v>
      </c>
      <c r="CG491">
        <v>51669</v>
      </c>
      <c r="CH491">
        <v>51669</v>
      </c>
      <c r="CI491" s="21">
        <v>45000.48609953704</v>
      </c>
      <c r="CJ491" t="s">
        <v>7406</v>
      </c>
      <c r="CK491" t="s">
        <v>7406</v>
      </c>
      <c r="CL491" t="s">
        <v>7407</v>
      </c>
      <c r="CM491" t="s">
        <v>7407</v>
      </c>
      <c r="CS491" t="s">
        <v>7361</v>
      </c>
      <c r="CT491" t="s">
        <v>7362</v>
      </c>
      <c r="CU491" t="s">
        <v>7362</v>
      </c>
      <c r="CV491" t="s">
        <v>7362</v>
      </c>
      <c r="CW491" t="s">
        <v>7362</v>
      </c>
      <c r="CX491">
        <v>24420690</v>
      </c>
      <c r="DA491">
        <v>0</v>
      </c>
    </row>
    <row r="492" spans="1:110" x14ac:dyDescent="0.3">
      <c r="A492">
        <v>1361</v>
      </c>
      <c r="B492" t="s">
        <v>7376</v>
      </c>
      <c r="C492">
        <v>521</v>
      </c>
      <c r="D492" s="20">
        <v>44988</v>
      </c>
      <c r="E492" t="s">
        <v>7356</v>
      </c>
      <c r="F492" t="s">
        <v>5956</v>
      </c>
      <c r="G492" t="s">
        <v>7377</v>
      </c>
      <c r="H492">
        <v>1</v>
      </c>
      <c r="I492" t="s">
        <v>7358</v>
      </c>
      <c r="J492">
        <v>1</v>
      </c>
      <c r="K492" s="20">
        <v>44988</v>
      </c>
      <c r="L492" s="23">
        <v>540037</v>
      </c>
      <c r="M492" t="s">
        <v>7359</v>
      </c>
      <c r="N492" t="s">
        <v>7360</v>
      </c>
      <c r="O492">
        <v>0</v>
      </c>
      <c r="P492">
        <v>12397</v>
      </c>
      <c r="Q492">
        <v>435005</v>
      </c>
      <c r="R492">
        <v>0</v>
      </c>
      <c r="S492">
        <v>20230303</v>
      </c>
      <c r="T492">
        <v>0</v>
      </c>
      <c r="U492" t="s">
        <v>7361</v>
      </c>
      <c r="V492" t="s">
        <v>7360</v>
      </c>
      <c r="W492" t="s">
        <v>7360</v>
      </c>
      <c r="X492" t="s">
        <v>7360</v>
      </c>
      <c r="Y492" t="s">
        <v>7360</v>
      </c>
      <c r="Z492" t="s">
        <v>7360</v>
      </c>
      <c r="AA492" t="s">
        <v>7362</v>
      </c>
      <c r="AB492" t="s">
        <v>7360</v>
      </c>
      <c r="AC492" t="s">
        <v>7360</v>
      </c>
      <c r="AD492" t="s">
        <v>7360</v>
      </c>
      <c r="AE492" t="s">
        <v>7360</v>
      </c>
      <c r="AF492" t="s">
        <v>1684</v>
      </c>
      <c r="AG492">
        <v>0</v>
      </c>
      <c r="AH492">
        <v>0</v>
      </c>
      <c r="AI492">
        <v>0</v>
      </c>
      <c r="AJ492">
        <v>0</v>
      </c>
      <c r="AK492">
        <v>0</v>
      </c>
      <c r="AL492" t="s">
        <v>7360</v>
      </c>
      <c r="AM492">
        <v>0</v>
      </c>
      <c r="AN492" s="20">
        <v>44988</v>
      </c>
      <c r="AO492" s="20">
        <v>44988</v>
      </c>
      <c r="AP492" s="20">
        <v>44988</v>
      </c>
      <c r="AQ492">
        <v>0</v>
      </c>
      <c r="AR492">
        <v>0</v>
      </c>
      <c r="AS492">
        <v>0</v>
      </c>
      <c r="AT492">
        <v>0</v>
      </c>
      <c r="AU492">
        <v>0</v>
      </c>
      <c r="AV492" t="s">
        <v>7360</v>
      </c>
      <c r="AW492">
        <v>0</v>
      </c>
      <c r="AX492" t="s">
        <v>7360</v>
      </c>
      <c r="AY492" t="s">
        <v>7363</v>
      </c>
      <c r="BA492">
        <v>0</v>
      </c>
      <c r="BB492" s="20">
        <v>44988</v>
      </c>
      <c r="BC492">
        <v>0</v>
      </c>
      <c r="BD492" t="s">
        <v>7360</v>
      </c>
      <c r="BF492" s="20">
        <v>44988</v>
      </c>
      <c r="BG492">
        <v>0</v>
      </c>
      <c r="BH492" t="s">
        <v>7363</v>
      </c>
      <c r="BJ492" t="s">
        <v>7362</v>
      </c>
      <c r="BK492">
        <v>169</v>
      </c>
      <c r="BL492">
        <v>11</v>
      </c>
      <c r="BM492">
        <v>1</v>
      </c>
      <c r="BN492" t="s">
        <v>7364</v>
      </c>
      <c r="BO492">
        <v>0</v>
      </c>
      <c r="BP492">
        <v>0</v>
      </c>
      <c r="BQ492">
        <v>0</v>
      </c>
      <c r="BR492">
        <v>0</v>
      </c>
      <c r="BS492" t="s">
        <v>7427</v>
      </c>
      <c r="BT492" t="s">
        <v>7360</v>
      </c>
      <c r="BU492" t="s">
        <v>7360</v>
      </c>
      <c r="BV492" t="s">
        <v>7360</v>
      </c>
      <c r="BX492" t="s">
        <v>7391</v>
      </c>
      <c r="BY492">
        <v>74</v>
      </c>
      <c r="BZ492" t="s">
        <v>7360</v>
      </c>
      <c r="CA492" t="s">
        <v>7360</v>
      </c>
      <c r="CB492" t="s">
        <v>7360</v>
      </c>
      <c r="CC492" s="21">
        <v>44988.354675925926</v>
      </c>
      <c r="CE492" t="s">
        <v>7392</v>
      </c>
      <c r="CF492">
        <v>1100101</v>
      </c>
      <c r="CG492">
        <v>53575</v>
      </c>
      <c r="CH492">
        <v>53575</v>
      </c>
      <c r="CI492" s="21">
        <v>44988.360474537039</v>
      </c>
      <c r="CJ492" t="s">
        <v>7393</v>
      </c>
      <c r="CK492" t="s">
        <v>7393</v>
      </c>
      <c r="CL492" t="s">
        <v>7394</v>
      </c>
      <c r="CM492" t="s">
        <v>7394</v>
      </c>
      <c r="CS492" t="s">
        <v>7361</v>
      </c>
      <c r="CT492" t="s">
        <v>7362</v>
      </c>
      <c r="CU492" t="s">
        <v>7362</v>
      </c>
      <c r="CV492" t="s">
        <v>7362</v>
      </c>
      <c r="CW492" t="s">
        <v>7362</v>
      </c>
      <c r="CX492">
        <v>540037</v>
      </c>
      <c r="DA492">
        <v>0</v>
      </c>
    </row>
    <row r="493" spans="1:110" x14ac:dyDescent="0.3">
      <c r="A493">
        <v>1373</v>
      </c>
      <c r="B493" t="s">
        <v>7383</v>
      </c>
      <c r="C493">
        <v>522</v>
      </c>
      <c r="D493" s="20">
        <v>44988</v>
      </c>
      <c r="E493" t="s">
        <v>7372</v>
      </c>
      <c r="F493" t="s">
        <v>5961</v>
      </c>
      <c r="G493" t="s">
        <v>7357</v>
      </c>
      <c r="H493">
        <v>1</v>
      </c>
      <c r="I493" t="s">
        <v>7358</v>
      </c>
      <c r="J493">
        <v>1</v>
      </c>
      <c r="K493" s="20">
        <v>44988</v>
      </c>
      <c r="L493" s="23">
        <v>127332</v>
      </c>
      <c r="M493" t="s">
        <v>7359</v>
      </c>
      <c r="N493" t="s">
        <v>7360</v>
      </c>
      <c r="O493">
        <v>0</v>
      </c>
      <c r="P493">
        <v>12350</v>
      </c>
      <c r="Q493">
        <v>433017</v>
      </c>
      <c r="R493">
        <v>0</v>
      </c>
      <c r="S493">
        <v>20230303</v>
      </c>
      <c r="T493">
        <v>0</v>
      </c>
      <c r="U493" t="s">
        <v>7362</v>
      </c>
      <c r="V493" t="s">
        <v>7360</v>
      </c>
      <c r="W493" t="s">
        <v>7360</v>
      </c>
      <c r="X493" t="s">
        <v>7360</v>
      </c>
      <c r="Y493" t="s">
        <v>7360</v>
      </c>
      <c r="Z493" t="s">
        <v>7360</v>
      </c>
      <c r="AA493" t="s">
        <v>7362</v>
      </c>
      <c r="AB493" t="s">
        <v>7360</v>
      </c>
      <c r="AC493" t="s">
        <v>7360</v>
      </c>
      <c r="AD493" t="s">
        <v>7360</v>
      </c>
      <c r="AE493" t="s">
        <v>7360</v>
      </c>
      <c r="AF493" t="s">
        <v>1684</v>
      </c>
      <c r="AG493">
        <v>0</v>
      </c>
      <c r="AH493">
        <v>0</v>
      </c>
      <c r="AI493">
        <v>0</v>
      </c>
      <c r="AJ493">
        <v>0</v>
      </c>
      <c r="AK493">
        <v>0</v>
      </c>
      <c r="AL493" t="s">
        <v>7360</v>
      </c>
      <c r="AM493">
        <v>0</v>
      </c>
      <c r="AN493" s="20">
        <v>44988</v>
      </c>
      <c r="AO493" s="20">
        <v>44988</v>
      </c>
      <c r="AP493" s="20">
        <v>44988</v>
      </c>
      <c r="AQ493">
        <v>0</v>
      </c>
      <c r="AR493">
        <v>0</v>
      </c>
      <c r="AS493">
        <v>0</v>
      </c>
      <c r="AT493">
        <v>0</v>
      </c>
      <c r="AU493">
        <v>0</v>
      </c>
      <c r="AV493" t="s">
        <v>7360</v>
      </c>
      <c r="AW493">
        <v>0</v>
      </c>
      <c r="AX493" t="s">
        <v>7360</v>
      </c>
      <c r="AY493" t="s">
        <v>7362</v>
      </c>
      <c r="BA493">
        <v>0</v>
      </c>
      <c r="BB493" s="20">
        <v>44988</v>
      </c>
      <c r="BC493">
        <v>0</v>
      </c>
      <c r="BD493" t="s">
        <v>7360</v>
      </c>
      <c r="BF493" s="20">
        <v>44988</v>
      </c>
      <c r="BG493">
        <v>0</v>
      </c>
      <c r="BH493" t="s">
        <v>7363</v>
      </c>
      <c r="BJ493" t="s">
        <v>7362</v>
      </c>
      <c r="BK493">
        <v>0</v>
      </c>
      <c r="BL493">
        <v>0</v>
      </c>
      <c r="BM493">
        <v>0</v>
      </c>
      <c r="BN493">
        <v>0</v>
      </c>
      <c r="BO493">
        <v>169</v>
      </c>
      <c r="BP493">
        <v>11</v>
      </c>
      <c r="BQ493">
        <v>1</v>
      </c>
      <c r="BR493" t="s">
        <v>7364</v>
      </c>
      <c r="BS493" t="s">
        <v>7365</v>
      </c>
      <c r="BT493" t="s">
        <v>7360</v>
      </c>
      <c r="BU493" t="s">
        <v>7360</v>
      </c>
      <c r="BV493" t="s">
        <v>7360</v>
      </c>
      <c r="BX493">
        <v>0</v>
      </c>
      <c r="BY493">
        <v>0</v>
      </c>
      <c r="BZ493" t="s">
        <v>7360</v>
      </c>
      <c r="CA493" t="s">
        <v>7360</v>
      </c>
      <c r="CB493">
        <v>3380666</v>
      </c>
      <c r="CC493" s="21">
        <v>44988.364236111112</v>
      </c>
      <c r="CE493" t="s">
        <v>7366</v>
      </c>
      <c r="CF493">
        <v>0</v>
      </c>
      <c r="CG493">
        <v>702002</v>
      </c>
      <c r="CH493">
        <v>702002</v>
      </c>
      <c r="CI493" s="21">
        <v>44988.365601851852</v>
      </c>
      <c r="CJ493" t="s">
        <v>7367</v>
      </c>
      <c r="CK493" t="s">
        <v>7367</v>
      </c>
      <c r="CL493" t="s">
        <v>7368</v>
      </c>
      <c r="CM493" t="s">
        <v>7368</v>
      </c>
      <c r="CS493" t="s">
        <v>7361</v>
      </c>
      <c r="CT493" t="s">
        <v>7362</v>
      </c>
      <c r="CU493" t="s">
        <v>7362</v>
      </c>
      <c r="CV493" t="s">
        <v>7362</v>
      </c>
      <c r="CW493" t="s">
        <v>7362</v>
      </c>
      <c r="CX493">
        <v>127332</v>
      </c>
      <c r="DA493">
        <v>0</v>
      </c>
    </row>
    <row r="494" spans="1:110" x14ac:dyDescent="0.3">
      <c r="A494">
        <v>1354</v>
      </c>
      <c r="B494" t="s">
        <v>7396</v>
      </c>
      <c r="C494">
        <v>523</v>
      </c>
      <c r="D494" s="20">
        <v>44988</v>
      </c>
      <c r="E494" t="s">
        <v>7356</v>
      </c>
      <c r="F494" t="s">
        <v>5966</v>
      </c>
      <c r="G494" t="s">
        <v>7370</v>
      </c>
      <c r="H494">
        <v>1</v>
      </c>
      <c r="I494" t="s">
        <v>7358</v>
      </c>
      <c r="J494">
        <v>1</v>
      </c>
      <c r="K494" s="20">
        <v>44988</v>
      </c>
      <c r="L494" s="23">
        <v>3600000</v>
      </c>
      <c r="M494" t="s">
        <v>7359</v>
      </c>
      <c r="N494" t="s">
        <v>7360</v>
      </c>
      <c r="O494">
        <v>0</v>
      </c>
      <c r="P494">
        <v>12883</v>
      </c>
      <c r="Q494">
        <v>450041</v>
      </c>
      <c r="R494">
        <v>0</v>
      </c>
      <c r="S494">
        <v>20230303</v>
      </c>
      <c r="T494">
        <v>0</v>
      </c>
      <c r="U494" t="s">
        <v>7361</v>
      </c>
      <c r="V494" t="s">
        <v>7360</v>
      </c>
      <c r="W494" t="s">
        <v>7360</v>
      </c>
      <c r="X494" t="s">
        <v>7360</v>
      </c>
      <c r="Y494" t="s">
        <v>7360</v>
      </c>
      <c r="Z494" t="s">
        <v>7360</v>
      </c>
      <c r="AA494" t="s">
        <v>7362</v>
      </c>
      <c r="AB494" t="s">
        <v>7360</v>
      </c>
      <c r="AC494" t="s">
        <v>7360</v>
      </c>
      <c r="AD494" t="s">
        <v>7360</v>
      </c>
      <c r="AE494" t="s">
        <v>7360</v>
      </c>
      <c r="AF494" t="s">
        <v>1684</v>
      </c>
      <c r="AG494">
        <v>0</v>
      </c>
      <c r="AH494">
        <v>0</v>
      </c>
      <c r="AI494">
        <v>0</v>
      </c>
      <c r="AJ494">
        <v>0</v>
      </c>
      <c r="AK494">
        <v>0</v>
      </c>
      <c r="AL494" t="s">
        <v>7360</v>
      </c>
      <c r="AM494">
        <v>0</v>
      </c>
      <c r="AN494" s="20">
        <v>44988</v>
      </c>
      <c r="AO494" s="20">
        <v>44988</v>
      </c>
      <c r="AP494" s="20">
        <v>44988</v>
      </c>
      <c r="AQ494">
        <v>0</v>
      </c>
      <c r="AR494">
        <v>0</v>
      </c>
      <c r="AS494">
        <v>0</v>
      </c>
      <c r="AT494">
        <v>0</v>
      </c>
      <c r="AU494">
        <v>0</v>
      </c>
      <c r="AV494" t="s">
        <v>7360</v>
      </c>
      <c r="AW494">
        <v>0</v>
      </c>
      <c r="AX494" t="s">
        <v>7360</v>
      </c>
      <c r="AY494" t="s">
        <v>7363</v>
      </c>
      <c r="BA494">
        <v>0</v>
      </c>
      <c r="BB494" s="20">
        <v>44988</v>
      </c>
      <c r="BC494">
        <v>0</v>
      </c>
      <c r="BD494" t="s">
        <v>7360</v>
      </c>
      <c r="BF494" s="20">
        <v>44988</v>
      </c>
      <c r="BG494">
        <v>0</v>
      </c>
      <c r="BH494" t="s">
        <v>7363</v>
      </c>
      <c r="BJ494" t="s">
        <v>7362</v>
      </c>
      <c r="BK494">
        <v>169</v>
      </c>
      <c r="BL494">
        <v>11</v>
      </c>
      <c r="BM494">
        <v>1</v>
      </c>
      <c r="BN494" t="s">
        <v>7364</v>
      </c>
      <c r="BO494">
        <v>0</v>
      </c>
      <c r="BP494">
        <v>0</v>
      </c>
      <c r="BQ494">
        <v>0</v>
      </c>
      <c r="BR494">
        <v>0</v>
      </c>
      <c r="BS494" t="s">
        <v>7444</v>
      </c>
      <c r="BT494" t="s">
        <v>7360</v>
      </c>
      <c r="BU494" t="s">
        <v>7360</v>
      </c>
      <c r="BV494" t="s">
        <v>7360</v>
      </c>
      <c r="BX494" t="s">
        <v>7391</v>
      </c>
      <c r="BY494">
        <v>74</v>
      </c>
      <c r="BZ494" t="s">
        <v>7360</v>
      </c>
      <c r="CA494" t="s">
        <v>7360</v>
      </c>
      <c r="CC494" s="21">
        <v>44988.367314814815</v>
      </c>
      <c r="CE494" t="s">
        <v>7392</v>
      </c>
      <c r="CF494">
        <v>1100101</v>
      </c>
      <c r="CG494">
        <v>53575</v>
      </c>
      <c r="CH494">
        <v>53575</v>
      </c>
      <c r="CI494" s="21">
        <v>44988.371400462966</v>
      </c>
      <c r="CJ494" t="s">
        <v>7393</v>
      </c>
      <c r="CK494" t="s">
        <v>7393</v>
      </c>
      <c r="CL494" t="s">
        <v>7394</v>
      </c>
      <c r="CM494" t="s">
        <v>7394</v>
      </c>
      <c r="CS494" t="s">
        <v>7361</v>
      </c>
      <c r="CT494" t="s">
        <v>7362</v>
      </c>
      <c r="CU494" t="s">
        <v>7362</v>
      </c>
      <c r="CV494" t="s">
        <v>7362</v>
      </c>
      <c r="CW494" t="s">
        <v>7362</v>
      </c>
      <c r="CX494">
        <v>3600000</v>
      </c>
      <c r="DA494">
        <v>0</v>
      </c>
    </row>
    <row r="495" spans="1:110" x14ac:dyDescent="0.3">
      <c r="A495">
        <v>1356</v>
      </c>
      <c r="B495" t="s">
        <v>7402</v>
      </c>
      <c r="C495">
        <v>169</v>
      </c>
      <c r="D495" s="20">
        <v>44952</v>
      </c>
      <c r="E495" t="s">
        <v>7356</v>
      </c>
      <c r="F495" t="s">
        <v>5972</v>
      </c>
      <c r="G495" t="s">
        <v>7377</v>
      </c>
      <c r="H495">
        <v>1</v>
      </c>
      <c r="I495" t="s">
        <v>7358</v>
      </c>
      <c r="J495">
        <v>1</v>
      </c>
      <c r="K495" s="20">
        <v>44952</v>
      </c>
      <c r="L495" s="23">
        <v>29155000</v>
      </c>
      <c r="M495" t="s">
        <v>7403</v>
      </c>
      <c r="N495" t="s">
        <v>7360</v>
      </c>
      <c r="O495">
        <v>0</v>
      </c>
      <c r="P495">
        <v>11772</v>
      </c>
      <c r="Q495">
        <v>129009</v>
      </c>
      <c r="R495">
        <v>0</v>
      </c>
      <c r="S495">
        <v>20230126</v>
      </c>
      <c r="T495">
        <v>0</v>
      </c>
      <c r="U495" t="s">
        <v>7361</v>
      </c>
      <c r="V495" t="s">
        <v>7360</v>
      </c>
      <c r="W495" t="s">
        <v>7360</v>
      </c>
      <c r="X495" t="s">
        <v>7360</v>
      </c>
      <c r="Y495" t="s">
        <v>7360</v>
      </c>
      <c r="Z495" t="s">
        <v>7360</v>
      </c>
      <c r="AA495" t="s">
        <v>7362</v>
      </c>
      <c r="AB495" t="s">
        <v>7360</v>
      </c>
      <c r="AC495" t="s">
        <v>7360</v>
      </c>
      <c r="AD495" t="s">
        <v>7360</v>
      </c>
      <c r="AE495" t="s">
        <v>7360</v>
      </c>
      <c r="AF495" t="s">
        <v>1684</v>
      </c>
      <c r="AG495">
        <v>0</v>
      </c>
      <c r="AH495">
        <v>0</v>
      </c>
      <c r="AI495">
        <v>0</v>
      </c>
      <c r="AJ495">
        <v>0</v>
      </c>
      <c r="AK495">
        <v>0</v>
      </c>
      <c r="AL495" t="s">
        <v>7360</v>
      </c>
      <c r="AM495">
        <v>0</v>
      </c>
      <c r="AN495" s="20">
        <v>44952</v>
      </c>
      <c r="AO495" s="20">
        <v>44952</v>
      </c>
      <c r="AP495" s="20">
        <v>44952</v>
      </c>
      <c r="AQ495">
        <v>0</v>
      </c>
      <c r="AR495">
        <v>0</v>
      </c>
      <c r="AS495">
        <v>0</v>
      </c>
      <c r="AT495">
        <v>0</v>
      </c>
      <c r="AU495">
        <v>0</v>
      </c>
      <c r="AV495" t="s">
        <v>7360</v>
      </c>
      <c r="AW495">
        <v>0</v>
      </c>
      <c r="AX495" t="s">
        <v>7360</v>
      </c>
      <c r="AY495" t="s">
        <v>7363</v>
      </c>
      <c r="BA495">
        <v>0</v>
      </c>
      <c r="BB495" s="20">
        <v>44952</v>
      </c>
      <c r="BC495">
        <v>0</v>
      </c>
      <c r="BD495" t="s">
        <v>7360</v>
      </c>
      <c r="BE495">
        <v>226</v>
      </c>
      <c r="BF495" s="20">
        <v>44952</v>
      </c>
      <c r="BG495">
        <v>0</v>
      </c>
      <c r="BH495" t="s">
        <v>1729</v>
      </c>
      <c r="BJ495" t="s">
        <v>7362</v>
      </c>
      <c r="BK495">
        <v>169</v>
      </c>
      <c r="BL495">
        <v>11</v>
      </c>
      <c r="BM495">
        <v>1</v>
      </c>
      <c r="BN495" t="s">
        <v>7364</v>
      </c>
      <c r="BO495">
        <v>0</v>
      </c>
      <c r="BP495">
        <v>0</v>
      </c>
      <c r="BQ495">
        <v>0</v>
      </c>
      <c r="BR495">
        <v>0</v>
      </c>
      <c r="BS495" t="s">
        <v>7430</v>
      </c>
      <c r="BT495" t="s">
        <v>7360</v>
      </c>
      <c r="BU495" t="s">
        <v>7360</v>
      </c>
      <c r="BV495" t="s">
        <v>7360</v>
      </c>
      <c r="BX495" t="s">
        <v>7391</v>
      </c>
      <c r="BY495">
        <v>74</v>
      </c>
      <c r="BZ495" t="s">
        <v>7360</v>
      </c>
      <c r="CA495" t="s">
        <v>7360</v>
      </c>
      <c r="CB495">
        <v>5558210</v>
      </c>
      <c r="CC495" s="21">
        <v>45001.627384259256</v>
      </c>
      <c r="CE495" t="s">
        <v>7392</v>
      </c>
      <c r="CF495">
        <v>1100101</v>
      </c>
      <c r="CG495">
        <v>53575</v>
      </c>
      <c r="CH495">
        <v>53575</v>
      </c>
      <c r="CI495" s="21">
        <v>45001.629618055558</v>
      </c>
      <c r="CJ495" t="s">
        <v>7393</v>
      </c>
      <c r="CK495" t="s">
        <v>7393</v>
      </c>
      <c r="CL495" t="s">
        <v>7394</v>
      </c>
      <c r="CM495" t="s">
        <v>7394</v>
      </c>
      <c r="CS495" t="s">
        <v>7361</v>
      </c>
      <c r="CT495" t="s">
        <v>7362</v>
      </c>
      <c r="CU495" t="s">
        <v>7362</v>
      </c>
      <c r="CV495" t="s">
        <v>7362</v>
      </c>
      <c r="CW495" t="s">
        <v>7362</v>
      </c>
      <c r="CX495">
        <v>15025426</v>
      </c>
      <c r="DA495">
        <v>0</v>
      </c>
      <c r="DF495" t="s">
        <v>7449</v>
      </c>
    </row>
    <row r="496" spans="1:110" x14ac:dyDescent="0.3">
      <c r="A496">
        <v>1357</v>
      </c>
      <c r="B496" t="s">
        <v>7405</v>
      </c>
      <c r="C496">
        <v>425</v>
      </c>
      <c r="D496" s="20">
        <v>44978</v>
      </c>
      <c r="E496" t="s">
        <v>7372</v>
      </c>
      <c r="F496" t="s">
        <v>5918</v>
      </c>
      <c r="G496" t="s">
        <v>7357</v>
      </c>
      <c r="H496">
        <v>1</v>
      </c>
      <c r="I496" t="s">
        <v>7358</v>
      </c>
      <c r="J496">
        <v>1</v>
      </c>
      <c r="K496" s="20">
        <v>44978</v>
      </c>
      <c r="L496" s="23">
        <v>29570013</v>
      </c>
      <c r="M496" t="s">
        <v>7359</v>
      </c>
      <c r="N496" t="s">
        <v>7360</v>
      </c>
      <c r="O496">
        <v>0</v>
      </c>
      <c r="P496">
        <v>12051</v>
      </c>
      <c r="Q496">
        <v>419004</v>
      </c>
      <c r="R496">
        <v>0</v>
      </c>
      <c r="S496">
        <v>20230221</v>
      </c>
      <c r="T496">
        <v>0</v>
      </c>
      <c r="U496" t="s">
        <v>7362</v>
      </c>
      <c r="V496" t="s">
        <v>7360</v>
      </c>
      <c r="W496" t="s">
        <v>7360</v>
      </c>
      <c r="X496" t="s">
        <v>7360</v>
      </c>
      <c r="Y496" t="s">
        <v>7360</v>
      </c>
      <c r="Z496" t="s">
        <v>7360</v>
      </c>
      <c r="AA496" t="s">
        <v>7362</v>
      </c>
      <c r="AB496" t="s">
        <v>7360</v>
      </c>
      <c r="AC496" t="s">
        <v>7360</v>
      </c>
      <c r="AD496" t="s">
        <v>7360</v>
      </c>
      <c r="AE496" t="s">
        <v>7360</v>
      </c>
      <c r="AF496" t="s">
        <v>1684</v>
      </c>
      <c r="AG496">
        <v>0</v>
      </c>
      <c r="AH496">
        <v>0</v>
      </c>
      <c r="AI496">
        <v>0</v>
      </c>
      <c r="AJ496">
        <v>0</v>
      </c>
      <c r="AK496">
        <v>0</v>
      </c>
      <c r="AL496" t="s">
        <v>7360</v>
      </c>
      <c r="AM496">
        <v>0</v>
      </c>
      <c r="AN496" s="20">
        <v>44978</v>
      </c>
      <c r="AO496" s="20">
        <v>44978</v>
      </c>
      <c r="AP496" s="20">
        <v>44978</v>
      </c>
      <c r="AQ496">
        <v>0</v>
      </c>
      <c r="AR496">
        <v>0</v>
      </c>
      <c r="AS496">
        <v>0</v>
      </c>
      <c r="AT496">
        <v>0</v>
      </c>
      <c r="AU496">
        <v>0</v>
      </c>
      <c r="AV496" t="s">
        <v>7360</v>
      </c>
      <c r="AW496">
        <v>0</v>
      </c>
      <c r="AX496" t="s">
        <v>7360</v>
      </c>
      <c r="AY496" t="s">
        <v>7362</v>
      </c>
      <c r="BA496">
        <v>0</v>
      </c>
      <c r="BB496" s="20">
        <v>44978</v>
      </c>
      <c r="BC496">
        <v>0</v>
      </c>
      <c r="BD496" t="s">
        <v>7360</v>
      </c>
      <c r="BF496" s="20">
        <v>44978</v>
      </c>
      <c r="BG496">
        <v>0</v>
      </c>
      <c r="BH496" t="s">
        <v>1684</v>
      </c>
      <c r="BJ496" t="s">
        <v>7362</v>
      </c>
      <c r="BK496">
        <v>169</v>
      </c>
      <c r="BL496">
        <v>11</v>
      </c>
      <c r="BM496">
        <v>1</v>
      </c>
      <c r="BN496" t="s">
        <v>7364</v>
      </c>
      <c r="BO496">
        <v>0</v>
      </c>
      <c r="BP496">
        <v>0</v>
      </c>
      <c r="BQ496">
        <v>0</v>
      </c>
      <c r="BR496">
        <v>0</v>
      </c>
      <c r="BS496" t="s">
        <v>7430</v>
      </c>
      <c r="BT496" t="s">
        <v>7360</v>
      </c>
      <c r="BU496" t="s">
        <v>7360</v>
      </c>
      <c r="BV496" t="s">
        <v>7360</v>
      </c>
      <c r="BX496" t="s">
        <v>7391</v>
      </c>
      <c r="BY496">
        <v>74</v>
      </c>
      <c r="BZ496" t="s">
        <v>7360</v>
      </c>
      <c r="CA496" t="s">
        <v>7360</v>
      </c>
      <c r="CB496">
        <v>5558210</v>
      </c>
      <c r="CC496" s="21">
        <v>45002.327835648146</v>
      </c>
      <c r="CE496" t="s">
        <v>7392</v>
      </c>
      <c r="CF496">
        <v>1100101</v>
      </c>
      <c r="CG496">
        <v>53575</v>
      </c>
      <c r="CH496">
        <v>53575</v>
      </c>
      <c r="CI496" s="21">
        <v>45002.332187499997</v>
      </c>
      <c r="CJ496" t="s">
        <v>7393</v>
      </c>
      <c r="CK496" t="s">
        <v>7393</v>
      </c>
      <c r="CL496" t="s">
        <v>7394</v>
      </c>
      <c r="CM496" t="s">
        <v>7394</v>
      </c>
      <c r="CS496" t="s">
        <v>7361</v>
      </c>
      <c r="CT496" t="s">
        <v>7362</v>
      </c>
      <c r="CU496" t="s">
        <v>7362</v>
      </c>
      <c r="CV496" t="s">
        <v>7362</v>
      </c>
      <c r="CW496" t="s">
        <v>7362</v>
      </c>
      <c r="CX496">
        <v>21815430</v>
      </c>
      <c r="DA496">
        <v>0</v>
      </c>
      <c r="DF496" t="s">
        <v>7449</v>
      </c>
    </row>
    <row r="497" spans="1:110" x14ac:dyDescent="0.3">
      <c r="A497">
        <v>1359</v>
      </c>
      <c r="B497" t="s">
        <v>7425</v>
      </c>
      <c r="C497">
        <v>827</v>
      </c>
      <c r="D497" s="20">
        <v>45014</v>
      </c>
      <c r="E497" t="s">
        <v>7372</v>
      </c>
      <c r="F497" t="s">
        <v>5924</v>
      </c>
      <c r="G497" t="s">
        <v>7357</v>
      </c>
      <c r="H497">
        <v>1</v>
      </c>
      <c r="I497" t="s">
        <v>7358</v>
      </c>
      <c r="J497">
        <v>1</v>
      </c>
      <c r="K497" s="20">
        <v>45014</v>
      </c>
      <c r="L497" s="23">
        <v>29792219</v>
      </c>
      <c r="M497" t="s">
        <v>7403</v>
      </c>
      <c r="N497" t="s">
        <v>7360</v>
      </c>
      <c r="O497">
        <v>0</v>
      </c>
      <c r="P497">
        <v>13260</v>
      </c>
      <c r="Q497">
        <v>144003</v>
      </c>
      <c r="R497">
        <v>0</v>
      </c>
      <c r="S497">
        <v>20230329</v>
      </c>
      <c r="T497">
        <v>0</v>
      </c>
      <c r="U497" t="s">
        <v>7362</v>
      </c>
      <c r="V497" t="s">
        <v>7360</v>
      </c>
      <c r="W497" t="s">
        <v>7360</v>
      </c>
      <c r="X497" t="s">
        <v>7360</v>
      </c>
      <c r="Y497" t="s">
        <v>7360</v>
      </c>
      <c r="Z497" t="s">
        <v>7360</v>
      </c>
      <c r="AA497" t="s">
        <v>7362</v>
      </c>
      <c r="AB497" t="s">
        <v>7360</v>
      </c>
      <c r="AC497" t="s">
        <v>7360</v>
      </c>
      <c r="AD497" t="s">
        <v>7360</v>
      </c>
      <c r="AE497" t="s">
        <v>7360</v>
      </c>
      <c r="AF497" t="s">
        <v>1684</v>
      </c>
      <c r="AG497">
        <v>0</v>
      </c>
      <c r="AH497">
        <v>0</v>
      </c>
      <c r="AI497">
        <v>0</v>
      </c>
      <c r="AJ497">
        <v>0</v>
      </c>
      <c r="AK497">
        <v>0</v>
      </c>
      <c r="AL497" t="s">
        <v>7360</v>
      </c>
      <c r="AM497">
        <v>0</v>
      </c>
      <c r="AN497" s="20">
        <v>45014</v>
      </c>
      <c r="AO497" s="20">
        <v>45014</v>
      </c>
      <c r="AP497" s="20">
        <v>45014</v>
      </c>
      <c r="AQ497">
        <v>0</v>
      </c>
      <c r="AR497">
        <v>0</v>
      </c>
      <c r="AS497">
        <v>0</v>
      </c>
      <c r="AT497">
        <v>0</v>
      </c>
      <c r="AU497">
        <v>0</v>
      </c>
      <c r="AV497" t="s">
        <v>7360</v>
      </c>
      <c r="AW497">
        <v>0</v>
      </c>
      <c r="AX497" t="s">
        <v>7360</v>
      </c>
      <c r="AY497" t="s">
        <v>7362</v>
      </c>
      <c r="BA497">
        <v>0</v>
      </c>
      <c r="BB497" s="20">
        <v>45014</v>
      </c>
      <c r="BC497">
        <v>0</v>
      </c>
      <c r="BD497" t="s">
        <v>7360</v>
      </c>
      <c r="BE497">
        <v>135</v>
      </c>
      <c r="BF497" s="20">
        <v>45014</v>
      </c>
      <c r="BG497">
        <v>0</v>
      </c>
      <c r="BH497" t="s">
        <v>7363</v>
      </c>
      <c r="BJ497" t="s">
        <v>7362</v>
      </c>
      <c r="BK497">
        <v>0</v>
      </c>
      <c r="BL497">
        <v>0</v>
      </c>
      <c r="BM497">
        <v>0</v>
      </c>
      <c r="BN497">
        <v>0</v>
      </c>
      <c r="BO497">
        <v>169</v>
      </c>
      <c r="BP497">
        <v>11</v>
      </c>
      <c r="BQ497">
        <v>1</v>
      </c>
      <c r="BR497" t="s">
        <v>7364</v>
      </c>
      <c r="BS497" t="s">
        <v>61</v>
      </c>
      <c r="BT497" t="s">
        <v>7360</v>
      </c>
      <c r="BU497" t="s">
        <v>7360</v>
      </c>
      <c r="BV497" t="s">
        <v>7360</v>
      </c>
      <c r="BX497">
        <v>0</v>
      </c>
      <c r="BY497">
        <v>0</v>
      </c>
      <c r="BZ497" t="s">
        <v>7360</v>
      </c>
      <c r="CA497" t="s">
        <v>7360</v>
      </c>
      <c r="CB497">
        <v>3380666</v>
      </c>
      <c r="CC497" s="21">
        <v>45002.500497685185</v>
      </c>
      <c r="CE497" t="s">
        <v>7366</v>
      </c>
      <c r="CF497">
        <v>0</v>
      </c>
      <c r="CG497">
        <v>702002</v>
      </c>
      <c r="CH497">
        <v>702002</v>
      </c>
      <c r="CI497" s="21">
        <v>45002.504236111112</v>
      </c>
      <c r="CJ497" t="s">
        <v>7367</v>
      </c>
      <c r="CK497" t="s">
        <v>7367</v>
      </c>
      <c r="CL497" t="s">
        <v>7368</v>
      </c>
      <c r="CM497" t="s">
        <v>7368</v>
      </c>
      <c r="CS497" t="s">
        <v>7361</v>
      </c>
      <c r="CT497" t="s">
        <v>7362</v>
      </c>
      <c r="CU497" t="s">
        <v>7362</v>
      </c>
      <c r="CV497" t="s">
        <v>7362</v>
      </c>
      <c r="CW497" t="s">
        <v>7362</v>
      </c>
      <c r="CX497">
        <v>16171386</v>
      </c>
      <c r="DA497">
        <v>0</v>
      </c>
      <c r="DF497" t="s">
        <v>7438</v>
      </c>
    </row>
    <row r="498" spans="1:110" x14ac:dyDescent="0.3">
      <c r="A498">
        <v>1364</v>
      </c>
      <c r="B498" t="s">
        <v>7355</v>
      </c>
      <c r="C498">
        <v>527</v>
      </c>
      <c r="D498" s="20">
        <v>44988</v>
      </c>
      <c r="E498" t="s">
        <v>7356</v>
      </c>
      <c r="F498" t="s">
        <v>5929</v>
      </c>
      <c r="G498" t="s">
        <v>7357</v>
      </c>
      <c r="H498">
        <v>1</v>
      </c>
      <c r="I498" t="s">
        <v>7358</v>
      </c>
      <c r="J498">
        <v>1</v>
      </c>
      <c r="K498" s="20">
        <v>44988</v>
      </c>
      <c r="L498" s="23">
        <v>650000</v>
      </c>
      <c r="M498" t="s">
        <v>7359</v>
      </c>
      <c r="N498" t="s">
        <v>7360</v>
      </c>
      <c r="O498">
        <v>0</v>
      </c>
      <c r="P498">
        <v>12503</v>
      </c>
      <c r="Q498">
        <v>439020</v>
      </c>
      <c r="R498">
        <v>0</v>
      </c>
      <c r="S498">
        <v>20230303</v>
      </c>
      <c r="T498">
        <v>0</v>
      </c>
      <c r="U498" t="s">
        <v>7361</v>
      </c>
      <c r="V498" t="s">
        <v>7360</v>
      </c>
      <c r="W498" t="s">
        <v>7360</v>
      </c>
      <c r="X498" t="s">
        <v>7360</v>
      </c>
      <c r="Y498" t="s">
        <v>7360</v>
      </c>
      <c r="Z498" t="s">
        <v>7360</v>
      </c>
      <c r="AA498" t="s">
        <v>7362</v>
      </c>
      <c r="AB498" t="s">
        <v>7360</v>
      </c>
      <c r="AC498" t="s">
        <v>7360</v>
      </c>
      <c r="AD498" t="s">
        <v>7360</v>
      </c>
      <c r="AE498" t="s">
        <v>7360</v>
      </c>
      <c r="AF498" t="s">
        <v>1684</v>
      </c>
      <c r="AG498">
        <v>0</v>
      </c>
      <c r="AH498">
        <v>0</v>
      </c>
      <c r="AI498">
        <v>0</v>
      </c>
      <c r="AJ498">
        <v>0</v>
      </c>
      <c r="AK498">
        <v>0</v>
      </c>
      <c r="AL498" t="s">
        <v>7360</v>
      </c>
      <c r="AM498">
        <v>0</v>
      </c>
      <c r="AN498" s="20">
        <v>44988</v>
      </c>
      <c r="AO498" s="20">
        <v>44988</v>
      </c>
      <c r="AP498" s="20">
        <v>44988</v>
      </c>
      <c r="AQ498">
        <v>0</v>
      </c>
      <c r="AR498">
        <v>0</v>
      </c>
      <c r="AS498">
        <v>0</v>
      </c>
      <c r="AT498">
        <v>0</v>
      </c>
      <c r="AU498">
        <v>0</v>
      </c>
      <c r="AV498" t="s">
        <v>7360</v>
      </c>
      <c r="AW498">
        <v>0</v>
      </c>
      <c r="AX498" t="s">
        <v>7360</v>
      </c>
      <c r="AY498" t="s">
        <v>7363</v>
      </c>
      <c r="BA498">
        <v>0</v>
      </c>
      <c r="BB498" s="20">
        <v>44988</v>
      </c>
      <c r="BC498">
        <v>0</v>
      </c>
      <c r="BD498" t="s">
        <v>7360</v>
      </c>
      <c r="BF498" s="20">
        <v>44988</v>
      </c>
      <c r="BG498">
        <v>0</v>
      </c>
      <c r="BH498" t="s">
        <v>7363</v>
      </c>
      <c r="BJ498" t="s">
        <v>7362</v>
      </c>
      <c r="BK498">
        <v>0</v>
      </c>
      <c r="BL498">
        <v>0</v>
      </c>
      <c r="BM498">
        <v>0</v>
      </c>
      <c r="BN498">
        <v>0</v>
      </c>
      <c r="BO498">
        <v>169</v>
      </c>
      <c r="BP498">
        <v>11</v>
      </c>
      <c r="BQ498">
        <v>1</v>
      </c>
      <c r="BR498" t="s">
        <v>7364</v>
      </c>
      <c r="BS498" t="s">
        <v>7365</v>
      </c>
      <c r="BT498" t="s">
        <v>7360</v>
      </c>
      <c r="BU498" t="s">
        <v>7360</v>
      </c>
      <c r="BV498" t="s">
        <v>7360</v>
      </c>
      <c r="BX498">
        <v>0</v>
      </c>
      <c r="BY498">
        <v>0</v>
      </c>
      <c r="BZ498" t="s">
        <v>7360</v>
      </c>
      <c r="CA498" t="s">
        <v>7360</v>
      </c>
      <c r="CB498">
        <v>3380666</v>
      </c>
      <c r="CC498" s="21">
        <v>44988.588645833333</v>
      </c>
      <c r="CE498" t="s">
        <v>7366</v>
      </c>
      <c r="CF498">
        <v>0</v>
      </c>
      <c r="CG498">
        <v>702002</v>
      </c>
      <c r="CH498">
        <v>702002</v>
      </c>
      <c r="CI498" s="21">
        <v>44988.589861111112</v>
      </c>
      <c r="CJ498" t="s">
        <v>7367</v>
      </c>
      <c r="CK498" t="s">
        <v>7367</v>
      </c>
      <c r="CL498" t="s">
        <v>7368</v>
      </c>
      <c r="CM498" t="s">
        <v>7368</v>
      </c>
      <c r="CS498" t="s">
        <v>7361</v>
      </c>
      <c r="CT498" t="s">
        <v>7362</v>
      </c>
      <c r="CU498" t="s">
        <v>7362</v>
      </c>
      <c r="CV498" t="s">
        <v>7362</v>
      </c>
      <c r="CW498" t="s">
        <v>7362</v>
      </c>
      <c r="CX498">
        <v>650000</v>
      </c>
      <c r="DA498">
        <v>0</v>
      </c>
    </row>
    <row r="499" spans="1:110" x14ac:dyDescent="0.3">
      <c r="A499">
        <v>1354</v>
      </c>
      <c r="B499" t="s">
        <v>7396</v>
      </c>
      <c r="C499">
        <v>216</v>
      </c>
      <c r="D499" s="20">
        <v>44960</v>
      </c>
      <c r="E499" t="s">
        <v>7372</v>
      </c>
      <c r="F499" t="s">
        <v>5934</v>
      </c>
      <c r="G499" t="s">
        <v>7370</v>
      </c>
      <c r="H499">
        <v>1</v>
      </c>
      <c r="I499" t="s">
        <v>7358</v>
      </c>
      <c r="J499">
        <v>1</v>
      </c>
      <c r="K499" s="20">
        <v>44960</v>
      </c>
      <c r="L499" s="23">
        <v>30000000</v>
      </c>
      <c r="M499" t="s">
        <v>7359</v>
      </c>
      <c r="N499" t="s">
        <v>7360</v>
      </c>
      <c r="O499">
        <v>0</v>
      </c>
      <c r="P499">
        <v>12034</v>
      </c>
      <c r="Q499">
        <v>418016</v>
      </c>
      <c r="R499">
        <v>0</v>
      </c>
      <c r="S499">
        <v>20230203</v>
      </c>
      <c r="T499">
        <v>0</v>
      </c>
      <c r="U499" t="s">
        <v>7362</v>
      </c>
      <c r="V499" t="s">
        <v>7360</v>
      </c>
      <c r="W499" t="s">
        <v>7360</v>
      </c>
      <c r="X499" t="s">
        <v>7360</v>
      </c>
      <c r="Y499" t="s">
        <v>7360</v>
      </c>
      <c r="Z499" t="s">
        <v>7360</v>
      </c>
      <c r="AA499" t="s">
        <v>7362</v>
      </c>
      <c r="AB499" t="s">
        <v>7360</v>
      </c>
      <c r="AC499" t="s">
        <v>7360</v>
      </c>
      <c r="AD499" t="s">
        <v>7360</v>
      </c>
      <c r="AE499" t="s">
        <v>7360</v>
      </c>
      <c r="AF499" t="s">
        <v>1684</v>
      </c>
      <c r="AG499">
        <v>0</v>
      </c>
      <c r="AH499">
        <v>0</v>
      </c>
      <c r="AI499">
        <v>0</v>
      </c>
      <c r="AJ499">
        <v>0</v>
      </c>
      <c r="AK499">
        <v>0</v>
      </c>
      <c r="AL499" t="s">
        <v>7360</v>
      </c>
      <c r="AM499">
        <v>0</v>
      </c>
      <c r="AN499" s="20">
        <v>44960</v>
      </c>
      <c r="AO499" s="20">
        <v>44960</v>
      </c>
      <c r="AP499" s="20">
        <v>44960</v>
      </c>
      <c r="AQ499">
        <v>0</v>
      </c>
      <c r="AR499">
        <v>0</v>
      </c>
      <c r="AS499">
        <v>0</v>
      </c>
      <c r="AT499">
        <v>0</v>
      </c>
      <c r="AU499">
        <v>0</v>
      </c>
      <c r="AV499" t="s">
        <v>7360</v>
      </c>
      <c r="AW499">
        <v>0</v>
      </c>
      <c r="AX499" t="s">
        <v>7360</v>
      </c>
      <c r="AY499" t="s">
        <v>7373</v>
      </c>
      <c r="BA499">
        <v>0</v>
      </c>
      <c r="BB499" s="20">
        <v>44960</v>
      </c>
      <c r="BC499">
        <v>0</v>
      </c>
      <c r="BD499" t="s">
        <v>7360</v>
      </c>
      <c r="BF499" s="20">
        <v>44960</v>
      </c>
      <c r="BG499">
        <v>0</v>
      </c>
      <c r="BH499" t="s">
        <v>7363</v>
      </c>
      <c r="BJ499" t="s">
        <v>7362</v>
      </c>
      <c r="BK499">
        <v>169</v>
      </c>
      <c r="BL499">
        <v>11</v>
      </c>
      <c r="BM499">
        <v>1</v>
      </c>
      <c r="BN499" t="s">
        <v>7364</v>
      </c>
      <c r="BO499">
        <v>169</v>
      </c>
      <c r="BP499">
        <v>11</v>
      </c>
      <c r="BQ499">
        <v>1</v>
      </c>
      <c r="BR499" t="s">
        <v>7364</v>
      </c>
      <c r="BS499" t="s">
        <v>132</v>
      </c>
      <c r="BT499" t="s">
        <v>7360</v>
      </c>
      <c r="BU499" t="s">
        <v>7360</v>
      </c>
      <c r="BV499" t="s">
        <v>7360</v>
      </c>
      <c r="BX499" t="s">
        <v>7391</v>
      </c>
      <c r="BY499">
        <v>74</v>
      </c>
      <c r="BZ499" t="s">
        <v>7360</v>
      </c>
      <c r="CA499" t="s">
        <v>7360</v>
      </c>
      <c r="CB499">
        <v>3380666</v>
      </c>
      <c r="CC499" s="21">
        <v>45007.373495370368</v>
      </c>
      <c r="CE499" t="s">
        <v>7392</v>
      </c>
      <c r="CF499">
        <v>1100101</v>
      </c>
      <c r="CG499">
        <v>51669</v>
      </c>
      <c r="CH499">
        <v>51669</v>
      </c>
      <c r="CI499" s="21">
        <v>45007.536481481482</v>
      </c>
      <c r="CJ499" t="s">
        <v>7406</v>
      </c>
      <c r="CK499" t="s">
        <v>7406</v>
      </c>
      <c r="CL499" t="s">
        <v>7407</v>
      </c>
      <c r="CM499" t="s">
        <v>7407</v>
      </c>
      <c r="CS499" t="s">
        <v>7361</v>
      </c>
      <c r="CT499" t="s">
        <v>7362</v>
      </c>
      <c r="CU499" t="s">
        <v>7362</v>
      </c>
      <c r="CV499" t="s">
        <v>7362</v>
      </c>
      <c r="CW499" t="s">
        <v>7362</v>
      </c>
      <c r="CX499">
        <v>30000000</v>
      </c>
      <c r="DA499">
        <v>0</v>
      </c>
      <c r="DB499">
        <v>139001</v>
      </c>
    </row>
    <row r="500" spans="1:110" x14ac:dyDescent="0.3">
      <c r="A500">
        <v>1354</v>
      </c>
      <c r="B500" t="s">
        <v>7396</v>
      </c>
      <c r="C500">
        <v>520</v>
      </c>
      <c r="D500" s="20">
        <v>44987</v>
      </c>
      <c r="E500" t="s">
        <v>7372</v>
      </c>
      <c r="F500" t="s">
        <v>5940</v>
      </c>
      <c r="G500" t="s">
        <v>7370</v>
      </c>
      <c r="H500">
        <v>1</v>
      </c>
      <c r="I500" t="s">
        <v>7358</v>
      </c>
      <c r="J500">
        <v>1</v>
      </c>
      <c r="K500" s="20">
        <v>44987</v>
      </c>
      <c r="L500" s="23">
        <v>30000000</v>
      </c>
      <c r="M500" t="s">
        <v>7403</v>
      </c>
      <c r="N500" t="s">
        <v>7360</v>
      </c>
      <c r="O500">
        <v>0</v>
      </c>
      <c r="P500">
        <v>12057</v>
      </c>
      <c r="Q500">
        <v>135004</v>
      </c>
      <c r="R500">
        <v>0</v>
      </c>
      <c r="S500">
        <v>20230302</v>
      </c>
      <c r="T500">
        <v>0</v>
      </c>
      <c r="U500" t="s">
        <v>7362</v>
      </c>
      <c r="V500" t="s">
        <v>7360</v>
      </c>
      <c r="W500" t="s">
        <v>7360</v>
      </c>
      <c r="X500" t="s">
        <v>7360</v>
      </c>
      <c r="Y500" t="s">
        <v>7360</v>
      </c>
      <c r="Z500" t="s">
        <v>7360</v>
      </c>
      <c r="AA500" t="s">
        <v>7362</v>
      </c>
      <c r="AB500" t="s">
        <v>7360</v>
      </c>
      <c r="AC500" t="s">
        <v>7360</v>
      </c>
      <c r="AD500" t="s">
        <v>7360</v>
      </c>
      <c r="AE500" t="s">
        <v>7360</v>
      </c>
      <c r="AF500" t="s">
        <v>1684</v>
      </c>
      <c r="AG500">
        <v>0</v>
      </c>
      <c r="AH500">
        <v>0</v>
      </c>
      <c r="AI500">
        <v>0</v>
      </c>
      <c r="AJ500">
        <v>0</v>
      </c>
      <c r="AK500">
        <v>0</v>
      </c>
      <c r="AL500" t="s">
        <v>7360</v>
      </c>
      <c r="AM500">
        <v>0</v>
      </c>
      <c r="AN500" s="20">
        <v>44987</v>
      </c>
      <c r="AO500" s="20">
        <v>44987</v>
      </c>
      <c r="AP500" s="20">
        <v>44987</v>
      </c>
      <c r="AQ500">
        <v>0</v>
      </c>
      <c r="AR500">
        <v>0</v>
      </c>
      <c r="AS500">
        <v>0</v>
      </c>
      <c r="AT500">
        <v>0</v>
      </c>
      <c r="AU500">
        <v>0</v>
      </c>
      <c r="AV500" t="s">
        <v>7360</v>
      </c>
      <c r="AW500">
        <v>0</v>
      </c>
      <c r="AX500" t="s">
        <v>7360</v>
      </c>
      <c r="AY500" t="s">
        <v>7373</v>
      </c>
      <c r="BA500">
        <v>0</v>
      </c>
      <c r="BB500" s="20">
        <v>44987</v>
      </c>
      <c r="BC500">
        <v>0</v>
      </c>
      <c r="BD500" t="s">
        <v>7360</v>
      </c>
      <c r="BE500">
        <v>234</v>
      </c>
      <c r="BF500" s="20">
        <v>44987</v>
      </c>
      <c r="BG500">
        <v>0</v>
      </c>
      <c r="BH500" t="s">
        <v>7363</v>
      </c>
      <c r="BJ500" t="s">
        <v>7362</v>
      </c>
      <c r="BK500">
        <v>169</v>
      </c>
      <c r="BL500">
        <v>11</v>
      </c>
      <c r="BM500">
        <v>1</v>
      </c>
      <c r="BN500" t="s">
        <v>7364</v>
      </c>
      <c r="BO500">
        <v>169</v>
      </c>
      <c r="BP500">
        <v>11</v>
      </c>
      <c r="BQ500">
        <v>1</v>
      </c>
      <c r="BR500" t="s">
        <v>7364</v>
      </c>
      <c r="BS500" t="s">
        <v>132</v>
      </c>
      <c r="BT500" t="s">
        <v>7360</v>
      </c>
      <c r="BU500" t="s">
        <v>7360</v>
      </c>
      <c r="BV500" t="s">
        <v>7360</v>
      </c>
      <c r="BX500" t="s">
        <v>7391</v>
      </c>
      <c r="BY500">
        <v>74</v>
      </c>
      <c r="BZ500" t="s">
        <v>7360</v>
      </c>
      <c r="CA500" t="s">
        <v>7360</v>
      </c>
      <c r="CB500">
        <v>3380666</v>
      </c>
      <c r="CC500" s="21">
        <v>45007.526041666664</v>
      </c>
      <c r="CE500" t="s">
        <v>7392</v>
      </c>
      <c r="CF500">
        <v>1100101</v>
      </c>
      <c r="CG500">
        <v>51669</v>
      </c>
      <c r="CH500">
        <v>51669</v>
      </c>
      <c r="CI500" s="21">
        <v>45007.52888888889</v>
      </c>
      <c r="CJ500" t="s">
        <v>7406</v>
      </c>
      <c r="CK500" t="s">
        <v>7406</v>
      </c>
      <c r="CL500" t="s">
        <v>7407</v>
      </c>
      <c r="CM500" t="s">
        <v>7407</v>
      </c>
      <c r="CS500" t="s">
        <v>7361</v>
      </c>
      <c r="CT500" t="s">
        <v>7362</v>
      </c>
      <c r="CU500" t="s">
        <v>7362</v>
      </c>
      <c r="CV500" t="s">
        <v>7362</v>
      </c>
      <c r="CW500" t="s">
        <v>7362</v>
      </c>
      <c r="CX500">
        <v>30000000</v>
      </c>
      <c r="DA500">
        <v>0</v>
      </c>
      <c r="DB500">
        <v>137002</v>
      </c>
    </row>
    <row r="501" spans="1:110" x14ac:dyDescent="0.3">
      <c r="A501">
        <v>1363</v>
      </c>
      <c r="B501" t="s">
        <v>7450</v>
      </c>
      <c r="C501">
        <v>531</v>
      </c>
      <c r="D501" s="20">
        <v>44991</v>
      </c>
      <c r="E501" t="s">
        <v>7397</v>
      </c>
      <c r="F501" t="s">
        <v>5945</v>
      </c>
      <c r="G501" t="s">
        <v>7357</v>
      </c>
      <c r="H501">
        <v>1</v>
      </c>
      <c r="I501" t="s">
        <v>7358</v>
      </c>
      <c r="J501">
        <v>1</v>
      </c>
      <c r="K501" s="20">
        <v>44991</v>
      </c>
      <c r="L501" s="23">
        <v>30312500</v>
      </c>
      <c r="M501" t="s">
        <v>7398</v>
      </c>
      <c r="N501" t="s">
        <v>7360</v>
      </c>
      <c r="O501">
        <v>0</v>
      </c>
      <c r="P501">
        <v>12824</v>
      </c>
      <c r="R501">
        <v>0</v>
      </c>
      <c r="S501">
        <v>20230306</v>
      </c>
      <c r="T501">
        <v>0</v>
      </c>
      <c r="U501" t="s">
        <v>7362</v>
      </c>
      <c r="V501" t="s">
        <v>7360</v>
      </c>
      <c r="W501" t="s">
        <v>7360</v>
      </c>
      <c r="X501" t="s">
        <v>7360</v>
      </c>
      <c r="Y501" t="s">
        <v>7360</v>
      </c>
      <c r="Z501" t="s">
        <v>7360</v>
      </c>
      <c r="AA501" t="s">
        <v>1684</v>
      </c>
      <c r="AB501" t="s">
        <v>7360</v>
      </c>
      <c r="AC501" t="s">
        <v>7360</v>
      </c>
      <c r="AD501" t="s">
        <v>7360</v>
      </c>
      <c r="AE501" t="s">
        <v>7360</v>
      </c>
      <c r="AF501" t="s">
        <v>1684</v>
      </c>
      <c r="AG501">
        <v>0</v>
      </c>
      <c r="AH501">
        <v>0</v>
      </c>
      <c r="AI501">
        <v>0</v>
      </c>
      <c r="AJ501">
        <v>0</v>
      </c>
      <c r="AK501">
        <v>0</v>
      </c>
      <c r="AL501" t="s">
        <v>7360</v>
      </c>
      <c r="AM501">
        <v>0</v>
      </c>
      <c r="AN501" s="20">
        <v>44991</v>
      </c>
      <c r="AO501" s="20">
        <v>44991</v>
      </c>
      <c r="AP501" s="20">
        <v>44991</v>
      </c>
      <c r="AQ501">
        <v>0</v>
      </c>
      <c r="AR501">
        <v>0</v>
      </c>
      <c r="AS501">
        <v>0</v>
      </c>
      <c r="AT501">
        <v>0</v>
      </c>
      <c r="AU501">
        <v>0</v>
      </c>
      <c r="AV501" t="s">
        <v>7360</v>
      </c>
      <c r="AW501">
        <v>0</v>
      </c>
      <c r="AX501" t="s">
        <v>7360</v>
      </c>
      <c r="AY501" t="s">
        <v>7362</v>
      </c>
      <c r="BA501">
        <v>0</v>
      </c>
      <c r="BB501" s="20">
        <v>44991</v>
      </c>
      <c r="BC501">
        <v>0</v>
      </c>
      <c r="BD501" t="s">
        <v>7360</v>
      </c>
      <c r="BF501" s="20">
        <v>44991</v>
      </c>
      <c r="BG501">
        <v>0</v>
      </c>
      <c r="BH501" t="s">
        <v>7363</v>
      </c>
      <c r="BJ501" t="s">
        <v>7362</v>
      </c>
      <c r="BK501">
        <v>0</v>
      </c>
      <c r="BL501">
        <v>0</v>
      </c>
      <c r="BM501">
        <v>0</v>
      </c>
      <c r="BN501">
        <v>0</v>
      </c>
      <c r="BO501">
        <v>169</v>
      </c>
      <c r="BP501">
        <v>11</v>
      </c>
      <c r="BQ501">
        <v>1</v>
      </c>
      <c r="BR501" t="s">
        <v>7364</v>
      </c>
      <c r="BS501" t="s">
        <v>7374</v>
      </c>
      <c r="BT501" t="s">
        <v>7360</v>
      </c>
      <c r="BU501" t="s">
        <v>7360</v>
      </c>
      <c r="BV501" t="s">
        <v>7360</v>
      </c>
      <c r="BX501">
        <v>0</v>
      </c>
      <c r="BY501">
        <v>0</v>
      </c>
      <c r="BZ501" t="s">
        <v>7360</v>
      </c>
      <c r="CA501" t="s">
        <v>7360</v>
      </c>
      <c r="CB501">
        <v>3380666</v>
      </c>
      <c r="CC501" s="21">
        <v>44991.741562499999</v>
      </c>
      <c r="CE501" t="s">
        <v>7366</v>
      </c>
      <c r="CF501">
        <v>0</v>
      </c>
      <c r="CG501">
        <v>702002</v>
      </c>
      <c r="CH501">
        <v>702002</v>
      </c>
      <c r="CI501" s="21">
        <v>44991.746412037035</v>
      </c>
      <c r="CJ501" t="s">
        <v>7367</v>
      </c>
      <c r="CK501" t="s">
        <v>7367</v>
      </c>
      <c r="CL501" t="s">
        <v>7368</v>
      </c>
      <c r="CM501" t="s">
        <v>7368</v>
      </c>
      <c r="CS501" t="s">
        <v>7361</v>
      </c>
      <c r="CT501" t="s">
        <v>7362</v>
      </c>
      <c r="CU501" t="s">
        <v>7362</v>
      </c>
      <c r="CV501" t="s">
        <v>7362</v>
      </c>
      <c r="CW501" t="s">
        <v>7362</v>
      </c>
      <c r="CX501">
        <v>30312500</v>
      </c>
      <c r="DA501">
        <v>0</v>
      </c>
    </row>
    <row r="502" spans="1:110" x14ac:dyDescent="0.3">
      <c r="A502">
        <v>1366</v>
      </c>
      <c r="B502" t="s">
        <v>7380</v>
      </c>
      <c r="C502">
        <v>532</v>
      </c>
      <c r="D502" s="20">
        <v>44991</v>
      </c>
      <c r="E502" t="s">
        <v>7356</v>
      </c>
      <c r="F502" t="s">
        <v>5950</v>
      </c>
      <c r="G502" t="s">
        <v>7357</v>
      </c>
      <c r="H502">
        <v>1</v>
      </c>
      <c r="I502" t="s">
        <v>7358</v>
      </c>
      <c r="J502">
        <v>1</v>
      </c>
      <c r="K502" s="20">
        <v>44991</v>
      </c>
      <c r="L502" s="23">
        <v>2080120</v>
      </c>
      <c r="M502" t="s">
        <v>7359</v>
      </c>
      <c r="N502" t="s">
        <v>7360</v>
      </c>
      <c r="O502">
        <v>0</v>
      </c>
      <c r="P502">
        <v>12902</v>
      </c>
      <c r="Q502">
        <v>450057</v>
      </c>
      <c r="R502">
        <v>0</v>
      </c>
      <c r="S502">
        <v>20230306</v>
      </c>
      <c r="T502">
        <v>0</v>
      </c>
      <c r="U502" t="s">
        <v>7361</v>
      </c>
      <c r="V502" t="s">
        <v>7360</v>
      </c>
      <c r="W502" t="s">
        <v>7360</v>
      </c>
      <c r="X502" t="s">
        <v>7360</v>
      </c>
      <c r="Y502" t="s">
        <v>7360</v>
      </c>
      <c r="Z502" t="s">
        <v>7360</v>
      </c>
      <c r="AA502" t="s">
        <v>7362</v>
      </c>
      <c r="AB502" t="s">
        <v>7360</v>
      </c>
      <c r="AC502" t="s">
        <v>7360</v>
      </c>
      <c r="AD502" t="s">
        <v>7360</v>
      </c>
      <c r="AE502" t="s">
        <v>7360</v>
      </c>
      <c r="AF502" t="s">
        <v>1684</v>
      </c>
      <c r="AG502">
        <v>0</v>
      </c>
      <c r="AH502">
        <v>0</v>
      </c>
      <c r="AI502">
        <v>0</v>
      </c>
      <c r="AJ502">
        <v>0</v>
      </c>
      <c r="AK502">
        <v>0</v>
      </c>
      <c r="AL502" t="s">
        <v>7360</v>
      </c>
      <c r="AM502">
        <v>0</v>
      </c>
      <c r="AN502" s="20">
        <v>44991</v>
      </c>
      <c r="AO502" s="20">
        <v>44991</v>
      </c>
      <c r="AP502" s="20">
        <v>44991</v>
      </c>
      <c r="AQ502">
        <v>0</v>
      </c>
      <c r="AR502">
        <v>0</v>
      </c>
      <c r="AS502">
        <v>0</v>
      </c>
      <c r="AT502">
        <v>0</v>
      </c>
      <c r="AU502">
        <v>0</v>
      </c>
      <c r="AV502" t="s">
        <v>7360</v>
      </c>
      <c r="AW502">
        <v>0</v>
      </c>
      <c r="AX502" t="s">
        <v>7360</v>
      </c>
      <c r="AY502" t="s">
        <v>7363</v>
      </c>
      <c r="BA502">
        <v>0</v>
      </c>
      <c r="BB502" s="20">
        <v>44991</v>
      </c>
      <c r="BC502">
        <v>0</v>
      </c>
      <c r="BD502" t="s">
        <v>7360</v>
      </c>
      <c r="BF502" s="20">
        <v>44991</v>
      </c>
      <c r="BG502">
        <v>0</v>
      </c>
      <c r="BH502" t="s">
        <v>7363</v>
      </c>
      <c r="BJ502" t="s">
        <v>7362</v>
      </c>
      <c r="BK502">
        <v>0</v>
      </c>
      <c r="BL502">
        <v>0</v>
      </c>
      <c r="BM502">
        <v>0</v>
      </c>
      <c r="BN502">
        <v>0</v>
      </c>
      <c r="BO502">
        <v>169</v>
      </c>
      <c r="BP502">
        <v>11</v>
      </c>
      <c r="BQ502">
        <v>1</v>
      </c>
      <c r="BR502" t="s">
        <v>7364</v>
      </c>
      <c r="BS502" t="s">
        <v>7365</v>
      </c>
      <c r="BT502" t="s">
        <v>7360</v>
      </c>
      <c r="BU502" t="s">
        <v>7360</v>
      </c>
      <c r="BV502" t="s">
        <v>7360</v>
      </c>
      <c r="BX502">
        <v>0</v>
      </c>
      <c r="BY502">
        <v>0</v>
      </c>
      <c r="BZ502" t="s">
        <v>7360</v>
      </c>
      <c r="CA502" t="s">
        <v>7360</v>
      </c>
      <c r="CB502">
        <v>3880666</v>
      </c>
      <c r="CC502" s="21">
        <v>44991.766053240739</v>
      </c>
      <c r="CE502" t="s">
        <v>7366</v>
      </c>
      <c r="CF502">
        <v>0</v>
      </c>
      <c r="CG502">
        <v>702002</v>
      </c>
      <c r="CH502">
        <v>702002</v>
      </c>
      <c r="CI502" s="21">
        <v>44992.447152777779</v>
      </c>
      <c r="CJ502" t="s">
        <v>7367</v>
      </c>
      <c r="CK502" t="s">
        <v>7367</v>
      </c>
      <c r="CL502" t="s">
        <v>7368</v>
      </c>
      <c r="CM502" t="s">
        <v>7368</v>
      </c>
      <c r="CS502" t="s">
        <v>7361</v>
      </c>
      <c r="CT502" t="s">
        <v>7362</v>
      </c>
      <c r="CU502" t="s">
        <v>7362</v>
      </c>
      <c r="CV502" t="s">
        <v>7362</v>
      </c>
      <c r="CW502" t="s">
        <v>7362</v>
      </c>
      <c r="CX502">
        <v>2080120</v>
      </c>
      <c r="DA502">
        <v>0</v>
      </c>
    </row>
    <row r="503" spans="1:110" x14ac:dyDescent="0.3">
      <c r="A503">
        <v>1366</v>
      </c>
      <c r="B503" t="s">
        <v>7380</v>
      </c>
      <c r="C503">
        <v>533</v>
      </c>
      <c r="D503" s="20">
        <v>44991</v>
      </c>
      <c r="E503" t="s">
        <v>7356</v>
      </c>
      <c r="F503" t="s">
        <v>5956</v>
      </c>
      <c r="G503" t="s">
        <v>7357</v>
      </c>
      <c r="H503">
        <v>1</v>
      </c>
      <c r="I503" t="s">
        <v>7358</v>
      </c>
      <c r="J503">
        <v>1</v>
      </c>
      <c r="K503" s="20">
        <v>44991</v>
      </c>
      <c r="L503" s="23">
        <v>3181000</v>
      </c>
      <c r="M503" t="s">
        <v>7359</v>
      </c>
      <c r="N503" t="s">
        <v>7360</v>
      </c>
      <c r="O503">
        <v>0</v>
      </c>
      <c r="P503">
        <v>12904</v>
      </c>
      <c r="Q503">
        <v>450060</v>
      </c>
      <c r="R503">
        <v>0</v>
      </c>
      <c r="S503">
        <v>20230306</v>
      </c>
      <c r="T503">
        <v>0</v>
      </c>
      <c r="U503" t="s">
        <v>7361</v>
      </c>
      <c r="V503" t="s">
        <v>7360</v>
      </c>
      <c r="W503" t="s">
        <v>7360</v>
      </c>
      <c r="X503" t="s">
        <v>7360</v>
      </c>
      <c r="Y503" t="s">
        <v>7360</v>
      </c>
      <c r="Z503" t="s">
        <v>7360</v>
      </c>
      <c r="AA503" t="s">
        <v>7362</v>
      </c>
      <c r="AB503" t="s">
        <v>7360</v>
      </c>
      <c r="AC503" t="s">
        <v>7360</v>
      </c>
      <c r="AD503" t="s">
        <v>7360</v>
      </c>
      <c r="AE503" t="s">
        <v>7360</v>
      </c>
      <c r="AF503" t="s">
        <v>1684</v>
      </c>
      <c r="AG503">
        <v>0</v>
      </c>
      <c r="AH503">
        <v>0</v>
      </c>
      <c r="AI503">
        <v>0</v>
      </c>
      <c r="AJ503">
        <v>0</v>
      </c>
      <c r="AK503">
        <v>0</v>
      </c>
      <c r="AL503" t="s">
        <v>7360</v>
      </c>
      <c r="AM503">
        <v>0</v>
      </c>
      <c r="AN503" s="20">
        <v>44991</v>
      </c>
      <c r="AO503" s="20">
        <v>44991</v>
      </c>
      <c r="AP503" s="20">
        <v>44991</v>
      </c>
      <c r="AQ503">
        <v>0</v>
      </c>
      <c r="AR503">
        <v>0</v>
      </c>
      <c r="AS503">
        <v>0</v>
      </c>
      <c r="AT503">
        <v>0</v>
      </c>
      <c r="AU503">
        <v>0</v>
      </c>
      <c r="AV503" t="s">
        <v>7360</v>
      </c>
      <c r="AW503">
        <v>0</v>
      </c>
      <c r="AX503" t="s">
        <v>7360</v>
      </c>
      <c r="AY503" t="s">
        <v>7363</v>
      </c>
      <c r="BA503">
        <v>0</v>
      </c>
      <c r="BB503" s="20">
        <v>44991</v>
      </c>
      <c r="BC503">
        <v>0</v>
      </c>
      <c r="BD503" t="s">
        <v>7360</v>
      </c>
      <c r="BF503" s="20">
        <v>44991</v>
      </c>
      <c r="BG503">
        <v>0</v>
      </c>
      <c r="BH503" t="s">
        <v>7363</v>
      </c>
      <c r="BJ503" t="s">
        <v>7362</v>
      </c>
      <c r="BK503">
        <v>0</v>
      </c>
      <c r="BL503">
        <v>0</v>
      </c>
      <c r="BM503">
        <v>0</v>
      </c>
      <c r="BN503">
        <v>0</v>
      </c>
      <c r="BO503">
        <v>169</v>
      </c>
      <c r="BP503">
        <v>11</v>
      </c>
      <c r="BQ503">
        <v>1</v>
      </c>
      <c r="BR503" t="s">
        <v>7364</v>
      </c>
      <c r="BS503" t="s">
        <v>7365</v>
      </c>
      <c r="BT503" t="s">
        <v>7360</v>
      </c>
      <c r="BU503" t="s">
        <v>7360</v>
      </c>
      <c r="BV503" t="s">
        <v>7360</v>
      </c>
      <c r="BX503">
        <v>0</v>
      </c>
      <c r="BY503">
        <v>0</v>
      </c>
      <c r="BZ503" t="s">
        <v>7360</v>
      </c>
      <c r="CA503" t="s">
        <v>7360</v>
      </c>
      <c r="CB503">
        <v>3380666</v>
      </c>
      <c r="CC503" s="21">
        <v>44991.771261574075</v>
      </c>
      <c r="CE503" t="s">
        <v>7366</v>
      </c>
      <c r="CF503">
        <v>0</v>
      </c>
      <c r="CG503">
        <v>702002</v>
      </c>
      <c r="CH503">
        <v>702002</v>
      </c>
      <c r="CI503" s="21">
        <v>44991.772523148145</v>
      </c>
      <c r="CJ503" t="s">
        <v>7367</v>
      </c>
      <c r="CK503" t="s">
        <v>7367</v>
      </c>
      <c r="CL503" t="s">
        <v>7368</v>
      </c>
      <c r="CM503" t="s">
        <v>7368</v>
      </c>
      <c r="CS503" t="s">
        <v>7361</v>
      </c>
      <c r="CT503" t="s">
        <v>7362</v>
      </c>
      <c r="CU503" t="s">
        <v>7362</v>
      </c>
      <c r="CV503" t="s">
        <v>7362</v>
      </c>
      <c r="CW503" t="s">
        <v>7362</v>
      </c>
      <c r="CX503">
        <v>3181000</v>
      </c>
      <c r="DA503">
        <v>0</v>
      </c>
    </row>
    <row r="504" spans="1:110" x14ac:dyDescent="0.3">
      <c r="A504">
        <v>1366</v>
      </c>
      <c r="B504" t="s">
        <v>7380</v>
      </c>
      <c r="C504">
        <v>534</v>
      </c>
      <c r="D504" s="20">
        <v>44991</v>
      </c>
      <c r="E504" t="s">
        <v>7356</v>
      </c>
      <c r="F504" t="s">
        <v>5961</v>
      </c>
      <c r="G504" t="s">
        <v>7357</v>
      </c>
      <c r="H504">
        <v>1</v>
      </c>
      <c r="I504" t="s">
        <v>7358</v>
      </c>
      <c r="J504">
        <v>1</v>
      </c>
      <c r="K504" s="20">
        <v>44991</v>
      </c>
      <c r="L504" s="23">
        <v>6727000</v>
      </c>
      <c r="M504" t="s">
        <v>7359</v>
      </c>
      <c r="N504" t="s">
        <v>7360</v>
      </c>
      <c r="O504">
        <v>0</v>
      </c>
      <c r="P504">
        <v>12905</v>
      </c>
      <c r="Q504">
        <v>450061</v>
      </c>
      <c r="R504">
        <v>0</v>
      </c>
      <c r="S504">
        <v>20230306</v>
      </c>
      <c r="T504">
        <v>0</v>
      </c>
      <c r="U504" t="s">
        <v>7361</v>
      </c>
      <c r="V504" t="s">
        <v>7360</v>
      </c>
      <c r="W504" t="s">
        <v>7360</v>
      </c>
      <c r="X504" t="s">
        <v>7360</v>
      </c>
      <c r="Y504" t="s">
        <v>7360</v>
      </c>
      <c r="Z504" t="s">
        <v>7360</v>
      </c>
      <c r="AA504" t="s">
        <v>7362</v>
      </c>
      <c r="AB504" t="s">
        <v>7360</v>
      </c>
      <c r="AC504" t="s">
        <v>7360</v>
      </c>
      <c r="AD504" t="s">
        <v>7360</v>
      </c>
      <c r="AE504" t="s">
        <v>7360</v>
      </c>
      <c r="AF504" t="s">
        <v>1684</v>
      </c>
      <c r="AG504">
        <v>0</v>
      </c>
      <c r="AH504">
        <v>0</v>
      </c>
      <c r="AI504">
        <v>0</v>
      </c>
      <c r="AJ504">
        <v>0</v>
      </c>
      <c r="AK504">
        <v>0</v>
      </c>
      <c r="AL504" t="s">
        <v>7360</v>
      </c>
      <c r="AM504">
        <v>0</v>
      </c>
      <c r="AN504" s="20">
        <v>44991</v>
      </c>
      <c r="AO504" s="20">
        <v>44991</v>
      </c>
      <c r="AP504" s="20">
        <v>44991</v>
      </c>
      <c r="AQ504">
        <v>0</v>
      </c>
      <c r="AR504">
        <v>0</v>
      </c>
      <c r="AS504">
        <v>0</v>
      </c>
      <c r="AT504">
        <v>0</v>
      </c>
      <c r="AU504">
        <v>0</v>
      </c>
      <c r="AV504" t="s">
        <v>7360</v>
      </c>
      <c r="AW504">
        <v>0</v>
      </c>
      <c r="AX504" t="s">
        <v>7360</v>
      </c>
      <c r="AY504" t="s">
        <v>7363</v>
      </c>
      <c r="BA504">
        <v>0</v>
      </c>
      <c r="BB504" s="20">
        <v>44991</v>
      </c>
      <c r="BC504">
        <v>0</v>
      </c>
      <c r="BD504" t="s">
        <v>7360</v>
      </c>
      <c r="BF504" s="20">
        <v>44991</v>
      </c>
      <c r="BG504">
        <v>0</v>
      </c>
      <c r="BH504" t="s">
        <v>7363</v>
      </c>
      <c r="BJ504" t="s">
        <v>7362</v>
      </c>
      <c r="BK504">
        <v>0</v>
      </c>
      <c r="BL504">
        <v>0</v>
      </c>
      <c r="BM504">
        <v>0</v>
      </c>
      <c r="BN504">
        <v>0</v>
      </c>
      <c r="BO504">
        <v>169</v>
      </c>
      <c r="BP504">
        <v>11</v>
      </c>
      <c r="BQ504">
        <v>1</v>
      </c>
      <c r="BR504" t="s">
        <v>7364</v>
      </c>
      <c r="BS504" t="s">
        <v>7365</v>
      </c>
      <c r="BT504" t="s">
        <v>7360</v>
      </c>
      <c r="BU504" t="s">
        <v>7360</v>
      </c>
      <c r="BV504" t="s">
        <v>7360</v>
      </c>
      <c r="BX504">
        <v>0</v>
      </c>
      <c r="BY504">
        <v>0</v>
      </c>
      <c r="BZ504" t="s">
        <v>7360</v>
      </c>
      <c r="CA504" t="s">
        <v>7360</v>
      </c>
      <c r="CB504">
        <v>3380666</v>
      </c>
      <c r="CC504" s="21">
        <v>44991.774907407409</v>
      </c>
      <c r="CE504" t="s">
        <v>7366</v>
      </c>
      <c r="CF504">
        <v>0</v>
      </c>
      <c r="CG504">
        <v>702002</v>
      </c>
      <c r="CH504">
        <v>702002</v>
      </c>
      <c r="CI504" s="21">
        <v>44992.354560185187</v>
      </c>
      <c r="CJ504" t="s">
        <v>7367</v>
      </c>
      <c r="CK504" t="s">
        <v>7367</v>
      </c>
      <c r="CL504" t="s">
        <v>7368</v>
      </c>
      <c r="CM504" t="s">
        <v>7368</v>
      </c>
      <c r="CS504" t="s">
        <v>7361</v>
      </c>
      <c r="CT504" t="s">
        <v>7362</v>
      </c>
      <c r="CU504" t="s">
        <v>7362</v>
      </c>
      <c r="CV504" t="s">
        <v>7362</v>
      </c>
      <c r="CW504" t="s">
        <v>7362</v>
      </c>
      <c r="CX504">
        <v>6727000</v>
      </c>
      <c r="DA504">
        <v>0</v>
      </c>
    </row>
    <row r="505" spans="1:110" x14ac:dyDescent="0.3">
      <c r="A505">
        <v>1366</v>
      </c>
      <c r="B505" t="s">
        <v>7380</v>
      </c>
      <c r="C505">
        <v>535</v>
      </c>
      <c r="D505" s="20">
        <v>44991</v>
      </c>
      <c r="E505" t="s">
        <v>7356</v>
      </c>
      <c r="F505" t="s">
        <v>5966</v>
      </c>
      <c r="G505" t="s">
        <v>7357</v>
      </c>
      <c r="H505">
        <v>1</v>
      </c>
      <c r="I505" t="s">
        <v>7358</v>
      </c>
      <c r="J505">
        <v>1</v>
      </c>
      <c r="K505" s="20">
        <v>44991</v>
      </c>
      <c r="L505" s="23">
        <v>3444185</v>
      </c>
      <c r="M505" t="s">
        <v>7359</v>
      </c>
      <c r="N505" t="s">
        <v>7360</v>
      </c>
      <c r="O505">
        <v>0</v>
      </c>
      <c r="P505">
        <v>12659</v>
      </c>
      <c r="Q505">
        <v>449021</v>
      </c>
      <c r="R505">
        <v>0</v>
      </c>
      <c r="S505">
        <v>20230306</v>
      </c>
      <c r="T505">
        <v>0</v>
      </c>
      <c r="U505" t="s">
        <v>7361</v>
      </c>
      <c r="V505" t="s">
        <v>7360</v>
      </c>
      <c r="W505" t="s">
        <v>7360</v>
      </c>
      <c r="X505" t="s">
        <v>7360</v>
      </c>
      <c r="Y505" t="s">
        <v>7360</v>
      </c>
      <c r="Z505" t="s">
        <v>7360</v>
      </c>
      <c r="AA505" t="s">
        <v>7362</v>
      </c>
      <c r="AB505" t="s">
        <v>7360</v>
      </c>
      <c r="AC505" t="s">
        <v>7360</v>
      </c>
      <c r="AD505" t="s">
        <v>7360</v>
      </c>
      <c r="AE505" t="s">
        <v>7360</v>
      </c>
      <c r="AF505" t="s">
        <v>1684</v>
      </c>
      <c r="AG505">
        <v>0</v>
      </c>
      <c r="AH505">
        <v>0</v>
      </c>
      <c r="AI505">
        <v>0</v>
      </c>
      <c r="AJ505">
        <v>0</v>
      </c>
      <c r="AK505">
        <v>0</v>
      </c>
      <c r="AL505" t="s">
        <v>7360</v>
      </c>
      <c r="AM505">
        <v>0</v>
      </c>
      <c r="AN505" s="20">
        <v>44991</v>
      </c>
      <c r="AO505" s="20">
        <v>44991</v>
      </c>
      <c r="AP505" s="20">
        <v>44991</v>
      </c>
      <c r="AQ505">
        <v>0</v>
      </c>
      <c r="AR505">
        <v>0</v>
      </c>
      <c r="AS505">
        <v>0</v>
      </c>
      <c r="AT505">
        <v>0</v>
      </c>
      <c r="AU505">
        <v>0</v>
      </c>
      <c r="AV505" t="s">
        <v>7360</v>
      </c>
      <c r="AW505">
        <v>0</v>
      </c>
      <c r="AX505" t="s">
        <v>7360</v>
      </c>
      <c r="AY505" t="s">
        <v>7363</v>
      </c>
      <c r="BA505">
        <v>0</v>
      </c>
      <c r="BB505" s="20">
        <v>44991</v>
      </c>
      <c r="BC505">
        <v>0</v>
      </c>
      <c r="BD505" t="s">
        <v>7360</v>
      </c>
      <c r="BF505" s="20">
        <v>44991</v>
      </c>
      <c r="BG505">
        <v>0</v>
      </c>
      <c r="BH505" t="s">
        <v>7363</v>
      </c>
      <c r="BJ505" t="s">
        <v>7362</v>
      </c>
      <c r="BK505">
        <v>0</v>
      </c>
      <c r="BL505">
        <v>0</v>
      </c>
      <c r="BM505">
        <v>0</v>
      </c>
      <c r="BN505">
        <v>0</v>
      </c>
      <c r="BO505">
        <v>169</v>
      </c>
      <c r="BP505">
        <v>11</v>
      </c>
      <c r="BQ505">
        <v>1</v>
      </c>
      <c r="BR505" t="s">
        <v>7364</v>
      </c>
      <c r="BS505" t="s">
        <v>7439</v>
      </c>
      <c r="BT505" t="s">
        <v>7360</v>
      </c>
      <c r="BU505" t="s">
        <v>7360</v>
      </c>
      <c r="BV505" t="s">
        <v>7360</v>
      </c>
      <c r="BX505">
        <v>0</v>
      </c>
      <c r="BY505">
        <v>0</v>
      </c>
      <c r="BZ505" t="s">
        <v>7360</v>
      </c>
      <c r="CA505" t="s">
        <v>7360</v>
      </c>
      <c r="CB505">
        <v>3380666</v>
      </c>
      <c r="CC505" s="21">
        <v>44991.777083333334</v>
      </c>
      <c r="CE505" t="s">
        <v>7366</v>
      </c>
      <c r="CF505">
        <v>0</v>
      </c>
      <c r="CG505">
        <v>702002</v>
      </c>
      <c r="CH505">
        <v>702002</v>
      </c>
      <c r="CI505" s="21">
        <v>44991.793773148151</v>
      </c>
      <c r="CJ505" t="s">
        <v>7367</v>
      </c>
      <c r="CK505" t="s">
        <v>7367</v>
      </c>
      <c r="CL505" t="s">
        <v>7368</v>
      </c>
      <c r="CM505" t="s">
        <v>7368</v>
      </c>
      <c r="CS505" t="s">
        <v>7361</v>
      </c>
      <c r="CT505" t="s">
        <v>7362</v>
      </c>
      <c r="CU505" t="s">
        <v>7362</v>
      </c>
      <c r="CV505" t="s">
        <v>7362</v>
      </c>
      <c r="CW505" t="s">
        <v>7362</v>
      </c>
      <c r="CX505">
        <v>3444185</v>
      </c>
      <c r="DA505">
        <v>0</v>
      </c>
    </row>
    <row r="506" spans="1:110" x14ac:dyDescent="0.3">
      <c r="A506">
        <v>1366</v>
      </c>
      <c r="B506" t="s">
        <v>7380</v>
      </c>
      <c r="C506">
        <v>536</v>
      </c>
      <c r="D506" s="20">
        <v>44992</v>
      </c>
      <c r="E506" t="s">
        <v>7372</v>
      </c>
      <c r="F506" t="s">
        <v>5972</v>
      </c>
      <c r="G506" t="s">
        <v>7357</v>
      </c>
      <c r="H506">
        <v>1</v>
      </c>
      <c r="I506" t="s">
        <v>7358</v>
      </c>
      <c r="J506">
        <v>1</v>
      </c>
      <c r="K506" s="20">
        <v>44992</v>
      </c>
      <c r="L506" s="23">
        <v>607771</v>
      </c>
      <c r="M506" t="s">
        <v>7359</v>
      </c>
      <c r="N506" t="s">
        <v>7360</v>
      </c>
      <c r="O506">
        <v>0</v>
      </c>
      <c r="P506">
        <v>12896</v>
      </c>
      <c r="Q506">
        <v>450051</v>
      </c>
      <c r="R506">
        <v>0</v>
      </c>
      <c r="S506">
        <v>20230307</v>
      </c>
      <c r="T506">
        <v>0</v>
      </c>
      <c r="U506" t="s">
        <v>7362</v>
      </c>
      <c r="V506" t="s">
        <v>7360</v>
      </c>
      <c r="W506" t="s">
        <v>7360</v>
      </c>
      <c r="X506" t="s">
        <v>7360</v>
      </c>
      <c r="Y506" t="s">
        <v>7360</v>
      </c>
      <c r="Z506" t="s">
        <v>7360</v>
      </c>
      <c r="AA506" t="s">
        <v>7362</v>
      </c>
      <c r="AB506" t="s">
        <v>7360</v>
      </c>
      <c r="AC506" t="s">
        <v>7360</v>
      </c>
      <c r="AD506" t="s">
        <v>7360</v>
      </c>
      <c r="AE506" t="s">
        <v>7360</v>
      </c>
      <c r="AF506" t="s">
        <v>1684</v>
      </c>
      <c r="AG506">
        <v>0</v>
      </c>
      <c r="AH506">
        <v>0</v>
      </c>
      <c r="AI506">
        <v>0</v>
      </c>
      <c r="AJ506">
        <v>0</v>
      </c>
      <c r="AK506">
        <v>0</v>
      </c>
      <c r="AL506" t="s">
        <v>7360</v>
      </c>
      <c r="AM506">
        <v>0</v>
      </c>
      <c r="AN506" s="20">
        <v>44992</v>
      </c>
      <c r="AO506" s="20">
        <v>44992</v>
      </c>
      <c r="AP506" s="20">
        <v>44992</v>
      </c>
      <c r="AQ506">
        <v>0</v>
      </c>
      <c r="AR506">
        <v>0</v>
      </c>
      <c r="AS506">
        <v>0</v>
      </c>
      <c r="AT506">
        <v>0</v>
      </c>
      <c r="AU506">
        <v>0</v>
      </c>
      <c r="AV506" t="s">
        <v>7360</v>
      </c>
      <c r="AW506">
        <v>0</v>
      </c>
      <c r="AX506" t="s">
        <v>7360</v>
      </c>
      <c r="AY506" t="s">
        <v>7362</v>
      </c>
      <c r="BA506">
        <v>0</v>
      </c>
      <c r="BB506" s="20">
        <v>44992</v>
      </c>
      <c r="BC506">
        <v>0</v>
      </c>
      <c r="BD506" t="s">
        <v>7360</v>
      </c>
      <c r="BF506" s="20">
        <v>44992</v>
      </c>
      <c r="BG506">
        <v>0</v>
      </c>
      <c r="BH506" t="s">
        <v>7363</v>
      </c>
      <c r="BJ506" t="s">
        <v>7362</v>
      </c>
      <c r="BK506">
        <v>169</v>
      </c>
      <c r="BL506">
        <v>11</v>
      </c>
      <c r="BM506">
        <v>1</v>
      </c>
      <c r="BN506" t="s">
        <v>7364</v>
      </c>
      <c r="BO506">
        <v>0</v>
      </c>
      <c r="BP506">
        <v>0</v>
      </c>
      <c r="BQ506">
        <v>0</v>
      </c>
      <c r="BR506">
        <v>0</v>
      </c>
      <c r="BS506" t="s">
        <v>7387</v>
      </c>
      <c r="BT506" t="s">
        <v>7360</v>
      </c>
      <c r="BU506" t="s">
        <v>7360</v>
      </c>
      <c r="BV506" t="s">
        <v>7360</v>
      </c>
      <c r="BX506" t="s">
        <v>7391</v>
      </c>
      <c r="BY506">
        <v>74</v>
      </c>
      <c r="BZ506" t="s">
        <v>7360</v>
      </c>
      <c r="CA506" t="s">
        <v>7360</v>
      </c>
      <c r="CC506" s="21">
        <v>44992.600486111114</v>
      </c>
      <c r="CE506" t="s">
        <v>7392</v>
      </c>
      <c r="CF506">
        <v>1100101</v>
      </c>
      <c r="CG506">
        <v>53575</v>
      </c>
      <c r="CH506">
        <v>53575</v>
      </c>
      <c r="CI506" s="21">
        <v>44992.601377314815</v>
      </c>
      <c r="CJ506" t="s">
        <v>7393</v>
      </c>
      <c r="CK506" t="s">
        <v>7393</v>
      </c>
      <c r="CL506" t="s">
        <v>7394</v>
      </c>
      <c r="CM506" t="s">
        <v>7394</v>
      </c>
      <c r="CS506" t="s">
        <v>7361</v>
      </c>
      <c r="CT506" t="s">
        <v>7362</v>
      </c>
      <c r="CU506" t="s">
        <v>7362</v>
      </c>
      <c r="CV506" t="s">
        <v>7362</v>
      </c>
      <c r="CW506" t="s">
        <v>7362</v>
      </c>
      <c r="CX506">
        <v>607771</v>
      </c>
      <c r="DA506">
        <v>0</v>
      </c>
    </row>
    <row r="507" spans="1:110" x14ac:dyDescent="0.3">
      <c r="A507">
        <v>1366</v>
      </c>
      <c r="B507" t="s">
        <v>7380</v>
      </c>
      <c r="C507">
        <v>537</v>
      </c>
      <c r="D507" s="20">
        <v>44992</v>
      </c>
      <c r="E507" t="s">
        <v>7372</v>
      </c>
      <c r="F507" t="s">
        <v>5918</v>
      </c>
      <c r="G507" t="s">
        <v>7357</v>
      </c>
      <c r="H507">
        <v>1</v>
      </c>
      <c r="I507" t="s">
        <v>7358</v>
      </c>
      <c r="J507">
        <v>1</v>
      </c>
      <c r="K507" s="20">
        <v>44992</v>
      </c>
      <c r="L507" s="23">
        <v>209976</v>
      </c>
      <c r="M507" t="s">
        <v>7359</v>
      </c>
      <c r="N507" t="s">
        <v>7360</v>
      </c>
      <c r="O507">
        <v>0</v>
      </c>
      <c r="P507">
        <v>12356</v>
      </c>
      <c r="Q507">
        <v>439011</v>
      </c>
      <c r="R507">
        <v>0</v>
      </c>
      <c r="S507">
        <v>20230307</v>
      </c>
      <c r="T507">
        <v>0</v>
      </c>
      <c r="U507" t="s">
        <v>7362</v>
      </c>
      <c r="V507" t="s">
        <v>7360</v>
      </c>
      <c r="W507" t="s">
        <v>7360</v>
      </c>
      <c r="X507" t="s">
        <v>7360</v>
      </c>
      <c r="Y507" t="s">
        <v>7360</v>
      </c>
      <c r="Z507" t="s">
        <v>7360</v>
      </c>
      <c r="AA507" t="s">
        <v>7362</v>
      </c>
      <c r="AB507" t="s">
        <v>7360</v>
      </c>
      <c r="AC507" t="s">
        <v>7360</v>
      </c>
      <c r="AD507" t="s">
        <v>7360</v>
      </c>
      <c r="AE507" t="s">
        <v>7360</v>
      </c>
      <c r="AF507" t="s">
        <v>1684</v>
      </c>
      <c r="AG507">
        <v>0</v>
      </c>
      <c r="AH507">
        <v>0</v>
      </c>
      <c r="AI507">
        <v>0</v>
      </c>
      <c r="AJ507">
        <v>0</v>
      </c>
      <c r="AK507">
        <v>0</v>
      </c>
      <c r="AL507" t="s">
        <v>7360</v>
      </c>
      <c r="AM507">
        <v>0</v>
      </c>
      <c r="AN507" s="20">
        <v>44992</v>
      </c>
      <c r="AO507" s="20">
        <v>44992</v>
      </c>
      <c r="AP507" s="20">
        <v>44992</v>
      </c>
      <c r="AQ507">
        <v>0</v>
      </c>
      <c r="AR507">
        <v>0</v>
      </c>
      <c r="AS507">
        <v>0</v>
      </c>
      <c r="AT507">
        <v>0</v>
      </c>
      <c r="AU507">
        <v>0</v>
      </c>
      <c r="AV507" t="s">
        <v>7360</v>
      </c>
      <c r="AW507">
        <v>0</v>
      </c>
      <c r="AX507" t="s">
        <v>7360</v>
      </c>
      <c r="AY507" t="s">
        <v>7362</v>
      </c>
      <c r="BA507">
        <v>0</v>
      </c>
      <c r="BB507" s="20">
        <v>44992</v>
      </c>
      <c r="BC507">
        <v>0</v>
      </c>
      <c r="BD507" t="s">
        <v>7360</v>
      </c>
      <c r="BF507" s="20">
        <v>44992</v>
      </c>
      <c r="BG507">
        <v>0</v>
      </c>
      <c r="BH507" t="s">
        <v>7363</v>
      </c>
      <c r="BJ507" t="s">
        <v>7362</v>
      </c>
      <c r="BK507">
        <v>169</v>
      </c>
      <c r="BL507">
        <v>11</v>
      </c>
      <c r="BM507">
        <v>1</v>
      </c>
      <c r="BN507" t="s">
        <v>7364</v>
      </c>
      <c r="BO507">
        <v>0</v>
      </c>
      <c r="BP507">
        <v>0</v>
      </c>
      <c r="BQ507">
        <v>0</v>
      </c>
      <c r="BR507">
        <v>0</v>
      </c>
      <c r="BS507" t="s">
        <v>7387</v>
      </c>
      <c r="BT507" t="s">
        <v>7360</v>
      </c>
      <c r="BU507" t="s">
        <v>7360</v>
      </c>
      <c r="BV507" t="s">
        <v>7360</v>
      </c>
      <c r="BX507" t="s">
        <v>7391</v>
      </c>
      <c r="BY507">
        <v>74</v>
      </c>
      <c r="BZ507" t="s">
        <v>7360</v>
      </c>
      <c r="CA507" t="s">
        <v>7360</v>
      </c>
      <c r="CC507" s="21">
        <v>44992.610451388886</v>
      </c>
      <c r="CE507" t="s">
        <v>7392</v>
      </c>
      <c r="CF507">
        <v>1100101</v>
      </c>
      <c r="CG507">
        <v>53575</v>
      </c>
      <c r="CH507">
        <v>53575</v>
      </c>
      <c r="CI507" s="21">
        <v>44992.61515046296</v>
      </c>
      <c r="CJ507" t="s">
        <v>7393</v>
      </c>
      <c r="CK507" t="s">
        <v>7393</v>
      </c>
      <c r="CL507" t="s">
        <v>7394</v>
      </c>
      <c r="CM507" t="s">
        <v>7394</v>
      </c>
      <c r="CS507" t="s">
        <v>7361</v>
      </c>
      <c r="CT507" t="s">
        <v>7362</v>
      </c>
      <c r="CU507" t="s">
        <v>7362</v>
      </c>
      <c r="CV507" t="s">
        <v>7362</v>
      </c>
      <c r="CW507" t="s">
        <v>7362</v>
      </c>
      <c r="CX507">
        <v>209976</v>
      </c>
      <c r="DA507">
        <v>0</v>
      </c>
    </row>
    <row r="508" spans="1:110" x14ac:dyDescent="0.3">
      <c r="A508">
        <v>1365</v>
      </c>
      <c r="B508" t="s">
        <v>7384</v>
      </c>
      <c r="C508">
        <v>538</v>
      </c>
      <c r="D508" s="20">
        <v>44992</v>
      </c>
      <c r="E508" t="s">
        <v>7372</v>
      </c>
      <c r="F508" t="s">
        <v>5924</v>
      </c>
      <c r="G508" t="s">
        <v>7357</v>
      </c>
      <c r="H508">
        <v>1</v>
      </c>
      <c r="I508" t="s">
        <v>7358</v>
      </c>
      <c r="J508">
        <v>1</v>
      </c>
      <c r="K508" s="20">
        <v>44993</v>
      </c>
      <c r="L508" s="23">
        <v>9329600</v>
      </c>
      <c r="M508" t="s">
        <v>7359</v>
      </c>
      <c r="N508" t="s">
        <v>7360</v>
      </c>
      <c r="O508">
        <v>0</v>
      </c>
      <c r="P508">
        <v>12903</v>
      </c>
      <c r="Q508">
        <v>450058</v>
      </c>
      <c r="R508">
        <v>0</v>
      </c>
      <c r="S508">
        <v>20230307</v>
      </c>
      <c r="T508">
        <v>0</v>
      </c>
      <c r="U508" t="s">
        <v>7362</v>
      </c>
      <c r="V508" t="s">
        <v>7360</v>
      </c>
      <c r="W508" t="s">
        <v>7360</v>
      </c>
      <c r="X508" t="s">
        <v>7360</v>
      </c>
      <c r="Y508" t="s">
        <v>7360</v>
      </c>
      <c r="Z508" t="s">
        <v>7360</v>
      </c>
      <c r="AA508" t="s">
        <v>7362</v>
      </c>
      <c r="AB508" t="s">
        <v>7360</v>
      </c>
      <c r="AC508" t="s">
        <v>7360</v>
      </c>
      <c r="AD508" t="s">
        <v>7360</v>
      </c>
      <c r="AE508" t="s">
        <v>7360</v>
      </c>
      <c r="AF508" t="s">
        <v>1684</v>
      </c>
      <c r="AG508">
        <v>0</v>
      </c>
      <c r="AH508">
        <v>0</v>
      </c>
      <c r="AI508">
        <v>0</v>
      </c>
      <c r="AJ508">
        <v>0</v>
      </c>
      <c r="AK508">
        <v>0</v>
      </c>
      <c r="AL508" t="s">
        <v>7360</v>
      </c>
      <c r="AM508">
        <v>0</v>
      </c>
      <c r="AN508" s="20">
        <v>44993</v>
      </c>
      <c r="AO508" s="20">
        <v>44993</v>
      </c>
      <c r="AP508" s="20">
        <v>44993</v>
      </c>
      <c r="AQ508">
        <v>0</v>
      </c>
      <c r="AR508">
        <v>0</v>
      </c>
      <c r="AS508">
        <v>0</v>
      </c>
      <c r="AT508">
        <v>0</v>
      </c>
      <c r="AU508">
        <v>0</v>
      </c>
      <c r="AV508" t="s">
        <v>7360</v>
      </c>
      <c r="AW508">
        <v>0</v>
      </c>
      <c r="AX508" t="s">
        <v>7360</v>
      </c>
      <c r="AY508" t="s">
        <v>7362</v>
      </c>
      <c r="BA508">
        <v>0</v>
      </c>
      <c r="BB508" s="20">
        <v>44993</v>
      </c>
      <c r="BC508">
        <v>0</v>
      </c>
      <c r="BD508" t="s">
        <v>7360</v>
      </c>
      <c r="BF508" s="20">
        <v>44993</v>
      </c>
      <c r="BG508">
        <v>0</v>
      </c>
      <c r="BH508" t="s">
        <v>7363</v>
      </c>
      <c r="BJ508" t="s">
        <v>7362</v>
      </c>
      <c r="BK508">
        <v>169</v>
      </c>
      <c r="BL508">
        <v>11</v>
      </c>
      <c r="BM508">
        <v>1</v>
      </c>
      <c r="BN508" t="s">
        <v>7364</v>
      </c>
      <c r="BO508">
        <v>0</v>
      </c>
      <c r="BP508">
        <v>0</v>
      </c>
      <c r="BQ508">
        <v>0</v>
      </c>
      <c r="BR508">
        <v>0</v>
      </c>
      <c r="BS508" t="s">
        <v>7385</v>
      </c>
      <c r="BT508" t="s">
        <v>7360</v>
      </c>
      <c r="BU508" t="s">
        <v>7360</v>
      </c>
      <c r="BV508" t="s">
        <v>7360</v>
      </c>
      <c r="BX508" t="s">
        <v>7391</v>
      </c>
      <c r="BY508">
        <v>74</v>
      </c>
      <c r="BZ508" t="s">
        <v>7360</v>
      </c>
      <c r="CA508" t="s">
        <v>7360</v>
      </c>
      <c r="CC508" s="21">
        <v>44993.410057870373</v>
      </c>
      <c r="CE508" t="s">
        <v>7392</v>
      </c>
      <c r="CF508">
        <v>1100101</v>
      </c>
      <c r="CG508">
        <v>53575</v>
      </c>
      <c r="CH508">
        <v>53575</v>
      </c>
      <c r="CI508" s="21">
        <v>44993.411249999997</v>
      </c>
      <c r="CJ508" t="s">
        <v>7393</v>
      </c>
      <c r="CK508" t="s">
        <v>7393</v>
      </c>
      <c r="CL508" t="s">
        <v>7394</v>
      </c>
      <c r="CM508" t="s">
        <v>7394</v>
      </c>
      <c r="CS508" t="s">
        <v>7361</v>
      </c>
      <c r="CT508" t="s">
        <v>7362</v>
      </c>
      <c r="CU508" t="s">
        <v>7362</v>
      </c>
      <c r="CV508" t="s">
        <v>7362</v>
      </c>
      <c r="CW508" t="s">
        <v>7362</v>
      </c>
      <c r="CX508">
        <v>9329600</v>
      </c>
      <c r="DA508">
        <v>0</v>
      </c>
    </row>
    <row r="509" spans="1:110" x14ac:dyDescent="0.3">
      <c r="A509">
        <v>1372</v>
      </c>
      <c r="B509" t="s">
        <v>7369</v>
      </c>
      <c r="C509">
        <v>539</v>
      </c>
      <c r="D509" s="20">
        <v>44993</v>
      </c>
      <c r="E509" t="s">
        <v>7356</v>
      </c>
      <c r="F509" t="s">
        <v>5929</v>
      </c>
      <c r="G509" t="s">
        <v>7357</v>
      </c>
      <c r="H509">
        <v>1</v>
      </c>
      <c r="I509" t="s">
        <v>7358</v>
      </c>
      <c r="J509">
        <v>1</v>
      </c>
      <c r="K509" s="20">
        <v>44993</v>
      </c>
      <c r="L509" s="23">
        <v>1987895</v>
      </c>
      <c r="M509" t="s">
        <v>7359</v>
      </c>
      <c r="N509" t="s">
        <v>7360</v>
      </c>
      <c r="O509">
        <v>0</v>
      </c>
      <c r="P509">
        <v>12973</v>
      </c>
      <c r="Q509">
        <v>453011</v>
      </c>
      <c r="R509">
        <v>0</v>
      </c>
      <c r="S509">
        <v>20230308</v>
      </c>
      <c r="T509">
        <v>0</v>
      </c>
      <c r="U509" t="s">
        <v>7361</v>
      </c>
      <c r="V509" t="s">
        <v>7360</v>
      </c>
      <c r="W509" t="s">
        <v>7360</v>
      </c>
      <c r="X509" t="s">
        <v>7360</v>
      </c>
      <c r="Y509" t="s">
        <v>7360</v>
      </c>
      <c r="Z509" t="s">
        <v>7360</v>
      </c>
      <c r="AA509" t="s">
        <v>7362</v>
      </c>
      <c r="AB509" t="s">
        <v>7360</v>
      </c>
      <c r="AC509" t="s">
        <v>7360</v>
      </c>
      <c r="AD509" t="s">
        <v>7360</v>
      </c>
      <c r="AE509" t="s">
        <v>7360</v>
      </c>
      <c r="AF509" t="s">
        <v>1684</v>
      </c>
      <c r="AG509">
        <v>0</v>
      </c>
      <c r="AH509">
        <v>0</v>
      </c>
      <c r="AI509">
        <v>0</v>
      </c>
      <c r="AJ509">
        <v>0</v>
      </c>
      <c r="AK509">
        <v>0</v>
      </c>
      <c r="AL509" t="s">
        <v>7360</v>
      </c>
      <c r="AM509">
        <v>0</v>
      </c>
      <c r="AN509" s="20">
        <v>44993</v>
      </c>
      <c r="AO509" s="20">
        <v>44993</v>
      </c>
      <c r="AP509" s="20">
        <v>44993</v>
      </c>
      <c r="AQ509">
        <v>0</v>
      </c>
      <c r="AR509">
        <v>0</v>
      </c>
      <c r="AS509">
        <v>0</v>
      </c>
      <c r="AT509">
        <v>0</v>
      </c>
      <c r="AU509">
        <v>0</v>
      </c>
      <c r="AV509" t="s">
        <v>7360</v>
      </c>
      <c r="AW509">
        <v>0</v>
      </c>
      <c r="AX509" t="s">
        <v>7360</v>
      </c>
      <c r="AY509" t="s">
        <v>7363</v>
      </c>
      <c r="BA509">
        <v>0</v>
      </c>
      <c r="BB509" s="20">
        <v>44993</v>
      </c>
      <c r="BC509">
        <v>0</v>
      </c>
      <c r="BD509" t="s">
        <v>7360</v>
      </c>
      <c r="BF509" s="20">
        <v>44993</v>
      </c>
      <c r="BG509">
        <v>0</v>
      </c>
      <c r="BH509" t="s">
        <v>7363</v>
      </c>
      <c r="BJ509" t="s">
        <v>7362</v>
      </c>
      <c r="BK509">
        <v>0</v>
      </c>
      <c r="BL509">
        <v>0</v>
      </c>
      <c r="BM509">
        <v>0</v>
      </c>
      <c r="BN509">
        <v>0</v>
      </c>
      <c r="BO509">
        <v>169</v>
      </c>
      <c r="BP509">
        <v>11</v>
      </c>
      <c r="BQ509">
        <v>1</v>
      </c>
      <c r="BR509" t="s">
        <v>7364</v>
      </c>
      <c r="BS509" t="s">
        <v>7365</v>
      </c>
      <c r="BT509" t="s">
        <v>7360</v>
      </c>
      <c r="BU509" t="s">
        <v>7360</v>
      </c>
      <c r="BV509" t="s">
        <v>7360</v>
      </c>
      <c r="BX509">
        <v>0</v>
      </c>
      <c r="BY509">
        <v>0</v>
      </c>
      <c r="BZ509" t="s">
        <v>7360</v>
      </c>
      <c r="CA509" t="s">
        <v>7360</v>
      </c>
      <c r="CB509">
        <v>3380666</v>
      </c>
      <c r="CC509" s="21">
        <v>44993.419108796297</v>
      </c>
      <c r="CE509" t="s">
        <v>7366</v>
      </c>
      <c r="CF509">
        <v>0</v>
      </c>
      <c r="CG509">
        <v>702002</v>
      </c>
      <c r="CH509">
        <v>702002</v>
      </c>
      <c r="CI509" s="21">
        <v>44993.420775462961</v>
      </c>
      <c r="CJ509" t="s">
        <v>7367</v>
      </c>
      <c r="CK509" t="s">
        <v>7367</v>
      </c>
      <c r="CL509" t="s">
        <v>7368</v>
      </c>
      <c r="CM509" t="s">
        <v>7368</v>
      </c>
      <c r="CS509" t="s">
        <v>7361</v>
      </c>
      <c r="CT509" t="s">
        <v>7362</v>
      </c>
      <c r="CU509" t="s">
        <v>7362</v>
      </c>
      <c r="CV509" t="s">
        <v>7362</v>
      </c>
      <c r="CW509" t="s">
        <v>7362</v>
      </c>
      <c r="CX509">
        <v>1987895</v>
      </c>
      <c r="DA509">
        <v>0</v>
      </c>
    </row>
    <row r="510" spans="1:110" x14ac:dyDescent="0.3">
      <c r="A510">
        <v>1354</v>
      </c>
      <c r="B510" t="s">
        <v>7396</v>
      </c>
      <c r="C510">
        <v>540</v>
      </c>
      <c r="D510" s="20">
        <v>44993</v>
      </c>
      <c r="E510" t="s">
        <v>7372</v>
      </c>
      <c r="F510" t="s">
        <v>5934</v>
      </c>
      <c r="G510" t="s">
        <v>7370</v>
      </c>
      <c r="H510">
        <v>1</v>
      </c>
      <c r="I510" t="s">
        <v>7358</v>
      </c>
      <c r="J510">
        <v>1</v>
      </c>
      <c r="K510" s="20">
        <v>44993</v>
      </c>
      <c r="L510" s="23">
        <v>3240000</v>
      </c>
      <c r="M510" t="s">
        <v>7359</v>
      </c>
      <c r="N510" t="s">
        <v>7360</v>
      </c>
      <c r="O510">
        <v>0</v>
      </c>
      <c r="P510">
        <v>12834</v>
      </c>
      <c r="Q510">
        <v>450003</v>
      </c>
      <c r="R510">
        <v>0</v>
      </c>
      <c r="S510">
        <v>20230308</v>
      </c>
      <c r="T510">
        <v>0</v>
      </c>
      <c r="U510" t="s">
        <v>7362</v>
      </c>
      <c r="V510" t="s">
        <v>7360</v>
      </c>
      <c r="W510" t="s">
        <v>7360</v>
      </c>
      <c r="X510" t="s">
        <v>7360</v>
      </c>
      <c r="Y510" t="s">
        <v>7360</v>
      </c>
      <c r="Z510" t="s">
        <v>7360</v>
      </c>
      <c r="AA510" t="s">
        <v>7362</v>
      </c>
      <c r="AB510" t="s">
        <v>7360</v>
      </c>
      <c r="AC510" t="s">
        <v>7360</v>
      </c>
      <c r="AD510" t="s">
        <v>7360</v>
      </c>
      <c r="AE510" t="s">
        <v>7360</v>
      </c>
      <c r="AF510" t="s">
        <v>1684</v>
      </c>
      <c r="AG510">
        <v>0</v>
      </c>
      <c r="AH510">
        <v>0</v>
      </c>
      <c r="AI510">
        <v>0</v>
      </c>
      <c r="AJ510">
        <v>0</v>
      </c>
      <c r="AK510">
        <v>0</v>
      </c>
      <c r="AL510" t="s">
        <v>7360</v>
      </c>
      <c r="AM510">
        <v>0</v>
      </c>
      <c r="AN510" s="20">
        <v>44993</v>
      </c>
      <c r="AO510" s="20">
        <v>44993</v>
      </c>
      <c r="AP510" s="20">
        <v>44993</v>
      </c>
      <c r="AQ510">
        <v>0</v>
      </c>
      <c r="AR510">
        <v>0</v>
      </c>
      <c r="AS510">
        <v>0</v>
      </c>
      <c r="AT510">
        <v>0</v>
      </c>
      <c r="AU510">
        <v>0</v>
      </c>
      <c r="AV510" t="s">
        <v>7360</v>
      </c>
      <c r="AW510">
        <v>0</v>
      </c>
      <c r="AX510" t="s">
        <v>7360</v>
      </c>
      <c r="AY510" t="s">
        <v>7362</v>
      </c>
      <c r="BA510">
        <v>0</v>
      </c>
      <c r="BB510" s="20">
        <v>44993</v>
      </c>
      <c r="BC510">
        <v>0</v>
      </c>
      <c r="BD510" t="s">
        <v>7360</v>
      </c>
      <c r="BF510" s="20">
        <v>44993</v>
      </c>
      <c r="BG510">
        <v>0</v>
      </c>
      <c r="BH510" t="s">
        <v>7363</v>
      </c>
      <c r="BJ510" t="s">
        <v>7362</v>
      </c>
      <c r="BK510">
        <v>169</v>
      </c>
      <c r="BL510">
        <v>11</v>
      </c>
      <c r="BM510">
        <v>1</v>
      </c>
      <c r="BN510" t="s">
        <v>7364</v>
      </c>
      <c r="BO510">
        <v>0</v>
      </c>
      <c r="BP510">
        <v>0</v>
      </c>
      <c r="BQ510">
        <v>0</v>
      </c>
      <c r="BR510">
        <v>0</v>
      </c>
      <c r="BS510" t="s">
        <v>7411</v>
      </c>
      <c r="BT510" t="s">
        <v>7360</v>
      </c>
      <c r="BU510" t="s">
        <v>7360</v>
      </c>
      <c r="BV510" t="s">
        <v>7360</v>
      </c>
      <c r="BX510" t="s">
        <v>7391</v>
      </c>
      <c r="BY510">
        <v>80</v>
      </c>
      <c r="BZ510">
        <v>0</v>
      </c>
      <c r="CA510">
        <v>0</v>
      </c>
      <c r="CC510" s="21">
        <v>44993.421782407408</v>
      </c>
      <c r="CE510" t="s">
        <v>7412</v>
      </c>
      <c r="CF510">
        <v>1108001</v>
      </c>
      <c r="CG510">
        <v>53575</v>
      </c>
      <c r="CH510">
        <v>53575</v>
      </c>
      <c r="CI510" s="21">
        <v>44993.423518518517</v>
      </c>
      <c r="CJ510" t="s">
        <v>7393</v>
      </c>
      <c r="CK510" t="s">
        <v>7393</v>
      </c>
      <c r="CL510" t="s">
        <v>7394</v>
      </c>
      <c r="CM510" t="s">
        <v>7394</v>
      </c>
      <c r="CS510" t="s">
        <v>7361</v>
      </c>
      <c r="CT510" t="s">
        <v>7362</v>
      </c>
      <c r="CU510" t="s">
        <v>7362</v>
      </c>
      <c r="CV510" t="s">
        <v>7362</v>
      </c>
      <c r="CW510" t="s">
        <v>7362</v>
      </c>
      <c r="CX510">
        <v>3240000</v>
      </c>
      <c r="DA510">
        <v>0</v>
      </c>
    </row>
    <row r="511" spans="1:110" x14ac:dyDescent="0.3">
      <c r="A511">
        <v>1364</v>
      </c>
      <c r="B511" t="s">
        <v>7355</v>
      </c>
      <c r="C511">
        <v>541</v>
      </c>
      <c r="D511" s="20">
        <v>44993</v>
      </c>
      <c r="E511" t="s">
        <v>7356</v>
      </c>
      <c r="F511" t="s">
        <v>5940</v>
      </c>
      <c r="G511" t="s">
        <v>7357</v>
      </c>
      <c r="H511">
        <v>1</v>
      </c>
      <c r="I511" t="s">
        <v>7358</v>
      </c>
      <c r="J511">
        <v>1</v>
      </c>
      <c r="K511" s="20">
        <v>44993</v>
      </c>
      <c r="L511" s="23">
        <v>1190700</v>
      </c>
      <c r="M511" t="s">
        <v>7359</v>
      </c>
      <c r="N511" t="s">
        <v>7360</v>
      </c>
      <c r="O511">
        <v>0</v>
      </c>
      <c r="P511">
        <v>12937</v>
      </c>
      <c r="Q511">
        <v>451008</v>
      </c>
      <c r="R511">
        <v>0</v>
      </c>
      <c r="S511">
        <v>20230308</v>
      </c>
      <c r="T511">
        <v>0</v>
      </c>
      <c r="U511" t="s">
        <v>7361</v>
      </c>
      <c r="V511" t="s">
        <v>7360</v>
      </c>
      <c r="W511" t="s">
        <v>7360</v>
      </c>
      <c r="X511" t="s">
        <v>7360</v>
      </c>
      <c r="Y511" t="s">
        <v>7360</v>
      </c>
      <c r="Z511" t="s">
        <v>7360</v>
      </c>
      <c r="AA511" t="s">
        <v>7362</v>
      </c>
      <c r="AB511" t="s">
        <v>7360</v>
      </c>
      <c r="AC511" t="s">
        <v>7360</v>
      </c>
      <c r="AD511" t="s">
        <v>7360</v>
      </c>
      <c r="AE511" t="s">
        <v>7360</v>
      </c>
      <c r="AF511" t="s">
        <v>1684</v>
      </c>
      <c r="AG511">
        <v>0</v>
      </c>
      <c r="AH511">
        <v>0</v>
      </c>
      <c r="AI511">
        <v>0</v>
      </c>
      <c r="AJ511">
        <v>0</v>
      </c>
      <c r="AK511">
        <v>0</v>
      </c>
      <c r="AL511" t="s">
        <v>7360</v>
      </c>
      <c r="AM511">
        <v>0</v>
      </c>
      <c r="AN511" s="20">
        <v>44993</v>
      </c>
      <c r="AO511" s="20">
        <v>44993</v>
      </c>
      <c r="AP511" s="20">
        <v>44993</v>
      </c>
      <c r="AQ511">
        <v>0</v>
      </c>
      <c r="AR511">
        <v>0</v>
      </c>
      <c r="AS511">
        <v>0</v>
      </c>
      <c r="AT511">
        <v>0</v>
      </c>
      <c r="AU511">
        <v>0</v>
      </c>
      <c r="AV511" t="s">
        <v>7360</v>
      </c>
      <c r="AW511">
        <v>0</v>
      </c>
      <c r="AX511" t="s">
        <v>7360</v>
      </c>
      <c r="AY511" t="s">
        <v>7363</v>
      </c>
      <c r="BA511">
        <v>0</v>
      </c>
      <c r="BB511" s="20">
        <v>44993</v>
      </c>
      <c r="BC511">
        <v>0</v>
      </c>
      <c r="BD511" t="s">
        <v>7360</v>
      </c>
      <c r="BF511" s="20">
        <v>44993</v>
      </c>
      <c r="BG511">
        <v>0</v>
      </c>
      <c r="BH511" t="s">
        <v>7363</v>
      </c>
      <c r="BJ511" t="s">
        <v>7362</v>
      </c>
      <c r="BK511">
        <v>0</v>
      </c>
      <c r="BL511">
        <v>0</v>
      </c>
      <c r="BM511">
        <v>0</v>
      </c>
      <c r="BN511">
        <v>0</v>
      </c>
      <c r="BO511">
        <v>169</v>
      </c>
      <c r="BP511">
        <v>11</v>
      </c>
      <c r="BQ511">
        <v>1</v>
      </c>
      <c r="BR511" t="s">
        <v>7364</v>
      </c>
      <c r="BS511" t="s">
        <v>7365</v>
      </c>
      <c r="BT511" t="s">
        <v>7360</v>
      </c>
      <c r="BU511" t="s">
        <v>7360</v>
      </c>
      <c r="BV511" t="s">
        <v>7360</v>
      </c>
      <c r="BX511">
        <v>0</v>
      </c>
      <c r="BY511">
        <v>0</v>
      </c>
      <c r="BZ511" t="s">
        <v>7360</v>
      </c>
      <c r="CA511" t="s">
        <v>7360</v>
      </c>
      <c r="CB511">
        <v>3380666</v>
      </c>
      <c r="CC511" s="21">
        <v>44993.449097222219</v>
      </c>
      <c r="CE511" t="s">
        <v>7366</v>
      </c>
      <c r="CF511">
        <v>0</v>
      </c>
      <c r="CG511">
        <v>702002</v>
      </c>
      <c r="CH511">
        <v>702002</v>
      </c>
      <c r="CI511" s="21">
        <v>44995.348437499997</v>
      </c>
      <c r="CJ511" t="s">
        <v>7367</v>
      </c>
      <c r="CK511" t="s">
        <v>7367</v>
      </c>
      <c r="CL511" t="s">
        <v>7368</v>
      </c>
      <c r="CM511" t="s">
        <v>7368</v>
      </c>
      <c r="CS511" t="s">
        <v>7361</v>
      </c>
      <c r="CT511" t="s">
        <v>7362</v>
      </c>
      <c r="CU511" t="s">
        <v>7362</v>
      </c>
      <c r="CV511" t="s">
        <v>7362</v>
      </c>
      <c r="CW511" t="s">
        <v>7362</v>
      </c>
      <c r="CX511">
        <v>1190700</v>
      </c>
      <c r="DA511">
        <v>0</v>
      </c>
    </row>
    <row r="512" spans="1:110" x14ac:dyDescent="0.3">
      <c r="A512">
        <v>1354</v>
      </c>
      <c r="B512" t="s">
        <v>7396</v>
      </c>
      <c r="C512">
        <v>526</v>
      </c>
      <c r="D512" s="20">
        <v>44988</v>
      </c>
      <c r="E512" t="s">
        <v>7372</v>
      </c>
      <c r="F512" t="s">
        <v>5945</v>
      </c>
      <c r="G512" t="s">
        <v>7370</v>
      </c>
      <c r="H512">
        <v>1</v>
      </c>
      <c r="I512" t="s">
        <v>7358</v>
      </c>
      <c r="J512">
        <v>1</v>
      </c>
      <c r="K512" s="20">
        <v>44988</v>
      </c>
      <c r="L512" s="23">
        <v>30000000</v>
      </c>
      <c r="M512" t="s">
        <v>7403</v>
      </c>
      <c r="N512" t="s">
        <v>7360</v>
      </c>
      <c r="O512">
        <v>0</v>
      </c>
      <c r="P512">
        <v>12421</v>
      </c>
      <c r="Q512">
        <v>135003</v>
      </c>
      <c r="R512">
        <v>0</v>
      </c>
      <c r="S512">
        <v>20230303</v>
      </c>
      <c r="T512">
        <v>0</v>
      </c>
      <c r="U512" t="s">
        <v>7362</v>
      </c>
      <c r="V512" t="s">
        <v>7360</v>
      </c>
      <c r="W512" t="s">
        <v>7360</v>
      </c>
      <c r="X512" t="s">
        <v>7360</v>
      </c>
      <c r="Y512" t="s">
        <v>7360</v>
      </c>
      <c r="Z512" t="s">
        <v>7360</v>
      </c>
      <c r="AA512" t="s">
        <v>7362</v>
      </c>
      <c r="AB512" t="s">
        <v>7360</v>
      </c>
      <c r="AC512" t="s">
        <v>7360</v>
      </c>
      <c r="AD512" t="s">
        <v>7360</v>
      </c>
      <c r="AE512" t="s">
        <v>7360</v>
      </c>
      <c r="AF512" t="s">
        <v>1684</v>
      </c>
      <c r="AG512">
        <v>0</v>
      </c>
      <c r="AH512">
        <v>0</v>
      </c>
      <c r="AI512">
        <v>0</v>
      </c>
      <c r="AJ512">
        <v>0</v>
      </c>
      <c r="AK512">
        <v>0</v>
      </c>
      <c r="AL512" t="s">
        <v>7360</v>
      </c>
      <c r="AM512">
        <v>0</v>
      </c>
      <c r="AN512" s="20">
        <v>44988</v>
      </c>
      <c r="AO512" s="20">
        <v>44988</v>
      </c>
      <c r="AP512" s="20">
        <v>44988</v>
      </c>
      <c r="AQ512">
        <v>0</v>
      </c>
      <c r="AR512">
        <v>0</v>
      </c>
      <c r="AS512">
        <v>0</v>
      </c>
      <c r="AT512">
        <v>0</v>
      </c>
      <c r="AU512">
        <v>0</v>
      </c>
      <c r="AV512" t="s">
        <v>7360</v>
      </c>
      <c r="AW512">
        <v>0</v>
      </c>
      <c r="AX512" t="s">
        <v>7360</v>
      </c>
      <c r="AY512" t="s">
        <v>7373</v>
      </c>
      <c r="BA512">
        <v>0</v>
      </c>
      <c r="BB512" s="20">
        <v>44988</v>
      </c>
      <c r="BC512">
        <v>0</v>
      </c>
      <c r="BD512" t="s">
        <v>7360</v>
      </c>
      <c r="BE512">
        <v>233</v>
      </c>
      <c r="BF512" s="20">
        <v>44988</v>
      </c>
      <c r="BG512">
        <v>0</v>
      </c>
      <c r="BH512" t="s">
        <v>7363</v>
      </c>
      <c r="BJ512" t="s">
        <v>7362</v>
      </c>
      <c r="BK512">
        <v>169</v>
      </c>
      <c r="BL512">
        <v>11</v>
      </c>
      <c r="BM512">
        <v>1</v>
      </c>
      <c r="BN512" t="s">
        <v>7364</v>
      </c>
      <c r="BO512">
        <v>169</v>
      </c>
      <c r="BP512">
        <v>11</v>
      </c>
      <c r="BQ512">
        <v>1</v>
      </c>
      <c r="BR512" t="s">
        <v>7364</v>
      </c>
      <c r="BS512" t="s">
        <v>132</v>
      </c>
      <c r="BT512" t="s">
        <v>7360</v>
      </c>
      <c r="BU512" t="s">
        <v>7360</v>
      </c>
      <c r="BV512" t="s">
        <v>7360</v>
      </c>
      <c r="BX512" t="s">
        <v>7391</v>
      </c>
      <c r="BY512">
        <v>74</v>
      </c>
      <c r="BZ512" t="s">
        <v>7360</v>
      </c>
      <c r="CA512" t="s">
        <v>7360</v>
      </c>
      <c r="CB512">
        <v>3380666</v>
      </c>
      <c r="CC512" s="21">
        <v>45007.6250462963</v>
      </c>
      <c r="CE512" t="s">
        <v>7392</v>
      </c>
      <c r="CF512">
        <v>1100101</v>
      </c>
      <c r="CG512">
        <v>51669</v>
      </c>
      <c r="CH512">
        <v>51669</v>
      </c>
      <c r="CI512" s="21">
        <v>45007.628321759257</v>
      </c>
      <c r="CJ512" t="s">
        <v>7406</v>
      </c>
      <c r="CK512" t="s">
        <v>7406</v>
      </c>
      <c r="CL512" t="s">
        <v>7407</v>
      </c>
      <c r="CM512" t="s">
        <v>7407</v>
      </c>
      <c r="CS512" t="s">
        <v>7361</v>
      </c>
      <c r="CT512" t="s">
        <v>7362</v>
      </c>
      <c r="CU512" t="s">
        <v>7362</v>
      </c>
      <c r="CV512" t="s">
        <v>7362</v>
      </c>
      <c r="CW512" t="s">
        <v>7362</v>
      </c>
      <c r="CX512">
        <v>30000000</v>
      </c>
      <c r="DA512">
        <v>0</v>
      </c>
      <c r="DB512">
        <v>140003</v>
      </c>
    </row>
    <row r="513" spans="1:106" x14ac:dyDescent="0.3">
      <c r="A513">
        <v>1352</v>
      </c>
      <c r="B513" t="s">
        <v>7416</v>
      </c>
      <c r="C513">
        <v>543</v>
      </c>
      <c r="D513" s="20">
        <v>44993</v>
      </c>
      <c r="E513" t="s">
        <v>7356</v>
      </c>
      <c r="F513" t="s">
        <v>5950</v>
      </c>
      <c r="G513" t="s">
        <v>7357</v>
      </c>
      <c r="H513">
        <v>1</v>
      </c>
      <c r="I513" t="s">
        <v>7358</v>
      </c>
      <c r="J513">
        <v>1</v>
      </c>
      <c r="K513" s="20">
        <v>44993</v>
      </c>
      <c r="L513" s="23">
        <v>4227850</v>
      </c>
      <c r="M513" t="s">
        <v>7359</v>
      </c>
      <c r="N513" t="s">
        <v>7360</v>
      </c>
      <c r="O513">
        <v>0</v>
      </c>
      <c r="P513">
        <v>12868</v>
      </c>
      <c r="Q513">
        <v>450030</v>
      </c>
      <c r="R513">
        <v>0</v>
      </c>
      <c r="S513">
        <v>20230308</v>
      </c>
      <c r="T513">
        <v>0</v>
      </c>
      <c r="U513" t="s">
        <v>7361</v>
      </c>
      <c r="V513" t="s">
        <v>7360</v>
      </c>
      <c r="W513" t="s">
        <v>7360</v>
      </c>
      <c r="X513" t="s">
        <v>7360</v>
      </c>
      <c r="Y513" t="s">
        <v>7360</v>
      </c>
      <c r="Z513" t="s">
        <v>7360</v>
      </c>
      <c r="AA513" t="s">
        <v>7362</v>
      </c>
      <c r="AB513" t="s">
        <v>7360</v>
      </c>
      <c r="AC513" t="s">
        <v>7360</v>
      </c>
      <c r="AD513" t="s">
        <v>7360</v>
      </c>
      <c r="AE513" t="s">
        <v>7360</v>
      </c>
      <c r="AF513" t="s">
        <v>1684</v>
      </c>
      <c r="AG513">
        <v>0</v>
      </c>
      <c r="AH513">
        <v>0</v>
      </c>
      <c r="AI513">
        <v>0</v>
      </c>
      <c r="AJ513">
        <v>0</v>
      </c>
      <c r="AK513">
        <v>0</v>
      </c>
      <c r="AL513" t="s">
        <v>7360</v>
      </c>
      <c r="AM513">
        <v>0</v>
      </c>
      <c r="AN513" s="20">
        <v>44993</v>
      </c>
      <c r="AO513" s="20">
        <v>44993</v>
      </c>
      <c r="AP513" s="20">
        <v>44993</v>
      </c>
      <c r="AQ513">
        <v>0</v>
      </c>
      <c r="AR513">
        <v>0</v>
      </c>
      <c r="AS513">
        <v>0</v>
      </c>
      <c r="AT513">
        <v>0</v>
      </c>
      <c r="AU513">
        <v>0</v>
      </c>
      <c r="AV513" t="s">
        <v>7360</v>
      </c>
      <c r="AW513">
        <v>0</v>
      </c>
      <c r="AX513" t="s">
        <v>7360</v>
      </c>
      <c r="AY513" t="s">
        <v>7363</v>
      </c>
      <c r="BA513">
        <v>0</v>
      </c>
      <c r="BB513" s="20">
        <v>44993</v>
      </c>
      <c r="BC513">
        <v>0</v>
      </c>
      <c r="BD513" t="s">
        <v>7360</v>
      </c>
      <c r="BF513" s="20">
        <v>44993</v>
      </c>
      <c r="BG513">
        <v>0</v>
      </c>
      <c r="BH513" t="s">
        <v>7363</v>
      </c>
      <c r="BJ513" t="s">
        <v>7362</v>
      </c>
      <c r="BK513">
        <v>0</v>
      </c>
      <c r="BL513">
        <v>0</v>
      </c>
      <c r="BM513">
        <v>0</v>
      </c>
      <c r="BN513">
        <v>0</v>
      </c>
      <c r="BO513">
        <v>169</v>
      </c>
      <c r="BP513">
        <v>11</v>
      </c>
      <c r="BQ513">
        <v>1</v>
      </c>
      <c r="BR513" t="s">
        <v>7364</v>
      </c>
      <c r="BS513" t="s">
        <v>61</v>
      </c>
      <c r="BT513" t="s">
        <v>7360</v>
      </c>
      <c r="BU513" t="s">
        <v>7360</v>
      </c>
      <c r="BV513" t="s">
        <v>7360</v>
      </c>
      <c r="BX513">
        <v>0</v>
      </c>
      <c r="BY513">
        <v>0</v>
      </c>
      <c r="BZ513" t="s">
        <v>7360</v>
      </c>
      <c r="CA513" t="s">
        <v>7360</v>
      </c>
      <c r="CB513">
        <v>3380666</v>
      </c>
      <c r="CC513" s="21">
        <v>44993.483888888892</v>
      </c>
      <c r="CE513" t="s">
        <v>7366</v>
      </c>
      <c r="CF513">
        <v>0</v>
      </c>
      <c r="CG513">
        <v>702002</v>
      </c>
      <c r="CH513">
        <v>702002</v>
      </c>
      <c r="CI513" s="21">
        <v>44993.485092592593</v>
      </c>
      <c r="CJ513" t="s">
        <v>7367</v>
      </c>
      <c r="CK513" t="s">
        <v>7367</v>
      </c>
      <c r="CL513" t="s">
        <v>7368</v>
      </c>
      <c r="CM513" t="s">
        <v>7368</v>
      </c>
      <c r="CS513" t="s">
        <v>7361</v>
      </c>
      <c r="CT513" t="s">
        <v>7362</v>
      </c>
      <c r="CU513" t="s">
        <v>7362</v>
      </c>
      <c r="CV513" t="s">
        <v>7362</v>
      </c>
      <c r="CW513" t="s">
        <v>7362</v>
      </c>
      <c r="CX513">
        <v>4227850</v>
      </c>
      <c r="DA513">
        <v>0</v>
      </c>
    </row>
    <row r="514" spans="1:106" x14ac:dyDescent="0.3">
      <c r="A514">
        <v>1366</v>
      </c>
      <c r="B514" t="s">
        <v>7380</v>
      </c>
      <c r="C514">
        <v>544</v>
      </c>
      <c r="D514" s="20">
        <v>44993</v>
      </c>
      <c r="E514" t="s">
        <v>7356</v>
      </c>
      <c r="F514" t="s">
        <v>5956</v>
      </c>
      <c r="G514" t="s">
        <v>7357</v>
      </c>
      <c r="H514">
        <v>1</v>
      </c>
      <c r="I514" t="s">
        <v>7358</v>
      </c>
      <c r="J514">
        <v>1</v>
      </c>
      <c r="K514" s="20">
        <v>44993</v>
      </c>
      <c r="L514" s="23">
        <v>1833345</v>
      </c>
      <c r="M514" t="s">
        <v>7359</v>
      </c>
      <c r="N514" t="s">
        <v>7360</v>
      </c>
      <c r="O514">
        <v>0</v>
      </c>
      <c r="P514">
        <v>12939</v>
      </c>
      <c r="Q514">
        <v>451010</v>
      </c>
      <c r="R514">
        <v>0</v>
      </c>
      <c r="S514">
        <v>20230308</v>
      </c>
      <c r="T514">
        <v>0</v>
      </c>
      <c r="U514" t="s">
        <v>7361</v>
      </c>
      <c r="V514" t="s">
        <v>7360</v>
      </c>
      <c r="W514" t="s">
        <v>7360</v>
      </c>
      <c r="X514" t="s">
        <v>7360</v>
      </c>
      <c r="Y514" t="s">
        <v>7360</v>
      </c>
      <c r="Z514" t="s">
        <v>7360</v>
      </c>
      <c r="AA514" t="s">
        <v>7362</v>
      </c>
      <c r="AB514" t="s">
        <v>7360</v>
      </c>
      <c r="AC514" t="s">
        <v>7360</v>
      </c>
      <c r="AD514" t="s">
        <v>7360</v>
      </c>
      <c r="AE514" t="s">
        <v>7360</v>
      </c>
      <c r="AF514" t="s">
        <v>1684</v>
      </c>
      <c r="AG514">
        <v>0</v>
      </c>
      <c r="AH514">
        <v>0</v>
      </c>
      <c r="AI514">
        <v>0</v>
      </c>
      <c r="AJ514">
        <v>0</v>
      </c>
      <c r="AK514">
        <v>0</v>
      </c>
      <c r="AL514" t="s">
        <v>7360</v>
      </c>
      <c r="AM514">
        <v>0</v>
      </c>
      <c r="AN514" s="20">
        <v>44993</v>
      </c>
      <c r="AO514" s="20">
        <v>44993</v>
      </c>
      <c r="AP514" s="20">
        <v>44993</v>
      </c>
      <c r="AQ514">
        <v>0</v>
      </c>
      <c r="AR514">
        <v>0</v>
      </c>
      <c r="AS514">
        <v>0</v>
      </c>
      <c r="AT514">
        <v>0</v>
      </c>
      <c r="AU514">
        <v>0</v>
      </c>
      <c r="AV514" t="s">
        <v>7360</v>
      </c>
      <c r="AW514">
        <v>0</v>
      </c>
      <c r="AX514" t="s">
        <v>7360</v>
      </c>
      <c r="AY514" t="s">
        <v>7363</v>
      </c>
      <c r="BA514">
        <v>0</v>
      </c>
      <c r="BB514" s="20">
        <v>44993</v>
      </c>
      <c r="BC514">
        <v>0</v>
      </c>
      <c r="BD514" t="s">
        <v>7360</v>
      </c>
      <c r="BF514" s="20">
        <v>44993</v>
      </c>
      <c r="BG514">
        <v>0</v>
      </c>
      <c r="BH514" t="s">
        <v>7363</v>
      </c>
      <c r="BJ514" t="s">
        <v>7362</v>
      </c>
      <c r="BK514">
        <v>169</v>
      </c>
      <c r="BL514">
        <v>11</v>
      </c>
      <c r="BM514">
        <v>1</v>
      </c>
      <c r="BN514" t="s">
        <v>7364</v>
      </c>
      <c r="BO514">
        <v>0</v>
      </c>
      <c r="BP514">
        <v>0</v>
      </c>
      <c r="BQ514">
        <v>0</v>
      </c>
      <c r="BR514">
        <v>0</v>
      </c>
      <c r="BS514" t="s">
        <v>48</v>
      </c>
      <c r="BT514" t="s">
        <v>7360</v>
      </c>
      <c r="BU514" t="s">
        <v>7360</v>
      </c>
      <c r="BV514" t="s">
        <v>7360</v>
      </c>
      <c r="BX514" t="s">
        <v>7391</v>
      </c>
      <c r="BY514">
        <v>74</v>
      </c>
      <c r="BZ514" t="s">
        <v>7360</v>
      </c>
      <c r="CA514" t="s">
        <v>7360</v>
      </c>
      <c r="CC514" s="21">
        <v>44993.486296296294</v>
      </c>
      <c r="CE514" t="s">
        <v>7392</v>
      </c>
      <c r="CF514">
        <v>1100101</v>
      </c>
      <c r="CG514">
        <v>53575</v>
      </c>
      <c r="CH514">
        <v>53575</v>
      </c>
      <c r="CI514" s="21">
        <v>44993.488194444442</v>
      </c>
      <c r="CJ514" t="s">
        <v>7393</v>
      </c>
      <c r="CK514" t="s">
        <v>7393</v>
      </c>
      <c r="CL514" t="s">
        <v>7394</v>
      </c>
      <c r="CM514" t="s">
        <v>7394</v>
      </c>
      <c r="CS514" t="s">
        <v>7361</v>
      </c>
      <c r="CT514" t="s">
        <v>7362</v>
      </c>
      <c r="CU514" t="s">
        <v>7362</v>
      </c>
      <c r="CV514" t="s">
        <v>7362</v>
      </c>
      <c r="CW514" t="s">
        <v>7362</v>
      </c>
      <c r="CX514">
        <v>1833345</v>
      </c>
      <c r="DA514">
        <v>0</v>
      </c>
    </row>
    <row r="515" spans="1:106" x14ac:dyDescent="0.3">
      <c r="A515">
        <v>1366</v>
      </c>
      <c r="B515" t="s">
        <v>7380</v>
      </c>
      <c r="C515">
        <v>545</v>
      </c>
      <c r="D515" s="20">
        <v>44993</v>
      </c>
      <c r="E515" t="s">
        <v>7372</v>
      </c>
      <c r="F515" t="s">
        <v>5961</v>
      </c>
      <c r="G515" t="s">
        <v>7357</v>
      </c>
      <c r="H515">
        <v>1</v>
      </c>
      <c r="I515" t="s">
        <v>7358</v>
      </c>
      <c r="J515">
        <v>1</v>
      </c>
      <c r="K515" s="20">
        <v>44993</v>
      </c>
      <c r="L515" s="23">
        <v>255000</v>
      </c>
      <c r="M515" t="s">
        <v>7359</v>
      </c>
      <c r="N515" t="s">
        <v>7360</v>
      </c>
      <c r="O515">
        <v>0</v>
      </c>
      <c r="P515">
        <v>12874</v>
      </c>
      <c r="Q515">
        <v>450035</v>
      </c>
      <c r="R515">
        <v>0</v>
      </c>
      <c r="S515">
        <v>20230308</v>
      </c>
      <c r="T515">
        <v>0</v>
      </c>
      <c r="U515" t="s">
        <v>7362</v>
      </c>
      <c r="V515" t="s">
        <v>7360</v>
      </c>
      <c r="W515" t="s">
        <v>7360</v>
      </c>
      <c r="X515" t="s">
        <v>7360</v>
      </c>
      <c r="Y515" t="s">
        <v>7360</v>
      </c>
      <c r="Z515" t="s">
        <v>7360</v>
      </c>
      <c r="AA515" t="s">
        <v>7362</v>
      </c>
      <c r="AB515" t="s">
        <v>7360</v>
      </c>
      <c r="AC515" t="s">
        <v>7360</v>
      </c>
      <c r="AD515" t="s">
        <v>7360</v>
      </c>
      <c r="AE515" t="s">
        <v>7360</v>
      </c>
      <c r="AF515" t="s">
        <v>1684</v>
      </c>
      <c r="AG515">
        <v>0</v>
      </c>
      <c r="AH515">
        <v>0</v>
      </c>
      <c r="AI515">
        <v>0</v>
      </c>
      <c r="AJ515">
        <v>0</v>
      </c>
      <c r="AK515">
        <v>0</v>
      </c>
      <c r="AL515" t="s">
        <v>7360</v>
      </c>
      <c r="AM515">
        <v>0</v>
      </c>
      <c r="AN515" s="20">
        <v>44993</v>
      </c>
      <c r="AO515" s="20">
        <v>44993</v>
      </c>
      <c r="AP515" s="20">
        <v>44993</v>
      </c>
      <c r="AQ515">
        <v>0</v>
      </c>
      <c r="AR515">
        <v>0</v>
      </c>
      <c r="AS515">
        <v>0</v>
      </c>
      <c r="AT515">
        <v>0</v>
      </c>
      <c r="AU515">
        <v>0</v>
      </c>
      <c r="AV515" t="s">
        <v>7360</v>
      </c>
      <c r="AW515">
        <v>0</v>
      </c>
      <c r="AX515" t="s">
        <v>7360</v>
      </c>
      <c r="AY515" t="s">
        <v>7373</v>
      </c>
      <c r="BA515">
        <v>0</v>
      </c>
      <c r="BB515" s="20">
        <v>44993</v>
      </c>
      <c r="BC515">
        <v>0</v>
      </c>
      <c r="BD515" t="s">
        <v>7360</v>
      </c>
      <c r="BF515" s="20">
        <v>44993</v>
      </c>
      <c r="BG515">
        <v>0</v>
      </c>
      <c r="BH515" t="s">
        <v>7363</v>
      </c>
      <c r="BJ515" t="s">
        <v>7362</v>
      </c>
      <c r="BK515">
        <v>169</v>
      </c>
      <c r="BL515">
        <v>11</v>
      </c>
      <c r="BM515">
        <v>1</v>
      </c>
      <c r="BN515" t="s">
        <v>7364</v>
      </c>
      <c r="BO515">
        <v>169</v>
      </c>
      <c r="BP515">
        <v>11</v>
      </c>
      <c r="BQ515">
        <v>1</v>
      </c>
      <c r="BR515" t="s">
        <v>7364</v>
      </c>
      <c r="BS515" t="s">
        <v>61</v>
      </c>
      <c r="BT515" t="s">
        <v>7360</v>
      </c>
      <c r="BU515" t="s">
        <v>7360</v>
      </c>
      <c r="BV515" t="s">
        <v>7360</v>
      </c>
      <c r="BX515" t="s">
        <v>7391</v>
      </c>
      <c r="BY515">
        <v>74</v>
      </c>
      <c r="BZ515" t="s">
        <v>7360</v>
      </c>
      <c r="CA515" t="s">
        <v>7360</v>
      </c>
      <c r="CC515" s="21">
        <v>44993.482233796298</v>
      </c>
      <c r="CE515" t="s">
        <v>7392</v>
      </c>
      <c r="CF515">
        <v>1100101</v>
      </c>
      <c r="CG515">
        <v>50947</v>
      </c>
      <c r="CH515">
        <v>50947</v>
      </c>
      <c r="CI515" s="21">
        <v>44993.492997685185</v>
      </c>
      <c r="CJ515" t="s">
        <v>7442</v>
      </c>
      <c r="CK515" t="s">
        <v>7442</v>
      </c>
      <c r="CL515" t="s">
        <v>7443</v>
      </c>
      <c r="CM515" t="s">
        <v>7443</v>
      </c>
      <c r="CS515" t="s">
        <v>7361</v>
      </c>
      <c r="CT515" t="s">
        <v>7362</v>
      </c>
      <c r="CU515" t="s">
        <v>7362</v>
      </c>
      <c r="CV515" t="s">
        <v>7362</v>
      </c>
      <c r="CW515" t="s">
        <v>7362</v>
      </c>
      <c r="CX515">
        <v>255000</v>
      </c>
      <c r="DA515">
        <v>0</v>
      </c>
    </row>
    <row r="516" spans="1:106" x14ac:dyDescent="0.3">
      <c r="A516">
        <v>1352</v>
      </c>
      <c r="B516" t="s">
        <v>7416</v>
      </c>
      <c r="C516">
        <v>546</v>
      </c>
      <c r="D516" s="20">
        <v>44993</v>
      </c>
      <c r="E516" t="s">
        <v>7356</v>
      </c>
      <c r="F516" t="s">
        <v>5966</v>
      </c>
      <c r="G516" t="s">
        <v>7357</v>
      </c>
      <c r="H516">
        <v>1</v>
      </c>
      <c r="I516" t="s">
        <v>7358</v>
      </c>
      <c r="J516">
        <v>1</v>
      </c>
      <c r="K516" s="20">
        <v>44993</v>
      </c>
      <c r="L516" s="23">
        <v>1655350</v>
      </c>
      <c r="M516" t="s">
        <v>7359</v>
      </c>
      <c r="N516" t="s">
        <v>7360</v>
      </c>
      <c r="O516">
        <v>0</v>
      </c>
      <c r="P516">
        <v>12870</v>
      </c>
      <c r="Q516">
        <v>450031</v>
      </c>
      <c r="R516">
        <v>0</v>
      </c>
      <c r="S516">
        <v>20230308</v>
      </c>
      <c r="T516">
        <v>0</v>
      </c>
      <c r="U516" t="s">
        <v>7361</v>
      </c>
      <c r="V516" t="s">
        <v>7360</v>
      </c>
      <c r="W516" t="s">
        <v>7360</v>
      </c>
      <c r="X516" t="s">
        <v>7360</v>
      </c>
      <c r="Y516" t="s">
        <v>7360</v>
      </c>
      <c r="Z516" t="s">
        <v>7360</v>
      </c>
      <c r="AA516" t="s">
        <v>7362</v>
      </c>
      <c r="AB516" t="s">
        <v>7360</v>
      </c>
      <c r="AC516" t="s">
        <v>7360</v>
      </c>
      <c r="AD516" t="s">
        <v>7360</v>
      </c>
      <c r="AE516" t="s">
        <v>7360</v>
      </c>
      <c r="AF516" t="s">
        <v>1684</v>
      </c>
      <c r="AG516">
        <v>0</v>
      </c>
      <c r="AH516">
        <v>0</v>
      </c>
      <c r="AI516">
        <v>0</v>
      </c>
      <c r="AJ516">
        <v>0</v>
      </c>
      <c r="AK516">
        <v>0</v>
      </c>
      <c r="AL516" t="s">
        <v>7360</v>
      </c>
      <c r="AM516">
        <v>0</v>
      </c>
      <c r="AN516" s="20">
        <v>44993</v>
      </c>
      <c r="AO516" s="20">
        <v>44993</v>
      </c>
      <c r="AP516" s="20">
        <v>44993</v>
      </c>
      <c r="AQ516">
        <v>0</v>
      </c>
      <c r="AR516">
        <v>0</v>
      </c>
      <c r="AS516">
        <v>0</v>
      </c>
      <c r="AT516">
        <v>0</v>
      </c>
      <c r="AU516">
        <v>0</v>
      </c>
      <c r="AV516" t="s">
        <v>7360</v>
      </c>
      <c r="AW516">
        <v>0</v>
      </c>
      <c r="AX516" t="s">
        <v>7360</v>
      </c>
      <c r="AY516" t="s">
        <v>7363</v>
      </c>
      <c r="BA516">
        <v>0</v>
      </c>
      <c r="BB516" s="20">
        <v>44993</v>
      </c>
      <c r="BC516">
        <v>0</v>
      </c>
      <c r="BD516" t="s">
        <v>7360</v>
      </c>
      <c r="BF516" s="20">
        <v>44993</v>
      </c>
      <c r="BG516">
        <v>0</v>
      </c>
      <c r="BH516" t="s">
        <v>7363</v>
      </c>
      <c r="BJ516" t="s">
        <v>7362</v>
      </c>
      <c r="BK516">
        <v>0</v>
      </c>
      <c r="BL516">
        <v>0</v>
      </c>
      <c r="BM516">
        <v>0</v>
      </c>
      <c r="BN516">
        <v>0</v>
      </c>
      <c r="BO516">
        <v>169</v>
      </c>
      <c r="BP516">
        <v>11</v>
      </c>
      <c r="BQ516">
        <v>1</v>
      </c>
      <c r="BR516" t="s">
        <v>7364</v>
      </c>
      <c r="BS516" t="s">
        <v>61</v>
      </c>
      <c r="BT516" t="s">
        <v>7360</v>
      </c>
      <c r="BU516" t="s">
        <v>7360</v>
      </c>
      <c r="BV516" t="s">
        <v>7360</v>
      </c>
      <c r="BX516">
        <v>0</v>
      </c>
      <c r="BY516">
        <v>0</v>
      </c>
      <c r="BZ516" t="s">
        <v>7360</v>
      </c>
      <c r="CA516" t="s">
        <v>7360</v>
      </c>
      <c r="CB516">
        <v>3380666</v>
      </c>
      <c r="CC516" s="21">
        <v>44993.496932870374</v>
      </c>
      <c r="CE516" t="s">
        <v>7366</v>
      </c>
      <c r="CF516">
        <v>0</v>
      </c>
      <c r="CG516">
        <v>702002</v>
      </c>
      <c r="CH516">
        <v>702002</v>
      </c>
      <c r="CI516" s="21">
        <v>44993.505462962959</v>
      </c>
      <c r="CJ516" t="s">
        <v>7367</v>
      </c>
      <c r="CK516" t="s">
        <v>7367</v>
      </c>
      <c r="CL516" t="s">
        <v>7368</v>
      </c>
      <c r="CM516" t="s">
        <v>7368</v>
      </c>
      <c r="CS516" t="s">
        <v>7361</v>
      </c>
      <c r="CT516" t="s">
        <v>7362</v>
      </c>
      <c r="CU516" t="s">
        <v>7362</v>
      </c>
      <c r="CV516" t="s">
        <v>7362</v>
      </c>
      <c r="CW516" t="s">
        <v>7362</v>
      </c>
      <c r="CX516">
        <v>1655350</v>
      </c>
      <c r="DA516">
        <v>0</v>
      </c>
    </row>
    <row r="517" spans="1:106" x14ac:dyDescent="0.3">
      <c r="A517">
        <v>1365</v>
      </c>
      <c r="B517" t="s">
        <v>7384</v>
      </c>
      <c r="C517">
        <v>547</v>
      </c>
      <c r="D517" s="20">
        <v>44993</v>
      </c>
      <c r="E517" t="s">
        <v>7356</v>
      </c>
      <c r="F517" t="s">
        <v>5972</v>
      </c>
      <c r="G517" t="s">
        <v>7357</v>
      </c>
      <c r="H517">
        <v>1</v>
      </c>
      <c r="I517" t="s">
        <v>7358</v>
      </c>
      <c r="J517">
        <v>1</v>
      </c>
      <c r="K517" s="20">
        <v>44993</v>
      </c>
      <c r="L517" s="23">
        <v>830620</v>
      </c>
      <c r="M517" t="s">
        <v>7359</v>
      </c>
      <c r="N517" t="s">
        <v>7360</v>
      </c>
      <c r="O517">
        <v>0</v>
      </c>
      <c r="P517">
        <v>12933</v>
      </c>
      <c r="Q517">
        <v>451005</v>
      </c>
      <c r="R517">
        <v>0</v>
      </c>
      <c r="S517">
        <v>20230308</v>
      </c>
      <c r="T517">
        <v>0</v>
      </c>
      <c r="U517" t="s">
        <v>7361</v>
      </c>
      <c r="V517" t="s">
        <v>7360</v>
      </c>
      <c r="W517" t="s">
        <v>7360</v>
      </c>
      <c r="X517" t="s">
        <v>7360</v>
      </c>
      <c r="Y517" t="s">
        <v>7360</v>
      </c>
      <c r="Z517" t="s">
        <v>7360</v>
      </c>
      <c r="AA517" t="s">
        <v>7362</v>
      </c>
      <c r="AB517" t="s">
        <v>7360</v>
      </c>
      <c r="AC517" t="s">
        <v>7360</v>
      </c>
      <c r="AD517" t="s">
        <v>7360</v>
      </c>
      <c r="AE517" t="s">
        <v>7360</v>
      </c>
      <c r="AF517" t="s">
        <v>1684</v>
      </c>
      <c r="AG517">
        <v>0</v>
      </c>
      <c r="AH517">
        <v>0</v>
      </c>
      <c r="AI517">
        <v>0</v>
      </c>
      <c r="AJ517">
        <v>0</v>
      </c>
      <c r="AK517">
        <v>0</v>
      </c>
      <c r="AL517" t="s">
        <v>7360</v>
      </c>
      <c r="AM517">
        <v>0</v>
      </c>
      <c r="AN517" s="20">
        <v>44993</v>
      </c>
      <c r="AO517" s="20">
        <v>44993</v>
      </c>
      <c r="AP517" s="20">
        <v>44993</v>
      </c>
      <c r="AQ517">
        <v>0</v>
      </c>
      <c r="AR517">
        <v>0</v>
      </c>
      <c r="AS517">
        <v>0</v>
      </c>
      <c r="AT517">
        <v>0</v>
      </c>
      <c r="AU517">
        <v>0</v>
      </c>
      <c r="AV517" t="s">
        <v>7360</v>
      </c>
      <c r="AW517">
        <v>0</v>
      </c>
      <c r="AX517" t="s">
        <v>7360</v>
      </c>
      <c r="AY517" t="s">
        <v>7363</v>
      </c>
      <c r="BA517">
        <v>0</v>
      </c>
      <c r="BB517" s="20">
        <v>44993</v>
      </c>
      <c r="BC517">
        <v>0</v>
      </c>
      <c r="BD517" t="s">
        <v>7360</v>
      </c>
      <c r="BF517" s="20">
        <v>44993</v>
      </c>
      <c r="BG517">
        <v>0</v>
      </c>
      <c r="BH517" t="s">
        <v>7363</v>
      </c>
      <c r="BJ517" t="s">
        <v>7362</v>
      </c>
      <c r="BK517">
        <v>169</v>
      </c>
      <c r="BL517">
        <v>11</v>
      </c>
      <c r="BM517">
        <v>1</v>
      </c>
      <c r="BN517" t="s">
        <v>7364</v>
      </c>
      <c r="BO517">
        <v>0</v>
      </c>
      <c r="BP517">
        <v>0</v>
      </c>
      <c r="BQ517">
        <v>0</v>
      </c>
      <c r="BR517">
        <v>0</v>
      </c>
      <c r="BS517" t="s">
        <v>7385</v>
      </c>
      <c r="BT517" t="s">
        <v>7360</v>
      </c>
      <c r="BU517" t="s">
        <v>7360</v>
      </c>
      <c r="BV517" t="s">
        <v>7360</v>
      </c>
      <c r="BX517" t="s">
        <v>7391</v>
      </c>
      <c r="BY517">
        <v>74</v>
      </c>
      <c r="BZ517" t="s">
        <v>7360</v>
      </c>
      <c r="CA517" t="s">
        <v>7360</v>
      </c>
      <c r="CC517" s="21">
        <v>44993.507754629631</v>
      </c>
      <c r="CE517" t="s">
        <v>7392</v>
      </c>
      <c r="CF517">
        <v>1100101</v>
      </c>
      <c r="CG517">
        <v>53575</v>
      </c>
      <c r="CH517">
        <v>53575</v>
      </c>
      <c r="CI517" s="21">
        <v>44993.509085648147</v>
      </c>
      <c r="CJ517" t="s">
        <v>7393</v>
      </c>
      <c r="CK517" t="s">
        <v>7393</v>
      </c>
      <c r="CL517" t="s">
        <v>7394</v>
      </c>
      <c r="CM517" t="s">
        <v>7394</v>
      </c>
      <c r="CS517" t="s">
        <v>7361</v>
      </c>
      <c r="CT517" t="s">
        <v>7362</v>
      </c>
      <c r="CU517" t="s">
        <v>7362</v>
      </c>
      <c r="CV517" t="s">
        <v>7362</v>
      </c>
      <c r="CW517" t="s">
        <v>7362</v>
      </c>
      <c r="CX517">
        <v>830620</v>
      </c>
      <c r="DA517">
        <v>0</v>
      </c>
    </row>
    <row r="518" spans="1:106" x14ac:dyDescent="0.3">
      <c r="A518">
        <v>1355</v>
      </c>
      <c r="B518" t="s">
        <v>7409</v>
      </c>
      <c r="C518">
        <v>548</v>
      </c>
      <c r="D518" s="20">
        <v>44993</v>
      </c>
      <c r="E518" t="s">
        <v>7372</v>
      </c>
      <c r="F518" t="s">
        <v>5918</v>
      </c>
      <c r="G518" t="s">
        <v>7357</v>
      </c>
      <c r="H518">
        <v>1</v>
      </c>
      <c r="I518" t="s">
        <v>7358</v>
      </c>
      <c r="J518">
        <v>1</v>
      </c>
      <c r="K518" s="20">
        <v>44993</v>
      </c>
      <c r="L518" s="23">
        <v>398650</v>
      </c>
      <c r="M518" t="s">
        <v>7359</v>
      </c>
      <c r="N518" t="s">
        <v>7360</v>
      </c>
      <c r="O518">
        <v>0</v>
      </c>
      <c r="P518">
        <v>12875</v>
      </c>
      <c r="Q518">
        <v>450036</v>
      </c>
      <c r="R518">
        <v>0</v>
      </c>
      <c r="S518">
        <v>20230308</v>
      </c>
      <c r="T518">
        <v>0</v>
      </c>
      <c r="U518" t="s">
        <v>7362</v>
      </c>
      <c r="V518" t="s">
        <v>7360</v>
      </c>
      <c r="W518" t="s">
        <v>7360</v>
      </c>
      <c r="X518" t="s">
        <v>7360</v>
      </c>
      <c r="Y518" t="s">
        <v>7360</v>
      </c>
      <c r="Z518" t="s">
        <v>7360</v>
      </c>
      <c r="AA518" t="s">
        <v>7362</v>
      </c>
      <c r="AB518" t="s">
        <v>7360</v>
      </c>
      <c r="AC518" t="s">
        <v>7360</v>
      </c>
      <c r="AD518" t="s">
        <v>7360</v>
      </c>
      <c r="AE518" t="s">
        <v>7360</v>
      </c>
      <c r="AF518" t="s">
        <v>1684</v>
      </c>
      <c r="AG518">
        <v>0</v>
      </c>
      <c r="AH518">
        <v>0</v>
      </c>
      <c r="AI518">
        <v>0</v>
      </c>
      <c r="AJ518">
        <v>0</v>
      </c>
      <c r="AK518">
        <v>0</v>
      </c>
      <c r="AL518" t="s">
        <v>7360</v>
      </c>
      <c r="AM518">
        <v>0</v>
      </c>
      <c r="AN518" s="20">
        <v>44993</v>
      </c>
      <c r="AO518" s="20">
        <v>44993</v>
      </c>
      <c r="AP518" s="20">
        <v>44993</v>
      </c>
      <c r="AQ518">
        <v>0</v>
      </c>
      <c r="AR518">
        <v>0</v>
      </c>
      <c r="AS518">
        <v>0</v>
      </c>
      <c r="AT518">
        <v>0</v>
      </c>
      <c r="AU518">
        <v>0</v>
      </c>
      <c r="AV518" t="s">
        <v>7360</v>
      </c>
      <c r="AW518">
        <v>0</v>
      </c>
      <c r="AX518" t="s">
        <v>7360</v>
      </c>
      <c r="AY518" t="s">
        <v>7362</v>
      </c>
      <c r="BA518">
        <v>0</v>
      </c>
      <c r="BB518" s="20">
        <v>44993</v>
      </c>
      <c r="BC518">
        <v>0</v>
      </c>
      <c r="BD518" t="s">
        <v>7360</v>
      </c>
      <c r="BF518" s="20">
        <v>44993</v>
      </c>
      <c r="BG518">
        <v>0</v>
      </c>
      <c r="BH518" t="s">
        <v>7363</v>
      </c>
      <c r="BJ518" t="s">
        <v>7362</v>
      </c>
      <c r="BK518">
        <v>169</v>
      </c>
      <c r="BL518">
        <v>11</v>
      </c>
      <c r="BM518">
        <v>1</v>
      </c>
      <c r="BN518" t="s">
        <v>7364</v>
      </c>
      <c r="BO518">
        <v>169</v>
      </c>
      <c r="BP518">
        <v>11</v>
      </c>
      <c r="BQ518">
        <v>1</v>
      </c>
      <c r="BR518" t="s">
        <v>7364</v>
      </c>
      <c r="BS518" t="s">
        <v>61</v>
      </c>
      <c r="BT518" t="s">
        <v>7360</v>
      </c>
      <c r="BU518" t="s">
        <v>7360</v>
      </c>
      <c r="BV518" t="s">
        <v>7360</v>
      </c>
      <c r="BX518" t="s">
        <v>7391</v>
      </c>
      <c r="BY518">
        <v>74</v>
      </c>
      <c r="BZ518" t="s">
        <v>7360</v>
      </c>
      <c r="CA518" t="s">
        <v>7360</v>
      </c>
      <c r="CB518" t="s">
        <v>7360</v>
      </c>
      <c r="CC518" s="21">
        <v>44993.527025462965</v>
      </c>
      <c r="CE518" t="s">
        <v>7392</v>
      </c>
      <c r="CF518">
        <v>1100101</v>
      </c>
      <c r="CG518">
        <v>50947</v>
      </c>
      <c r="CH518">
        <v>50947</v>
      </c>
      <c r="CI518" s="21">
        <v>45007.36550925926</v>
      </c>
      <c r="CJ518" t="s">
        <v>7442</v>
      </c>
      <c r="CK518" t="s">
        <v>7442</v>
      </c>
      <c r="CL518" t="s">
        <v>7443</v>
      </c>
      <c r="CM518" t="s">
        <v>7443</v>
      </c>
      <c r="CS518" t="s">
        <v>7361</v>
      </c>
      <c r="CT518" t="s">
        <v>7362</v>
      </c>
      <c r="CU518" t="s">
        <v>7362</v>
      </c>
      <c r="CV518" t="s">
        <v>7362</v>
      </c>
      <c r="CW518" t="s">
        <v>7362</v>
      </c>
      <c r="CX518">
        <v>398650</v>
      </c>
      <c r="DA518">
        <v>0</v>
      </c>
    </row>
    <row r="519" spans="1:106" x14ac:dyDescent="0.3">
      <c r="A519">
        <v>1354</v>
      </c>
      <c r="B519" t="s">
        <v>7396</v>
      </c>
      <c r="C519">
        <v>616</v>
      </c>
      <c r="D519" s="20">
        <v>44998</v>
      </c>
      <c r="E519" t="s">
        <v>7372</v>
      </c>
      <c r="F519" t="s">
        <v>5924</v>
      </c>
      <c r="G519" t="s">
        <v>7370</v>
      </c>
      <c r="H519">
        <v>1</v>
      </c>
      <c r="I519" t="s">
        <v>7358</v>
      </c>
      <c r="J519">
        <v>1</v>
      </c>
      <c r="K519" s="20">
        <v>44998</v>
      </c>
      <c r="L519" s="23">
        <v>30000000</v>
      </c>
      <c r="M519" t="s">
        <v>7403</v>
      </c>
      <c r="N519" t="s">
        <v>7360</v>
      </c>
      <c r="O519">
        <v>0</v>
      </c>
      <c r="P519">
        <v>12963</v>
      </c>
      <c r="Q519">
        <v>137007</v>
      </c>
      <c r="R519">
        <v>0</v>
      </c>
      <c r="S519">
        <v>20230313</v>
      </c>
      <c r="T519">
        <v>0</v>
      </c>
      <c r="U519" t="s">
        <v>7362</v>
      </c>
      <c r="V519" t="s">
        <v>7360</v>
      </c>
      <c r="W519" t="s">
        <v>7360</v>
      </c>
      <c r="X519" t="s">
        <v>7360</v>
      </c>
      <c r="Y519" t="s">
        <v>7360</v>
      </c>
      <c r="Z519" t="s">
        <v>7360</v>
      </c>
      <c r="AA519" t="s">
        <v>7362</v>
      </c>
      <c r="AB519" t="s">
        <v>7360</v>
      </c>
      <c r="AC519" t="s">
        <v>7360</v>
      </c>
      <c r="AD519" t="s">
        <v>7360</v>
      </c>
      <c r="AE519" t="s">
        <v>7360</v>
      </c>
      <c r="AF519" t="s">
        <v>1684</v>
      </c>
      <c r="AG519">
        <v>0</v>
      </c>
      <c r="AH519">
        <v>0</v>
      </c>
      <c r="AI519">
        <v>0</v>
      </c>
      <c r="AJ519">
        <v>0</v>
      </c>
      <c r="AK519">
        <v>0</v>
      </c>
      <c r="AL519" t="s">
        <v>7360</v>
      </c>
      <c r="AM519">
        <v>0</v>
      </c>
      <c r="AN519" s="20">
        <v>44998</v>
      </c>
      <c r="AO519" s="20">
        <v>44998</v>
      </c>
      <c r="AP519" s="20">
        <v>44998</v>
      </c>
      <c r="AQ519">
        <v>0</v>
      </c>
      <c r="AR519">
        <v>0</v>
      </c>
      <c r="AS519">
        <v>0</v>
      </c>
      <c r="AT519">
        <v>0</v>
      </c>
      <c r="AU519">
        <v>0</v>
      </c>
      <c r="AV519" t="s">
        <v>7360</v>
      </c>
      <c r="AW519">
        <v>0</v>
      </c>
      <c r="AX519" t="s">
        <v>7360</v>
      </c>
      <c r="AY519" t="s">
        <v>7373</v>
      </c>
      <c r="BA519">
        <v>0</v>
      </c>
      <c r="BB519" s="20">
        <v>44998</v>
      </c>
      <c r="BC519">
        <v>0</v>
      </c>
      <c r="BD519" t="s">
        <v>7360</v>
      </c>
      <c r="BE519">
        <v>243</v>
      </c>
      <c r="BF519" s="20">
        <v>44998</v>
      </c>
      <c r="BG519">
        <v>0</v>
      </c>
      <c r="BH519" t="s">
        <v>7363</v>
      </c>
      <c r="BJ519" t="s">
        <v>7362</v>
      </c>
      <c r="BK519">
        <v>169</v>
      </c>
      <c r="BL519">
        <v>11</v>
      </c>
      <c r="BM519">
        <v>1</v>
      </c>
      <c r="BN519" t="s">
        <v>7364</v>
      </c>
      <c r="BO519">
        <v>169</v>
      </c>
      <c r="BP519">
        <v>11</v>
      </c>
      <c r="BQ519">
        <v>1</v>
      </c>
      <c r="BR519" t="s">
        <v>7364</v>
      </c>
      <c r="BS519" t="s">
        <v>132</v>
      </c>
      <c r="BT519" t="s">
        <v>7360</v>
      </c>
      <c r="BU519" t="s">
        <v>7360</v>
      </c>
      <c r="BV519" t="s">
        <v>7360</v>
      </c>
      <c r="BX519" t="s">
        <v>7391</v>
      </c>
      <c r="BY519">
        <v>74</v>
      </c>
      <c r="BZ519" t="s">
        <v>7360</v>
      </c>
      <c r="CA519" t="s">
        <v>7360</v>
      </c>
      <c r="CB519">
        <v>3380666</v>
      </c>
      <c r="CC519" s="21">
        <v>45007.63140046296</v>
      </c>
      <c r="CE519" t="s">
        <v>7392</v>
      </c>
      <c r="CF519">
        <v>1100101</v>
      </c>
      <c r="CG519">
        <v>51669</v>
      </c>
      <c r="CH519">
        <v>51669</v>
      </c>
      <c r="CI519" s="21">
        <v>45007.633101851854</v>
      </c>
      <c r="CJ519" t="s">
        <v>7406</v>
      </c>
      <c r="CK519" t="s">
        <v>7406</v>
      </c>
      <c r="CL519" t="s">
        <v>7407</v>
      </c>
      <c r="CM519" t="s">
        <v>7407</v>
      </c>
      <c r="CS519" t="s">
        <v>7361</v>
      </c>
      <c r="CT519" t="s">
        <v>7362</v>
      </c>
      <c r="CU519" t="s">
        <v>7362</v>
      </c>
      <c r="CV519" t="s">
        <v>7362</v>
      </c>
      <c r="CW519" t="s">
        <v>7362</v>
      </c>
      <c r="CX519">
        <v>30000000</v>
      </c>
      <c r="DA519">
        <v>0</v>
      </c>
      <c r="DB519">
        <v>140001</v>
      </c>
    </row>
    <row r="520" spans="1:106" x14ac:dyDescent="0.3">
      <c r="A520">
        <v>1357</v>
      </c>
      <c r="B520" t="s">
        <v>7405</v>
      </c>
      <c r="C520">
        <v>550</v>
      </c>
      <c r="D520" s="20">
        <v>44993</v>
      </c>
      <c r="E520" t="s">
        <v>7356</v>
      </c>
      <c r="F520" t="s">
        <v>5929</v>
      </c>
      <c r="G520" t="s">
        <v>7357</v>
      </c>
      <c r="H520">
        <v>1</v>
      </c>
      <c r="I520" t="s">
        <v>7358</v>
      </c>
      <c r="J520">
        <v>1</v>
      </c>
      <c r="K520" s="20">
        <v>44993</v>
      </c>
      <c r="L520" s="23">
        <v>4649998</v>
      </c>
      <c r="M520" t="s">
        <v>7359</v>
      </c>
      <c r="N520" t="s">
        <v>7360</v>
      </c>
      <c r="O520">
        <v>0</v>
      </c>
      <c r="P520">
        <v>12823</v>
      </c>
      <c r="Q520">
        <v>450020</v>
      </c>
      <c r="R520">
        <v>0</v>
      </c>
      <c r="S520">
        <v>20230308</v>
      </c>
      <c r="T520">
        <v>0</v>
      </c>
      <c r="U520" t="s">
        <v>7361</v>
      </c>
      <c r="V520" t="s">
        <v>7360</v>
      </c>
      <c r="W520" t="s">
        <v>7360</v>
      </c>
      <c r="X520" t="s">
        <v>7360</v>
      </c>
      <c r="Y520" t="s">
        <v>7360</v>
      </c>
      <c r="Z520" t="s">
        <v>7360</v>
      </c>
      <c r="AA520" t="s">
        <v>7362</v>
      </c>
      <c r="AB520" t="s">
        <v>7360</v>
      </c>
      <c r="AC520" t="s">
        <v>7360</v>
      </c>
      <c r="AD520" t="s">
        <v>7360</v>
      </c>
      <c r="AE520" t="s">
        <v>7360</v>
      </c>
      <c r="AF520" t="s">
        <v>1684</v>
      </c>
      <c r="AG520">
        <v>0</v>
      </c>
      <c r="AH520">
        <v>0</v>
      </c>
      <c r="AI520">
        <v>0</v>
      </c>
      <c r="AJ520">
        <v>0</v>
      </c>
      <c r="AK520">
        <v>0</v>
      </c>
      <c r="AL520" t="s">
        <v>7360</v>
      </c>
      <c r="AM520">
        <v>0</v>
      </c>
      <c r="AN520" s="20">
        <v>44993</v>
      </c>
      <c r="AO520" s="20">
        <v>44993</v>
      </c>
      <c r="AP520" s="20">
        <v>44993</v>
      </c>
      <c r="AQ520">
        <v>0</v>
      </c>
      <c r="AR520">
        <v>0</v>
      </c>
      <c r="AS520">
        <v>0</v>
      </c>
      <c r="AT520">
        <v>0</v>
      </c>
      <c r="AU520">
        <v>0</v>
      </c>
      <c r="AV520" t="s">
        <v>7360</v>
      </c>
      <c r="AW520">
        <v>0</v>
      </c>
      <c r="AX520" t="s">
        <v>7360</v>
      </c>
      <c r="AY520" t="s">
        <v>7363</v>
      </c>
      <c r="BA520">
        <v>0</v>
      </c>
      <c r="BB520" s="20">
        <v>44993</v>
      </c>
      <c r="BC520">
        <v>0</v>
      </c>
      <c r="BD520" t="s">
        <v>7360</v>
      </c>
      <c r="BF520" s="20">
        <v>44993</v>
      </c>
      <c r="BG520">
        <v>0</v>
      </c>
      <c r="BH520" t="s">
        <v>1684</v>
      </c>
      <c r="BJ520" t="s">
        <v>7362</v>
      </c>
      <c r="BK520">
        <v>0</v>
      </c>
      <c r="BL520">
        <v>0</v>
      </c>
      <c r="BM520">
        <v>0</v>
      </c>
      <c r="BN520">
        <v>0</v>
      </c>
      <c r="BO520">
        <v>169</v>
      </c>
      <c r="BP520">
        <v>11</v>
      </c>
      <c r="BQ520">
        <v>1</v>
      </c>
      <c r="BR520" t="s">
        <v>7364</v>
      </c>
      <c r="BS520" t="s">
        <v>7382</v>
      </c>
      <c r="BT520" t="s">
        <v>7360</v>
      </c>
      <c r="BU520" t="s">
        <v>7360</v>
      </c>
      <c r="BV520" t="s">
        <v>7360</v>
      </c>
      <c r="BX520">
        <v>0</v>
      </c>
      <c r="BY520">
        <v>0</v>
      </c>
      <c r="BZ520" t="s">
        <v>7360</v>
      </c>
      <c r="CA520" t="s">
        <v>7360</v>
      </c>
      <c r="CB520">
        <v>3380666</v>
      </c>
      <c r="CC520" s="21">
        <v>44993.53802083333</v>
      </c>
      <c r="CE520" t="s">
        <v>7366</v>
      </c>
      <c r="CF520">
        <v>0</v>
      </c>
      <c r="CG520">
        <v>702002</v>
      </c>
      <c r="CH520">
        <v>702002</v>
      </c>
      <c r="CI520" s="21">
        <v>44993.541747685187</v>
      </c>
      <c r="CJ520" t="s">
        <v>7367</v>
      </c>
      <c r="CK520" t="s">
        <v>7367</v>
      </c>
      <c r="CL520" t="s">
        <v>7368</v>
      </c>
      <c r="CM520" t="s">
        <v>7368</v>
      </c>
      <c r="CS520" t="s">
        <v>7361</v>
      </c>
      <c r="CT520" t="s">
        <v>7362</v>
      </c>
      <c r="CU520" t="s">
        <v>7362</v>
      </c>
      <c r="CV520" t="s">
        <v>7362</v>
      </c>
      <c r="CW520" t="s">
        <v>7362</v>
      </c>
      <c r="CX520">
        <v>4649998</v>
      </c>
      <c r="DA520">
        <v>0</v>
      </c>
    </row>
    <row r="521" spans="1:106" x14ac:dyDescent="0.3">
      <c r="A521">
        <v>1357</v>
      </c>
      <c r="B521" t="s">
        <v>7405</v>
      </c>
      <c r="C521">
        <v>551</v>
      </c>
      <c r="D521" s="20">
        <v>44993</v>
      </c>
      <c r="E521" t="s">
        <v>7356</v>
      </c>
      <c r="F521" t="s">
        <v>5934</v>
      </c>
      <c r="G521" t="s">
        <v>7357</v>
      </c>
      <c r="H521">
        <v>1</v>
      </c>
      <c r="I521" t="s">
        <v>7358</v>
      </c>
      <c r="J521">
        <v>1</v>
      </c>
      <c r="K521" s="20">
        <v>44993</v>
      </c>
      <c r="L521" s="23">
        <v>5544166</v>
      </c>
      <c r="M521" t="s">
        <v>7359</v>
      </c>
      <c r="N521" t="s">
        <v>7360</v>
      </c>
      <c r="O521">
        <v>0</v>
      </c>
      <c r="P521">
        <v>12898</v>
      </c>
      <c r="Q521">
        <v>450053</v>
      </c>
      <c r="R521">
        <v>0</v>
      </c>
      <c r="S521">
        <v>20230308</v>
      </c>
      <c r="T521">
        <v>0</v>
      </c>
      <c r="U521" t="s">
        <v>7361</v>
      </c>
      <c r="V521" t="s">
        <v>7360</v>
      </c>
      <c r="W521" t="s">
        <v>7360</v>
      </c>
      <c r="X521" t="s">
        <v>7360</v>
      </c>
      <c r="Y521" t="s">
        <v>7360</v>
      </c>
      <c r="Z521" t="s">
        <v>7360</v>
      </c>
      <c r="AA521" t="s">
        <v>7362</v>
      </c>
      <c r="AB521" t="s">
        <v>7360</v>
      </c>
      <c r="AC521" t="s">
        <v>7360</v>
      </c>
      <c r="AD521" t="s">
        <v>7360</v>
      </c>
      <c r="AE521" t="s">
        <v>7360</v>
      </c>
      <c r="AF521" t="s">
        <v>1684</v>
      </c>
      <c r="AG521">
        <v>0</v>
      </c>
      <c r="AH521">
        <v>0</v>
      </c>
      <c r="AI521">
        <v>0</v>
      </c>
      <c r="AJ521">
        <v>0</v>
      </c>
      <c r="AK521">
        <v>0</v>
      </c>
      <c r="AL521" t="s">
        <v>7360</v>
      </c>
      <c r="AM521">
        <v>0</v>
      </c>
      <c r="AN521" s="20">
        <v>44993</v>
      </c>
      <c r="AO521" s="20">
        <v>44993</v>
      </c>
      <c r="AP521" s="20">
        <v>44993</v>
      </c>
      <c r="AQ521">
        <v>0</v>
      </c>
      <c r="AR521">
        <v>0</v>
      </c>
      <c r="AS521">
        <v>0</v>
      </c>
      <c r="AT521">
        <v>0</v>
      </c>
      <c r="AU521">
        <v>0</v>
      </c>
      <c r="AV521" t="s">
        <v>7360</v>
      </c>
      <c r="AW521">
        <v>0</v>
      </c>
      <c r="AX521" t="s">
        <v>7360</v>
      </c>
      <c r="AY521" t="s">
        <v>7363</v>
      </c>
      <c r="BA521">
        <v>0</v>
      </c>
      <c r="BB521" s="20">
        <v>44993</v>
      </c>
      <c r="BC521">
        <v>0</v>
      </c>
      <c r="BD521" t="s">
        <v>7360</v>
      </c>
      <c r="BF521" s="20">
        <v>44993</v>
      </c>
      <c r="BG521">
        <v>0</v>
      </c>
      <c r="BH521" t="s">
        <v>1684</v>
      </c>
      <c r="BJ521" t="s">
        <v>7362</v>
      </c>
      <c r="BK521">
        <v>0</v>
      </c>
      <c r="BL521">
        <v>0</v>
      </c>
      <c r="BM521">
        <v>0</v>
      </c>
      <c r="BN521">
        <v>0</v>
      </c>
      <c r="BO521">
        <v>169</v>
      </c>
      <c r="BP521">
        <v>11</v>
      </c>
      <c r="BQ521">
        <v>1</v>
      </c>
      <c r="BR521" t="s">
        <v>7364</v>
      </c>
      <c r="BS521" t="s">
        <v>7382</v>
      </c>
      <c r="BT521" t="s">
        <v>7360</v>
      </c>
      <c r="BU521" t="s">
        <v>7360</v>
      </c>
      <c r="BV521" t="s">
        <v>7360</v>
      </c>
      <c r="BX521">
        <v>0</v>
      </c>
      <c r="BY521">
        <v>0</v>
      </c>
      <c r="BZ521" t="s">
        <v>7360</v>
      </c>
      <c r="CA521" t="s">
        <v>7360</v>
      </c>
      <c r="CB521" t="s">
        <v>7360</v>
      </c>
      <c r="CC521" s="21">
        <v>44993.586481481485</v>
      </c>
      <c r="CD521">
        <v>3380666</v>
      </c>
      <c r="CE521" t="s">
        <v>7366</v>
      </c>
      <c r="CF521">
        <v>0</v>
      </c>
      <c r="CG521">
        <v>702002</v>
      </c>
      <c r="CH521">
        <v>702002</v>
      </c>
      <c r="CI521" s="21">
        <v>44993.589143518519</v>
      </c>
      <c r="CJ521" t="s">
        <v>7367</v>
      </c>
      <c r="CK521" t="s">
        <v>7367</v>
      </c>
      <c r="CL521" t="s">
        <v>7368</v>
      </c>
      <c r="CM521" t="s">
        <v>7368</v>
      </c>
      <c r="CS521" t="s">
        <v>7361</v>
      </c>
      <c r="CT521" t="s">
        <v>7362</v>
      </c>
      <c r="CU521" t="s">
        <v>7362</v>
      </c>
      <c r="CV521" t="s">
        <v>7362</v>
      </c>
      <c r="CW521" t="s">
        <v>7362</v>
      </c>
      <c r="CX521">
        <v>5544166</v>
      </c>
      <c r="DA521">
        <v>0</v>
      </c>
    </row>
    <row r="522" spans="1:106" x14ac:dyDescent="0.3">
      <c r="A522">
        <v>1357</v>
      </c>
      <c r="B522" t="s">
        <v>7405</v>
      </c>
      <c r="C522">
        <v>552</v>
      </c>
      <c r="D522" s="20">
        <v>44993</v>
      </c>
      <c r="E522" t="s">
        <v>7397</v>
      </c>
      <c r="F522" t="s">
        <v>5940</v>
      </c>
      <c r="G522" t="s">
        <v>7357</v>
      </c>
      <c r="H522">
        <v>1</v>
      </c>
      <c r="I522" t="s">
        <v>7358</v>
      </c>
      <c r="J522">
        <v>1</v>
      </c>
      <c r="K522" s="20">
        <v>44993</v>
      </c>
      <c r="L522" s="23">
        <v>2593090</v>
      </c>
      <c r="M522" t="s">
        <v>7398</v>
      </c>
      <c r="N522" t="s">
        <v>7360</v>
      </c>
      <c r="O522">
        <v>0</v>
      </c>
      <c r="P522">
        <v>12942</v>
      </c>
      <c r="R522">
        <v>0</v>
      </c>
      <c r="S522">
        <v>20230308</v>
      </c>
      <c r="T522">
        <v>0</v>
      </c>
      <c r="U522" t="s">
        <v>7362</v>
      </c>
      <c r="V522" t="s">
        <v>7360</v>
      </c>
      <c r="W522" t="s">
        <v>7360</v>
      </c>
      <c r="X522" t="s">
        <v>7360</v>
      </c>
      <c r="Y522" t="s">
        <v>7360</v>
      </c>
      <c r="Z522" t="s">
        <v>7360</v>
      </c>
      <c r="AA522" t="s">
        <v>1684</v>
      </c>
      <c r="AB522" t="s">
        <v>7360</v>
      </c>
      <c r="AC522" t="s">
        <v>7360</v>
      </c>
      <c r="AD522" t="s">
        <v>7360</v>
      </c>
      <c r="AE522" t="s">
        <v>7360</v>
      </c>
      <c r="AF522" t="s">
        <v>1684</v>
      </c>
      <c r="AG522">
        <v>0</v>
      </c>
      <c r="AH522">
        <v>0</v>
      </c>
      <c r="AI522">
        <v>0</v>
      </c>
      <c r="AJ522">
        <v>0</v>
      </c>
      <c r="AK522">
        <v>0</v>
      </c>
      <c r="AL522" t="s">
        <v>7360</v>
      </c>
      <c r="AM522">
        <v>0</v>
      </c>
      <c r="AN522" s="20">
        <v>44993</v>
      </c>
      <c r="AO522" s="20">
        <v>44993</v>
      </c>
      <c r="AP522" s="20">
        <v>44993</v>
      </c>
      <c r="AQ522">
        <v>0</v>
      </c>
      <c r="AR522">
        <v>0</v>
      </c>
      <c r="AS522">
        <v>0</v>
      </c>
      <c r="AT522">
        <v>0</v>
      </c>
      <c r="AU522">
        <v>0</v>
      </c>
      <c r="AV522" t="s">
        <v>7360</v>
      </c>
      <c r="AW522">
        <v>0</v>
      </c>
      <c r="AX522" t="s">
        <v>7360</v>
      </c>
      <c r="AY522" t="s">
        <v>7362</v>
      </c>
      <c r="BA522">
        <v>0</v>
      </c>
      <c r="BB522" s="20">
        <v>44993</v>
      </c>
      <c r="BC522">
        <v>0</v>
      </c>
      <c r="BD522" t="s">
        <v>7360</v>
      </c>
      <c r="BF522" s="20">
        <v>44993</v>
      </c>
      <c r="BG522">
        <v>0</v>
      </c>
      <c r="BH522" t="s">
        <v>1684</v>
      </c>
      <c r="BJ522" t="s">
        <v>7362</v>
      </c>
      <c r="BK522">
        <v>0</v>
      </c>
      <c r="BL522">
        <v>0</v>
      </c>
      <c r="BM522">
        <v>0</v>
      </c>
      <c r="BN522">
        <v>0</v>
      </c>
      <c r="BO522">
        <v>169</v>
      </c>
      <c r="BP522">
        <v>11</v>
      </c>
      <c r="BQ522">
        <v>1</v>
      </c>
      <c r="BR522" t="s">
        <v>7364</v>
      </c>
      <c r="BS522" t="s">
        <v>7382</v>
      </c>
      <c r="BT522" t="s">
        <v>7360</v>
      </c>
      <c r="BU522" t="s">
        <v>7360</v>
      </c>
      <c r="BV522" t="s">
        <v>7360</v>
      </c>
      <c r="BX522">
        <v>0</v>
      </c>
      <c r="BY522">
        <v>0</v>
      </c>
      <c r="BZ522" t="s">
        <v>7360</v>
      </c>
      <c r="CA522" t="s">
        <v>7360</v>
      </c>
      <c r="CB522">
        <v>3380666</v>
      </c>
      <c r="CC522" s="21">
        <v>44993.592627314814</v>
      </c>
      <c r="CE522" t="s">
        <v>7366</v>
      </c>
      <c r="CF522">
        <v>0</v>
      </c>
      <c r="CG522">
        <v>702002</v>
      </c>
      <c r="CH522">
        <v>702002</v>
      </c>
      <c r="CI522" s="21">
        <v>44993.596967592595</v>
      </c>
      <c r="CJ522" t="s">
        <v>7367</v>
      </c>
      <c r="CK522" t="s">
        <v>7367</v>
      </c>
      <c r="CL522" t="s">
        <v>7368</v>
      </c>
      <c r="CM522" t="s">
        <v>7368</v>
      </c>
      <c r="CS522" t="s">
        <v>7361</v>
      </c>
      <c r="CT522" t="s">
        <v>7362</v>
      </c>
      <c r="CU522" t="s">
        <v>7362</v>
      </c>
      <c r="CV522" t="s">
        <v>7362</v>
      </c>
      <c r="CW522" t="s">
        <v>7362</v>
      </c>
      <c r="CX522">
        <v>2593090</v>
      </c>
      <c r="DA522">
        <v>0</v>
      </c>
    </row>
    <row r="523" spans="1:106" x14ac:dyDescent="0.3">
      <c r="A523">
        <v>1355</v>
      </c>
      <c r="B523" t="s">
        <v>7409</v>
      </c>
      <c r="C523">
        <v>553</v>
      </c>
      <c r="D523" s="20">
        <v>44993</v>
      </c>
      <c r="E523" t="s">
        <v>7372</v>
      </c>
      <c r="F523" t="s">
        <v>5918</v>
      </c>
      <c r="G523" t="s">
        <v>7357</v>
      </c>
      <c r="H523">
        <v>1</v>
      </c>
      <c r="I523" t="s">
        <v>7358</v>
      </c>
      <c r="J523">
        <v>1</v>
      </c>
      <c r="K523" s="20">
        <v>44993</v>
      </c>
      <c r="L523" s="23">
        <v>797300</v>
      </c>
      <c r="M523" t="s">
        <v>7359</v>
      </c>
      <c r="N523" t="s">
        <v>7360</v>
      </c>
      <c r="O523">
        <v>0</v>
      </c>
      <c r="P523">
        <v>12882</v>
      </c>
      <c r="Q523">
        <v>450038</v>
      </c>
      <c r="R523">
        <v>0</v>
      </c>
      <c r="S523">
        <v>20230308</v>
      </c>
      <c r="T523">
        <v>0</v>
      </c>
      <c r="U523" t="s">
        <v>7362</v>
      </c>
      <c r="V523" t="s">
        <v>7360</v>
      </c>
      <c r="W523" t="s">
        <v>7360</v>
      </c>
      <c r="X523" t="s">
        <v>7360</v>
      </c>
      <c r="Y523" t="s">
        <v>7360</v>
      </c>
      <c r="Z523" t="s">
        <v>7360</v>
      </c>
      <c r="AA523" t="s">
        <v>7362</v>
      </c>
      <c r="AB523" t="s">
        <v>7360</v>
      </c>
      <c r="AC523" t="s">
        <v>7360</v>
      </c>
      <c r="AD523" t="s">
        <v>7360</v>
      </c>
      <c r="AE523" t="s">
        <v>7360</v>
      </c>
      <c r="AF523" t="s">
        <v>1684</v>
      </c>
      <c r="AG523">
        <v>0</v>
      </c>
      <c r="AH523">
        <v>0</v>
      </c>
      <c r="AI523">
        <v>0</v>
      </c>
      <c r="AJ523">
        <v>0</v>
      </c>
      <c r="AK523">
        <v>0</v>
      </c>
      <c r="AL523" t="s">
        <v>7360</v>
      </c>
      <c r="AM523">
        <v>0</v>
      </c>
      <c r="AN523" s="20">
        <v>44993</v>
      </c>
      <c r="AO523" s="20">
        <v>44993</v>
      </c>
      <c r="AP523" s="20">
        <v>44993</v>
      </c>
      <c r="AQ523">
        <v>0</v>
      </c>
      <c r="AR523">
        <v>0</v>
      </c>
      <c r="AS523">
        <v>0</v>
      </c>
      <c r="AT523">
        <v>0</v>
      </c>
      <c r="AU523">
        <v>0</v>
      </c>
      <c r="AV523" t="s">
        <v>7360</v>
      </c>
      <c r="AW523">
        <v>0</v>
      </c>
      <c r="AX523" t="s">
        <v>7360</v>
      </c>
      <c r="AY523" t="s">
        <v>7362</v>
      </c>
      <c r="BA523">
        <v>0</v>
      </c>
      <c r="BB523" s="20">
        <v>44993</v>
      </c>
      <c r="BC523">
        <v>0</v>
      </c>
      <c r="BD523" t="s">
        <v>7360</v>
      </c>
      <c r="BF523" s="20">
        <v>44993</v>
      </c>
      <c r="BG523">
        <v>0</v>
      </c>
      <c r="BH523" t="s">
        <v>7363</v>
      </c>
      <c r="BJ523" t="s">
        <v>7362</v>
      </c>
      <c r="BK523">
        <v>169</v>
      </c>
      <c r="BL523">
        <v>11</v>
      </c>
      <c r="BM523">
        <v>1</v>
      </c>
      <c r="BN523" t="s">
        <v>7364</v>
      </c>
      <c r="BO523">
        <v>169</v>
      </c>
      <c r="BP523">
        <v>11</v>
      </c>
      <c r="BQ523">
        <v>1</v>
      </c>
      <c r="BR523" t="s">
        <v>7364</v>
      </c>
      <c r="BS523" t="s">
        <v>61</v>
      </c>
      <c r="BT523" t="s">
        <v>7360</v>
      </c>
      <c r="BU523" t="s">
        <v>7360</v>
      </c>
      <c r="BV523" t="s">
        <v>7360</v>
      </c>
      <c r="BX523" t="s">
        <v>7391</v>
      </c>
      <c r="BY523">
        <v>74</v>
      </c>
      <c r="BZ523" t="s">
        <v>7360</v>
      </c>
      <c r="CA523" t="s">
        <v>7360</v>
      </c>
      <c r="CB523" t="s">
        <v>7360</v>
      </c>
      <c r="CC523" s="21">
        <v>44993.599907407406</v>
      </c>
      <c r="CE523" t="s">
        <v>7392</v>
      </c>
      <c r="CF523">
        <v>1100101</v>
      </c>
      <c r="CG523">
        <v>50947</v>
      </c>
      <c r="CH523">
        <v>50947</v>
      </c>
      <c r="CI523" s="21">
        <v>44993.6012962963</v>
      </c>
      <c r="CJ523" t="s">
        <v>7442</v>
      </c>
      <c r="CK523" t="s">
        <v>7442</v>
      </c>
      <c r="CL523" t="s">
        <v>7443</v>
      </c>
      <c r="CM523" t="s">
        <v>7443</v>
      </c>
      <c r="CS523" t="s">
        <v>7361</v>
      </c>
      <c r="CT523" t="s">
        <v>7362</v>
      </c>
      <c r="CU523" t="s">
        <v>7362</v>
      </c>
      <c r="CV523" t="s">
        <v>7362</v>
      </c>
      <c r="CW523" t="s">
        <v>7362</v>
      </c>
      <c r="CX523">
        <v>797300</v>
      </c>
      <c r="DA523">
        <v>0</v>
      </c>
    </row>
    <row r="524" spans="1:106" x14ac:dyDescent="0.3">
      <c r="A524">
        <v>1354</v>
      </c>
      <c r="B524" t="s">
        <v>7396</v>
      </c>
      <c r="C524">
        <v>554</v>
      </c>
      <c r="D524" s="20">
        <v>44993</v>
      </c>
      <c r="E524" t="s">
        <v>7356</v>
      </c>
      <c r="F524" t="s">
        <v>5924</v>
      </c>
      <c r="G524" t="s">
        <v>7370</v>
      </c>
      <c r="H524">
        <v>1</v>
      </c>
      <c r="I524" t="s">
        <v>7358</v>
      </c>
      <c r="J524">
        <v>1</v>
      </c>
      <c r="K524" s="20">
        <v>44993</v>
      </c>
      <c r="L524" s="23">
        <v>2850000</v>
      </c>
      <c r="M524" t="s">
        <v>7359</v>
      </c>
      <c r="N524" t="s">
        <v>7360</v>
      </c>
      <c r="O524">
        <v>0</v>
      </c>
      <c r="P524">
        <v>12893</v>
      </c>
      <c r="Q524">
        <v>450047</v>
      </c>
      <c r="R524">
        <v>0</v>
      </c>
      <c r="S524">
        <v>20230308</v>
      </c>
      <c r="T524">
        <v>0</v>
      </c>
      <c r="U524" t="s">
        <v>7361</v>
      </c>
      <c r="V524" t="s">
        <v>7360</v>
      </c>
      <c r="W524" t="s">
        <v>7360</v>
      </c>
      <c r="X524" t="s">
        <v>7360</v>
      </c>
      <c r="Y524" t="s">
        <v>7360</v>
      </c>
      <c r="Z524" t="s">
        <v>7360</v>
      </c>
      <c r="AA524" t="s">
        <v>7362</v>
      </c>
      <c r="AB524" t="s">
        <v>7360</v>
      </c>
      <c r="AC524" t="s">
        <v>7360</v>
      </c>
      <c r="AD524" t="s">
        <v>7360</v>
      </c>
      <c r="AE524" t="s">
        <v>7360</v>
      </c>
      <c r="AF524" t="s">
        <v>1684</v>
      </c>
      <c r="AG524">
        <v>0</v>
      </c>
      <c r="AH524">
        <v>0</v>
      </c>
      <c r="AI524">
        <v>0</v>
      </c>
      <c r="AJ524">
        <v>0</v>
      </c>
      <c r="AK524">
        <v>0</v>
      </c>
      <c r="AL524" t="s">
        <v>7360</v>
      </c>
      <c r="AM524">
        <v>0</v>
      </c>
      <c r="AN524" s="20">
        <v>44993</v>
      </c>
      <c r="AO524" s="20">
        <v>44993</v>
      </c>
      <c r="AP524" s="20">
        <v>44993</v>
      </c>
      <c r="AQ524">
        <v>0</v>
      </c>
      <c r="AR524">
        <v>0</v>
      </c>
      <c r="AS524">
        <v>0</v>
      </c>
      <c r="AT524">
        <v>0</v>
      </c>
      <c r="AU524">
        <v>0</v>
      </c>
      <c r="AV524" t="s">
        <v>7360</v>
      </c>
      <c r="AW524">
        <v>0</v>
      </c>
      <c r="AX524" t="s">
        <v>7360</v>
      </c>
      <c r="AY524" t="s">
        <v>7363</v>
      </c>
      <c r="BA524">
        <v>0</v>
      </c>
      <c r="BB524" s="20">
        <v>44993</v>
      </c>
      <c r="BC524">
        <v>0</v>
      </c>
      <c r="BD524" t="s">
        <v>7360</v>
      </c>
      <c r="BF524" s="20">
        <v>44993</v>
      </c>
      <c r="BG524">
        <v>0</v>
      </c>
      <c r="BH524" t="s">
        <v>7363</v>
      </c>
      <c r="BJ524" t="s">
        <v>7362</v>
      </c>
      <c r="BK524">
        <v>169</v>
      </c>
      <c r="BL524">
        <v>11</v>
      </c>
      <c r="BM524">
        <v>1</v>
      </c>
      <c r="BN524" t="s">
        <v>7364</v>
      </c>
      <c r="BO524">
        <v>169</v>
      </c>
      <c r="BP524">
        <v>11</v>
      </c>
      <c r="BQ524">
        <v>1</v>
      </c>
      <c r="BR524" t="s">
        <v>7364</v>
      </c>
      <c r="BS524" t="s">
        <v>7365</v>
      </c>
      <c r="BT524" t="s">
        <v>7360</v>
      </c>
      <c r="BU524" t="s">
        <v>7360</v>
      </c>
      <c r="BV524" t="s">
        <v>7360</v>
      </c>
      <c r="BX524" t="s">
        <v>7391</v>
      </c>
      <c r="BY524">
        <v>74</v>
      </c>
      <c r="BZ524" t="s">
        <v>7360</v>
      </c>
      <c r="CA524" t="s">
        <v>7360</v>
      </c>
      <c r="CB524" t="s">
        <v>7360</v>
      </c>
      <c r="CC524" s="21">
        <v>44993.606145833335</v>
      </c>
      <c r="CE524" t="s">
        <v>7392</v>
      </c>
      <c r="CF524">
        <v>1100101</v>
      </c>
      <c r="CG524">
        <v>50947</v>
      </c>
      <c r="CH524">
        <v>50947</v>
      </c>
      <c r="CI524" s="21">
        <v>44993.608703703707</v>
      </c>
      <c r="CJ524" t="s">
        <v>7442</v>
      </c>
      <c r="CK524" t="s">
        <v>7442</v>
      </c>
      <c r="CL524" t="s">
        <v>7443</v>
      </c>
      <c r="CM524" t="s">
        <v>7443</v>
      </c>
      <c r="CS524" t="s">
        <v>7361</v>
      </c>
      <c r="CT524" t="s">
        <v>7362</v>
      </c>
      <c r="CU524" t="s">
        <v>7362</v>
      </c>
      <c r="CV524" t="s">
        <v>7362</v>
      </c>
      <c r="CW524" t="s">
        <v>7362</v>
      </c>
      <c r="CX524">
        <v>2850000</v>
      </c>
      <c r="DA524">
        <v>0</v>
      </c>
    </row>
    <row r="525" spans="1:106" x14ac:dyDescent="0.3">
      <c r="A525">
        <v>1372</v>
      </c>
      <c r="B525" t="s">
        <v>7369</v>
      </c>
      <c r="C525">
        <v>555</v>
      </c>
      <c r="D525" s="20">
        <v>44993</v>
      </c>
      <c r="E525" t="s">
        <v>7372</v>
      </c>
      <c r="F525" t="s">
        <v>5929</v>
      </c>
      <c r="G525" t="s">
        <v>7357</v>
      </c>
      <c r="H525">
        <v>1</v>
      </c>
      <c r="I525" t="s">
        <v>7358</v>
      </c>
      <c r="J525">
        <v>1</v>
      </c>
      <c r="K525" s="20">
        <v>44993</v>
      </c>
      <c r="L525" s="23">
        <v>169560</v>
      </c>
      <c r="M525" t="s">
        <v>7359</v>
      </c>
      <c r="N525" t="s">
        <v>7360</v>
      </c>
      <c r="O525">
        <v>0</v>
      </c>
      <c r="P525">
        <v>12224</v>
      </c>
      <c r="Q525">
        <v>422015</v>
      </c>
      <c r="R525">
        <v>0</v>
      </c>
      <c r="S525">
        <v>20230308</v>
      </c>
      <c r="T525">
        <v>0</v>
      </c>
      <c r="U525" t="s">
        <v>7362</v>
      </c>
      <c r="V525" t="s">
        <v>7360</v>
      </c>
      <c r="W525" t="s">
        <v>7360</v>
      </c>
      <c r="X525" t="s">
        <v>7360</v>
      </c>
      <c r="Y525" t="s">
        <v>7360</v>
      </c>
      <c r="Z525" t="s">
        <v>7360</v>
      </c>
      <c r="AA525" t="s">
        <v>7362</v>
      </c>
      <c r="AB525" t="s">
        <v>7360</v>
      </c>
      <c r="AC525" t="s">
        <v>7360</v>
      </c>
      <c r="AD525" t="s">
        <v>7360</v>
      </c>
      <c r="AE525" t="s">
        <v>7360</v>
      </c>
      <c r="AF525" t="s">
        <v>1684</v>
      </c>
      <c r="AG525">
        <v>0</v>
      </c>
      <c r="AH525">
        <v>0</v>
      </c>
      <c r="AI525">
        <v>0</v>
      </c>
      <c r="AJ525">
        <v>0</v>
      </c>
      <c r="AK525">
        <v>0</v>
      </c>
      <c r="AL525" t="s">
        <v>7360</v>
      </c>
      <c r="AM525">
        <v>0</v>
      </c>
      <c r="AN525" s="20">
        <v>44993</v>
      </c>
      <c r="AO525" s="20">
        <v>44993</v>
      </c>
      <c r="AP525" s="20">
        <v>44993</v>
      </c>
      <c r="AQ525">
        <v>0</v>
      </c>
      <c r="AR525">
        <v>0</v>
      </c>
      <c r="AS525">
        <v>0</v>
      </c>
      <c r="AT525">
        <v>0</v>
      </c>
      <c r="AU525">
        <v>0</v>
      </c>
      <c r="AV525" t="s">
        <v>7360</v>
      </c>
      <c r="AW525">
        <v>0</v>
      </c>
      <c r="AX525" t="s">
        <v>7360</v>
      </c>
      <c r="AY525" t="s">
        <v>7362</v>
      </c>
      <c r="BA525">
        <v>0</v>
      </c>
      <c r="BB525" s="20">
        <v>44993</v>
      </c>
      <c r="BC525">
        <v>0</v>
      </c>
      <c r="BD525" t="s">
        <v>7360</v>
      </c>
      <c r="BF525" s="20">
        <v>44993</v>
      </c>
      <c r="BG525">
        <v>0</v>
      </c>
      <c r="BH525" t="s">
        <v>7363</v>
      </c>
      <c r="BJ525" t="s">
        <v>7362</v>
      </c>
      <c r="BK525">
        <v>169</v>
      </c>
      <c r="BL525">
        <v>11</v>
      </c>
      <c r="BM525">
        <v>1</v>
      </c>
      <c r="BN525" t="s">
        <v>7364</v>
      </c>
      <c r="BO525">
        <v>169</v>
      </c>
      <c r="BP525">
        <v>11</v>
      </c>
      <c r="BQ525">
        <v>1</v>
      </c>
      <c r="BR525" t="s">
        <v>7364</v>
      </c>
      <c r="BS525" t="s">
        <v>7365</v>
      </c>
      <c r="BT525" t="s">
        <v>7360</v>
      </c>
      <c r="BU525" t="s">
        <v>7360</v>
      </c>
      <c r="BV525" t="s">
        <v>7360</v>
      </c>
      <c r="BX525" t="s">
        <v>7391</v>
      </c>
      <c r="BY525">
        <v>74</v>
      </c>
      <c r="BZ525" t="s">
        <v>7360</v>
      </c>
      <c r="CA525" t="s">
        <v>7360</v>
      </c>
      <c r="CB525" t="s">
        <v>7360</v>
      </c>
      <c r="CC525" s="21">
        <v>44993.620636574073</v>
      </c>
      <c r="CE525" t="s">
        <v>7392</v>
      </c>
      <c r="CF525">
        <v>1100101</v>
      </c>
      <c r="CG525">
        <v>50947</v>
      </c>
      <c r="CH525">
        <v>50947</v>
      </c>
      <c r="CI525" s="21">
        <v>44993.624120370368</v>
      </c>
      <c r="CJ525" t="s">
        <v>7442</v>
      </c>
      <c r="CK525" t="s">
        <v>7442</v>
      </c>
      <c r="CL525" t="s">
        <v>7443</v>
      </c>
      <c r="CM525" t="s">
        <v>7443</v>
      </c>
      <c r="CS525" t="s">
        <v>7361</v>
      </c>
      <c r="CT525" t="s">
        <v>7362</v>
      </c>
      <c r="CU525" t="s">
        <v>7362</v>
      </c>
      <c r="CV525" t="s">
        <v>7362</v>
      </c>
      <c r="CW525" t="s">
        <v>7362</v>
      </c>
      <c r="CX525">
        <v>169560</v>
      </c>
      <c r="DA525">
        <v>0</v>
      </c>
    </row>
    <row r="526" spans="1:106" x14ac:dyDescent="0.3">
      <c r="A526">
        <v>1352</v>
      </c>
      <c r="B526" t="s">
        <v>7416</v>
      </c>
      <c r="C526">
        <v>556</v>
      </c>
      <c r="D526" s="20">
        <v>44993</v>
      </c>
      <c r="E526" t="s">
        <v>7356</v>
      </c>
      <c r="F526" t="s">
        <v>5934</v>
      </c>
      <c r="G526" t="s">
        <v>7357</v>
      </c>
      <c r="H526">
        <v>1</v>
      </c>
      <c r="I526" t="s">
        <v>7358</v>
      </c>
      <c r="J526">
        <v>1</v>
      </c>
      <c r="K526" s="20">
        <v>44993</v>
      </c>
      <c r="L526" s="23">
        <v>11059936</v>
      </c>
      <c r="M526" t="s">
        <v>7359</v>
      </c>
      <c r="N526" t="s">
        <v>7360</v>
      </c>
      <c r="O526">
        <v>0</v>
      </c>
      <c r="P526">
        <v>12714</v>
      </c>
      <c r="Q526">
        <v>450028</v>
      </c>
      <c r="R526">
        <v>0</v>
      </c>
      <c r="S526">
        <v>20230308</v>
      </c>
      <c r="T526">
        <v>0</v>
      </c>
      <c r="U526" t="s">
        <v>7361</v>
      </c>
      <c r="V526" t="s">
        <v>7360</v>
      </c>
      <c r="W526" t="s">
        <v>7360</v>
      </c>
      <c r="X526" t="s">
        <v>7360</v>
      </c>
      <c r="Y526" t="s">
        <v>7360</v>
      </c>
      <c r="Z526" t="s">
        <v>7360</v>
      </c>
      <c r="AA526" t="s">
        <v>7362</v>
      </c>
      <c r="AB526" t="s">
        <v>7360</v>
      </c>
      <c r="AC526" t="s">
        <v>7360</v>
      </c>
      <c r="AD526" t="s">
        <v>7360</v>
      </c>
      <c r="AE526" t="s">
        <v>7360</v>
      </c>
      <c r="AF526" t="s">
        <v>1684</v>
      </c>
      <c r="AG526">
        <v>0</v>
      </c>
      <c r="AH526">
        <v>0</v>
      </c>
      <c r="AI526">
        <v>0</v>
      </c>
      <c r="AJ526">
        <v>0</v>
      </c>
      <c r="AK526">
        <v>0</v>
      </c>
      <c r="AL526" t="s">
        <v>7360</v>
      </c>
      <c r="AM526">
        <v>0</v>
      </c>
      <c r="AN526" s="20">
        <v>44993</v>
      </c>
      <c r="AO526" s="20">
        <v>44993</v>
      </c>
      <c r="AP526" s="20">
        <v>44993</v>
      </c>
      <c r="AQ526">
        <v>0</v>
      </c>
      <c r="AR526">
        <v>0</v>
      </c>
      <c r="AS526">
        <v>0</v>
      </c>
      <c r="AT526">
        <v>0</v>
      </c>
      <c r="AU526">
        <v>0</v>
      </c>
      <c r="AV526" t="s">
        <v>7360</v>
      </c>
      <c r="AW526">
        <v>0</v>
      </c>
      <c r="AX526" t="s">
        <v>7360</v>
      </c>
      <c r="AY526" t="s">
        <v>7363</v>
      </c>
      <c r="BA526">
        <v>0</v>
      </c>
      <c r="BB526" s="20">
        <v>44993</v>
      </c>
      <c r="BC526">
        <v>0</v>
      </c>
      <c r="BD526" t="s">
        <v>7360</v>
      </c>
      <c r="BF526" s="20">
        <v>44993</v>
      </c>
      <c r="BG526">
        <v>0</v>
      </c>
      <c r="BH526" t="s">
        <v>7363</v>
      </c>
      <c r="BJ526" t="s">
        <v>7362</v>
      </c>
      <c r="BK526">
        <v>0</v>
      </c>
      <c r="BL526">
        <v>0</v>
      </c>
      <c r="BM526">
        <v>0</v>
      </c>
      <c r="BN526">
        <v>0</v>
      </c>
      <c r="BO526">
        <v>169</v>
      </c>
      <c r="BP526">
        <v>11</v>
      </c>
      <c r="BQ526">
        <v>1</v>
      </c>
      <c r="BR526" t="s">
        <v>7364</v>
      </c>
      <c r="BS526" t="s">
        <v>61</v>
      </c>
      <c r="BT526" t="s">
        <v>7360</v>
      </c>
      <c r="BU526" t="s">
        <v>7360</v>
      </c>
      <c r="BV526" t="s">
        <v>7360</v>
      </c>
      <c r="BX526">
        <v>0</v>
      </c>
      <c r="BY526">
        <v>0</v>
      </c>
      <c r="BZ526" t="s">
        <v>7360</v>
      </c>
      <c r="CA526" t="s">
        <v>7360</v>
      </c>
      <c r="CB526">
        <v>3380666</v>
      </c>
      <c r="CC526" s="21">
        <v>44993.628680555557</v>
      </c>
      <c r="CE526" t="s">
        <v>7366</v>
      </c>
      <c r="CF526">
        <v>0</v>
      </c>
      <c r="CG526">
        <v>51669</v>
      </c>
      <c r="CH526">
        <v>51669</v>
      </c>
      <c r="CI526" s="21">
        <v>45000.345023148147</v>
      </c>
      <c r="CJ526" t="s">
        <v>7406</v>
      </c>
      <c r="CK526" t="s">
        <v>7406</v>
      </c>
      <c r="CL526" t="s">
        <v>7407</v>
      </c>
      <c r="CM526" t="s">
        <v>7407</v>
      </c>
      <c r="CS526" t="s">
        <v>7361</v>
      </c>
      <c r="CT526" t="s">
        <v>7362</v>
      </c>
      <c r="CU526" t="s">
        <v>7362</v>
      </c>
      <c r="CV526" t="s">
        <v>7362</v>
      </c>
      <c r="CW526" t="s">
        <v>7362</v>
      </c>
      <c r="CX526">
        <v>11059936</v>
      </c>
      <c r="DA526">
        <v>0</v>
      </c>
    </row>
    <row r="527" spans="1:106" x14ac:dyDescent="0.3">
      <c r="A527">
        <v>1357</v>
      </c>
      <c r="B527" t="s">
        <v>7405</v>
      </c>
      <c r="C527">
        <v>557</v>
      </c>
      <c r="D527" s="20">
        <v>44993</v>
      </c>
      <c r="E527" t="s">
        <v>7372</v>
      </c>
      <c r="F527" t="s">
        <v>5940</v>
      </c>
      <c r="G527" t="s">
        <v>7357</v>
      </c>
      <c r="H527">
        <v>1</v>
      </c>
      <c r="I527" t="s">
        <v>7358</v>
      </c>
      <c r="J527">
        <v>1</v>
      </c>
      <c r="K527" s="20">
        <v>44993</v>
      </c>
      <c r="L527" s="23">
        <v>9583492</v>
      </c>
      <c r="M527" t="s">
        <v>7359</v>
      </c>
      <c r="N527" t="s">
        <v>7360</v>
      </c>
      <c r="O527">
        <v>0</v>
      </c>
      <c r="P527">
        <v>12848</v>
      </c>
      <c r="Q527">
        <v>450022</v>
      </c>
      <c r="R527">
        <v>0</v>
      </c>
      <c r="S527">
        <v>20230308</v>
      </c>
      <c r="T527">
        <v>0</v>
      </c>
      <c r="U527" t="s">
        <v>7362</v>
      </c>
      <c r="V527" t="s">
        <v>7360</v>
      </c>
      <c r="W527" t="s">
        <v>7360</v>
      </c>
      <c r="X527" t="s">
        <v>7360</v>
      </c>
      <c r="Y527" t="s">
        <v>7360</v>
      </c>
      <c r="Z527" t="s">
        <v>7360</v>
      </c>
      <c r="AA527" t="s">
        <v>7362</v>
      </c>
      <c r="AB527" t="s">
        <v>7360</v>
      </c>
      <c r="AC527" t="s">
        <v>7360</v>
      </c>
      <c r="AD527" t="s">
        <v>7360</v>
      </c>
      <c r="AE527" t="s">
        <v>7360</v>
      </c>
      <c r="AF527" t="s">
        <v>1684</v>
      </c>
      <c r="AG527">
        <v>0</v>
      </c>
      <c r="AH527">
        <v>0</v>
      </c>
      <c r="AI527">
        <v>0</v>
      </c>
      <c r="AJ527">
        <v>0</v>
      </c>
      <c r="AK527">
        <v>0</v>
      </c>
      <c r="AL527" t="s">
        <v>7360</v>
      </c>
      <c r="AM527">
        <v>0</v>
      </c>
      <c r="AN527" s="20">
        <v>44993</v>
      </c>
      <c r="AO527" s="20">
        <v>44993</v>
      </c>
      <c r="AP527" s="20">
        <v>44993</v>
      </c>
      <c r="AQ527">
        <v>0</v>
      </c>
      <c r="AR527">
        <v>0</v>
      </c>
      <c r="AS527">
        <v>0</v>
      </c>
      <c r="AT527">
        <v>0</v>
      </c>
      <c r="AU527">
        <v>0</v>
      </c>
      <c r="AV527" t="s">
        <v>7360</v>
      </c>
      <c r="AW527">
        <v>0</v>
      </c>
      <c r="AX527" t="s">
        <v>7360</v>
      </c>
      <c r="AY527" t="s">
        <v>7362</v>
      </c>
      <c r="BA527">
        <v>0</v>
      </c>
      <c r="BB527" s="20">
        <v>44993</v>
      </c>
      <c r="BC527">
        <v>0</v>
      </c>
      <c r="BD527" t="s">
        <v>7360</v>
      </c>
      <c r="BF527" s="20">
        <v>44993</v>
      </c>
      <c r="BG527">
        <v>0</v>
      </c>
      <c r="BH527" t="s">
        <v>1684</v>
      </c>
      <c r="BJ527" t="s">
        <v>7362</v>
      </c>
      <c r="BK527">
        <v>169</v>
      </c>
      <c r="BL527">
        <v>11</v>
      </c>
      <c r="BM527">
        <v>1</v>
      </c>
      <c r="BN527" t="s">
        <v>7364</v>
      </c>
      <c r="BO527">
        <v>169</v>
      </c>
      <c r="BP527">
        <v>11</v>
      </c>
      <c r="BQ527">
        <v>1</v>
      </c>
      <c r="BR527" t="s">
        <v>7364</v>
      </c>
      <c r="BS527" t="s">
        <v>7382</v>
      </c>
      <c r="BT527" t="s">
        <v>7360</v>
      </c>
      <c r="BU527" t="s">
        <v>7360</v>
      </c>
      <c r="BV527" t="s">
        <v>7360</v>
      </c>
      <c r="BX527" t="s">
        <v>7391</v>
      </c>
      <c r="BY527">
        <v>74</v>
      </c>
      <c r="BZ527" t="s">
        <v>7360</v>
      </c>
      <c r="CA527" t="s">
        <v>7360</v>
      </c>
      <c r="CB527">
        <v>3380666</v>
      </c>
      <c r="CC527" s="21">
        <v>44993.641006944446</v>
      </c>
      <c r="CE527" t="s">
        <v>7392</v>
      </c>
      <c r="CF527">
        <v>1100101</v>
      </c>
      <c r="CG527">
        <v>51669</v>
      </c>
      <c r="CH527">
        <v>51669</v>
      </c>
      <c r="CI527" s="21">
        <v>44998.634756944448</v>
      </c>
      <c r="CJ527" t="s">
        <v>7406</v>
      </c>
      <c r="CK527" t="s">
        <v>7406</v>
      </c>
      <c r="CL527" t="s">
        <v>7407</v>
      </c>
      <c r="CM527" t="s">
        <v>7407</v>
      </c>
      <c r="CS527" t="s">
        <v>7361</v>
      </c>
      <c r="CT527" t="s">
        <v>7362</v>
      </c>
      <c r="CU527" t="s">
        <v>7362</v>
      </c>
      <c r="CV527" t="s">
        <v>7362</v>
      </c>
      <c r="CW527" t="s">
        <v>7362</v>
      </c>
      <c r="CX527">
        <v>9583492</v>
      </c>
      <c r="DA527">
        <v>0</v>
      </c>
    </row>
    <row r="528" spans="1:106" x14ac:dyDescent="0.3">
      <c r="A528">
        <v>1357</v>
      </c>
      <c r="B528" t="s">
        <v>7405</v>
      </c>
      <c r="C528">
        <v>558</v>
      </c>
      <c r="D528" s="20">
        <v>44993</v>
      </c>
      <c r="E528" t="s">
        <v>7372</v>
      </c>
      <c r="F528" t="s">
        <v>5945</v>
      </c>
      <c r="G528" t="s">
        <v>7357</v>
      </c>
      <c r="H528">
        <v>1</v>
      </c>
      <c r="I528" t="s">
        <v>7358</v>
      </c>
      <c r="J528">
        <v>1</v>
      </c>
      <c r="K528" s="20">
        <v>44993</v>
      </c>
      <c r="L528" s="23">
        <v>4054697</v>
      </c>
      <c r="M528" t="s">
        <v>7359</v>
      </c>
      <c r="N528" t="s">
        <v>7360</v>
      </c>
      <c r="O528">
        <v>0</v>
      </c>
      <c r="P528">
        <v>12849</v>
      </c>
      <c r="Q528">
        <v>450023</v>
      </c>
      <c r="R528">
        <v>0</v>
      </c>
      <c r="S528">
        <v>20230308</v>
      </c>
      <c r="T528">
        <v>0</v>
      </c>
      <c r="U528" t="s">
        <v>7362</v>
      </c>
      <c r="V528" t="s">
        <v>7360</v>
      </c>
      <c r="W528" t="s">
        <v>7360</v>
      </c>
      <c r="X528" t="s">
        <v>7360</v>
      </c>
      <c r="Y528" t="s">
        <v>7360</v>
      </c>
      <c r="Z528" t="s">
        <v>7360</v>
      </c>
      <c r="AA528" t="s">
        <v>7362</v>
      </c>
      <c r="AB528" t="s">
        <v>7360</v>
      </c>
      <c r="AC528" t="s">
        <v>7360</v>
      </c>
      <c r="AD528" t="s">
        <v>7360</v>
      </c>
      <c r="AE528" t="s">
        <v>7360</v>
      </c>
      <c r="AF528" t="s">
        <v>1684</v>
      </c>
      <c r="AG528">
        <v>0</v>
      </c>
      <c r="AH528">
        <v>0</v>
      </c>
      <c r="AI528">
        <v>0</v>
      </c>
      <c r="AJ528">
        <v>0</v>
      </c>
      <c r="AK528">
        <v>0</v>
      </c>
      <c r="AL528" t="s">
        <v>7360</v>
      </c>
      <c r="AM528">
        <v>0</v>
      </c>
      <c r="AN528" s="20">
        <v>44993</v>
      </c>
      <c r="AO528" s="20">
        <v>44993</v>
      </c>
      <c r="AP528" s="20">
        <v>44993</v>
      </c>
      <c r="AQ528">
        <v>0</v>
      </c>
      <c r="AR528">
        <v>0</v>
      </c>
      <c r="AS528">
        <v>0</v>
      </c>
      <c r="AT528">
        <v>0</v>
      </c>
      <c r="AU528">
        <v>0</v>
      </c>
      <c r="AV528" t="s">
        <v>7360</v>
      </c>
      <c r="AW528">
        <v>0</v>
      </c>
      <c r="AX528" t="s">
        <v>7360</v>
      </c>
      <c r="AY528" t="s">
        <v>7362</v>
      </c>
      <c r="BA528">
        <v>0</v>
      </c>
      <c r="BB528" s="20">
        <v>44993</v>
      </c>
      <c r="BC528">
        <v>0</v>
      </c>
      <c r="BD528" t="s">
        <v>7360</v>
      </c>
      <c r="BF528" s="20">
        <v>44993</v>
      </c>
      <c r="BG528">
        <v>0</v>
      </c>
      <c r="BH528" t="s">
        <v>1684</v>
      </c>
      <c r="BJ528" t="s">
        <v>7362</v>
      </c>
      <c r="BK528">
        <v>169</v>
      </c>
      <c r="BL528">
        <v>11</v>
      </c>
      <c r="BM528">
        <v>1</v>
      </c>
      <c r="BN528" t="s">
        <v>7364</v>
      </c>
      <c r="BO528">
        <v>169</v>
      </c>
      <c r="BP528">
        <v>11</v>
      </c>
      <c r="BQ528">
        <v>1</v>
      </c>
      <c r="BR528" t="s">
        <v>7364</v>
      </c>
      <c r="BS528" t="s">
        <v>7382</v>
      </c>
      <c r="BT528" t="s">
        <v>7360</v>
      </c>
      <c r="BU528" t="s">
        <v>7360</v>
      </c>
      <c r="BV528" t="s">
        <v>7360</v>
      </c>
      <c r="BX528" t="s">
        <v>7391</v>
      </c>
      <c r="BY528">
        <v>74</v>
      </c>
      <c r="BZ528" t="s">
        <v>7360</v>
      </c>
      <c r="CA528" t="s">
        <v>7360</v>
      </c>
      <c r="CB528">
        <v>3380666</v>
      </c>
      <c r="CC528" s="21">
        <v>44993.645868055559</v>
      </c>
      <c r="CE528" t="s">
        <v>7392</v>
      </c>
      <c r="CF528">
        <v>1100101</v>
      </c>
      <c r="CG528">
        <v>51669</v>
      </c>
      <c r="CH528">
        <v>51669</v>
      </c>
      <c r="CI528" s="21">
        <v>44993.647488425922</v>
      </c>
      <c r="CJ528" t="s">
        <v>7406</v>
      </c>
      <c r="CK528" t="s">
        <v>7406</v>
      </c>
      <c r="CL528" t="s">
        <v>7407</v>
      </c>
      <c r="CM528" t="s">
        <v>7407</v>
      </c>
      <c r="CS528" t="s">
        <v>7361</v>
      </c>
      <c r="CT528" t="s">
        <v>7362</v>
      </c>
      <c r="CU528" t="s">
        <v>7362</v>
      </c>
      <c r="CV528" t="s">
        <v>7362</v>
      </c>
      <c r="CW528" t="s">
        <v>7362</v>
      </c>
      <c r="CX528">
        <v>4054697</v>
      </c>
      <c r="DA528">
        <v>0</v>
      </c>
    </row>
    <row r="529" spans="1:106" x14ac:dyDescent="0.3">
      <c r="A529">
        <v>1354</v>
      </c>
      <c r="B529" t="s">
        <v>7396</v>
      </c>
      <c r="C529">
        <v>642</v>
      </c>
      <c r="D529" s="20">
        <v>44999</v>
      </c>
      <c r="E529" t="s">
        <v>7372</v>
      </c>
      <c r="F529" t="s">
        <v>5950</v>
      </c>
      <c r="G529" t="s">
        <v>7370</v>
      </c>
      <c r="H529">
        <v>1</v>
      </c>
      <c r="I529" t="s">
        <v>7358</v>
      </c>
      <c r="J529">
        <v>1</v>
      </c>
      <c r="K529" s="20">
        <v>44999</v>
      </c>
      <c r="L529" s="23">
        <v>30000000</v>
      </c>
      <c r="M529" t="s">
        <v>7403</v>
      </c>
      <c r="N529" t="s">
        <v>7360</v>
      </c>
      <c r="O529">
        <v>0</v>
      </c>
      <c r="P529">
        <v>12961</v>
      </c>
      <c r="Q529">
        <v>137004</v>
      </c>
      <c r="R529">
        <v>0</v>
      </c>
      <c r="S529">
        <v>20230314</v>
      </c>
      <c r="T529">
        <v>0</v>
      </c>
      <c r="U529" t="s">
        <v>7362</v>
      </c>
      <c r="V529" t="s">
        <v>7360</v>
      </c>
      <c r="W529" t="s">
        <v>7360</v>
      </c>
      <c r="X529" t="s">
        <v>7360</v>
      </c>
      <c r="Y529" t="s">
        <v>7360</v>
      </c>
      <c r="Z529" t="s">
        <v>7360</v>
      </c>
      <c r="AA529" t="s">
        <v>7362</v>
      </c>
      <c r="AB529" t="s">
        <v>7360</v>
      </c>
      <c r="AC529" t="s">
        <v>7360</v>
      </c>
      <c r="AD529" t="s">
        <v>7360</v>
      </c>
      <c r="AE529" t="s">
        <v>7360</v>
      </c>
      <c r="AF529" t="s">
        <v>1684</v>
      </c>
      <c r="AG529">
        <v>0</v>
      </c>
      <c r="AH529">
        <v>0</v>
      </c>
      <c r="AI529">
        <v>0</v>
      </c>
      <c r="AJ529">
        <v>0</v>
      </c>
      <c r="AK529">
        <v>0</v>
      </c>
      <c r="AL529" t="s">
        <v>7360</v>
      </c>
      <c r="AM529">
        <v>0</v>
      </c>
      <c r="AN529" s="20">
        <v>44999</v>
      </c>
      <c r="AO529" s="20">
        <v>44999</v>
      </c>
      <c r="AP529" s="20">
        <v>44999</v>
      </c>
      <c r="AQ529">
        <v>0</v>
      </c>
      <c r="AR529">
        <v>0</v>
      </c>
      <c r="AS529">
        <v>0</v>
      </c>
      <c r="AT529">
        <v>0</v>
      </c>
      <c r="AU529">
        <v>0</v>
      </c>
      <c r="AV529" t="s">
        <v>7360</v>
      </c>
      <c r="AW529">
        <v>0</v>
      </c>
      <c r="AX529" t="s">
        <v>7360</v>
      </c>
      <c r="AY529" t="s">
        <v>7373</v>
      </c>
      <c r="BA529">
        <v>0</v>
      </c>
      <c r="BB529" s="20">
        <v>44999</v>
      </c>
      <c r="BC529">
        <v>0</v>
      </c>
      <c r="BD529" t="s">
        <v>7360</v>
      </c>
      <c r="BE529">
        <v>240</v>
      </c>
      <c r="BF529" s="20">
        <v>44999</v>
      </c>
      <c r="BG529">
        <v>0</v>
      </c>
      <c r="BH529" t="s">
        <v>7363</v>
      </c>
      <c r="BJ529" t="s">
        <v>7362</v>
      </c>
      <c r="BK529">
        <v>169</v>
      </c>
      <c r="BL529">
        <v>11</v>
      </c>
      <c r="BM529">
        <v>1</v>
      </c>
      <c r="BN529" t="s">
        <v>7364</v>
      </c>
      <c r="BO529">
        <v>169</v>
      </c>
      <c r="BP529">
        <v>11</v>
      </c>
      <c r="BQ529">
        <v>1</v>
      </c>
      <c r="BR529" t="s">
        <v>7364</v>
      </c>
      <c r="BS529" t="s">
        <v>132</v>
      </c>
      <c r="BT529" t="s">
        <v>7360</v>
      </c>
      <c r="BU529" t="s">
        <v>7360</v>
      </c>
      <c r="BV529" t="s">
        <v>7360</v>
      </c>
      <c r="BX529" t="s">
        <v>7391</v>
      </c>
      <c r="BY529">
        <v>74</v>
      </c>
      <c r="BZ529" t="s">
        <v>7360</v>
      </c>
      <c r="CA529" t="s">
        <v>7360</v>
      </c>
      <c r="CB529">
        <v>3380666</v>
      </c>
      <c r="CC529" s="21">
        <v>45007.672939814816</v>
      </c>
      <c r="CE529" t="s">
        <v>7392</v>
      </c>
      <c r="CF529">
        <v>1100101</v>
      </c>
      <c r="CG529">
        <v>51669</v>
      </c>
      <c r="CH529">
        <v>51669</v>
      </c>
      <c r="CI529" s="21">
        <v>45007.674814814818</v>
      </c>
      <c r="CJ529" t="s">
        <v>7406</v>
      </c>
      <c r="CK529" t="s">
        <v>7406</v>
      </c>
      <c r="CL529" t="s">
        <v>7407</v>
      </c>
      <c r="CM529" t="s">
        <v>7407</v>
      </c>
      <c r="CS529" t="s">
        <v>7361</v>
      </c>
      <c r="CT529" t="s">
        <v>7362</v>
      </c>
      <c r="CU529" t="s">
        <v>7362</v>
      </c>
      <c r="CV529" t="s">
        <v>7362</v>
      </c>
      <c r="CW529" t="s">
        <v>7362</v>
      </c>
      <c r="CX529">
        <v>30000000</v>
      </c>
      <c r="DA529">
        <v>0</v>
      </c>
      <c r="DB529">
        <v>140002</v>
      </c>
    </row>
    <row r="530" spans="1:106" x14ac:dyDescent="0.3">
      <c r="A530">
        <v>1357</v>
      </c>
      <c r="B530" t="s">
        <v>7405</v>
      </c>
      <c r="C530">
        <v>560</v>
      </c>
      <c r="D530" s="20">
        <v>44993</v>
      </c>
      <c r="E530" t="s">
        <v>7356</v>
      </c>
      <c r="F530" t="s">
        <v>5956</v>
      </c>
      <c r="G530" t="s">
        <v>7357</v>
      </c>
      <c r="H530">
        <v>1</v>
      </c>
      <c r="I530" t="s">
        <v>7358</v>
      </c>
      <c r="J530">
        <v>1</v>
      </c>
      <c r="K530" s="20">
        <v>44993</v>
      </c>
      <c r="L530" s="23">
        <v>885360</v>
      </c>
      <c r="M530" t="s">
        <v>7359</v>
      </c>
      <c r="N530" t="s">
        <v>7360</v>
      </c>
      <c r="O530">
        <v>0</v>
      </c>
      <c r="P530">
        <v>12862</v>
      </c>
      <c r="Q530">
        <v>450024</v>
      </c>
      <c r="R530">
        <v>0</v>
      </c>
      <c r="S530">
        <v>20230308</v>
      </c>
      <c r="T530">
        <v>0</v>
      </c>
      <c r="U530" t="s">
        <v>7361</v>
      </c>
      <c r="V530" t="s">
        <v>7360</v>
      </c>
      <c r="W530" t="s">
        <v>7360</v>
      </c>
      <c r="X530" t="s">
        <v>7360</v>
      </c>
      <c r="Y530" t="s">
        <v>7360</v>
      </c>
      <c r="Z530" t="s">
        <v>7360</v>
      </c>
      <c r="AA530" t="s">
        <v>7362</v>
      </c>
      <c r="AB530" t="s">
        <v>7360</v>
      </c>
      <c r="AC530" t="s">
        <v>7360</v>
      </c>
      <c r="AD530" t="s">
        <v>7360</v>
      </c>
      <c r="AE530" t="s">
        <v>7360</v>
      </c>
      <c r="AF530" t="s">
        <v>1684</v>
      </c>
      <c r="AG530">
        <v>0</v>
      </c>
      <c r="AH530">
        <v>0</v>
      </c>
      <c r="AI530">
        <v>0</v>
      </c>
      <c r="AJ530">
        <v>0</v>
      </c>
      <c r="AK530">
        <v>0</v>
      </c>
      <c r="AL530" t="s">
        <v>7360</v>
      </c>
      <c r="AM530">
        <v>0</v>
      </c>
      <c r="AN530" s="20">
        <v>44993</v>
      </c>
      <c r="AO530" s="20">
        <v>44993</v>
      </c>
      <c r="AP530" s="20">
        <v>44993</v>
      </c>
      <c r="AQ530">
        <v>0</v>
      </c>
      <c r="AR530">
        <v>0</v>
      </c>
      <c r="AS530">
        <v>0</v>
      </c>
      <c r="AT530">
        <v>0</v>
      </c>
      <c r="AU530">
        <v>0</v>
      </c>
      <c r="AV530" t="s">
        <v>7360</v>
      </c>
      <c r="AW530">
        <v>0</v>
      </c>
      <c r="AX530" t="s">
        <v>7360</v>
      </c>
      <c r="AY530" t="s">
        <v>7363</v>
      </c>
      <c r="BA530">
        <v>0</v>
      </c>
      <c r="BB530" s="20">
        <v>44993</v>
      </c>
      <c r="BC530">
        <v>0</v>
      </c>
      <c r="BD530" t="s">
        <v>7360</v>
      </c>
      <c r="BF530" s="20">
        <v>44993</v>
      </c>
      <c r="BG530">
        <v>0</v>
      </c>
      <c r="BH530" t="s">
        <v>1684</v>
      </c>
      <c r="BJ530" t="s">
        <v>7362</v>
      </c>
      <c r="BK530">
        <v>169</v>
      </c>
      <c r="BL530">
        <v>11</v>
      </c>
      <c r="BM530">
        <v>1</v>
      </c>
      <c r="BN530" t="s">
        <v>7364</v>
      </c>
      <c r="BO530">
        <v>169</v>
      </c>
      <c r="BP530">
        <v>11</v>
      </c>
      <c r="BQ530">
        <v>1</v>
      </c>
      <c r="BR530" t="s">
        <v>7364</v>
      </c>
      <c r="BS530" t="s">
        <v>7382</v>
      </c>
      <c r="BT530" t="s">
        <v>7360</v>
      </c>
      <c r="BU530" t="s">
        <v>7360</v>
      </c>
      <c r="BV530" t="s">
        <v>7360</v>
      </c>
      <c r="BX530" t="s">
        <v>7391</v>
      </c>
      <c r="BY530">
        <v>74</v>
      </c>
      <c r="BZ530" t="s">
        <v>7360</v>
      </c>
      <c r="CA530" t="s">
        <v>7360</v>
      </c>
      <c r="CB530">
        <v>3380666</v>
      </c>
      <c r="CC530" s="21">
        <v>44993.652627314812</v>
      </c>
      <c r="CE530" t="s">
        <v>7392</v>
      </c>
      <c r="CF530">
        <v>1100101</v>
      </c>
      <c r="CG530">
        <v>51669</v>
      </c>
      <c r="CH530">
        <v>51669</v>
      </c>
      <c r="CI530" s="21">
        <v>44993.655416666668</v>
      </c>
      <c r="CJ530" t="s">
        <v>7406</v>
      </c>
      <c r="CK530" t="s">
        <v>7406</v>
      </c>
      <c r="CL530" t="s">
        <v>7407</v>
      </c>
      <c r="CM530" t="s">
        <v>7407</v>
      </c>
      <c r="CS530" t="s">
        <v>7361</v>
      </c>
      <c r="CT530" t="s">
        <v>7362</v>
      </c>
      <c r="CU530" t="s">
        <v>7362</v>
      </c>
      <c r="CV530" t="s">
        <v>7362</v>
      </c>
      <c r="CW530" t="s">
        <v>7362</v>
      </c>
      <c r="CX530">
        <v>885360</v>
      </c>
      <c r="DA530">
        <v>0</v>
      </c>
    </row>
    <row r="531" spans="1:106" x14ac:dyDescent="0.3">
      <c r="A531">
        <v>1357</v>
      </c>
      <c r="B531" t="s">
        <v>7405</v>
      </c>
      <c r="C531">
        <v>561</v>
      </c>
      <c r="D531" s="20">
        <v>44993</v>
      </c>
      <c r="E531" t="s">
        <v>7372</v>
      </c>
      <c r="F531" t="s">
        <v>5961</v>
      </c>
      <c r="G531" t="s">
        <v>7357</v>
      </c>
      <c r="H531">
        <v>1</v>
      </c>
      <c r="I531" t="s">
        <v>7358</v>
      </c>
      <c r="J531">
        <v>1</v>
      </c>
      <c r="K531" s="20">
        <v>44993</v>
      </c>
      <c r="L531" s="23">
        <v>380800</v>
      </c>
      <c r="M531" t="s">
        <v>7359</v>
      </c>
      <c r="N531" t="s">
        <v>7360</v>
      </c>
      <c r="O531">
        <v>0</v>
      </c>
      <c r="P531">
        <v>12863</v>
      </c>
      <c r="Q531">
        <v>450025</v>
      </c>
      <c r="R531">
        <v>0</v>
      </c>
      <c r="S531">
        <v>20230308</v>
      </c>
      <c r="T531">
        <v>0</v>
      </c>
      <c r="U531" t="s">
        <v>7362</v>
      </c>
      <c r="V531" t="s">
        <v>7360</v>
      </c>
      <c r="W531" t="s">
        <v>7360</v>
      </c>
      <c r="X531" t="s">
        <v>7360</v>
      </c>
      <c r="Y531" t="s">
        <v>7360</v>
      </c>
      <c r="Z531" t="s">
        <v>7360</v>
      </c>
      <c r="AA531" t="s">
        <v>7362</v>
      </c>
      <c r="AB531" t="s">
        <v>7360</v>
      </c>
      <c r="AC531" t="s">
        <v>7360</v>
      </c>
      <c r="AD531" t="s">
        <v>7360</v>
      </c>
      <c r="AE531" t="s">
        <v>7360</v>
      </c>
      <c r="AF531" t="s">
        <v>1684</v>
      </c>
      <c r="AG531">
        <v>0</v>
      </c>
      <c r="AH531">
        <v>0</v>
      </c>
      <c r="AI531">
        <v>0</v>
      </c>
      <c r="AJ531">
        <v>0</v>
      </c>
      <c r="AK531">
        <v>0</v>
      </c>
      <c r="AL531" t="s">
        <v>7360</v>
      </c>
      <c r="AM531">
        <v>0</v>
      </c>
      <c r="AN531" s="20">
        <v>44993</v>
      </c>
      <c r="AO531" s="20">
        <v>44993</v>
      </c>
      <c r="AP531" s="20">
        <v>44993</v>
      </c>
      <c r="AQ531">
        <v>0</v>
      </c>
      <c r="AR531">
        <v>0</v>
      </c>
      <c r="AS531">
        <v>0</v>
      </c>
      <c r="AT531">
        <v>0</v>
      </c>
      <c r="AU531">
        <v>0</v>
      </c>
      <c r="AV531" t="s">
        <v>7360</v>
      </c>
      <c r="AW531">
        <v>0</v>
      </c>
      <c r="AX531" t="s">
        <v>7360</v>
      </c>
      <c r="AY531" t="s">
        <v>7362</v>
      </c>
      <c r="BA531">
        <v>0</v>
      </c>
      <c r="BB531" s="20">
        <v>44993</v>
      </c>
      <c r="BC531">
        <v>0</v>
      </c>
      <c r="BD531" t="s">
        <v>7360</v>
      </c>
      <c r="BF531" s="20">
        <v>44993</v>
      </c>
      <c r="BG531">
        <v>0</v>
      </c>
      <c r="BH531" t="s">
        <v>1684</v>
      </c>
      <c r="BJ531" t="s">
        <v>7362</v>
      </c>
      <c r="BK531">
        <v>169</v>
      </c>
      <c r="BL531">
        <v>11</v>
      </c>
      <c r="BM531">
        <v>1</v>
      </c>
      <c r="BN531" t="s">
        <v>7364</v>
      </c>
      <c r="BO531">
        <v>169</v>
      </c>
      <c r="BP531">
        <v>11</v>
      </c>
      <c r="BQ531">
        <v>1</v>
      </c>
      <c r="BR531" t="s">
        <v>7364</v>
      </c>
      <c r="BS531" t="s">
        <v>7382</v>
      </c>
      <c r="BT531" t="s">
        <v>7360</v>
      </c>
      <c r="BU531" t="s">
        <v>7360</v>
      </c>
      <c r="BV531" t="s">
        <v>7360</v>
      </c>
      <c r="BX531" t="s">
        <v>7391</v>
      </c>
      <c r="BY531">
        <v>74</v>
      </c>
      <c r="BZ531" t="s">
        <v>7360</v>
      </c>
      <c r="CA531" t="s">
        <v>7360</v>
      </c>
      <c r="CB531">
        <v>3380666</v>
      </c>
      <c r="CC531" s="21">
        <v>44993.682847222219</v>
      </c>
      <c r="CE531" t="s">
        <v>7392</v>
      </c>
      <c r="CF531">
        <v>1100101</v>
      </c>
      <c r="CG531">
        <v>51669</v>
      </c>
      <c r="CH531">
        <v>51669</v>
      </c>
      <c r="CI531" s="21">
        <v>44993.683865740742</v>
      </c>
      <c r="CJ531" t="s">
        <v>7406</v>
      </c>
      <c r="CK531" t="s">
        <v>7406</v>
      </c>
      <c r="CL531" t="s">
        <v>7407</v>
      </c>
      <c r="CM531" t="s">
        <v>7407</v>
      </c>
      <c r="CS531" t="s">
        <v>7361</v>
      </c>
      <c r="CT531" t="s">
        <v>7362</v>
      </c>
      <c r="CU531" t="s">
        <v>7362</v>
      </c>
      <c r="CV531" t="s">
        <v>7362</v>
      </c>
      <c r="CW531" t="s">
        <v>7362</v>
      </c>
      <c r="CX531">
        <v>380800</v>
      </c>
      <c r="DA531">
        <v>0</v>
      </c>
    </row>
    <row r="532" spans="1:106" x14ac:dyDescent="0.3">
      <c r="A532">
        <v>1354</v>
      </c>
      <c r="B532" t="s">
        <v>7396</v>
      </c>
      <c r="C532">
        <v>562</v>
      </c>
      <c r="D532" s="20">
        <v>44993</v>
      </c>
      <c r="E532" t="s">
        <v>7372</v>
      </c>
      <c r="F532" t="s">
        <v>5966</v>
      </c>
      <c r="G532" t="s">
        <v>7370</v>
      </c>
      <c r="H532">
        <v>1</v>
      </c>
      <c r="I532" t="s">
        <v>7358</v>
      </c>
      <c r="J532">
        <v>1</v>
      </c>
      <c r="K532" s="20">
        <v>44993</v>
      </c>
      <c r="L532" s="23">
        <v>4068000</v>
      </c>
      <c r="M532" t="s">
        <v>7359</v>
      </c>
      <c r="N532" t="s">
        <v>7360</v>
      </c>
      <c r="O532">
        <v>0</v>
      </c>
      <c r="P532">
        <v>12940</v>
      </c>
      <c r="Q532">
        <v>451009</v>
      </c>
      <c r="R532">
        <v>0</v>
      </c>
      <c r="S532">
        <v>20230308</v>
      </c>
      <c r="T532">
        <v>0</v>
      </c>
      <c r="U532" t="s">
        <v>7362</v>
      </c>
      <c r="V532" t="s">
        <v>7360</v>
      </c>
      <c r="W532" t="s">
        <v>7360</v>
      </c>
      <c r="X532" t="s">
        <v>7360</v>
      </c>
      <c r="Y532" t="s">
        <v>7360</v>
      </c>
      <c r="Z532" t="s">
        <v>7360</v>
      </c>
      <c r="AA532" t="s">
        <v>7362</v>
      </c>
      <c r="AB532" t="s">
        <v>7360</v>
      </c>
      <c r="AC532" t="s">
        <v>7360</v>
      </c>
      <c r="AD532" t="s">
        <v>7360</v>
      </c>
      <c r="AE532" t="s">
        <v>7360</v>
      </c>
      <c r="AF532" t="s">
        <v>1684</v>
      </c>
      <c r="AG532">
        <v>0</v>
      </c>
      <c r="AH532">
        <v>0</v>
      </c>
      <c r="AI532">
        <v>0</v>
      </c>
      <c r="AJ532">
        <v>0</v>
      </c>
      <c r="AK532">
        <v>0</v>
      </c>
      <c r="AL532" t="s">
        <v>7360</v>
      </c>
      <c r="AM532">
        <v>0</v>
      </c>
      <c r="AN532" s="20">
        <v>44993</v>
      </c>
      <c r="AO532" s="20">
        <v>44993</v>
      </c>
      <c r="AP532" s="20">
        <v>44993</v>
      </c>
      <c r="AQ532">
        <v>0</v>
      </c>
      <c r="AR532">
        <v>0</v>
      </c>
      <c r="AS532">
        <v>0</v>
      </c>
      <c r="AT532">
        <v>0</v>
      </c>
      <c r="AU532">
        <v>0</v>
      </c>
      <c r="AV532" t="s">
        <v>7360</v>
      </c>
      <c r="AW532">
        <v>0</v>
      </c>
      <c r="AX532" t="s">
        <v>7360</v>
      </c>
      <c r="AY532" t="s">
        <v>7362</v>
      </c>
      <c r="BA532">
        <v>0</v>
      </c>
      <c r="BB532" s="20">
        <v>44993</v>
      </c>
      <c r="BC532">
        <v>0</v>
      </c>
      <c r="BD532" t="s">
        <v>7360</v>
      </c>
      <c r="BF532" s="20">
        <v>44993</v>
      </c>
      <c r="BG532">
        <v>0</v>
      </c>
      <c r="BH532" t="s">
        <v>7363</v>
      </c>
      <c r="BJ532" t="s">
        <v>7362</v>
      </c>
      <c r="BK532">
        <v>0</v>
      </c>
      <c r="BL532">
        <v>0</v>
      </c>
      <c r="BM532">
        <v>0</v>
      </c>
      <c r="BN532">
        <v>0</v>
      </c>
      <c r="BO532">
        <v>169</v>
      </c>
      <c r="BP532">
        <v>11</v>
      </c>
      <c r="BQ532">
        <v>1</v>
      </c>
      <c r="BR532" t="s">
        <v>7364</v>
      </c>
      <c r="BS532" t="s">
        <v>7365</v>
      </c>
      <c r="BT532" t="s">
        <v>7360</v>
      </c>
      <c r="BU532" t="s">
        <v>7360</v>
      </c>
      <c r="BV532" t="s">
        <v>7360</v>
      </c>
      <c r="BX532">
        <v>0</v>
      </c>
      <c r="BY532">
        <v>0</v>
      </c>
      <c r="BZ532" t="s">
        <v>7360</v>
      </c>
      <c r="CA532" t="s">
        <v>7360</v>
      </c>
      <c r="CB532">
        <v>3380666</v>
      </c>
      <c r="CC532" s="21">
        <v>44993.676782407405</v>
      </c>
      <c r="CE532" t="s">
        <v>7366</v>
      </c>
      <c r="CF532">
        <v>0</v>
      </c>
      <c r="CG532">
        <v>702002</v>
      </c>
      <c r="CH532">
        <v>702002</v>
      </c>
      <c r="CI532" s="21">
        <v>44998.355520833335</v>
      </c>
      <c r="CJ532" t="s">
        <v>7367</v>
      </c>
      <c r="CK532" t="s">
        <v>7367</v>
      </c>
      <c r="CL532" t="s">
        <v>7368</v>
      </c>
      <c r="CM532" t="s">
        <v>7368</v>
      </c>
      <c r="CS532" t="s">
        <v>7361</v>
      </c>
      <c r="CT532" t="s">
        <v>7362</v>
      </c>
      <c r="CU532" t="s">
        <v>7362</v>
      </c>
      <c r="CV532" t="s">
        <v>7362</v>
      </c>
      <c r="CW532" t="s">
        <v>7362</v>
      </c>
      <c r="CX532">
        <v>4068000</v>
      </c>
      <c r="DA532">
        <v>0</v>
      </c>
    </row>
    <row r="533" spans="1:106" x14ac:dyDescent="0.3">
      <c r="A533">
        <v>1360</v>
      </c>
      <c r="B533" t="s">
        <v>7401</v>
      </c>
      <c r="C533">
        <v>563</v>
      </c>
      <c r="D533" s="20">
        <v>44993</v>
      </c>
      <c r="E533" t="s">
        <v>7356</v>
      </c>
      <c r="F533" t="s">
        <v>5972</v>
      </c>
      <c r="G533" t="s">
        <v>7357</v>
      </c>
      <c r="H533">
        <v>1</v>
      </c>
      <c r="I533" t="s">
        <v>7358</v>
      </c>
      <c r="J533">
        <v>1</v>
      </c>
      <c r="K533" s="20">
        <v>44993</v>
      </c>
      <c r="L533" s="23">
        <v>1510134</v>
      </c>
      <c r="M533" t="s">
        <v>7359</v>
      </c>
      <c r="N533" t="s">
        <v>7360</v>
      </c>
      <c r="O533">
        <v>0</v>
      </c>
      <c r="P533">
        <v>12867</v>
      </c>
      <c r="Q533">
        <v>450029</v>
      </c>
      <c r="R533">
        <v>0</v>
      </c>
      <c r="S533">
        <v>20230308</v>
      </c>
      <c r="T533">
        <v>0</v>
      </c>
      <c r="U533" t="s">
        <v>7362</v>
      </c>
      <c r="V533" t="s">
        <v>7360</v>
      </c>
      <c r="W533" t="s">
        <v>7360</v>
      </c>
      <c r="X533" t="s">
        <v>7360</v>
      </c>
      <c r="Y533" t="s">
        <v>7360</v>
      </c>
      <c r="Z533" t="s">
        <v>7360</v>
      </c>
      <c r="AA533" t="s">
        <v>7362</v>
      </c>
      <c r="AB533" t="s">
        <v>7360</v>
      </c>
      <c r="AC533" t="s">
        <v>7360</v>
      </c>
      <c r="AD533" t="s">
        <v>7360</v>
      </c>
      <c r="AE533" t="s">
        <v>7360</v>
      </c>
      <c r="AF533" t="s">
        <v>1684</v>
      </c>
      <c r="AG533">
        <v>0</v>
      </c>
      <c r="AH533">
        <v>0</v>
      </c>
      <c r="AI533">
        <v>0</v>
      </c>
      <c r="AJ533">
        <v>0</v>
      </c>
      <c r="AK533">
        <v>0</v>
      </c>
      <c r="AL533" t="s">
        <v>7360</v>
      </c>
      <c r="AM533">
        <v>0</v>
      </c>
      <c r="AN533" s="20">
        <v>44993</v>
      </c>
      <c r="AO533" s="20">
        <v>44993</v>
      </c>
      <c r="AP533" s="20">
        <v>44993</v>
      </c>
      <c r="AQ533">
        <v>0</v>
      </c>
      <c r="AR533">
        <v>0</v>
      </c>
      <c r="AS533">
        <v>0</v>
      </c>
      <c r="AT533">
        <v>0</v>
      </c>
      <c r="AU533">
        <v>0</v>
      </c>
      <c r="AV533" t="s">
        <v>7360</v>
      </c>
      <c r="AW533">
        <v>0</v>
      </c>
      <c r="AX533" t="s">
        <v>7360</v>
      </c>
      <c r="AY533" t="s">
        <v>7362</v>
      </c>
      <c r="AZ533">
        <v>1383</v>
      </c>
      <c r="BA533">
        <v>570</v>
      </c>
      <c r="BB533" s="20">
        <v>44994</v>
      </c>
      <c r="BC533">
        <v>20230309</v>
      </c>
      <c r="BD533" t="s">
        <v>7451</v>
      </c>
      <c r="BF533" s="20">
        <v>44993</v>
      </c>
      <c r="BG533">
        <v>0</v>
      </c>
      <c r="BH533" t="s">
        <v>7363</v>
      </c>
      <c r="BJ533" t="s">
        <v>7362</v>
      </c>
      <c r="BK533">
        <v>169</v>
      </c>
      <c r="BL533">
        <v>11</v>
      </c>
      <c r="BM533">
        <v>1</v>
      </c>
      <c r="BN533" t="s">
        <v>7364</v>
      </c>
      <c r="BO533">
        <v>169</v>
      </c>
      <c r="BP533">
        <v>11</v>
      </c>
      <c r="BQ533">
        <v>1</v>
      </c>
      <c r="BR533" t="s">
        <v>7364</v>
      </c>
      <c r="BS533" t="s">
        <v>7386</v>
      </c>
      <c r="BT533" t="s">
        <v>7360</v>
      </c>
      <c r="BU533" t="s">
        <v>7360</v>
      </c>
      <c r="BV533" t="s">
        <v>7360</v>
      </c>
      <c r="BX533" t="s">
        <v>7391</v>
      </c>
      <c r="BY533">
        <v>74</v>
      </c>
      <c r="BZ533" t="s">
        <v>7360</v>
      </c>
      <c r="CA533" t="s">
        <v>7360</v>
      </c>
      <c r="CB533">
        <v>3380666</v>
      </c>
      <c r="CC533" s="21">
        <v>44993.688819444447</v>
      </c>
      <c r="CE533" t="s">
        <v>7392</v>
      </c>
      <c r="CF533">
        <v>1100101</v>
      </c>
      <c r="CG533">
        <v>51669</v>
      </c>
      <c r="CH533">
        <v>51669</v>
      </c>
      <c r="CI533" s="21">
        <v>44993.690937500003</v>
      </c>
      <c r="CJ533" t="s">
        <v>7406</v>
      </c>
      <c r="CK533" t="s">
        <v>7406</v>
      </c>
      <c r="CL533" t="s">
        <v>7407</v>
      </c>
      <c r="CM533" t="s">
        <v>7407</v>
      </c>
      <c r="CS533" t="s">
        <v>7361</v>
      </c>
      <c r="CT533" t="s">
        <v>7362</v>
      </c>
      <c r="CU533" t="s">
        <v>7362</v>
      </c>
      <c r="CV533" t="s">
        <v>7362</v>
      </c>
      <c r="CW533" t="s">
        <v>7362</v>
      </c>
      <c r="CX533">
        <v>1510134</v>
      </c>
      <c r="CY533" t="s">
        <v>1684</v>
      </c>
      <c r="DA533">
        <v>0</v>
      </c>
    </row>
    <row r="534" spans="1:106" x14ac:dyDescent="0.3">
      <c r="A534">
        <v>1366</v>
      </c>
      <c r="B534" t="s">
        <v>7380</v>
      </c>
      <c r="C534">
        <v>564</v>
      </c>
      <c r="D534" s="20">
        <v>44993</v>
      </c>
      <c r="E534" t="s">
        <v>7372</v>
      </c>
      <c r="F534" t="s">
        <v>5918</v>
      </c>
      <c r="G534" t="s">
        <v>7357</v>
      </c>
      <c r="H534">
        <v>1</v>
      </c>
      <c r="I534" t="s">
        <v>7358</v>
      </c>
      <c r="J534">
        <v>1</v>
      </c>
      <c r="K534" s="20">
        <v>44993</v>
      </c>
      <c r="L534" s="23">
        <v>230000</v>
      </c>
      <c r="M534" t="s">
        <v>7359</v>
      </c>
      <c r="N534" t="s">
        <v>7360</v>
      </c>
      <c r="O534">
        <v>0</v>
      </c>
      <c r="P534">
        <v>12873</v>
      </c>
      <c r="Q534">
        <v>450033</v>
      </c>
      <c r="R534">
        <v>0</v>
      </c>
      <c r="S534">
        <v>20230308</v>
      </c>
      <c r="T534">
        <v>0</v>
      </c>
      <c r="U534" t="s">
        <v>7362</v>
      </c>
      <c r="V534" t="s">
        <v>7360</v>
      </c>
      <c r="W534" t="s">
        <v>7360</v>
      </c>
      <c r="X534" t="s">
        <v>7360</v>
      </c>
      <c r="Y534" t="s">
        <v>7360</v>
      </c>
      <c r="Z534" t="s">
        <v>7360</v>
      </c>
      <c r="AA534" t="s">
        <v>7362</v>
      </c>
      <c r="AB534" t="s">
        <v>7360</v>
      </c>
      <c r="AC534" t="s">
        <v>7360</v>
      </c>
      <c r="AD534" t="s">
        <v>7360</v>
      </c>
      <c r="AE534" t="s">
        <v>7360</v>
      </c>
      <c r="AF534" t="s">
        <v>1684</v>
      </c>
      <c r="AG534">
        <v>0</v>
      </c>
      <c r="AH534">
        <v>0</v>
      </c>
      <c r="AI534">
        <v>0</v>
      </c>
      <c r="AJ534">
        <v>0</v>
      </c>
      <c r="AK534">
        <v>0</v>
      </c>
      <c r="AL534" t="s">
        <v>7360</v>
      </c>
      <c r="AM534">
        <v>0</v>
      </c>
      <c r="AN534" s="20">
        <v>44993</v>
      </c>
      <c r="AO534" s="20">
        <v>44993</v>
      </c>
      <c r="AP534" s="20">
        <v>44993</v>
      </c>
      <c r="AQ534">
        <v>0</v>
      </c>
      <c r="AR534">
        <v>0</v>
      </c>
      <c r="AS534">
        <v>0</v>
      </c>
      <c r="AT534">
        <v>0</v>
      </c>
      <c r="AU534">
        <v>0</v>
      </c>
      <c r="AV534" t="s">
        <v>7360</v>
      </c>
      <c r="AW534">
        <v>0</v>
      </c>
      <c r="AX534" t="s">
        <v>7360</v>
      </c>
      <c r="AY534" t="s">
        <v>7373</v>
      </c>
      <c r="BA534">
        <v>0</v>
      </c>
      <c r="BB534" s="20">
        <v>44993</v>
      </c>
      <c r="BC534">
        <v>0</v>
      </c>
      <c r="BD534" t="s">
        <v>7360</v>
      </c>
      <c r="BF534" s="20">
        <v>44993</v>
      </c>
      <c r="BG534">
        <v>0</v>
      </c>
      <c r="BH534" t="s">
        <v>7363</v>
      </c>
      <c r="BJ534" t="s">
        <v>7362</v>
      </c>
      <c r="BK534">
        <v>169</v>
      </c>
      <c r="BL534">
        <v>11</v>
      </c>
      <c r="BM534">
        <v>1</v>
      </c>
      <c r="BN534" t="s">
        <v>7364</v>
      </c>
      <c r="BO534">
        <v>169</v>
      </c>
      <c r="BP534">
        <v>11</v>
      </c>
      <c r="BQ534">
        <v>1</v>
      </c>
      <c r="BR534" t="s">
        <v>7364</v>
      </c>
      <c r="BS534" t="s">
        <v>61</v>
      </c>
      <c r="BT534" t="s">
        <v>7360</v>
      </c>
      <c r="BU534" t="s">
        <v>7360</v>
      </c>
      <c r="BV534" t="s">
        <v>7360</v>
      </c>
      <c r="BX534" t="s">
        <v>7391</v>
      </c>
      <c r="BY534">
        <v>74</v>
      </c>
      <c r="BZ534" t="s">
        <v>7360</v>
      </c>
      <c r="CA534" t="s">
        <v>7360</v>
      </c>
      <c r="CB534">
        <v>3380666</v>
      </c>
      <c r="CC534" s="21">
        <v>44993.697812500002</v>
      </c>
      <c r="CE534" t="s">
        <v>7392</v>
      </c>
      <c r="CF534">
        <v>1100101</v>
      </c>
      <c r="CG534">
        <v>51669</v>
      </c>
      <c r="CH534">
        <v>51669</v>
      </c>
      <c r="CI534" s="21">
        <v>44993.701655092591</v>
      </c>
      <c r="CJ534" t="s">
        <v>7406</v>
      </c>
      <c r="CK534" t="s">
        <v>7406</v>
      </c>
      <c r="CL534" t="s">
        <v>7407</v>
      </c>
      <c r="CM534" t="s">
        <v>7407</v>
      </c>
      <c r="CS534" t="s">
        <v>7361</v>
      </c>
      <c r="CT534" t="s">
        <v>7362</v>
      </c>
      <c r="CU534" t="s">
        <v>7362</v>
      </c>
      <c r="CV534" t="s">
        <v>7362</v>
      </c>
      <c r="CW534" t="s">
        <v>7362</v>
      </c>
      <c r="CX534">
        <v>230000</v>
      </c>
      <c r="DA534">
        <v>0</v>
      </c>
    </row>
    <row r="535" spans="1:106" x14ac:dyDescent="0.3">
      <c r="A535">
        <v>1357</v>
      </c>
      <c r="B535" t="s">
        <v>7405</v>
      </c>
      <c r="C535">
        <v>565</v>
      </c>
      <c r="D535" s="20">
        <v>44994</v>
      </c>
      <c r="E535" t="s">
        <v>7372</v>
      </c>
      <c r="F535" t="s">
        <v>5924</v>
      </c>
      <c r="G535" t="s">
        <v>7357</v>
      </c>
      <c r="H535">
        <v>1</v>
      </c>
      <c r="I535" t="s">
        <v>7358</v>
      </c>
      <c r="J535">
        <v>1</v>
      </c>
      <c r="K535" s="20">
        <v>44994</v>
      </c>
      <c r="L535" s="23">
        <v>2665600</v>
      </c>
      <c r="M535" t="s">
        <v>7359</v>
      </c>
      <c r="N535" t="s">
        <v>7360</v>
      </c>
      <c r="O535">
        <v>0</v>
      </c>
      <c r="P535">
        <v>12909</v>
      </c>
      <c r="Q535">
        <v>450063</v>
      </c>
      <c r="R535">
        <v>0</v>
      </c>
      <c r="S535">
        <v>20230309</v>
      </c>
      <c r="T535">
        <v>0</v>
      </c>
      <c r="U535" t="s">
        <v>7362</v>
      </c>
      <c r="V535" t="s">
        <v>7360</v>
      </c>
      <c r="W535" t="s">
        <v>7360</v>
      </c>
      <c r="X535" t="s">
        <v>7360</v>
      </c>
      <c r="Y535" t="s">
        <v>7360</v>
      </c>
      <c r="Z535" t="s">
        <v>7360</v>
      </c>
      <c r="AA535" t="s">
        <v>7362</v>
      </c>
      <c r="AB535" t="s">
        <v>7360</v>
      </c>
      <c r="AC535" t="s">
        <v>7360</v>
      </c>
      <c r="AD535" t="s">
        <v>7360</v>
      </c>
      <c r="AE535" t="s">
        <v>7360</v>
      </c>
      <c r="AF535" t="s">
        <v>1684</v>
      </c>
      <c r="AG535">
        <v>0</v>
      </c>
      <c r="AH535">
        <v>0</v>
      </c>
      <c r="AI535">
        <v>0</v>
      </c>
      <c r="AJ535">
        <v>0</v>
      </c>
      <c r="AK535">
        <v>0</v>
      </c>
      <c r="AL535" t="s">
        <v>7360</v>
      </c>
      <c r="AM535">
        <v>0</v>
      </c>
      <c r="AN535" s="20">
        <v>44994</v>
      </c>
      <c r="AO535" s="20">
        <v>44994</v>
      </c>
      <c r="AP535" s="20">
        <v>44994</v>
      </c>
      <c r="AQ535">
        <v>0</v>
      </c>
      <c r="AR535">
        <v>0</v>
      </c>
      <c r="AS535">
        <v>0</v>
      </c>
      <c r="AT535">
        <v>0</v>
      </c>
      <c r="AU535">
        <v>0</v>
      </c>
      <c r="AV535" t="s">
        <v>7360</v>
      </c>
      <c r="AW535">
        <v>0</v>
      </c>
      <c r="AX535" t="s">
        <v>7360</v>
      </c>
      <c r="AY535" t="s">
        <v>7362</v>
      </c>
      <c r="BA535">
        <v>0</v>
      </c>
      <c r="BB535" s="20">
        <v>44994</v>
      </c>
      <c r="BC535">
        <v>0</v>
      </c>
      <c r="BD535" t="s">
        <v>7360</v>
      </c>
      <c r="BF535" s="20">
        <v>44994</v>
      </c>
      <c r="BG535">
        <v>0</v>
      </c>
      <c r="BH535" t="s">
        <v>1684</v>
      </c>
      <c r="BJ535" t="s">
        <v>7362</v>
      </c>
      <c r="BK535">
        <v>169</v>
      </c>
      <c r="BL535">
        <v>11</v>
      </c>
      <c r="BM535">
        <v>1</v>
      </c>
      <c r="BN535" t="s">
        <v>7364</v>
      </c>
      <c r="BO535">
        <v>169</v>
      </c>
      <c r="BP535">
        <v>11</v>
      </c>
      <c r="BQ535">
        <v>1</v>
      </c>
      <c r="BR535" t="s">
        <v>7364</v>
      </c>
      <c r="BS535" t="s">
        <v>7382</v>
      </c>
      <c r="BT535" t="s">
        <v>7360</v>
      </c>
      <c r="BU535" t="s">
        <v>7360</v>
      </c>
      <c r="BV535" t="s">
        <v>7360</v>
      </c>
      <c r="BX535" t="s">
        <v>7391</v>
      </c>
      <c r="BY535">
        <v>74</v>
      </c>
      <c r="BZ535" t="s">
        <v>7360</v>
      </c>
      <c r="CA535" t="s">
        <v>7360</v>
      </c>
      <c r="CB535">
        <v>3380666</v>
      </c>
      <c r="CC535" s="21">
        <v>44994.345312500001</v>
      </c>
      <c r="CE535" t="s">
        <v>7392</v>
      </c>
      <c r="CF535">
        <v>1100101</v>
      </c>
      <c r="CG535">
        <v>51669</v>
      </c>
      <c r="CH535">
        <v>51669</v>
      </c>
      <c r="CI535" s="21">
        <v>44994.346759259257</v>
      </c>
      <c r="CJ535" t="s">
        <v>7406</v>
      </c>
      <c r="CK535" t="s">
        <v>7406</v>
      </c>
      <c r="CL535" t="s">
        <v>7407</v>
      </c>
      <c r="CM535" t="s">
        <v>7407</v>
      </c>
      <c r="CS535" t="s">
        <v>7361</v>
      </c>
      <c r="CT535" t="s">
        <v>7362</v>
      </c>
      <c r="CU535" t="s">
        <v>7362</v>
      </c>
      <c r="CV535" t="s">
        <v>7362</v>
      </c>
      <c r="CW535" t="s">
        <v>7362</v>
      </c>
      <c r="CX535">
        <v>2665600</v>
      </c>
      <c r="DA535">
        <v>0</v>
      </c>
    </row>
    <row r="536" spans="1:106" x14ac:dyDescent="0.3">
      <c r="A536">
        <v>1362</v>
      </c>
      <c r="B536" t="s">
        <v>7371</v>
      </c>
      <c r="C536">
        <v>566</v>
      </c>
      <c r="D536" s="20">
        <v>44994</v>
      </c>
      <c r="E536" t="s">
        <v>7356</v>
      </c>
      <c r="F536" t="s">
        <v>5929</v>
      </c>
      <c r="G536" t="s">
        <v>7357</v>
      </c>
      <c r="H536">
        <v>1</v>
      </c>
      <c r="I536" t="s">
        <v>7358</v>
      </c>
      <c r="J536">
        <v>1</v>
      </c>
      <c r="K536" s="20">
        <v>44994</v>
      </c>
      <c r="L536" s="23">
        <v>10767389</v>
      </c>
      <c r="M536" t="s">
        <v>7359</v>
      </c>
      <c r="N536" t="s">
        <v>7360</v>
      </c>
      <c r="O536">
        <v>0</v>
      </c>
      <c r="P536">
        <v>12945</v>
      </c>
      <c r="Q536">
        <v>451013</v>
      </c>
      <c r="R536">
        <v>0</v>
      </c>
      <c r="S536">
        <v>20230309</v>
      </c>
      <c r="T536">
        <v>0</v>
      </c>
      <c r="U536" t="s">
        <v>7361</v>
      </c>
      <c r="V536" t="s">
        <v>7360</v>
      </c>
      <c r="W536" t="s">
        <v>7360</v>
      </c>
      <c r="X536" t="s">
        <v>7360</v>
      </c>
      <c r="Y536" t="s">
        <v>7360</v>
      </c>
      <c r="Z536" t="s">
        <v>7360</v>
      </c>
      <c r="AA536" t="s">
        <v>7362</v>
      </c>
      <c r="AB536" t="s">
        <v>7360</v>
      </c>
      <c r="AC536" t="s">
        <v>7360</v>
      </c>
      <c r="AD536" t="s">
        <v>7360</v>
      </c>
      <c r="AE536" t="s">
        <v>7360</v>
      </c>
      <c r="AF536" t="s">
        <v>1684</v>
      </c>
      <c r="AG536">
        <v>0</v>
      </c>
      <c r="AH536">
        <v>0</v>
      </c>
      <c r="AI536">
        <v>0</v>
      </c>
      <c r="AJ536">
        <v>0</v>
      </c>
      <c r="AK536">
        <v>0</v>
      </c>
      <c r="AL536" t="s">
        <v>7360</v>
      </c>
      <c r="AM536">
        <v>0</v>
      </c>
      <c r="AN536" s="20">
        <v>44994</v>
      </c>
      <c r="AO536" s="20">
        <v>44994</v>
      </c>
      <c r="AP536" s="20">
        <v>44994</v>
      </c>
      <c r="AQ536">
        <v>0</v>
      </c>
      <c r="AR536">
        <v>0</v>
      </c>
      <c r="AS536">
        <v>0</v>
      </c>
      <c r="AT536">
        <v>0</v>
      </c>
      <c r="AU536">
        <v>0</v>
      </c>
      <c r="AV536" t="s">
        <v>7360</v>
      </c>
      <c r="AW536">
        <v>0</v>
      </c>
      <c r="AX536" t="s">
        <v>7360</v>
      </c>
      <c r="AY536" t="s">
        <v>7363</v>
      </c>
      <c r="BA536">
        <v>0</v>
      </c>
      <c r="BB536" s="20">
        <v>44994</v>
      </c>
      <c r="BC536">
        <v>0</v>
      </c>
      <c r="BD536" t="s">
        <v>7360</v>
      </c>
      <c r="BF536" s="20">
        <v>44994</v>
      </c>
      <c r="BG536">
        <v>0</v>
      </c>
      <c r="BH536" t="s">
        <v>7363</v>
      </c>
      <c r="BJ536" t="s">
        <v>7362</v>
      </c>
      <c r="BK536">
        <v>0</v>
      </c>
      <c r="BL536">
        <v>0</v>
      </c>
      <c r="BM536">
        <v>0</v>
      </c>
      <c r="BN536">
        <v>0</v>
      </c>
      <c r="BO536">
        <v>169</v>
      </c>
      <c r="BP536">
        <v>11</v>
      </c>
      <c r="BQ536">
        <v>1</v>
      </c>
      <c r="BR536" t="s">
        <v>7364</v>
      </c>
      <c r="BS536" t="s">
        <v>7374</v>
      </c>
      <c r="BT536" t="s">
        <v>7360</v>
      </c>
      <c r="BU536" t="s">
        <v>7360</v>
      </c>
      <c r="BV536" t="s">
        <v>7360</v>
      </c>
      <c r="BX536">
        <v>0</v>
      </c>
      <c r="BY536">
        <v>0</v>
      </c>
      <c r="BZ536" t="s">
        <v>7360</v>
      </c>
      <c r="CA536" t="s">
        <v>7360</v>
      </c>
      <c r="CB536">
        <v>3380666</v>
      </c>
      <c r="CC536" s="21">
        <v>44994.351481481484</v>
      </c>
      <c r="CE536" t="s">
        <v>7366</v>
      </c>
      <c r="CF536">
        <v>0</v>
      </c>
      <c r="CG536">
        <v>702002</v>
      </c>
      <c r="CH536">
        <v>702002</v>
      </c>
      <c r="CI536" s="21">
        <v>44994.354155092595</v>
      </c>
      <c r="CJ536" t="s">
        <v>7367</v>
      </c>
      <c r="CK536" t="s">
        <v>7367</v>
      </c>
      <c r="CL536" t="s">
        <v>7368</v>
      </c>
      <c r="CM536" t="s">
        <v>7368</v>
      </c>
      <c r="CS536" t="s">
        <v>7361</v>
      </c>
      <c r="CT536" t="s">
        <v>7362</v>
      </c>
      <c r="CU536" t="s">
        <v>7362</v>
      </c>
      <c r="CV536" t="s">
        <v>7362</v>
      </c>
      <c r="CW536" t="s">
        <v>7362</v>
      </c>
      <c r="CX536">
        <v>10767389</v>
      </c>
      <c r="DA536">
        <v>0</v>
      </c>
    </row>
    <row r="537" spans="1:106" x14ac:dyDescent="0.3">
      <c r="A537">
        <v>1366</v>
      </c>
      <c r="B537" t="s">
        <v>7380</v>
      </c>
      <c r="C537">
        <v>567</v>
      </c>
      <c r="D537" s="20">
        <v>44994</v>
      </c>
      <c r="E537" t="s">
        <v>7372</v>
      </c>
      <c r="F537" t="s">
        <v>5934</v>
      </c>
      <c r="G537" t="s">
        <v>7357</v>
      </c>
      <c r="H537">
        <v>1</v>
      </c>
      <c r="I537" t="s">
        <v>7358</v>
      </c>
      <c r="J537">
        <v>1</v>
      </c>
      <c r="K537" s="20">
        <v>44994</v>
      </c>
      <c r="L537" s="23">
        <v>2474820</v>
      </c>
      <c r="M537" t="s">
        <v>7359</v>
      </c>
      <c r="N537" t="s">
        <v>7360</v>
      </c>
      <c r="O537">
        <v>0</v>
      </c>
      <c r="P537">
        <v>12887</v>
      </c>
      <c r="Q537">
        <v>450042</v>
      </c>
      <c r="R537">
        <v>0</v>
      </c>
      <c r="S537">
        <v>20230309</v>
      </c>
      <c r="T537">
        <v>0</v>
      </c>
      <c r="U537" t="s">
        <v>7362</v>
      </c>
      <c r="V537" t="s">
        <v>7360</v>
      </c>
      <c r="W537" t="s">
        <v>7360</v>
      </c>
      <c r="X537" t="s">
        <v>7360</v>
      </c>
      <c r="Y537" t="s">
        <v>7360</v>
      </c>
      <c r="Z537" t="s">
        <v>7360</v>
      </c>
      <c r="AA537" t="s">
        <v>7362</v>
      </c>
      <c r="AB537" t="s">
        <v>7360</v>
      </c>
      <c r="AC537" t="s">
        <v>7360</v>
      </c>
      <c r="AD537" t="s">
        <v>7360</v>
      </c>
      <c r="AE537" t="s">
        <v>7360</v>
      </c>
      <c r="AF537" t="s">
        <v>1684</v>
      </c>
      <c r="AG537">
        <v>0</v>
      </c>
      <c r="AH537">
        <v>0</v>
      </c>
      <c r="AI537">
        <v>0</v>
      </c>
      <c r="AJ537">
        <v>0</v>
      </c>
      <c r="AK537">
        <v>0</v>
      </c>
      <c r="AL537" t="s">
        <v>7360</v>
      </c>
      <c r="AM537">
        <v>0</v>
      </c>
      <c r="AN537" s="20">
        <v>44994</v>
      </c>
      <c r="AO537" s="20">
        <v>44994</v>
      </c>
      <c r="AP537" s="20">
        <v>44994</v>
      </c>
      <c r="AQ537">
        <v>0</v>
      </c>
      <c r="AR537">
        <v>0</v>
      </c>
      <c r="AS537">
        <v>0</v>
      </c>
      <c r="AT537">
        <v>0</v>
      </c>
      <c r="AU537">
        <v>0</v>
      </c>
      <c r="AV537" t="s">
        <v>7360</v>
      </c>
      <c r="AW537">
        <v>0</v>
      </c>
      <c r="AX537" t="s">
        <v>7360</v>
      </c>
      <c r="AY537" t="s">
        <v>7362</v>
      </c>
      <c r="BA537">
        <v>0</v>
      </c>
      <c r="BB537" s="20">
        <v>44994</v>
      </c>
      <c r="BC537">
        <v>0</v>
      </c>
      <c r="BD537" t="s">
        <v>7360</v>
      </c>
      <c r="BF537" s="20">
        <v>44994</v>
      </c>
      <c r="BG537">
        <v>0</v>
      </c>
      <c r="BH537" t="s">
        <v>7363</v>
      </c>
      <c r="BJ537" t="s">
        <v>7362</v>
      </c>
      <c r="BK537">
        <v>169</v>
      </c>
      <c r="BL537">
        <v>11</v>
      </c>
      <c r="BM537">
        <v>1</v>
      </c>
      <c r="BN537" t="s">
        <v>7364</v>
      </c>
      <c r="BO537">
        <v>169</v>
      </c>
      <c r="BP537">
        <v>11</v>
      </c>
      <c r="BQ537">
        <v>1</v>
      </c>
      <c r="BR537" t="s">
        <v>7364</v>
      </c>
      <c r="BS537" t="s">
        <v>61</v>
      </c>
      <c r="BT537" t="s">
        <v>7360</v>
      </c>
      <c r="BU537" t="s">
        <v>7360</v>
      </c>
      <c r="BV537" t="s">
        <v>7360</v>
      </c>
      <c r="BX537" t="s">
        <v>7391</v>
      </c>
      <c r="BY537">
        <v>74</v>
      </c>
      <c r="BZ537" t="s">
        <v>7360</v>
      </c>
      <c r="CA537" t="s">
        <v>7360</v>
      </c>
      <c r="CB537">
        <v>3380666</v>
      </c>
      <c r="CC537" s="21">
        <v>44994.354432870372</v>
      </c>
      <c r="CE537" t="s">
        <v>7392</v>
      </c>
      <c r="CF537">
        <v>1100101</v>
      </c>
      <c r="CG537">
        <v>51669</v>
      </c>
      <c r="CH537">
        <v>51669</v>
      </c>
      <c r="CI537" s="21">
        <v>44994.356365740743</v>
      </c>
      <c r="CJ537" t="s">
        <v>7406</v>
      </c>
      <c r="CK537" t="s">
        <v>7406</v>
      </c>
      <c r="CL537" t="s">
        <v>7407</v>
      </c>
      <c r="CM537" t="s">
        <v>7407</v>
      </c>
      <c r="CS537" t="s">
        <v>7361</v>
      </c>
      <c r="CT537" t="s">
        <v>7362</v>
      </c>
      <c r="CU537" t="s">
        <v>7362</v>
      </c>
      <c r="CV537" t="s">
        <v>7362</v>
      </c>
      <c r="CW537" t="s">
        <v>7362</v>
      </c>
      <c r="CX537">
        <v>2474820</v>
      </c>
      <c r="DA537">
        <v>0</v>
      </c>
    </row>
    <row r="538" spans="1:106" x14ac:dyDescent="0.3">
      <c r="A538">
        <v>1357</v>
      </c>
      <c r="B538" t="s">
        <v>7405</v>
      </c>
      <c r="C538">
        <v>568</v>
      </c>
      <c r="D538" s="20">
        <v>44994</v>
      </c>
      <c r="E538" t="s">
        <v>7372</v>
      </c>
      <c r="F538" t="s">
        <v>5940</v>
      </c>
      <c r="G538" t="s">
        <v>7357</v>
      </c>
      <c r="H538">
        <v>1</v>
      </c>
      <c r="I538" t="s">
        <v>7358</v>
      </c>
      <c r="J538">
        <v>1</v>
      </c>
      <c r="K538" s="20">
        <v>44994</v>
      </c>
      <c r="L538" s="23">
        <v>4822003</v>
      </c>
      <c r="M538" t="s">
        <v>7359</v>
      </c>
      <c r="N538" t="s">
        <v>7360</v>
      </c>
      <c r="O538">
        <v>0</v>
      </c>
      <c r="P538">
        <v>12892</v>
      </c>
      <c r="Q538">
        <v>450046</v>
      </c>
      <c r="R538">
        <v>0</v>
      </c>
      <c r="S538">
        <v>20230309</v>
      </c>
      <c r="T538">
        <v>0</v>
      </c>
      <c r="U538" t="s">
        <v>7362</v>
      </c>
      <c r="V538" t="s">
        <v>7360</v>
      </c>
      <c r="W538" t="s">
        <v>7360</v>
      </c>
      <c r="X538" t="s">
        <v>7360</v>
      </c>
      <c r="Y538" t="s">
        <v>7360</v>
      </c>
      <c r="Z538" t="s">
        <v>7360</v>
      </c>
      <c r="AA538" t="s">
        <v>7362</v>
      </c>
      <c r="AB538" t="s">
        <v>7360</v>
      </c>
      <c r="AC538" t="s">
        <v>7360</v>
      </c>
      <c r="AD538" t="s">
        <v>7360</v>
      </c>
      <c r="AE538" t="s">
        <v>7360</v>
      </c>
      <c r="AF538" t="s">
        <v>1684</v>
      </c>
      <c r="AG538">
        <v>0</v>
      </c>
      <c r="AH538">
        <v>0</v>
      </c>
      <c r="AI538">
        <v>0</v>
      </c>
      <c r="AJ538">
        <v>0</v>
      </c>
      <c r="AK538">
        <v>0</v>
      </c>
      <c r="AL538" t="s">
        <v>7360</v>
      </c>
      <c r="AM538">
        <v>0</v>
      </c>
      <c r="AN538" s="20">
        <v>44994</v>
      </c>
      <c r="AO538" s="20">
        <v>44994</v>
      </c>
      <c r="AP538" s="20">
        <v>44994</v>
      </c>
      <c r="AQ538">
        <v>0</v>
      </c>
      <c r="AR538">
        <v>0</v>
      </c>
      <c r="AS538">
        <v>0</v>
      </c>
      <c r="AT538">
        <v>0</v>
      </c>
      <c r="AU538">
        <v>0</v>
      </c>
      <c r="AV538" t="s">
        <v>7360</v>
      </c>
      <c r="AW538">
        <v>0</v>
      </c>
      <c r="AX538" t="s">
        <v>7360</v>
      </c>
      <c r="AY538" t="s">
        <v>7362</v>
      </c>
      <c r="BA538">
        <v>0</v>
      </c>
      <c r="BB538" s="20">
        <v>44994</v>
      </c>
      <c r="BC538">
        <v>0</v>
      </c>
      <c r="BD538" t="s">
        <v>7360</v>
      </c>
      <c r="BF538" s="20">
        <v>44994</v>
      </c>
      <c r="BG538">
        <v>0</v>
      </c>
      <c r="BH538" t="s">
        <v>1684</v>
      </c>
      <c r="BJ538" t="s">
        <v>7362</v>
      </c>
      <c r="BK538">
        <v>169</v>
      </c>
      <c r="BL538">
        <v>11</v>
      </c>
      <c r="BM538">
        <v>1</v>
      </c>
      <c r="BN538" t="s">
        <v>7364</v>
      </c>
      <c r="BO538">
        <v>169</v>
      </c>
      <c r="BP538">
        <v>11</v>
      </c>
      <c r="BQ538">
        <v>1</v>
      </c>
      <c r="BR538" t="s">
        <v>7364</v>
      </c>
      <c r="BS538" t="s">
        <v>7382</v>
      </c>
      <c r="BT538" t="s">
        <v>7360</v>
      </c>
      <c r="BU538" t="s">
        <v>7360</v>
      </c>
      <c r="BV538" t="s">
        <v>7360</v>
      </c>
      <c r="BX538" t="s">
        <v>7391</v>
      </c>
      <c r="BY538">
        <v>74</v>
      </c>
      <c r="BZ538" t="s">
        <v>7360</v>
      </c>
      <c r="CA538" t="s">
        <v>7360</v>
      </c>
      <c r="CB538">
        <v>3380666</v>
      </c>
      <c r="CC538" s="21">
        <v>44994.360381944447</v>
      </c>
      <c r="CE538" t="s">
        <v>7392</v>
      </c>
      <c r="CF538">
        <v>1100101</v>
      </c>
      <c r="CG538">
        <v>51669</v>
      </c>
      <c r="CH538">
        <v>51669</v>
      </c>
      <c r="CI538" s="21">
        <v>44994.365729166668</v>
      </c>
      <c r="CJ538" t="s">
        <v>7406</v>
      </c>
      <c r="CK538" t="s">
        <v>7406</v>
      </c>
      <c r="CL538" t="s">
        <v>7407</v>
      </c>
      <c r="CM538" t="s">
        <v>7407</v>
      </c>
      <c r="CS538" t="s">
        <v>7361</v>
      </c>
      <c r="CT538" t="s">
        <v>7362</v>
      </c>
      <c r="CU538" t="s">
        <v>7362</v>
      </c>
      <c r="CV538" t="s">
        <v>7362</v>
      </c>
      <c r="CW538" t="s">
        <v>7362</v>
      </c>
      <c r="CX538">
        <v>4822003</v>
      </c>
      <c r="DA538">
        <v>0</v>
      </c>
    </row>
    <row r="539" spans="1:106" x14ac:dyDescent="0.3">
      <c r="A539">
        <v>1364</v>
      </c>
      <c r="B539" t="s">
        <v>7355</v>
      </c>
      <c r="C539">
        <v>569</v>
      </c>
      <c r="D539" s="20">
        <v>44994</v>
      </c>
      <c r="E539" t="s">
        <v>7372</v>
      </c>
      <c r="F539" t="s">
        <v>5945</v>
      </c>
      <c r="G539" t="s">
        <v>7357</v>
      </c>
      <c r="H539">
        <v>1</v>
      </c>
      <c r="I539" t="s">
        <v>7358</v>
      </c>
      <c r="J539">
        <v>1</v>
      </c>
      <c r="K539" s="20">
        <v>44994</v>
      </c>
      <c r="L539" s="23">
        <v>642600</v>
      </c>
      <c r="M539" t="s">
        <v>7359</v>
      </c>
      <c r="N539" t="s">
        <v>7360</v>
      </c>
      <c r="O539">
        <v>0</v>
      </c>
      <c r="P539">
        <v>12881</v>
      </c>
      <c r="Q539">
        <v>450037</v>
      </c>
      <c r="R539">
        <v>0</v>
      </c>
      <c r="S539">
        <v>20230309</v>
      </c>
      <c r="T539">
        <v>0</v>
      </c>
      <c r="U539" t="s">
        <v>7362</v>
      </c>
      <c r="V539" t="s">
        <v>7360</v>
      </c>
      <c r="W539" t="s">
        <v>7360</v>
      </c>
      <c r="X539" t="s">
        <v>7360</v>
      </c>
      <c r="Y539" t="s">
        <v>7360</v>
      </c>
      <c r="Z539" t="s">
        <v>7360</v>
      </c>
      <c r="AA539" t="s">
        <v>7362</v>
      </c>
      <c r="AB539" t="s">
        <v>7360</v>
      </c>
      <c r="AC539" t="s">
        <v>7360</v>
      </c>
      <c r="AD539" t="s">
        <v>7360</v>
      </c>
      <c r="AE539" t="s">
        <v>7360</v>
      </c>
      <c r="AF539" t="s">
        <v>1684</v>
      </c>
      <c r="AG539">
        <v>0</v>
      </c>
      <c r="AH539">
        <v>0</v>
      </c>
      <c r="AI539">
        <v>0</v>
      </c>
      <c r="AJ539">
        <v>0</v>
      </c>
      <c r="AK539">
        <v>0</v>
      </c>
      <c r="AL539" t="s">
        <v>7360</v>
      </c>
      <c r="AM539">
        <v>0</v>
      </c>
      <c r="AN539" s="20">
        <v>44994</v>
      </c>
      <c r="AO539" s="20">
        <v>44994</v>
      </c>
      <c r="AP539" s="20">
        <v>44994</v>
      </c>
      <c r="AQ539">
        <v>0</v>
      </c>
      <c r="AR539">
        <v>0</v>
      </c>
      <c r="AS539">
        <v>0</v>
      </c>
      <c r="AT539">
        <v>0</v>
      </c>
      <c r="AU539">
        <v>0</v>
      </c>
      <c r="AV539" t="s">
        <v>7360</v>
      </c>
      <c r="AW539">
        <v>0</v>
      </c>
      <c r="AX539" t="s">
        <v>7360</v>
      </c>
      <c r="AY539" t="s">
        <v>7362</v>
      </c>
      <c r="BA539">
        <v>0</v>
      </c>
      <c r="BB539" s="20">
        <v>44994</v>
      </c>
      <c r="BC539">
        <v>0</v>
      </c>
      <c r="BD539" t="s">
        <v>7360</v>
      </c>
      <c r="BF539" s="20">
        <v>44994</v>
      </c>
      <c r="BG539">
        <v>0</v>
      </c>
      <c r="BH539" t="s">
        <v>7363</v>
      </c>
      <c r="BJ539" t="s">
        <v>7362</v>
      </c>
      <c r="BK539">
        <v>0</v>
      </c>
      <c r="BL539">
        <v>0</v>
      </c>
      <c r="BM539">
        <v>0</v>
      </c>
      <c r="BN539">
        <v>0</v>
      </c>
      <c r="BO539">
        <v>169</v>
      </c>
      <c r="BP539">
        <v>11</v>
      </c>
      <c r="BQ539">
        <v>1</v>
      </c>
      <c r="BR539" t="s">
        <v>7364</v>
      </c>
      <c r="BS539" t="s">
        <v>7365</v>
      </c>
      <c r="BT539" t="s">
        <v>7360</v>
      </c>
      <c r="BU539" t="s">
        <v>7360</v>
      </c>
      <c r="BV539" t="s">
        <v>7360</v>
      </c>
      <c r="BX539">
        <v>0</v>
      </c>
      <c r="BY539">
        <v>0</v>
      </c>
      <c r="BZ539" t="s">
        <v>7360</v>
      </c>
      <c r="CA539" t="s">
        <v>7360</v>
      </c>
      <c r="CB539">
        <v>3380666</v>
      </c>
      <c r="CC539" s="21">
        <v>44994.361724537041</v>
      </c>
      <c r="CE539" t="s">
        <v>7366</v>
      </c>
      <c r="CF539">
        <v>0</v>
      </c>
      <c r="CG539">
        <v>702002</v>
      </c>
      <c r="CH539">
        <v>702002</v>
      </c>
      <c r="CI539" s="21">
        <v>44994.364224537036</v>
      </c>
      <c r="CJ539" t="s">
        <v>7367</v>
      </c>
      <c r="CK539" t="s">
        <v>7367</v>
      </c>
      <c r="CL539" t="s">
        <v>7368</v>
      </c>
      <c r="CM539" t="s">
        <v>7368</v>
      </c>
      <c r="CS539" t="s">
        <v>7361</v>
      </c>
      <c r="CT539" t="s">
        <v>7362</v>
      </c>
      <c r="CU539" t="s">
        <v>7362</v>
      </c>
      <c r="CV539" t="s">
        <v>7362</v>
      </c>
      <c r="CW539" t="s">
        <v>7362</v>
      </c>
      <c r="CX539">
        <v>642600</v>
      </c>
      <c r="DA539">
        <v>0</v>
      </c>
    </row>
    <row r="540" spans="1:106" x14ac:dyDescent="0.3">
      <c r="A540">
        <v>1364</v>
      </c>
      <c r="B540" t="s">
        <v>7355</v>
      </c>
      <c r="C540">
        <v>571</v>
      </c>
      <c r="D540" s="20">
        <v>44994</v>
      </c>
      <c r="E540" t="s">
        <v>7372</v>
      </c>
      <c r="F540" t="s">
        <v>5950</v>
      </c>
      <c r="G540" t="s">
        <v>7357</v>
      </c>
      <c r="H540">
        <v>1</v>
      </c>
      <c r="I540" t="s">
        <v>7358</v>
      </c>
      <c r="J540">
        <v>1</v>
      </c>
      <c r="K540" s="20">
        <v>44994</v>
      </c>
      <c r="L540" s="23">
        <v>296310</v>
      </c>
      <c r="M540" t="s">
        <v>7359</v>
      </c>
      <c r="N540" t="s">
        <v>7360</v>
      </c>
      <c r="O540">
        <v>0</v>
      </c>
      <c r="P540">
        <v>12981</v>
      </c>
      <c r="Q540">
        <v>453019</v>
      </c>
      <c r="R540">
        <v>0</v>
      </c>
      <c r="S540">
        <v>20230309</v>
      </c>
      <c r="T540">
        <v>0</v>
      </c>
      <c r="U540" t="s">
        <v>7362</v>
      </c>
      <c r="V540" t="s">
        <v>7360</v>
      </c>
      <c r="W540" t="s">
        <v>7360</v>
      </c>
      <c r="X540" t="s">
        <v>7360</v>
      </c>
      <c r="Y540" t="s">
        <v>7360</v>
      </c>
      <c r="Z540" t="s">
        <v>7360</v>
      </c>
      <c r="AA540" t="s">
        <v>7362</v>
      </c>
      <c r="AB540" t="s">
        <v>7360</v>
      </c>
      <c r="AC540" t="s">
        <v>7360</v>
      </c>
      <c r="AD540" t="s">
        <v>7360</v>
      </c>
      <c r="AE540" t="s">
        <v>7360</v>
      </c>
      <c r="AF540" t="s">
        <v>1684</v>
      </c>
      <c r="AG540">
        <v>0</v>
      </c>
      <c r="AH540">
        <v>0</v>
      </c>
      <c r="AI540">
        <v>0</v>
      </c>
      <c r="AJ540">
        <v>0</v>
      </c>
      <c r="AK540">
        <v>0</v>
      </c>
      <c r="AL540" t="s">
        <v>7360</v>
      </c>
      <c r="AM540">
        <v>0</v>
      </c>
      <c r="AN540" s="20">
        <v>44994</v>
      </c>
      <c r="AO540" s="20">
        <v>44994</v>
      </c>
      <c r="AP540" s="20">
        <v>44994</v>
      </c>
      <c r="AQ540">
        <v>0</v>
      </c>
      <c r="AR540">
        <v>0</v>
      </c>
      <c r="AS540">
        <v>0</v>
      </c>
      <c r="AT540">
        <v>0</v>
      </c>
      <c r="AU540">
        <v>0</v>
      </c>
      <c r="AV540" t="s">
        <v>7360</v>
      </c>
      <c r="AW540">
        <v>0</v>
      </c>
      <c r="AX540" t="s">
        <v>7360</v>
      </c>
      <c r="AY540" t="s">
        <v>7362</v>
      </c>
      <c r="BA540">
        <v>0</v>
      </c>
      <c r="BB540" s="20">
        <v>44994</v>
      </c>
      <c r="BC540">
        <v>0</v>
      </c>
      <c r="BD540" t="s">
        <v>7360</v>
      </c>
      <c r="BF540" s="20">
        <v>44994</v>
      </c>
      <c r="BG540">
        <v>0</v>
      </c>
      <c r="BH540" t="s">
        <v>7363</v>
      </c>
      <c r="BJ540" t="s">
        <v>7362</v>
      </c>
      <c r="BK540">
        <v>0</v>
      </c>
      <c r="BL540">
        <v>0</v>
      </c>
      <c r="BM540">
        <v>0</v>
      </c>
      <c r="BN540">
        <v>0</v>
      </c>
      <c r="BO540">
        <v>169</v>
      </c>
      <c r="BP540">
        <v>11</v>
      </c>
      <c r="BQ540">
        <v>1</v>
      </c>
      <c r="BR540" t="s">
        <v>7364</v>
      </c>
      <c r="BS540" t="s">
        <v>7365</v>
      </c>
      <c r="BT540" t="s">
        <v>7360</v>
      </c>
      <c r="BU540" t="s">
        <v>7360</v>
      </c>
      <c r="BV540" t="s">
        <v>7360</v>
      </c>
      <c r="BX540">
        <v>0</v>
      </c>
      <c r="BY540">
        <v>0</v>
      </c>
      <c r="BZ540" t="s">
        <v>7360</v>
      </c>
      <c r="CA540" t="s">
        <v>7360</v>
      </c>
      <c r="CB540">
        <v>3380666</v>
      </c>
      <c r="CC540" s="21">
        <v>44994.500335648147</v>
      </c>
      <c r="CE540" t="s">
        <v>7366</v>
      </c>
      <c r="CF540">
        <v>0</v>
      </c>
      <c r="CG540">
        <v>702002</v>
      </c>
      <c r="CH540">
        <v>702002</v>
      </c>
      <c r="CI540" s="21">
        <v>44994.501574074071</v>
      </c>
      <c r="CJ540" t="s">
        <v>7367</v>
      </c>
      <c r="CK540" t="s">
        <v>7367</v>
      </c>
      <c r="CL540" t="s">
        <v>7368</v>
      </c>
      <c r="CM540" t="s">
        <v>7368</v>
      </c>
      <c r="CS540" t="s">
        <v>7361</v>
      </c>
      <c r="CT540" t="s">
        <v>7362</v>
      </c>
      <c r="CU540" t="s">
        <v>7362</v>
      </c>
      <c r="CV540" t="s">
        <v>7362</v>
      </c>
      <c r="CW540" t="s">
        <v>7362</v>
      </c>
      <c r="CX540">
        <v>296310</v>
      </c>
      <c r="DA540">
        <v>0</v>
      </c>
    </row>
    <row r="541" spans="1:106" x14ac:dyDescent="0.3">
      <c r="A541">
        <v>1359</v>
      </c>
      <c r="B541" t="s">
        <v>7425</v>
      </c>
      <c r="C541">
        <v>572</v>
      </c>
      <c r="D541" s="20">
        <v>44994</v>
      </c>
      <c r="E541" t="s">
        <v>7356</v>
      </c>
      <c r="F541" t="s">
        <v>5956</v>
      </c>
      <c r="G541" t="s">
        <v>7357</v>
      </c>
      <c r="H541">
        <v>1</v>
      </c>
      <c r="I541" t="s">
        <v>7358</v>
      </c>
      <c r="J541">
        <v>1</v>
      </c>
      <c r="K541" s="20">
        <v>44994</v>
      </c>
      <c r="L541" s="23">
        <v>3432340</v>
      </c>
      <c r="M541" t="s">
        <v>7359</v>
      </c>
      <c r="N541" t="s">
        <v>7360</v>
      </c>
      <c r="O541">
        <v>0</v>
      </c>
      <c r="P541">
        <v>12788</v>
      </c>
      <c r="Q541">
        <v>450027</v>
      </c>
      <c r="R541">
        <v>0</v>
      </c>
      <c r="S541">
        <v>20230309</v>
      </c>
      <c r="T541">
        <v>0</v>
      </c>
      <c r="U541" t="s">
        <v>7362</v>
      </c>
      <c r="V541" t="s">
        <v>7360</v>
      </c>
      <c r="W541" t="s">
        <v>7360</v>
      </c>
      <c r="X541" t="s">
        <v>7360</v>
      </c>
      <c r="Y541" t="s">
        <v>7360</v>
      </c>
      <c r="Z541" t="s">
        <v>7360</v>
      </c>
      <c r="AA541" t="s">
        <v>7362</v>
      </c>
      <c r="AB541" t="s">
        <v>7360</v>
      </c>
      <c r="AC541" t="s">
        <v>7360</v>
      </c>
      <c r="AD541" t="s">
        <v>7360</v>
      </c>
      <c r="AE541" t="s">
        <v>7360</v>
      </c>
      <c r="AF541" t="s">
        <v>1684</v>
      </c>
      <c r="AG541">
        <v>0</v>
      </c>
      <c r="AH541">
        <v>0</v>
      </c>
      <c r="AI541">
        <v>0</v>
      </c>
      <c r="AJ541">
        <v>0</v>
      </c>
      <c r="AK541">
        <v>0</v>
      </c>
      <c r="AL541" t="s">
        <v>7360</v>
      </c>
      <c r="AM541">
        <v>0</v>
      </c>
      <c r="AN541" s="20">
        <v>44994</v>
      </c>
      <c r="AO541" s="20">
        <v>44994</v>
      </c>
      <c r="AP541" s="20">
        <v>44994</v>
      </c>
      <c r="AQ541">
        <v>0</v>
      </c>
      <c r="AR541">
        <v>0</v>
      </c>
      <c r="AS541">
        <v>0</v>
      </c>
      <c r="AT541">
        <v>0</v>
      </c>
      <c r="AU541">
        <v>0</v>
      </c>
      <c r="AV541" t="s">
        <v>7360</v>
      </c>
      <c r="AW541">
        <v>0</v>
      </c>
      <c r="AX541" t="s">
        <v>7360</v>
      </c>
      <c r="AY541" t="s">
        <v>7362</v>
      </c>
      <c r="AZ541">
        <v>1383</v>
      </c>
      <c r="BA541">
        <v>708</v>
      </c>
      <c r="BB541" s="20">
        <v>45006</v>
      </c>
      <c r="BC541">
        <v>20230321</v>
      </c>
      <c r="BD541" t="s">
        <v>7452</v>
      </c>
      <c r="BF541" s="20">
        <v>44994</v>
      </c>
      <c r="BG541">
        <v>0</v>
      </c>
      <c r="BH541" t="s">
        <v>7363</v>
      </c>
      <c r="BJ541" t="s">
        <v>7362</v>
      </c>
      <c r="BK541">
        <v>169</v>
      </c>
      <c r="BL541">
        <v>11</v>
      </c>
      <c r="BM541">
        <v>1</v>
      </c>
      <c r="BN541" t="s">
        <v>7364</v>
      </c>
      <c r="BO541">
        <v>169</v>
      </c>
      <c r="BP541">
        <v>11</v>
      </c>
      <c r="BQ541">
        <v>1</v>
      </c>
      <c r="BR541" t="s">
        <v>7364</v>
      </c>
      <c r="BS541" t="s">
        <v>7386</v>
      </c>
      <c r="BT541" t="s">
        <v>7360</v>
      </c>
      <c r="BU541" t="s">
        <v>7360</v>
      </c>
      <c r="BV541" t="s">
        <v>7360</v>
      </c>
      <c r="BX541" t="s">
        <v>7391</v>
      </c>
      <c r="BY541">
        <v>74</v>
      </c>
      <c r="BZ541" t="s">
        <v>7360</v>
      </c>
      <c r="CA541" t="s">
        <v>7360</v>
      </c>
      <c r="CB541" t="s">
        <v>7360</v>
      </c>
      <c r="CC541" s="21">
        <v>44994.510520833333</v>
      </c>
      <c r="CE541" t="s">
        <v>7392</v>
      </c>
      <c r="CF541">
        <v>1100101</v>
      </c>
      <c r="CG541">
        <v>50947</v>
      </c>
      <c r="CH541">
        <v>50947</v>
      </c>
      <c r="CI541" s="21">
        <v>44994.639814814815</v>
      </c>
      <c r="CJ541" t="s">
        <v>7442</v>
      </c>
      <c r="CK541" t="s">
        <v>7442</v>
      </c>
      <c r="CL541" t="s">
        <v>7443</v>
      </c>
      <c r="CM541" t="s">
        <v>7443</v>
      </c>
      <c r="CS541" t="s">
        <v>7361</v>
      </c>
      <c r="CT541" t="s">
        <v>7362</v>
      </c>
      <c r="CU541" t="s">
        <v>7362</v>
      </c>
      <c r="CV541" t="s">
        <v>7362</v>
      </c>
      <c r="CW541" t="s">
        <v>7362</v>
      </c>
      <c r="CX541">
        <v>3432340</v>
      </c>
      <c r="CY541" t="s">
        <v>1684</v>
      </c>
      <c r="DA541">
        <v>0</v>
      </c>
    </row>
    <row r="542" spans="1:106" x14ac:dyDescent="0.3">
      <c r="A542">
        <v>1361</v>
      </c>
      <c r="B542" t="s">
        <v>7376</v>
      </c>
      <c r="C542">
        <v>573</v>
      </c>
      <c r="D542" s="20">
        <v>44994</v>
      </c>
      <c r="E542" t="s">
        <v>7356</v>
      </c>
      <c r="F542" t="s">
        <v>5961</v>
      </c>
      <c r="G542" t="s">
        <v>7377</v>
      </c>
      <c r="H542">
        <v>1</v>
      </c>
      <c r="I542" t="s">
        <v>7358</v>
      </c>
      <c r="J542">
        <v>1</v>
      </c>
      <c r="K542" s="20">
        <v>44994</v>
      </c>
      <c r="L542" s="23">
        <v>695008</v>
      </c>
      <c r="M542" t="s">
        <v>7359</v>
      </c>
      <c r="N542" t="s">
        <v>7360</v>
      </c>
      <c r="O542">
        <v>0</v>
      </c>
      <c r="P542">
        <v>12866</v>
      </c>
      <c r="Q542">
        <v>450026</v>
      </c>
      <c r="R542">
        <v>0</v>
      </c>
      <c r="S542">
        <v>20230309</v>
      </c>
      <c r="T542">
        <v>0</v>
      </c>
      <c r="U542" t="s">
        <v>7361</v>
      </c>
      <c r="V542" t="s">
        <v>7360</v>
      </c>
      <c r="W542" t="s">
        <v>7360</v>
      </c>
      <c r="X542" t="s">
        <v>7360</v>
      </c>
      <c r="Y542" t="s">
        <v>7360</v>
      </c>
      <c r="Z542" t="s">
        <v>7360</v>
      </c>
      <c r="AA542" t="s">
        <v>7362</v>
      </c>
      <c r="AB542" t="s">
        <v>7360</v>
      </c>
      <c r="AC542" t="s">
        <v>7360</v>
      </c>
      <c r="AD542" t="s">
        <v>7360</v>
      </c>
      <c r="AE542" t="s">
        <v>7360</v>
      </c>
      <c r="AF542" t="s">
        <v>1684</v>
      </c>
      <c r="AG542">
        <v>0</v>
      </c>
      <c r="AH542">
        <v>0</v>
      </c>
      <c r="AI542">
        <v>0</v>
      </c>
      <c r="AJ542">
        <v>0</v>
      </c>
      <c r="AK542">
        <v>0</v>
      </c>
      <c r="AL542" t="s">
        <v>7360</v>
      </c>
      <c r="AM542">
        <v>0</v>
      </c>
      <c r="AN542" s="20">
        <v>44994</v>
      </c>
      <c r="AO542" s="20">
        <v>44994</v>
      </c>
      <c r="AP542" s="20">
        <v>44994</v>
      </c>
      <c r="AQ542">
        <v>0</v>
      </c>
      <c r="AR542">
        <v>0</v>
      </c>
      <c r="AS542">
        <v>0</v>
      </c>
      <c r="AT542">
        <v>0</v>
      </c>
      <c r="AU542">
        <v>0</v>
      </c>
      <c r="AV542" t="s">
        <v>7360</v>
      </c>
      <c r="AW542">
        <v>0</v>
      </c>
      <c r="AX542" t="s">
        <v>7360</v>
      </c>
      <c r="AY542" t="s">
        <v>7363</v>
      </c>
      <c r="BA542">
        <v>0</v>
      </c>
      <c r="BB542" s="20">
        <v>44994</v>
      </c>
      <c r="BC542">
        <v>0</v>
      </c>
      <c r="BD542" t="s">
        <v>7360</v>
      </c>
      <c r="BF542" s="20">
        <v>44994</v>
      </c>
      <c r="BG542">
        <v>0</v>
      </c>
      <c r="BH542" t="s">
        <v>7363</v>
      </c>
      <c r="BJ542" t="s">
        <v>7362</v>
      </c>
      <c r="BK542">
        <v>169</v>
      </c>
      <c r="BL542">
        <v>11</v>
      </c>
      <c r="BM542">
        <v>1</v>
      </c>
      <c r="BN542" t="s">
        <v>7364</v>
      </c>
      <c r="BO542">
        <v>0</v>
      </c>
      <c r="BP542">
        <v>0</v>
      </c>
      <c r="BQ542">
        <v>0</v>
      </c>
      <c r="BR542">
        <v>0</v>
      </c>
      <c r="BS542" t="s">
        <v>7427</v>
      </c>
      <c r="BT542" t="s">
        <v>7360</v>
      </c>
      <c r="BU542" t="s">
        <v>7360</v>
      </c>
      <c r="BV542" t="s">
        <v>7360</v>
      </c>
      <c r="BX542" t="s">
        <v>7391</v>
      </c>
      <c r="BY542">
        <v>74</v>
      </c>
      <c r="BZ542" t="s">
        <v>7360</v>
      </c>
      <c r="CA542" t="s">
        <v>7360</v>
      </c>
      <c r="CC542" s="20">
        <v>44995</v>
      </c>
      <c r="CE542" t="s">
        <v>7392</v>
      </c>
      <c r="CF542">
        <v>1100101</v>
      </c>
      <c r="CG542">
        <v>53575</v>
      </c>
      <c r="CH542">
        <v>53575</v>
      </c>
      <c r="CI542" s="21">
        <v>44994.520972222221</v>
      </c>
      <c r="CJ542" t="s">
        <v>7393</v>
      </c>
      <c r="CK542" t="s">
        <v>7393</v>
      </c>
      <c r="CL542" t="s">
        <v>7394</v>
      </c>
      <c r="CM542" t="s">
        <v>7394</v>
      </c>
      <c r="CS542" t="s">
        <v>7361</v>
      </c>
      <c r="CT542" t="s">
        <v>7362</v>
      </c>
      <c r="CU542" t="s">
        <v>7362</v>
      </c>
      <c r="CV542" t="s">
        <v>7362</v>
      </c>
      <c r="CW542" t="s">
        <v>7362</v>
      </c>
      <c r="CX542">
        <v>695008</v>
      </c>
      <c r="DA542">
        <v>0</v>
      </c>
    </row>
    <row r="543" spans="1:106" x14ac:dyDescent="0.3">
      <c r="A543">
        <v>1364</v>
      </c>
      <c r="B543" t="s">
        <v>7355</v>
      </c>
      <c r="C543">
        <v>574</v>
      </c>
      <c r="D543" s="20">
        <v>44994</v>
      </c>
      <c r="E543" t="s">
        <v>7372</v>
      </c>
      <c r="F543" t="s">
        <v>5966</v>
      </c>
      <c r="G543" t="s">
        <v>7357</v>
      </c>
      <c r="H543">
        <v>1</v>
      </c>
      <c r="I543" t="s">
        <v>7358</v>
      </c>
      <c r="J543">
        <v>1</v>
      </c>
      <c r="K543" s="20">
        <v>44994</v>
      </c>
      <c r="L543" s="23">
        <v>969417</v>
      </c>
      <c r="M543" t="s">
        <v>7359</v>
      </c>
      <c r="N543" t="s">
        <v>7360</v>
      </c>
      <c r="O543">
        <v>0</v>
      </c>
      <c r="P543">
        <v>12317</v>
      </c>
      <c r="Q543">
        <v>432029</v>
      </c>
      <c r="R543">
        <v>0</v>
      </c>
      <c r="S543">
        <v>20230309</v>
      </c>
      <c r="T543">
        <v>0</v>
      </c>
      <c r="U543" t="s">
        <v>7362</v>
      </c>
      <c r="V543" t="s">
        <v>7360</v>
      </c>
      <c r="W543" t="s">
        <v>7360</v>
      </c>
      <c r="X543" t="s">
        <v>7360</v>
      </c>
      <c r="Y543" t="s">
        <v>7360</v>
      </c>
      <c r="Z543" t="s">
        <v>7360</v>
      </c>
      <c r="AA543" t="s">
        <v>7362</v>
      </c>
      <c r="AB543" t="s">
        <v>7360</v>
      </c>
      <c r="AC543" t="s">
        <v>7360</v>
      </c>
      <c r="AD543" t="s">
        <v>7360</v>
      </c>
      <c r="AE543" t="s">
        <v>7360</v>
      </c>
      <c r="AF543" t="s">
        <v>1684</v>
      </c>
      <c r="AG543">
        <v>0</v>
      </c>
      <c r="AH543">
        <v>0</v>
      </c>
      <c r="AI543">
        <v>0</v>
      </c>
      <c r="AJ543">
        <v>0</v>
      </c>
      <c r="AK543">
        <v>0</v>
      </c>
      <c r="AL543" t="s">
        <v>7360</v>
      </c>
      <c r="AM543">
        <v>0</v>
      </c>
      <c r="AN543" s="20">
        <v>44994</v>
      </c>
      <c r="AO543" s="20">
        <v>44994</v>
      </c>
      <c r="AP543" s="20">
        <v>44994</v>
      </c>
      <c r="AQ543">
        <v>0</v>
      </c>
      <c r="AR543">
        <v>0</v>
      </c>
      <c r="AS543">
        <v>0</v>
      </c>
      <c r="AT543">
        <v>0</v>
      </c>
      <c r="AU543">
        <v>0</v>
      </c>
      <c r="AV543" t="s">
        <v>7360</v>
      </c>
      <c r="AW543">
        <v>0</v>
      </c>
      <c r="AX543" t="s">
        <v>7360</v>
      </c>
      <c r="AY543" t="s">
        <v>7362</v>
      </c>
      <c r="BA543">
        <v>0</v>
      </c>
      <c r="BB543" s="20">
        <v>44994</v>
      </c>
      <c r="BC543">
        <v>0</v>
      </c>
      <c r="BD543" t="s">
        <v>7360</v>
      </c>
      <c r="BF543" s="20">
        <v>44994</v>
      </c>
      <c r="BG543">
        <v>0</v>
      </c>
      <c r="BH543" t="s">
        <v>7363</v>
      </c>
      <c r="BJ543" t="s">
        <v>7362</v>
      </c>
      <c r="BK543">
        <v>169</v>
      </c>
      <c r="BL543">
        <v>11</v>
      </c>
      <c r="BM543">
        <v>1</v>
      </c>
      <c r="BN543" t="s">
        <v>7364</v>
      </c>
      <c r="BO543">
        <v>169</v>
      </c>
      <c r="BP543">
        <v>11</v>
      </c>
      <c r="BQ543">
        <v>1</v>
      </c>
      <c r="BR543" t="s">
        <v>7364</v>
      </c>
      <c r="BS543" t="s">
        <v>7365</v>
      </c>
      <c r="BT543" t="s">
        <v>7360</v>
      </c>
      <c r="BU543" t="s">
        <v>7360</v>
      </c>
      <c r="BV543" t="s">
        <v>7360</v>
      </c>
      <c r="BX543" t="s">
        <v>7391</v>
      </c>
      <c r="BY543">
        <v>74</v>
      </c>
      <c r="BZ543" t="s">
        <v>7360</v>
      </c>
      <c r="CA543" t="s">
        <v>7360</v>
      </c>
      <c r="CB543" t="s">
        <v>7360</v>
      </c>
      <c r="CC543" s="21">
        <v>44994.518240740741</v>
      </c>
      <c r="CE543" t="s">
        <v>7392</v>
      </c>
      <c r="CF543">
        <v>1100101</v>
      </c>
      <c r="CG543">
        <v>50947</v>
      </c>
      <c r="CH543">
        <v>53575</v>
      </c>
      <c r="CI543" s="21">
        <v>44998.33320601852</v>
      </c>
      <c r="CJ543" t="s">
        <v>7442</v>
      </c>
      <c r="CK543" t="s">
        <v>7393</v>
      </c>
      <c r="CL543" t="s">
        <v>7443</v>
      </c>
      <c r="CM543" t="s">
        <v>7394</v>
      </c>
      <c r="CS543" t="s">
        <v>7361</v>
      </c>
      <c r="CT543" t="s">
        <v>7362</v>
      </c>
      <c r="CU543" t="s">
        <v>7362</v>
      </c>
      <c r="CV543" t="s">
        <v>7362</v>
      </c>
      <c r="CW543" t="s">
        <v>7362</v>
      </c>
      <c r="CX543">
        <v>969417</v>
      </c>
      <c r="DA543">
        <v>0</v>
      </c>
    </row>
    <row r="544" spans="1:106" x14ac:dyDescent="0.3">
      <c r="A544">
        <v>1354</v>
      </c>
      <c r="B544" t="s">
        <v>7396</v>
      </c>
      <c r="C544">
        <v>575</v>
      </c>
      <c r="D544" s="20">
        <v>44994</v>
      </c>
      <c r="E544" t="s">
        <v>7372</v>
      </c>
      <c r="F544" t="s">
        <v>5972</v>
      </c>
      <c r="G544" t="s">
        <v>7370</v>
      </c>
      <c r="H544">
        <v>1</v>
      </c>
      <c r="I544" t="s">
        <v>7358</v>
      </c>
      <c r="J544">
        <v>1</v>
      </c>
      <c r="K544" s="20">
        <v>44994</v>
      </c>
      <c r="L544" s="23">
        <v>4068000</v>
      </c>
      <c r="M544" t="s">
        <v>7359</v>
      </c>
      <c r="N544" t="s">
        <v>7360</v>
      </c>
      <c r="O544">
        <v>0</v>
      </c>
      <c r="P544">
        <v>12976</v>
      </c>
      <c r="Q544">
        <v>453013</v>
      </c>
      <c r="R544">
        <v>0</v>
      </c>
      <c r="S544">
        <v>20230309</v>
      </c>
      <c r="T544">
        <v>0</v>
      </c>
      <c r="U544" t="s">
        <v>7362</v>
      </c>
      <c r="V544" t="s">
        <v>7360</v>
      </c>
      <c r="W544" t="s">
        <v>7360</v>
      </c>
      <c r="X544" t="s">
        <v>7360</v>
      </c>
      <c r="Y544" t="s">
        <v>7360</v>
      </c>
      <c r="Z544" t="s">
        <v>7360</v>
      </c>
      <c r="AA544" t="s">
        <v>7362</v>
      </c>
      <c r="AB544" t="s">
        <v>7360</v>
      </c>
      <c r="AC544" t="s">
        <v>7360</v>
      </c>
      <c r="AD544" t="s">
        <v>7360</v>
      </c>
      <c r="AE544" t="s">
        <v>7360</v>
      </c>
      <c r="AF544" t="s">
        <v>1684</v>
      </c>
      <c r="AG544">
        <v>0</v>
      </c>
      <c r="AH544">
        <v>0</v>
      </c>
      <c r="AI544">
        <v>0</v>
      </c>
      <c r="AJ544">
        <v>0</v>
      </c>
      <c r="AK544">
        <v>0</v>
      </c>
      <c r="AL544" t="s">
        <v>7360</v>
      </c>
      <c r="AM544">
        <v>0</v>
      </c>
      <c r="AN544" s="20">
        <v>44994</v>
      </c>
      <c r="AO544" s="20">
        <v>44994</v>
      </c>
      <c r="AP544" s="20">
        <v>44994</v>
      </c>
      <c r="AQ544">
        <v>0</v>
      </c>
      <c r="AR544">
        <v>0</v>
      </c>
      <c r="AS544">
        <v>0</v>
      </c>
      <c r="AT544">
        <v>0</v>
      </c>
      <c r="AU544">
        <v>0</v>
      </c>
      <c r="AV544" t="s">
        <v>7360</v>
      </c>
      <c r="AW544">
        <v>0</v>
      </c>
      <c r="AX544" t="s">
        <v>7360</v>
      </c>
      <c r="AY544" t="s">
        <v>7362</v>
      </c>
      <c r="BA544">
        <v>0</v>
      </c>
      <c r="BB544" s="20">
        <v>44994</v>
      </c>
      <c r="BC544">
        <v>0</v>
      </c>
      <c r="BD544" t="s">
        <v>7360</v>
      </c>
      <c r="BF544" s="20">
        <v>44994</v>
      </c>
      <c r="BG544">
        <v>0</v>
      </c>
      <c r="BH544" t="s">
        <v>7363</v>
      </c>
      <c r="BJ544" t="s">
        <v>7362</v>
      </c>
      <c r="BK544">
        <v>0</v>
      </c>
      <c r="BL544">
        <v>0</v>
      </c>
      <c r="BM544">
        <v>0</v>
      </c>
      <c r="BN544">
        <v>0</v>
      </c>
      <c r="BO544">
        <v>169</v>
      </c>
      <c r="BP544">
        <v>11</v>
      </c>
      <c r="BQ544">
        <v>1</v>
      </c>
      <c r="BR544" t="s">
        <v>7364</v>
      </c>
      <c r="BS544" t="s">
        <v>7365</v>
      </c>
      <c r="BT544" t="s">
        <v>7360</v>
      </c>
      <c r="BU544" t="s">
        <v>7360</v>
      </c>
      <c r="BV544" t="s">
        <v>7360</v>
      </c>
      <c r="BX544">
        <v>0</v>
      </c>
      <c r="BY544">
        <v>0</v>
      </c>
      <c r="BZ544" t="s">
        <v>7360</v>
      </c>
      <c r="CA544" t="s">
        <v>7360</v>
      </c>
      <c r="CB544">
        <v>3380666</v>
      </c>
      <c r="CC544" s="21">
        <v>44994.538599537038</v>
      </c>
      <c r="CE544" t="s">
        <v>7366</v>
      </c>
      <c r="CF544">
        <v>0</v>
      </c>
      <c r="CG544">
        <v>702002</v>
      </c>
      <c r="CH544">
        <v>702002</v>
      </c>
      <c r="CI544" s="21">
        <v>44994.539664351854</v>
      </c>
      <c r="CJ544" t="s">
        <v>7367</v>
      </c>
      <c r="CK544" t="s">
        <v>7367</v>
      </c>
      <c r="CL544" t="s">
        <v>7368</v>
      </c>
      <c r="CM544" t="s">
        <v>7368</v>
      </c>
      <c r="CS544" t="s">
        <v>7361</v>
      </c>
      <c r="CT544" t="s">
        <v>7362</v>
      </c>
      <c r="CU544" t="s">
        <v>7362</v>
      </c>
      <c r="CV544" t="s">
        <v>7362</v>
      </c>
      <c r="CW544" t="s">
        <v>7362</v>
      </c>
      <c r="CX544">
        <v>4068000</v>
      </c>
      <c r="DA544">
        <v>0</v>
      </c>
    </row>
    <row r="545" spans="1:106" x14ac:dyDescent="0.3">
      <c r="A545">
        <v>1357</v>
      </c>
      <c r="B545" t="s">
        <v>7405</v>
      </c>
      <c r="C545">
        <v>576</v>
      </c>
      <c r="D545" s="20">
        <v>44994</v>
      </c>
      <c r="E545" t="s">
        <v>7372</v>
      </c>
      <c r="F545" t="s">
        <v>4923</v>
      </c>
      <c r="G545" t="s">
        <v>7370</v>
      </c>
      <c r="H545">
        <v>1</v>
      </c>
      <c r="I545" t="s">
        <v>7358</v>
      </c>
      <c r="J545">
        <v>1</v>
      </c>
      <c r="K545" s="20">
        <v>44994</v>
      </c>
      <c r="L545" s="23">
        <v>1845000</v>
      </c>
      <c r="M545" t="s">
        <v>7359</v>
      </c>
      <c r="N545" t="s">
        <v>7360</v>
      </c>
      <c r="O545">
        <v>0</v>
      </c>
      <c r="P545">
        <v>12901</v>
      </c>
      <c r="Q545">
        <v>450059</v>
      </c>
      <c r="R545">
        <v>0</v>
      </c>
      <c r="S545">
        <v>20230309</v>
      </c>
      <c r="T545">
        <v>0</v>
      </c>
      <c r="U545" t="s">
        <v>7362</v>
      </c>
      <c r="V545" t="s">
        <v>7360</v>
      </c>
      <c r="W545" t="s">
        <v>7360</v>
      </c>
      <c r="X545" t="s">
        <v>7360</v>
      </c>
      <c r="Y545" t="s">
        <v>7360</v>
      </c>
      <c r="Z545" t="s">
        <v>7360</v>
      </c>
      <c r="AA545" t="s">
        <v>7362</v>
      </c>
      <c r="AB545" t="s">
        <v>7360</v>
      </c>
      <c r="AC545" t="s">
        <v>7360</v>
      </c>
      <c r="AD545" t="s">
        <v>7360</v>
      </c>
      <c r="AE545" t="s">
        <v>7360</v>
      </c>
      <c r="AF545" t="s">
        <v>1684</v>
      </c>
      <c r="AG545">
        <v>0</v>
      </c>
      <c r="AH545">
        <v>0</v>
      </c>
      <c r="AI545">
        <v>0</v>
      </c>
      <c r="AJ545">
        <v>0</v>
      </c>
      <c r="AK545">
        <v>0</v>
      </c>
      <c r="AL545" t="s">
        <v>7360</v>
      </c>
      <c r="AM545">
        <v>0</v>
      </c>
      <c r="AN545" s="20">
        <v>44994</v>
      </c>
      <c r="AO545" s="20">
        <v>44994</v>
      </c>
      <c r="AP545" s="20">
        <v>44994</v>
      </c>
      <c r="AQ545">
        <v>0</v>
      </c>
      <c r="AR545">
        <v>0</v>
      </c>
      <c r="AS545">
        <v>0</v>
      </c>
      <c r="AT545">
        <v>0</v>
      </c>
      <c r="AU545">
        <v>0</v>
      </c>
      <c r="AV545" t="s">
        <v>7360</v>
      </c>
      <c r="AW545">
        <v>0</v>
      </c>
      <c r="AX545" t="s">
        <v>7360</v>
      </c>
      <c r="AY545" t="s">
        <v>7362</v>
      </c>
      <c r="BA545">
        <v>0</v>
      </c>
      <c r="BB545" s="20">
        <v>44994</v>
      </c>
      <c r="BC545">
        <v>0</v>
      </c>
      <c r="BD545" t="s">
        <v>7360</v>
      </c>
      <c r="BF545" s="20">
        <v>44994</v>
      </c>
      <c r="BG545">
        <v>0</v>
      </c>
      <c r="BH545" t="s">
        <v>1684</v>
      </c>
      <c r="BJ545" t="s">
        <v>7362</v>
      </c>
      <c r="BK545">
        <v>169</v>
      </c>
      <c r="BL545">
        <v>11</v>
      </c>
      <c r="BM545">
        <v>1</v>
      </c>
      <c r="BN545" t="s">
        <v>7364</v>
      </c>
      <c r="BO545">
        <v>169</v>
      </c>
      <c r="BP545">
        <v>11</v>
      </c>
      <c r="BQ545">
        <v>1</v>
      </c>
      <c r="BR545" t="s">
        <v>7364</v>
      </c>
      <c r="BS545" t="s">
        <v>7360</v>
      </c>
      <c r="BT545" t="s">
        <v>7360</v>
      </c>
      <c r="BU545" t="s">
        <v>7360</v>
      </c>
      <c r="BV545" t="s">
        <v>7360</v>
      </c>
      <c r="BX545" t="s">
        <v>7391</v>
      </c>
      <c r="BY545">
        <v>74</v>
      </c>
      <c r="BZ545" t="s">
        <v>7360</v>
      </c>
      <c r="CA545" t="s">
        <v>7360</v>
      </c>
      <c r="CB545" t="s">
        <v>7453</v>
      </c>
      <c r="CC545" s="21">
        <v>44994.539548611108</v>
      </c>
      <c r="CE545" t="s">
        <v>7392</v>
      </c>
      <c r="CF545">
        <v>1100101</v>
      </c>
      <c r="CG545">
        <v>50947</v>
      </c>
      <c r="CH545">
        <v>50947</v>
      </c>
      <c r="CI545" s="21">
        <v>44994.544004629628</v>
      </c>
      <c r="CJ545" t="s">
        <v>7442</v>
      </c>
      <c r="CK545" t="s">
        <v>7442</v>
      </c>
      <c r="CL545" t="s">
        <v>7443</v>
      </c>
      <c r="CM545" t="s">
        <v>7443</v>
      </c>
      <c r="CS545" t="s">
        <v>7361</v>
      </c>
      <c r="CT545" t="s">
        <v>7362</v>
      </c>
      <c r="CU545" t="s">
        <v>7362</v>
      </c>
      <c r="CV545" t="s">
        <v>7362</v>
      </c>
      <c r="CW545" t="s">
        <v>7362</v>
      </c>
      <c r="CX545">
        <v>1845000</v>
      </c>
      <c r="DA545">
        <v>0</v>
      </c>
    </row>
    <row r="546" spans="1:106" x14ac:dyDescent="0.3">
      <c r="A546">
        <v>1352</v>
      </c>
      <c r="B546" t="s">
        <v>7416</v>
      </c>
      <c r="C546">
        <v>577</v>
      </c>
      <c r="D546" s="20">
        <v>44994</v>
      </c>
      <c r="E546" t="s">
        <v>7372</v>
      </c>
      <c r="F546" t="s">
        <v>4928</v>
      </c>
      <c r="G546" t="s">
        <v>7357</v>
      </c>
      <c r="H546">
        <v>1</v>
      </c>
      <c r="I546" t="s">
        <v>7358</v>
      </c>
      <c r="J546">
        <v>1</v>
      </c>
      <c r="K546" s="20">
        <v>44994</v>
      </c>
      <c r="L546" s="23">
        <v>119000</v>
      </c>
      <c r="M546" t="s">
        <v>7359</v>
      </c>
      <c r="N546" t="s">
        <v>7360</v>
      </c>
      <c r="O546">
        <v>0</v>
      </c>
      <c r="P546">
        <v>12983</v>
      </c>
      <c r="Q546">
        <v>453029</v>
      </c>
      <c r="R546">
        <v>0</v>
      </c>
      <c r="S546">
        <v>20230309</v>
      </c>
      <c r="T546">
        <v>0</v>
      </c>
      <c r="U546" t="s">
        <v>7362</v>
      </c>
      <c r="V546" t="s">
        <v>7360</v>
      </c>
      <c r="W546" t="s">
        <v>7360</v>
      </c>
      <c r="X546" t="s">
        <v>7360</v>
      </c>
      <c r="Y546" t="s">
        <v>7360</v>
      </c>
      <c r="Z546" t="s">
        <v>7360</v>
      </c>
      <c r="AA546" t="s">
        <v>7362</v>
      </c>
      <c r="AB546" t="s">
        <v>7360</v>
      </c>
      <c r="AC546" t="s">
        <v>7360</v>
      </c>
      <c r="AD546" t="s">
        <v>7360</v>
      </c>
      <c r="AE546" t="s">
        <v>7360</v>
      </c>
      <c r="AF546" t="s">
        <v>1684</v>
      </c>
      <c r="AG546">
        <v>0</v>
      </c>
      <c r="AH546">
        <v>0</v>
      </c>
      <c r="AI546">
        <v>0</v>
      </c>
      <c r="AJ546">
        <v>0</v>
      </c>
      <c r="AK546">
        <v>0</v>
      </c>
      <c r="AL546" t="s">
        <v>7360</v>
      </c>
      <c r="AM546">
        <v>0</v>
      </c>
      <c r="AN546" s="20">
        <v>44994</v>
      </c>
      <c r="AO546" s="20">
        <v>44994</v>
      </c>
      <c r="AP546" s="20">
        <v>44994</v>
      </c>
      <c r="AQ546">
        <v>0</v>
      </c>
      <c r="AR546">
        <v>0</v>
      </c>
      <c r="AS546">
        <v>0</v>
      </c>
      <c r="AT546">
        <v>0</v>
      </c>
      <c r="AU546">
        <v>0</v>
      </c>
      <c r="AV546" t="s">
        <v>7360</v>
      </c>
      <c r="AW546">
        <v>0</v>
      </c>
      <c r="AX546" t="s">
        <v>7360</v>
      </c>
      <c r="AY546" t="s">
        <v>7362</v>
      </c>
      <c r="BA546">
        <v>0</v>
      </c>
      <c r="BB546" s="20">
        <v>44994</v>
      </c>
      <c r="BC546">
        <v>0</v>
      </c>
      <c r="BD546" t="s">
        <v>7360</v>
      </c>
      <c r="BF546" s="20">
        <v>44994</v>
      </c>
      <c r="BG546">
        <v>0</v>
      </c>
      <c r="BH546" t="s">
        <v>7363</v>
      </c>
      <c r="BJ546" t="s">
        <v>7362</v>
      </c>
      <c r="BK546">
        <v>0</v>
      </c>
      <c r="BL546">
        <v>0</v>
      </c>
      <c r="BM546">
        <v>0</v>
      </c>
      <c r="BN546">
        <v>0</v>
      </c>
      <c r="BO546">
        <v>169</v>
      </c>
      <c r="BP546">
        <v>11</v>
      </c>
      <c r="BQ546">
        <v>1</v>
      </c>
      <c r="BR546" t="s">
        <v>7364</v>
      </c>
      <c r="BS546" t="s">
        <v>61</v>
      </c>
      <c r="BT546" t="s">
        <v>7360</v>
      </c>
      <c r="BU546" t="s">
        <v>7360</v>
      </c>
      <c r="BV546" t="s">
        <v>7360</v>
      </c>
      <c r="BX546">
        <v>0</v>
      </c>
      <c r="BY546">
        <v>0</v>
      </c>
      <c r="BZ546" t="s">
        <v>7360</v>
      </c>
      <c r="CA546" t="s">
        <v>7360</v>
      </c>
      <c r="CB546">
        <v>3380666</v>
      </c>
      <c r="CC546" s="21">
        <v>44994.587002314816</v>
      </c>
      <c r="CE546" t="s">
        <v>7366</v>
      </c>
      <c r="CF546">
        <v>0</v>
      </c>
      <c r="CG546">
        <v>702002</v>
      </c>
      <c r="CH546">
        <v>702002</v>
      </c>
      <c r="CI546" s="21">
        <v>44994.58861111111</v>
      </c>
      <c r="CJ546" t="s">
        <v>7367</v>
      </c>
      <c r="CK546" t="s">
        <v>7367</v>
      </c>
      <c r="CL546" t="s">
        <v>7368</v>
      </c>
      <c r="CM546" t="s">
        <v>7368</v>
      </c>
      <c r="CS546" t="s">
        <v>7361</v>
      </c>
      <c r="CT546" t="s">
        <v>7362</v>
      </c>
      <c r="CU546" t="s">
        <v>7362</v>
      </c>
      <c r="CV546" t="s">
        <v>7362</v>
      </c>
      <c r="CW546" t="s">
        <v>7362</v>
      </c>
      <c r="CX546">
        <v>119000</v>
      </c>
      <c r="DA546">
        <v>0</v>
      </c>
    </row>
    <row r="547" spans="1:106" x14ac:dyDescent="0.3">
      <c r="A547">
        <v>1354</v>
      </c>
      <c r="B547" t="s">
        <v>7396</v>
      </c>
      <c r="C547">
        <v>578</v>
      </c>
      <c r="D547" s="20">
        <v>44994</v>
      </c>
      <c r="E547" t="s">
        <v>7372</v>
      </c>
      <c r="F547" t="s">
        <v>4933</v>
      </c>
      <c r="G547" t="s">
        <v>7370</v>
      </c>
      <c r="H547">
        <v>1</v>
      </c>
      <c r="I547" t="s">
        <v>7358</v>
      </c>
      <c r="J547">
        <v>1</v>
      </c>
      <c r="K547" s="20">
        <v>44994</v>
      </c>
      <c r="L547" s="23">
        <v>2712000</v>
      </c>
      <c r="M547" t="s">
        <v>7359</v>
      </c>
      <c r="N547" t="s">
        <v>7360</v>
      </c>
      <c r="O547">
        <v>0</v>
      </c>
      <c r="P547">
        <v>12935</v>
      </c>
      <c r="Q547">
        <v>451007</v>
      </c>
      <c r="R547">
        <v>0</v>
      </c>
      <c r="S547">
        <v>20230309</v>
      </c>
      <c r="T547">
        <v>0</v>
      </c>
      <c r="U547" t="s">
        <v>7362</v>
      </c>
      <c r="V547" t="s">
        <v>7360</v>
      </c>
      <c r="W547" t="s">
        <v>7360</v>
      </c>
      <c r="X547" t="s">
        <v>7360</v>
      </c>
      <c r="Y547" t="s">
        <v>7360</v>
      </c>
      <c r="Z547" t="s">
        <v>7360</v>
      </c>
      <c r="AA547" t="s">
        <v>7362</v>
      </c>
      <c r="AB547" t="s">
        <v>7360</v>
      </c>
      <c r="AC547" t="s">
        <v>7360</v>
      </c>
      <c r="AD547" t="s">
        <v>7360</v>
      </c>
      <c r="AE547" t="s">
        <v>7360</v>
      </c>
      <c r="AF547" t="s">
        <v>1684</v>
      </c>
      <c r="AG547">
        <v>0</v>
      </c>
      <c r="AH547">
        <v>0</v>
      </c>
      <c r="AI547">
        <v>0</v>
      </c>
      <c r="AJ547">
        <v>0</v>
      </c>
      <c r="AK547">
        <v>0</v>
      </c>
      <c r="AL547" t="s">
        <v>7360</v>
      </c>
      <c r="AM547">
        <v>0</v>
      </c>
      <c r="AN547" s="20">
        <v>44994</v>
      </c>
      <c r="AO547" s="20">
        <v>44994</v>
      </c>
      <c r="AP547" s="20">
        <v>44994</v>
      </c>
      <c r="AQ547">
        <v>0</v>
      </c>
      <c r="AR547">
        <v>0</v>
      </c>
      <c r="AS547">
        <v>0</v>
      </c>
      <c r="AT547">
        <v>0</v>
      </c>
      <c r="AU547">
        <v>0</v>
      </c>
      <c r="AV547" t="s">
        <v>7360</v>
      </c>
      <c r="AW547">
        <v>0</v>
      </c>
      <c r="AX547" t="s">
        <v>7360</v>
      </c>
      <c r="AY547" t="s">
        <v>7362</v>
      </c>
      <c r="BA547">
        <v>0</v>
      </c>
      <c r="BB547" s="20">
        <v>44994</v>
      </c>
      <c r="BC547">
        <v>0</v>
      </c>
      <c r="BD547" t="s">
        <v>7360</v>
      </c>
      <c r="BF547" s="20">
        <v>44994</v>
      </c>
      <c r="BG547">
        <v>0</v>
      </c>
      <c r="BH547" t="s">
        <v>7363</v>
      </c>
      <c r="BJ547" t="s">
        <v>7362</v>
      </c>
      <c r="BK547">
        <v>169</v>
      </c>
      <c r="BL547">
        <v>11</v>
      </c>
      <c r="BM547">
        <v>1</v>
      </c>
      <c r="BN547" t="s">
        <v>7364</v>
      </c>
      <c r="BO547">
        <v>169</v>
      </c>
      <c r="BP547">
        <v>11</v>
      </c>
      <c r="BQ547">
        <v>1</v>
      </c>
      <c r="BR547" t="s">
        <v>7364</v>
      </c>
      <c r="BS547" t="s">
        <v>7365</v>
      </c>
      <c r="BT547" t="s">
        <v>7360</v>
      </c>
      <c r="BU547" t="s">
        <v>7360</v>
      </c>
      <c r="BV547" t="s">
        <v>7360</v>
      </c>
      <c r="BX547" t="s">
        <v>7391</v>
      </c>
      <c r="BY547">
        <v>74</v>
      </c>
      <c r="BZ547" t="s">
        <v>7360</v>
      </c>
      <c r="CA547" t="s">
        <v>7360</v>
      </c>
      <c r="CB547" t="s">
        <v>7360</v>
      </c>
      <c r="CC547" s="21">
        <v>44994.588773148149</v>
      </c>
      <c r="CE547" t="s">
        <v>7392</v>
      </c>
      <c r="CF547">
        <v>1100101</v>
      </c>
      <c r="CG547">
        <v>50947</v>
      </c>
      <c r="CH547">
        <v>50947</v>
      </c>
      <c r="CI547" s="21">
        <v>44994.58971064815</v>
      </c>
      <c r="CJ547" t="s">
        <v>7442</v>
      </c>
      <c r="CK547" t="s">
        <v>7442</v>
      </c>
      <c r="CL547" t="s">
        <v>7443</v>
      </c>
      <c r="CM547" t="s">
        <v>7443</v>
      </c>
      <c r="CS547" t="s">
        <v>7361</v>
      </c>
      <c r="CT547" t="s">
        <v>7362</v>
      </c>
      <c r="CU547" t="s">
        <v>7362</v>
      </c>
      <c r="CV547" t="s">
        <v>7362</v>
      </c>
      <c r="CW547" t="s">
        <v>7362</v>
      </c>
      <c r="CX547">
        <v>2712000</v>
      </c>
      <c r="DA547">
        <v>0</v>
      </c>
    </row>
    <row r="548" spans="1:106" x14ac:dyDescent="0.3">
      <c r="A548">
        <v>1354</v>
      </c>
      <c r="B548" t="s">
        <v>7396</v>
      </c>
      <c r="C548">
        <v>579</v>
      </c>
      <c r="D548" s="20">
        <v>44994</v>
      </c>
      <c r="E548" t="s">
        <v>7372</v>
      </c>
      <c r="F548" t="s">
        <v>4939</v>
      </c>
      <c r="G548" t="s">
        <v>7370</v>
      </c>
      <c r="H548">
        <v>1</v>
      </c>
      <c r="I548" t="s">
        <v>7358</v>
      </c>
      <c r="J548">
        <v>1</v>
      </c>
      <c r="K548" s="20">
        <v>44994</v>
      </c>
      <c r="L548" s="23">
        <v>4068000</v>
      </c>
      <c r="M548" t="s">
        <v>7359</v>
      </c>
      <c r="N548" t="s">
        <v>7360</v>
      </c>
      <c r="O548">
        <v>0</v>
      </c>
      <c r="P548">
        <v>12941</v>
      </c>
      <c r="Q548">
        <v>451011</v>
      </c>
      <c r="R548">
        <v>0</v>
      </c>
      <c r="S548">
        <v>20230309</v>
      </c>
      <c r="T548">
        <v>0</v>
      </c>
      <c r="U548" t="s">
        <v>7362</v>
      </c>
      <c r="V548" t="s">
        <v>7360</v>
      </c>
      <c r="W548" t="s">
        <v>7360</v>
      </c>
      <c r="X548" t="s">
        <v>7360</v>
      </c>
      <c r="Y548" t="s">
        <v>7360</v>
      </c>
      <c r="Z548" t="s">
        <v>7360</v>
      </c>
      <c r="AA548" t="s">
        <v>7362</v>
      </c>
      <c r="AB548" t="s">
        <v>7360</v>
      </c>
      <c r="AC548" t="s">
        <v>7360</v>
      </c>
      <c r="AD548" t="s">
        <v>7360</v>
      </c>
      <c r="AE548" t="s">
        <v>7360</v>
      </c>
      <c r="AF548" t="s">
        <v>1684</v>
      </c>
      <c r="AG548">
        <v>0</v>
      </c>
      <c r="AH548">
        <v>0</v>
      </c>
      <c r="AI548">
        <v>0</v>
      </c>
      <c r="AJ548">
        <v>0</v>
      </c>
      <c r="AK548">
        <v>0</v>
      </c>
      <c r="AL548" t="s">
        <v>7360</v>
      </c>
      <c r="AM548">
        <v>0</v>
      </c>
      <c r="AN548" s="20">
        <v>44994</v>
      </c>
      <c r="AO548" s="20">
        <v>44994</v>
      </c>
      <c r="AP548" s="20">
        <v>44994</v>
      </c>
      <c r="AQ548">
        <v>0</v>
      </c>
      <c r="AR548">
        <v>0</v>
      </c>
      <c r="AS548">
        <v>0</v>
      </c>
      <c r="AT548">
        <v>0</v>
      </c>
      <c r="AU548">
        <v>0</v>
      </c>
      <c r="AV548" t="s">
        <v>7360</v>
      </c>
      <c r="AW548">
        <v>0</v>
      </c>
      <c r="AX548" t="s">
        <v>7360</v>
      </c>
      <c r="AY548" t="s">
        <v>7362</v>
      </c>
      <c r="BA548">
        <v>0</v>
      </c>
      <c r="BB548" s="20">
        <v>44994</v>
      </c>
      <c r="BC548">
        <v>0</v>
      </c>
      <c r="BD548" t="s">
        <v>7360</v>
      </c>
      <c r="BF548" s="20">
        <v>44994</v>
      </c>
      <c r="BG548">
        <v>0</v>
      </c>
      <c r="BH548" t="s">
        <v>7363</v>
      </c>
      <c r="BJ548" t="s">
        <v>7362</v>
      </c>
      <c r="BK548">
        <v>169</v>
      </c>
      <c r="BL548">
        <v>11</v>
      </c>
      <c r="BM548">
        <v>1</v>
      </c>
      <c r="BN548" t="s">
        <v>7364</v>
      </c>
      <c r="BO548">
        <v>169</v>
      </c>
      <c r="BP548">
        <v>11</v>
      </c>
      <c r="BQ548">
        <v>1</v>
      </c>
      <c r="BR548" t="s">
        <v>7364</v>
      </c>
      <c r="BS548" t="s">
        <v>7365</v>
      </c>
      <c r="BT548" t="s">
        <v>7360</v>
      </c>
      <c r="BU548" t="s">
        <v>7360</v>
      </c>
      <c r="BV548" t="s">
        <v>7360</v>
      </c>
      <c r="BX548" t="s">
        <v>7391</v>
      </c>
      <c r="BY548">
        <v>74</v>
      </c>
      <c r="BZ548" t="s">
        <v>7360</v>
      </c>
      <c r="CA548" t="s">
        <v>7360</v>
      </c>
      <c r="CB548" t="s">
        <v>7360</v>
      </c>
      <c r="CC548" s="21">
        <v>44994.594097222223</v>
      </c>
      <c r="CE548" t="s">
        <v>7392</v>
      </c>
      <c r="CF548">
        <v>1100101</v>
      </c>
      <c r="CG548">
        <v>50947</v>
      </c>
      <c r="CH548">
        <v>50947</v>
      </c>
      <c r="CI548" s="21">
        <v>44994.598379629628</v>
      </c>
      <c r="CJ548" t="s">
        <v>7442</v>
      </c>
      <c r="CK548" t="s">
        <v>7442</v>
      </c>
      <c r="CL548" t="s">
        <v>7443</v>
      </c>
      <c r="CM548" t="s">
        <v>7443</v>
      </c>
      <c r="CS548" t="s">
        <v>7361</v>
      </c>
      <c r="CT548" t="s">
        <v>7362</v>
      </c>
      <c r="CU548" t="s">
        <v>7362</v>
      </c>
      <c r="CV548" t="s">
        <v>7362</v>
      </c>
      <c r="CW548" t="s">
        <v>7362</v>
      </c>
      <c r="CX548">
        <v>4068000</v>
      </c>
      <c r="DA548">
        <v>0</v>
      </c>
    </row>
    <row r="549" spans="1:106" x14ac:dyDescent="0.3">
      <c r="A549">
        <v>1364</v>
      </c>
      <c r="B549" t="s">
        <v>7355</v>
      </c>
      <c r="C549">
        <v>580</v>
      </c>
      <c r="D549" s="20">
        <v>44994</v>
      </c>
      <c r="E549" t="s">
        <v>7372</v>
      </c>
      <c r="F549" t="s">
        <v>4944</v>
      </c>
      <c r="G549" t="s">
        <v>7357</v>
      </c>
      <c r="H549">
        <v>1</v>
      </c>
      <c r="I549" t="s">
        <v>7358</v>
      </c>
      <c r="J549">
        <v>1</v>
      </c>
      <c r="K549" s="20">
        <v>44994</v>
      </c>
      <c r="L549" s="23">
        <v>296310</v>
      </c>
      <c r="M549" t="s">
        <v>7359</v>
      </c>
      <c r="N549" t="s">
        <v>7360</v>
      </c>
      <c r="O549">
        <v>0</v>
      </c>
      <c r="P549">
        <v>12982</v>
      </c>
      <c r="Q549">
        <v>453020</v>
      </c>
      <c r="R549">
        <v>0</v>
      </c>
      <c r="S549">
        <v>20230309</v>
      </c>
      <c r="T549">
        <v>0</v>
      </c>
      <c r="U549" t="s">
        <v>7362</v>
      </c>
      <c r="V549" t="s">
        <v>7360</v>
      </c>
      <c r="W549" t="s">
        <v>7360</v>
      </c>
      <c r="X549" t="s">
        <v>7360</v>
      </c>
      <c r="Y549" t="s">
        <v>7360</v>
      </c>
      <c r="Z549" t="s">
        <v>7360</v>
      </c>
      <c r="AA549" t="s">
        <v>7362</v>
      </c>
      <c r="AB549" t="s">
        <v>7360</v>
      </c>
      <c r="AC549" t="s">
        <v>7360</v>
      </c>
      <c r="AD549" t="s">
        <v>7360</v>
      </c>
      <c r="AE549" t="s">
        <v>7360</v>
      </c>
      <c r="AF549" t="s">
        <v>1684</v>
      </c>
      <c r="AG549">
        <v>0</v>
      </c>
      <c r="AH549">
        <v>0</v>
      </c>
      <c r="AI549">
        <v>0</v>
      </c>
      <c r="AJ549">
        <v>0</v>
      </c>
      <c r="AK549">
        <v>0</v>
      </c>
      <c r="AL549" t="s">
        <v>7360</v>
      </c>
      <c r="AM549">
        <v>0</v>
      </c>
      <c r="AN549" s="20">
        <v>44994</v>
      </c>
      <c r="AO549" s="20">
        <v>44994</v>
      </c>
      <c r="AP549" s="20">
        <v>44994</v>
      </c>
      <c r="AQ549">
        <v>0</v>
      </c>
      <c r="AR549">
        <v>0</v>
      </c>
      <c r="AS549">
        <v>0</v>
      </c>
      <c r="AT549">
        <v>0</v>
      </c>
      <c r="AU549">
        <v>0</v>
      </c>
      <c r="AV549" t="s">
        <v>7360</v>
      </c>
      <c r="AW549">
        <v>0</v>
      </c>
      <c r="AX549" t="s">
        <v>7360</v>
      </c>
      <c r="AY549" t="s">
        <v>7362</v>
      </c>
      <c r="BA549">
        <v>0</v>
      </c>
      <c r="BB549" s="20">
        <v>44994</v>
      </c>
      <c r="BC549">
        <v>0</v>
      </c>
      <c r="BD549" t="s">
        <v>7360</v>
      </c>
      <c r="BF549" s="20">
        <v>44994</v>
      </c>
      <c r="BG549">
        <v>0</v>
      </c>
      <c r="BH549" t="s">
        <v>7363</v>
      </c>
      <c r="BJ549" t="s">
        <v>7362</v>
      </c>
      <c r="BK549">
        <v>0</v>
      </c>
      <c r="BL549">
        <v>0</v>
      </c>
      <c r="BM549">
        <v>0</v>
      </c>
      <c r="BN549">
        <v>0</v>
      </c>
      <c r="BO549">
        <v>169</v>
      </c>
      <c r="BP549">
        <v>11</v>
      </c>
      <c r="BQ549">
        <v>1</v>
      </c>
      <c r="BR549" t="s">
        <v>7364</v>
      </c>
      <c r="BS549" t="s">
        <v>7365</v>
      </c>
      <c r="BT549" t="s">
        <v>7360</v>
      </c>
      <c r="BU549" t="s">
        <v>7360</v>
      </c>
      <c r="BV549" t="s">
        <v>7360</v>
      </c>
      <c r="BX549">
        <v>0</v>
      </c>
      <c r="BY549">
        <v>0</v>
      </c>
      <c r="BZ549" t="s">
        <v>7360</v>
      </c>
      <c r="CA549" t="s">
        <v>7360</v>
      </c>
      <c r="CB549">
        <v>3380666</v>
      </c>
      <c r="CC549" s="21">
        <v>44994.60434027778</v>
      </c>
      <c r="CE549" t="s">
        <v>7366</v>
      </c>
      <c r="CF549">
        <v>0</v>
      </c>
      <c r="CG549">
        <v>702002</v>
      </c>
      <c r="CH549">
        <v>702002</v>
      </c>
      <c r="CI549" s="21">
        <v>44994.607476851852</v>
      </c>
      <c r="CJ549" t="s">
        <v>7367</v>
      </c>
      <c r="CK549" t="s">
        <v>7367</v>
      </c>
      <c r="CL549" t="s">
        <v>7368</v>
      </c>
      <c r="CM549" t="s">
        <v>7368</v>
      </c>
      <c r="CS549" t="s">
        <v>7361</v>
      </c>
      <c r="CT549" t="s">
        <v>7362</v>
      </c>
      <c r="CU549" t="s">
        <v>7362</v>
      </c>
      <c r="CV549" t="s">
        <v>7362</v>
      </c>
      <c r="CW549" t="s">
        <v>7362</v>
      </c>
      <c r="CX549">
        <v>296310</v>
      </c>
      <c r="DA549">
        <v>0</v>
      </c>
    </row>
    <row r="550" spans="1:106" x14ac:dyDescent="0.3">
      <c r="A550">
        <v>1357</v>
      </c>
      <c r="B550" t="s">
        <v>7405</v>
      </c>
      <c r="C550">
        <v>581</v>
      </c>
      <c r="D550" s="20">
        <v>44994</v>
      </c>
      <c r="E550" t="s">
        <v>7372</v>
      </c>
      <c r="F550" t="s">
        <v>4949</v>
      </c>
      <c r="G550" t="s">
        <v>7357</v>
      </c>
      <c r="H550">
        <v>1</v>
      </c>
      <c r="I550" t="s">
        <v>7358</v>
      </c>
      <c r="J550">
        <v>1</v>
      </c>
      <c r="K550" s="20">
        <v>44994</v>
      </c>
      <c r="L550" s="23">
        <v>1124550</v>
      </c>
      <c r="M550" t="s">
        <v>7359</v>
      </c>
      <c r="N550" t="s">
        <v>7360</v>
      </c>
      <c r="O550">
        <v>0</v>
      </c>
      <c r="P550">
        <v>12907</v>
      </c>
      <c r="Q550">
        <v>450062</v>
      </c>
      <c r="R550">
        <v>0</v>
      </c>
      <c r="S550">
        <v>20230309</v>
      </c>
      <c r="T550">
        <v>0</v>
      </c>
      <c r="U550" t="s">
        <v>7362</v>
      </c>
      <c r="V550" t="s">
        <v>7360</v>
      </c>
      <c r="W550" t="s">
        <v>7360</v>
      </c>
      <c r="X550" t="s">
        <v>7360</v>
      </c>
      <c r="Y550" t="s">
        <v>7360</v>
      </c>
      <c r="Z550" t="s">
        <v>7360</v>
      </c>
      <c r="AA550" t="s">
        <v>7362</v>
      </c>
      <c r="AB550" t="s">
        <v>7360</v>
      </c>
      <c r="AC550" t="s">
        <v>7360</v>
      </c>
      <c r="AD550" t="s">
        <v>7360</v>
      </c>
      <c r="AE550" t="s">
        <v>7360</v>
      </c>
      <c r="AF550" t="s">
        <v>1684</v>
      </c>
      <c r="AG550">
        <v>0</v>
      </c>
      <c r="AH550">
        <v>0</v>
      </c>
      <c r="AI550">
        <v>0</v>
      </c>
      <c r="AJ550">
        <v>0</v>
      </c>
      <c r="AK550">
        <v>0</v>
      </c>
      <c r="AL550" t="s">
        <v>7360</v>
      </c>
      <c r="AM550">
        <v>0</v>
      </c>
      <c r="AN550" s="20">
        <v>44994</v>
      </c>
      <c r="AO550" s="20">
        <v>44994</v>
      </c>
      <c r="AP550" s="20">
        <v>44994</v>
      </c>
      <c r="AQ550">
        <v>0</v>
      </c>
      <c r="AR550">
        <v>0</v>
      </c>
      <c r="AS550">
        <v>0</v>
      </c>
      <c r="AT550">
        <v>0</v>
      </c>
      <c r="AU550">
        <v>0</v>
      </c>
      <c r="AV550" t="s">
        <v>7360</v>
      </c>
      <c r="AW550">
        <v>0</v>
      </c>
      <c r="AX550" t="s">
        <v>7360</v>
      </c>
      <c r="AY550" t="s">
        <v>7362</v>
      </c>
      <c r="BA550">
        <v>0</v>
      </c>
      <c r="BB550" s="20">
        <v>44994</v>
      </c>
      <c r="BC550">
        <v>0</v>
      </c>
      <c r="BD550" t="s">
        <v>7360</v>
      </c>
      <c r="BF550" s="20">
        <v>44994</v>
      </c>
      <c r="BG550">
        <v>0</v>
      </c>
      <c r="BH550" t="s">
        <v>1684</v>
      </c>
      <c r="BJ550" t="s">
        <v>7362</v>
      </c>
      <c r="BK550">
        <v>169</v>
      </c>
      <c r="BL550">
        <v>11</v>
      </c>
      <c r="BM550">
        <v>1</v>
      </c>
      <c r="BN550" t="s">
        <v>7364</v>
      </c>
      <c r="BO550">
        <v>169</v>
      </c>
      <c r="BP550">
        <v>11</v>
      </c>
      <c r="BQ550">
        <v>1</v>
      </c>
      <c r="BR550" t="s">
        <v>7364</v>
      </c>
      <c r="BS550" t="s">
        <v>7382</v>
      </c>
      <c r="BT550" t="s">
        <v>7360</v>
      </c>
      <c r="BU550" t="s">
        <v>7360</v>
      </c>
      <c r="BV550" t="s">
        <v>7360</v>
      </c>
      <c r="BX550" t="s">
        <v>7391</v>
      </c>
      <c r="BY550">
        <v>74</v>
      </c>
      <c r="BZ550" t="s">
        <v>7360</v>
      </c>
      <c r="CA550" t="s">
        <v>7360</v>
      </c>
      <c r="CB550" t="s">
        <v>7360</v>
      </c>
      <c r="CC550" s="21">
        <v>44994.606898148151</v>
      </c>
      <c r="CE550" t="s">
        <v>7392</v>
      </c>
      <c r="CF550">
        <v>1100101</v>
      </c>
      <c r="CG550">
        <v>50947</v>
      </c>
      <c r="CH550">
        <v>50947</v>
      </c>
      <c r="CI550" s="21">
        <v>44994.608738425923</v>
      </c>
      <c r="CJ550" t="s">
        <v>7442</v>
      </c>
      <c r="CK550" t="s">
        <v>7442</v>
      </c>
      <c r="CL550" t="s">
        <v>7443</v>
      </c>
      <c r="CM550" t="s">
        <v>7443</v>
      </c>
      <c r="CS550" t="s">
        <v>7361</v>
      </c>
      <c r="CT550" t="s">
        <v>7362</v>
      </c>
      <c r="CU550" t="s">
        <v>7362</v>
      </c>
      <c r="CV550" t="s">
        <v>7362</v>
      </c>
      <c r="CW550" t="s">
        <v>7362</v>
      </c>
      <c r="CX550">
        <v>1124550</v>
      </c>
      <c r="DA550">
        <v>0</v>
      </c>
    </row>
    <row r="551" spans="1:106" x14ac:dyDescent="0.3">
      <c r="A551">
        <v>1357</v>
      </c>
      <c r="B551" t="s">
        <v>7405</v>
      </c>
      <c r="C551">
        <v>582</v>
      </c>
      <c r="D551" s="20">
        <v>44994</v>
      </c>
      <c r="E551" t="s">
        <v>7356</v>
      </c>
      <c r="F551" t="s">
        <v>4955</v>
      </c>
      <c r="G551" t="s">
        <v>7357</v>
      </c>
      <c r="H551">
        <v>1</v>
      </c>
      <c r="I551" t="s">
        <v>7358</v>
      </c>
      <c r="J551">
        <v>1</v>
      </c>
      <c r="K551" s="20">
        <v>44994</v>
      </c>
      <c r="L551" s="23">
        <v>2056127</v>
      </c>
      <c r="M551" t="s">
        <v>7359</v>
      </c>
      <c r="N551" t="s">
        <v>7360</v>
      </c>
      <c r="O551">
        <v>0</v>
      </c>
      <c r="P551">
        <v>12915</v>
      </c>
      <c r="Q551">
        <v>450065</v>
      </c>
      <c r="R551">
        <v>0</v>
      </c>
      <c r="S551">
        <v>20230309</v>
      </c>
      <c r="T551">
        <v>0</v>
      </c>
      <c r="U551" t="s">
        <v>7361</v>
      </c>
      <c r="V551" t="s">
        <v>7360</v>
      </c>
      <c r="W551" t="s">
        <v>7360</v>
      </c>
      <c r="X551" t="s">
        <v>7360</v>
      </c>
      <c r="Y551" t="s">
        <v>7360</v>
      </c>
      <c r="Z551" t="s">
        <v>7360</v>
      </c>
      <c r="AA551" t="s">
        <v>7362</v>
      </c>
      <c r="AB551" t="s">
        <v>7360</v>
      </c>
      <c r="AC551" t="s">
        <v>7360</v>
      </c>
      <c r="AD551" t="s">
        <v>7360</v>
      </c>
      <c r="AE551" t="s">
        <v>7360</v>
      </c>
      <c r="AF551" t="s">
        <v>1684</v>
      </c>
      <c r="AG551">
        <v>0</v>
      </c>
      <c r="AH551">
        <v>0</v>
      </c>
      <c r="AI551">
        <v>0</v>
      </c>
      <c r="AJ551">
        <v>0</v>
      </c>
      <c r="AK551">
        <v>0</v>
      </c>
      <c r="AL551" t="s">
        <v>7360</v>
      </c>
      <c r="AM551">
        <v>0</v>
      </c>
      <c r="AN551" s="20">
        <v>44994</v>
      </c>
      <c r="AO551" s="20">
        <v>44994</v>
      </c>
      <c r="AP551" s="20">
        <v>44994</v>
      </c>
      <c r="AQ551">
        <v>0</v>
      </c>
      <c r="AR551">
        <v>0</v>
      </c>
      <c r="AS551">
        <v>0</v>
      </c>
      <c r="AT551">
        <v>0</v>
      </c>
      <c r="AU551">
        <v>0</v>
      </c>
      <c r="AV551" t="s">
        <v>7360</v>
      </c>
      <c r="AW551">
        <v>0</v>
      </c>
      <c r="AX551" t="s">
        <v>7360</v>
      </c>
      <c r="AY551" t="s">
        <v>7363</v>
      </c>
      <c r="BA551">
        <v>0</v>
      </c>
      <c r="BB551" s="20">
        <v>44994</v>
      </c>
      <c r="BC551">
        <v>0</v>
      </c>
      <c r="BD551" t="s">
        <v>7360</v>
      </c>
      <c r="BF551" s="20">
        <v>44994</v>
      </c>
      <c r="BG551">
        <v>0</v>
      </c>
      <c r="BH551" t="s">
        <v>1684</v>
      </c>
      <c r="BJ551" t="s">
        <v>7362</v>
      </c>
      <c r="BK551">
        <v>169</v>
      </c>
      <c r="BL551">
        <v>11</v>
      </c>
      <c r="BM551">
        <v>1</v>
      </c>
      <c r="BN551" t="s">
        <v>7364</v>
      </c>
      <c r="BO551">
        <v>169</v>
      </c>
      <c r="BP551">
        <v>11</v>
      </c>
      <c r="BQ551">
        <v>1</v>
      </c>
      <c r="BR551" t="s">
        <v>7364</v>
      </c>
      <c r="BS551" t="s">
        <v>7382</v>
      </c>
      <c r="BT551" t="s">
        <v>7360</v>
      </c>
      <c r="BU551" t="s">
        <v>7360</v>
      </c>
      <c r="BV551" t="s">
        <v>7360</v>
      </c>
      <c r="BX551" t="s">
        <v>7391</v>
      </c>
      <c r="BY551">
        <v>74</v>
      </c>
      <c r="BZ551" t="s">
        <v>7360</v>
      </c>
      <c r="CA551" t="s">
        <v>7360</v>
      </c>
      <c r="CB551" t="s">
        <v>7360</v>
      </c>
      <c r="CC551" s="21">
        <v>44994.613310185188</v>
      </c>
      <c r="CE551" t="s">
        <v>7392</v>
      </c>
      <c r="CF551">
        <v>1100101</v>
      </c>
      <c r="CG551">
        <v>50947</v>
      </c>
      <c r="CH551">
        <v>50947</v>
      </c>
      <c r="CI551" s="21">
        <v>44994.61855324074</v>
      </c>
      <c r="CJ551" t="s">
        <v>7442</v>
      </c>
      <c r="CK551" t="s">
        <v>7442</v>
      </c>
      <c r="CL551" t="s">
        <v>7443</v>
      </c>
      <c r="CM551" t="s">
        <v>7443</v>
      </c>
      <c r="CS551" t="s">
        <v>7361</v>
      </c>
      <c r="CT551" t="s">
        <v>7362</v>
      </c>
      <c r="CU551" t="s">
        <v>7362</v>
      </c>
      <c r="CV551" t="s">
        <v>7362</v>
      </c>
      <c r="CW551" t="s">
        <v>7362</v>
      </c>
      <c r="CX551">
        <v>2056127</v>
      </c>
      <c r="DA551">
        <v>0</v>
      </c>
    </row>
    <row r="552" spans="1:106" x14ac:dyDescent="0.3">
      <c r="A552">
        <v>1354</v>
      </c>
      <c r="B552" t="s">
        <v>7396</v>
      </c>
      <c r="C552">
        <v>646</v>
      </c>
      <c r="D552" s="20">
        <v>44999</v>
      </c>
      <c r="E552" t="s">
        <v>7372</v>
      </c>
      <c r="F552" t="s">
        <v>4960</v>
      </c>
      <c r="G552" t="s">
        <v>7370</v>
      </c>
      <c r="H552">
        <v>1</v>
      </c>
      <c r="I552" t="s">
        <v>7358</v>
      </c>
      <c r="J552">
        <v>1</v>
      </c>
      <c r="K552" s="20">
        <v>44999</v>
      </c>
      <c r="L552" s="23">
        <v>30000000</v>
      </c>
      <c r="M552" t="s">
        <v>7403</v>
      </c>
      <c r="N552" t="s">
        <v>7360</v>
      </c>
      <c r="O552">
        <v>0</v>
      </c>
      <c r="P552">
        <v>12062</v>
      </c>
      <c r="Q552">
        <v>137006</v>
      </c>
      <c r="R552">
        <v>0</v>
      </c>
      <c r="S552">
        <v>20230314</v>
      </c>
      <c r="T552">
        <v>0</v>
      </c>
      <c r="U552" t="s">
        <v>7362</v>
      </c>
      <c r="V552" t="s">
        <v>7360</v>
      </c>
      <c r="W552" t="s">
        <v>7360</v>
      </c>
      <c r="X552" t="s">
        <v>7360</v>
      </c>
      <c r="Y552" t="s">
        <v>7360</v>
      </c>
      <c r="Z552" t="s">
        <v>7360</v>
      </c>
      <c r="AA552" t="s">
        <v>7362</v>
      </c>
      <c r="AB552" t="s">
        <v>7360</v>
      </c>
      <c r="AC552" t="s">
        <v>7360</v>
      </c>
      <c r="AD552" t="s">
        <v>7360</v>
      </c>
      <c r="AE552" t="s">
        <v>7360</v>
      </c>
      <c r="AF552" t="s">
        <v>1684</v>
      </c>
      <c r="AG552">
        <v>0</v>
      </c>
      <c r="AH552">
        <v>0</v>
      </c>
      <c r="AI552">
        <v>0</v>
      </c>
      <c r="AJ552">
        <v>0</v>
      </c>
      <c r="AK552">
        <v>0</v>
      </c>
      <c r="AL552" t="s">
        <v>7360</v>
      </c>
      <c r="AM552">
        <v>0</v>
      </c>
      <c r="AN552" s="20">
        <v>44999</v>
      </c>
      <c r="AO552" s="20">
        <v>44999</v>
      </c>
      <c r="AP552" s="20">
        <v>44999</v>
      </c>
      <c r="AQ552">
        <v>0</v>
      </c>
      <c r="AR552">
        <v>0</v>
      </c>
      <c r="AS552">
        <v>0</v>
      </c>
      <c r="AT552">
        <v>0</v>
      </c>
      <c r="AU552">
        <v>0</v>
      </c>
      <c r="AV552" t="s">
        <v>7360</v>
      </c>
      <c r="AW552">
        <v>0</v>
      </c>
      <c r="AX552" t="s">
        <v>7360</v>
      </c>
      <c r="AY552" t="s">
        <v>7373</v>
      </c>
      <c r="BA552">
        <v>0</v>
      </c>
      <c r="BB552" s="20">
        <v>44999</v>
      </c>
      <c r="BC552">
        <v>0</v>
      </c>
      <c r="BD552" t="s">
        <v>7360</v>
      </c>
      <c r="BE552">
        <v>242</v>
      </c>
      <c r="BF552" s="20">
        <v>44999</v>
      </c>
      <c r="BG552">
        <v>0</v>
      </c>
      <c r="BH552" t="s">
        <v>7363</v>
      </c>
      <c r="BJ552" t="s">
        <v>7362</v>
      </c>
      <c r="BK552">
        <v>169</v>
      </c>
      <c r="BL552">
        <v>11</v>
      </c>
      <c r="BM552">
        <v>1</v>
      </c>
      <c r="BN552" t="s">
        <v>7364</v>
      </c>
      <c r="BO552">
        <v>169</v>
      </c>
      <c r="BP552">
        <v>11</v>
      </c>
      <c r="BQ552">
        <v>1</v>
      </c>
      <c r="BR552" t="s">
        <v>7364</v>
      </c>
      <c r="BS552" t="s">
        <v>132</v>
      </c>
      <c r="BT552" t="s">
        <v>7360</v>
      </c>
      <c r="BU552" t="s">
        <v>7360</v>
      </c>
      <c r="BV552" t="s">
        <v>7360</v>
      </c>
      <c r="BX552" t="s">
        <v>7391</v>
      </c>
      <c r="BY552">
        <v>74</v>
      </c>
      <c r="BZ552" t="s">
        <v>7360</v>
      </c>
      <c r="CA552" t="s">
        <v>7360</v>
      </c>
      <c r="CB552">
        <v>3380666</v>
      </c>
      <c r="CC552" s="21">
        <v>45009.454259259262</v>
      </c>
      <c r="CE552" t="s">
        <v>7392</v>
      </c>
      <c r="CF552">
        <v>1100101</v>
      </c>
      <c r="CG552">
        <v>51669</v>
      </c>
      <c r="CH552">
        <v>51669</v>
      </c>
      <c r="CI552" s="21">
        <v>45009.457835648151</v>
      </c>
      <c r="CJ552" t="s">
        <v>7406</v>
      </c>
      <c r="CK552" t="s">
        <v>7406</v>
      </c>
      <c r="CL552" t="s">
        <v>7407</v>
      </c>
      <c r="CM552" t="s">
        <v>7407</v>
      </c>
      <c r="CS552" t="s">
        <v>7361</v>
      </c>
      <c r="CT552" t="s">
        <v>7362</v>
      </c>
      <c r="CU552" t="s">
        <v>7362</v>
      </c>
      <c r="CV552" t="s">
        <v>7362</v>
      </c>
      <c r="CW552" t="s">
        <v>7362</v>
      </c>
      <c r="CX552">
        <v>30000000</v>
      </c>
      <c r="DA552">
        <v>0</v>
      </c>
      <c r="DB552">
        <v>141006</v>
      </c>
    </row>
    <row r="553" spans="1:106" x14ac:dyDescent="0.3">
      <c r="A553">
        <v>1357</v>
      </c>
      <c r="B553" t="s">
        <v>7405</v>
      </c>
      <c r="C553">
        <v>584</v>
      </c>
      <c r="D553" s="20">
        <v>44994</v>
      </c>
      <c r="E553" t="s">
        <v>7372</v>
      </c>
      <c r="F553" t="s">
        <v>4965</v>
      </c>
      <c r="G553" t="s">
        <v>7357</v>
      </c>
      <c r="H553">
        <v>1</v>
      </c>
      <c r="I553" t="s">
        <v>7358</v>
      </c>
      <c r="J553">
        <v>1</v>
      </c>
      <c r="K553" s="20">
        <v>44994</v>
      </c>
      <c r="L553" s="23">
        <v>14389989</v>
      </c>
      <c r="M553" t="s">
        <v>7359</v>
      </c>
      <c r="N553" t="s">
        <v>7360</v>
      </c>
      <c r="O553">
        <v>0</v>
      </c>
      <c r="P553">
        <v>12045</v>
      </c>
      <c r="Q553">
        <v>418026</v>
      </c>
      <c r="R553">
        <v>0</v>
      </c>
      <c r="S553">
        <v>20230309</v>
      </c>
      <c r="T553">
        <v>0</v>
      </c>
      <c r="U553" t="s">
        <v>7362</v>
      </c>
      <c r="V553" t="s">
        <v>7360</v>
      </c>
      <c r="W553" t="s">
        <v>7360</v>
      </c>
      <c r="X553" t="s">
        <v>7360</v>
      </c>
      <c r="Y553" t="s">
        <v>7360</v>
      </c>
      <c r="Z553" t="s">
        <v>7360</v>
      </c>
      <c r="AA553" t="s">
        <v>7362</v>
      </c>
      <c r="AB553" t="s">
        <v>7360</v>
      </c>
      <c r="AC553" t="s">
        <v>7360</v>
      </c>
      <c r="AD553" t="s">
        <v>7360</v>
      </c>
      <c r="AE553" t="s">
        <v>7360</v>
      </c>
      <c r="AF553" t="s">
        <v>1684</v>
      </c>
      <c r="AG553">
        <v>0</v>
      </c>
      <c r="AH553">
        <v>0</v>
      </c>
      <c r="AI553">
        <v>0</v>
      </c>
      <c r="AJ553">
        <v>0</v>
      </c>
      <c r="AK553">
        <v>0</v>
      </c>
      <c r="AL553" t="s">
        <v>7360</v>
      </c>
      <c r="AM553">
        <v>0</v>
      </c>
      <c r="AN553" s="20">
        <v>44994</v>
      </c>
      <c r="AO553" s="20">
        <v>44994</v>
      </c>
      <c r="AP553" s="20">
        <v>44994</v>
      </c>
      <c r="AQ553">
        <v>0</v>
      </c>
      <c r="AR553">
        <v>0</v>
      </c>
      <c r="AS553">
        <v>0</v>
      </c>
      <c r="AT553">
        <v>0</v>
      </c>
      <c r="AU553">
        <v>0</v>
      </c>
      <c r="AV553" t="s">
        <v>7360</v>
      </c>
      <c r="AW553">
        <v>0</v>
      </c>
      <c r="AX553" t="s">
        <v>7360</v>
      </c>
      <c r="AY553" t="s">
        <v>7362</v>
      </c>
      <c r="BA553">
        <v>0</v>
      </c>
      <c r="BB553" s="20">
        <v>44994</v>
      </c>
      <c r="BC553">
        <v>0</v>
      </c>
      <c r="BD553" t="s">
        <v>7360</v>
      </c>
      <c r="BF553" s="20">
        <v>44994</v>
      </c>
      <c r="BG553">
        <v>0</v>
      </c>
      <c r="BH553" t="s">
        <v>1684</v>
      </c>
      <c r="BJ553" t="s">
        <v>7362</v>
      </c>
      <c r="BK553">
        <v>169</v>
      </c>
      <c r="BL553">
        <v>11</v>
      </c>
      <c r="BM553">
        <v>1</v>
      </c>
      <c r="BN553" t="s">
        <v>7364</v>
      </c>
      <c r="BO553">
        <v>169</v>
      </c>
      <c r="BP553">
        <v>11</v>
      </c>
      <c r="BQ553">
        <v>1</v>
      </c>
      <c r="BR553" t="s">
        <v>7364</v>
      </c>
      <c r="BS553" t="s">
        <v>7382</v>
      </c>
      <c r="BT553" t="s">
        <v>7360</v>
      </c>
      <c r="BU553" t="s">
        <v>7360</v>
      </c>
      <c r="BV553" t="s">
        <v>7360</v>
      </c>
      <c r="BX553" t="s">
        <v>7391</v>
      </c>
      <c r="BY553">
        <v>74</v>
      </c>
      <c r="BZ553" t="s">
        <v>7360</v>
      </c>
      <c r="CA553" t="s">
        <v>7360</v>
      </c>
      <c r="CB553" t="s">
        <v>7360</v>
      </c>
      <c r="CC553" s="21">
        <v>44994.631238425929</v>
      </c>
      <c r="CE553" t="s">
        <v>7392</v>
      </c>
      <c r="CF553">
        <v>1100101</v>
      </c>
      <c r="CG553">
        <v>50947</v>
      </c>
      <c r="CH553">
        <v>50947</v>
      </c>
      <c r="CI553" s="21">
        <v>44994.633113425924</v>
      </c>
      <c r="CJ553" t="s">
        <v>7442</v>
      </c>
      <c r="CK553" t="s">
        <v>7442</v>
      </c>
      <c r="CL553" t="s">
        <v>7443</v>
      </c>
      <c r="CM553" t="s">
        <v>7443</v>
      </c>
      <c r="CS553" t="s">
        <v>7361</v>
      </c>
      <c r="CT553" t="s">
        <v>7362</v>
      </c>
      <c r="CU553" t="s">
        <v>7362</v>
      </c>
      <c r="CV553" t="s">
        <v>7362</v>
      </c>
      <c r="CW553" t="s">
        <v>7362</v>
      </c>
      <c r="CX553">
        <v>14389989</v>
      </c>
      <c r="DA553">
        <v>0</v>
      </c>
    </row>
    <row r="554" spans="1:106" x14ac:dyDescent="0.3">
      <c r="A554">
        <v>1365</v>
      </c>
      <c r="B554" t="s">
        <v>7384</v>
      </c>
      <c r="C554">
        <v>585</v>
      </c>
      <c r="D554" s="20">
        <v>44994</v>
      </c>
      <c r="E554" t="s">
        <v>7356</v>
      </c>
      <c r="F554" t="s">
        <v>4971</v>
      </c>
      <c r="G554" t="s">
        <v>7357</v>
      </c>
      <c r="H554">
        <v>1</v>
      </c>
      <c r="I554" t="s">
        <v>7358</v>
      </c>
      <c r="J554">
        <v>1</v>
      </c>
      <c r="K554" s="20">
        <v>44994</v>
      </c>
      <c r="L554" s="23">
        <v>1707717</v>
      </c>
      <c r="M554" t="s">
        <v>7359</v>
      </c>
      <c r="N554" t="s">
        <v>7360</v>
      </c>
      <c r="O554">
        <v>0</v>
      </c>
      <c r="P554">
        <v>12948</v>
      </c>
      <c r="Q554">
        <v>451016</v>
      </c>
      <c r="R554">
        <v>0</v>
      </c>
      <c r="S554">
        <v>20230309</v>
      </c>
      <c r="T554">
        <v>0</v>
      </c>
      <c r="U554" t="s">
        <v>7361</v>
      </c>
      <c r="V554" t="s">
        <v>7360</v>
      </c>
      <c r="W554" t="s">
        <v>7360</v>
      </c>
      <c r="X554" t="s">
        <v>7360</v>
      </c>
      <c r="Y554" t="s">
        <v>7360</v>
      </c>
      <c r="Z554" t="s">
        <v>7360</v>
      </c>
      <c r="AA554" t="s">
        <v>7362</v>
      </c>
      <c r="AB554" t="s">
        <v>7360</v>
      </c>
      <c r="AC554" t="s">
        <v>7360</v>
      </c>
      <c r="AD554" t="s">
        <v>7360</v>
      </c>
      <c r="AE554" t="s">
        <v>7360</v>
      </c>
      <c r="AF554" t="s">
        <v>1684</v>
      </c>
      <c r="AG554">
        <v>0</v>
      </c>
      <c r="AH554">
        <v>0</v>
      </c>
      <c r="AI554">
        <v>0</v>
      </c>
      <c r="AJ554">
        <v>0</v>
      </c>
      <c r="AK554">
        <v>0</v>
      </c>
      <c r="AL554" t="s">
        <v>7360</v>
      </c>
      <c r="AM554">
        <v>0</v>
      </c>
      <c r="AN554" s="20">
        <v>44994</v>
      </c>
      <c r="AO554" s="20">
        <v>44994</v>
      </c>
      <c r="AP554" s="20">
        <v>44994</v>
      </c>
      <c r="AQ554">
        <v>0</v>
      </c>
      <c r="AR554">
        <v>0</v>
      </c>
      <c r="AS554">
        <v>0</v>
      </c>
      <c r="AT554">
        <v>0</v>
      </c>
      <c r="AU554">
        <v>0</v>
      </c>
      <c r="AV554" t="s">
        <v>7360</v>
      </c>
      <c r="AW554">
        <v>0</v>
      </c>
      <c r="AX554" t="s">
        <v>7360</v>
      </c>
      <c r="AY554" t="s">
        <v>7363</v>
      </c>
      <c r="BA554">
        <v>0</v>
      </c>
      <c r="BB554" s="20">
        <v>44994</v>
      </c>
      <c r="BC554">
        <v>0</v>
      </c>
      <c r="BD554" t="s">
        <v>7360</v>
      </c>
      <c r="BF554" s="20">
        <v>44994</v>
      </c>
      <c r="BG554">
        <v>0</v>
      </c>
      <c r="BH554" t="s">
        <v>7363</v>
      </c>
      <c r="BJ554" t="s">
        <v>7362</v>
      </c>
      <c r="BK554">
        <v>169</v>
      </c>
      <c r="BL554">
        <v>11</v>
      </c>
      <c r="BM554">
        <v>1</v>
      </c>
      <c r="BN554" t="s">
        <v>7364</v>
      </c>
      <c r="BO554">
        <v>0</v>
      </c>
      <c r="BP554">
        <v>0</v>
      </c>
      <c r="BQ554">
        <v>0</v>
      </c>
      <c r="BR554">
        <v>0</v>
      </c>
      <c r="BS554" t="s">
        <v>7385</v>
      </c>
      <c r="BT554" t="s">
        <v>7360</v>
      </c>
      <c r="BU554" t="s">
        <v>7360</v>
      </c>
      <c r="BV554" t="s">
        <v>7360</v>
      </c>
      <c r="BX554" t="s">
        <v>7391</v>
      </c>
      <c r="BY554">
        <v>74</v>
      </c>
      <c r="BZ554" t="s">
        <v>7360</v>
      </c>
      <c r="CA554" t="s">
        <v>7360</v>
      </c>
      <c r="CC554" s="21">
        <v>44994.643101851849</v>
      </c>
      <c r="CE554" t="s">
        <v>7392</v>
      </c>
      <c r="CF554">
        <v>1100101</v>
      </c>
      <c r="CG554">
        <v>53575</v>
      </c>
      <c r="CH554">
        <v>53575</v>
      </c>
      <c r="CI554" s="21">
        <v>44994.643993055557</v>
      </c>
      <c r="CJ554" t="s">
        <v>7393</v>
      </c>
      <c r="CK554" t="s">
        <v>7393</v>
      </c>
      <c r="CL554" t="s">
        <v>7394</v>
      </c>
      <c r="CM554" t="s">
        <v>7394</v>
      </c>
      <c r="CS554" t="s">
        <v>7361</v>
      </c>
      <c r="CT554" t="s">
        <v>7362</v>
      </c>
      <c r="CU554" t="s">
        <v>7362</v>
      </c>
      <c r="CV554" t="s">
        <v>7362</v>
      </c>
      <c r="CW554" t="s">
        <v>7362</v>
      </c>
      <c r="CX554">
        <v>1707717</v>
      </c>
      <c r="DA554">
        <v>0</v>
      </c>
    </row>
    <row r="555" spans="1:106" x14ac:dyDescent="0.3">
      <c r="A555">
        <v>1364</v>
      </c>
      <c r="B555" t="s">
        <v>7355</v>
      </c>
      <c r="C555">
        <v>586</v>
      </c>
      <c r="D555" s="20">
        <v>44994</v>
      </c>
      <c r="E555" t="s">
        <v>7372</v>
      </c>
      <c r="F555" t="s">
        <v>4976</v>
      </c>
      <c r="G555" t="s">
        <v>7357</v>
      </c>
      <c r="H555">
        <v>1</v>
      </c>
      <c r="I555" t="s">
        <v>7358</v>
      </c>
      <c r="J555">
        <v>1</v>
      </c>
      <c r="K555" s="20">
        <v>44994</v>
      </c>
      <c r="L555" s="23">
        <v>296310</v>
      </c>
      <c r="M555" t="s">
        <v>7359</v>
      </c>
      <c r="N555" t="s">
        <v>7360</v>
      </c>
      <c r="O555">
        <v>0</v>
      </c>
      <c r="P555">
        <v>12979</v>
      </c>
      <c r="Q555">
        <v>453018</v>
      </c>
      <c r="R555">
        <v>0</v>
      </c>
      <c r="S555">
        <v>20230309</v>
      </c>
      <c r="T555">
        <v>0</v>
      </c>
      <c r="U555" t="s">
        <v>7362</v>
      </c>
      <c r="V555" t="s">
        <v>7360</v>
      </c>
      <c r="W555" t="s">
        <v>7360</v>
      </c>
      <c r="X555" t="s">
        <v>7360</v>
      </c>
      <c r="Y555" t="s">
        <v>7360</v>
      </c>
      <c r="Z555" t="s">
        <v>7360</v>
      </c>
      <c r="AA555" t="s">
        <v>7362</v>
      </c>
      <c r="AB555" t="s">
        <v>7360</v>
      </c>
      <c r="AC555" t="s">
        <v>7360</v>
      </c>
      <c r="AD555" t="s">
        <v>7360</v>
      </c>
      <c r="AE555" t="s">
        <v>7360</v>
      </c>
      <c r="AF555" t="s">
        <v>1684</v>
      </c>
      <c r="AG555">
        <v>0</v>
      </c>
      <c r="AH555">
        <v>0</v>
      </c>
      <c r="AI555">
        <v>0</v>
      </c>
      <c r="AJ555">
        <v>0</v>
      </c>
      <c r="AK555">
        <v>0</v>
      </c>
      <c r="AL555" t="s">
        <v>7360</v>
      </c>
      <c r="AM555">
        <v>0</v>
      </c>
      <c r="AN555" s="20">
        <v>44994</v>
      </c>
      <c r="AO555" s="20">
        <v>44994</v>
      </c>
      <c r="AP555" s="20">
        <v>44994</v>
      </c>
      <c r="AQ555">
        <v>0</v>
      </c>
      <c r="AR555">
        <v>0</v>
      </c>
      <c r="AS555">
        <v>0</v>
      </c>
      <c r="AT555">
        <v>0</v>
      </c>
      <c r="AU555">
        <v>0</v>
      </c>
      <c r="AV555" t="s">
        <v>7360</v>
      </c>
      <c r="AW555">
        <v>0</v>
      </c>
      <c r="AX555" t="s">
        <v>7360</v>
      </c>
      <c r="AY555" t="s">
        <v>7362</v>
      </c>
      <c r="BA555">
        <v>0</v>
      </c>
      <c r="BB555" s="20">
        <v>44994</v>
      </c>
      <c r="BC555">
        <v>0</v>
      </c>
      <c r="BD555" t="s">
        <v>7360</v>
      </c>
      <c r="BF555" s="20">
        <v>44994</v>
      </c>
      <c r="BG555">
        <v>0</v>
      </c>
      <c r="BH555" t="s">
        <v>7363</v>
      </c>
      <c r="BJ555" t="s">
        <v>7362</v>
      </c>
      <c r="BK555">
        <v>0</v>
      </c>
      <c r="BL555">
        <v>0</v>
      </c>
      <c r="BM555">
        <v>0</v>
      </c>
      <c r="BN555">
        <v>0</v>
      </c>
      <c r="BO555">
        <v>169</v>
      </c>
      <c r="BP555">
        <v>11</v>
      </c>
      <c r="BQ555">
        <v>1</v>
      </c>
      <c r="BR555" t="s">
        <v>7364</v>
      </c>
      <c r="BS555" t="s">
        <v>7365</v>
      </c>
      <c r="BT555" t="s">
        <v>7360</v>
      </c>
      <c r="BU555" t="s">
        <v>7360</v>
      </c>
      <c r="BV555" t="s">
        <v>7360</v>
      </c>
      <c r="BX555">
        <v>0</v>
      </c>
      <c r="BY555">
        <v>0</v>
      </c>
      <c r="BZ555" t="s">
        <v>7360</v>
      </c>
      <c r="CA555" t="s">
        <v>7360</v>
      </c>
      <c r="CB555">
        <v>3380666</v>
      </c>
      <c r="CC555" s="21">
        <v>44994.626921296294</v>
      </c>
      <c r="CE555" t="s">
        <v>7366</v>
      </c>
      <c r="CF555">
        <v>0</v>
      </c>
      <c r="CG555">
        <v>702002</v>
      </c>
      <c r="CH555">
        <v>702002</v>
      </c>
      <c r="CI555" s="21">
        <v>44994.644629629627</v>
      </c>
      <c r="CJ555" t="s">
        <v>7367</v>
      </c>
      <c r="CK555" t="s">
        <v>7367</v>
      </c>
      <c r="CL555" t="s">
        <v>7368</v>
      </c>
      <c r="CM555" t="s">
        <v>7368</v>
      </c>
      <c r="CS555" t="s">
        <v>7361</v>
      </c>
      <c r="CT555" t="s">
        <v>7362</v>
      </c>
      <c r="CU555" t="s">
        <v>7362</v>
      </c>
      <c r="CV555" t="s">
        <v>7362</v>
      </c>
      <c r="CW555" t="s">
        <v>7362</v>
      </c>
      <c r="CX555">
        <v>296310</v>
      </c>
      <c r="DA555">
        <v>0</v>
      </c>
    </row>
    <row r="556" spans="1:106" x14ac:dyDescent="0.3">
      <c r="A556">
        <v>1365</v>
      </c>
      <c r="B556" t="s">
        <v>7384</v>
      </c>
      <c r="C556">
        <v>587</v>
      </c>
      <c r="D556" s="20">
        <v>44994</v>
      </c>
      <c r="E556" t="s">
        <v>7372</v>
      </c>
      <c r="F556" t="s">
        <v>4981</v>
      </c>
      <c r="G556" t="s">
        <v>7381</v>
      </c>
      <c r="H556">
        <v>1</v>
      </c>
      <c r="I556" t="s">
        <v>7358</v>
      </c>
      <c r="J556">
        <v>1</v>
      </c>
      <c r="K556" s="20">
        <v>44994</v>
      </c>
      <c r="L556" s="23">
        <v>573333</v>
      </c>
      <c r="M556" t="s">
        <v>7359</v>
      </c>
      <c r="N556" t="s">
        <v>7360</v>
      </c>
      <c r="O556">
        <v>0</v>
      </c>
      <c r="P556">
        <v>13009</v>
      </c>
      <c r="Q556">
        <v>453042</v>
      </c>
      <c r="R556">
        <v>0</v>
      </c>
      <c r="S556">
        <v>20230309</v>
      </c>
      <c r="T556">
        <v>0</v>
      </c>
      <c r="U556" t="s">
        <v>7362</v>
      </c>
      <c r="V556" t="s">
        <v>7360</v>
      </c>
      <c r="W556" t="s">
        <v>7360</v>
      </c>
      <c r="X556" t="s">
        <v>7360</v>
      </c>
      <c r="Y556" t="s">
        <v>7360</v>
      </c>
      <c r="Z556" t="s">
        <v>7360</v>
      </c>
      <c r="AA556" t="s">
        <v>7362</v>
      </c>
      <c r="AB556" t="s">
        <v>7360</v>
      </c>
      <c r="AC556" t="s">
        <v>7360</v>
      </c>
      <c r="AD556" t="s">
        <v>7360</v>
      </c>
      <c r="AE556" t="s">
        <v>7360</v>
      </c>
      <c r="AF556" t="s">
        <v>1684</v>
      </c>
      <c r="AG556">
        <v>0</v>
      </c>
      <c r="AH556">
        <v>0</v>
      </c>
      <c r="AI556">
        <v>0</v>
      </c>
      <c r="AJ556">
        <v>0</v>
      </c>
      <c r="AK556">
        <v>0</v>
      </c>
      <c r="AL556" t="s">
        <v>7360</v>
      </c>
      <c r="AM556">
        <v>0</v>
      </c>
      <c r="AN556" s="20">
        <v>44994</v>
      </c>
      <c r="AO556" s="20">
        <v>44994</v>
      </c>
      <c r="AP556" s="20">
        <v>44994</v>
      </c>
      <c r="AQ556">
        <v>0</v>
      </c>
      <c r="AR556">
        <v>0</v>
      </c>
      <c r="AS556">
        <v>0</v>
      </c>
      <c r="AT556">
        <v>0</v>
      </c>
      <c r="AU556">
        <v>0</v>
      </c>
      <c r="AV556" t="s">
        <v>7360</v>
      </c>
      <c r="AW556">
        <v>0</v>
      </c>
      <c r="AX556" t="s">
        <v>7360</v>
      </c>
      <c r="AY556" t="s">
        <v>7362</v>
      </c>
      <c r="BA556">
        <v>0</v>
      </c>
      <c r="BB556" s="20">
        <v>44994</v>
      </c>
      <c r="BC556">
        <v>0</v>
      </c>
      <c r="BD556" t="s">
        <v>7360</v>
      </c>
      <c r="BF556" s="20">
        <v>44994</v>
      </c>
      <c r="BG556">
        <v>0</v>
      </c>
      <c r="BH556" t="s">
        <v>7363</v>
      </c>
      <c r="BJ556" t="s">
        <v>7362</v>
      </c>
      <c r="BK556">
        <v>169</v>
      </c>
      <c r="BL556">
        <v>11</v>
      </c>
      <c r="BM556">
        <v>1</v>
      </c>
      <c r="BN556" t="s">
        <v>7364</v>
      </c>
      <c r="BO556">
        <v>0</v>
      </c>
      <c r="BP556">
        <v>0</v>
      </c>
      <c r="BQ556">
        <v>0</v>
      </c>
      <c r="BR556">
        <v>0</v>
      </c>
      <c r="BS556" t="s">
        <v>7385</v>
      </c>
      <c r="BT556" t="s">
        <v>7360</v>
      </c>
      <c r="BU556" t="s">
        <v>7360</v>
      </c>
      <c r="BV556" t="s">
        <v>7360</v>
      </c>
      <c r="BX556" t="s">
        <v>7391</v>
      </c>
      <c r="BY556">
        <v>74</v>
      </c>
      <c r="BZ556" t="s">
        <v>7360</v>
      </c>
      <c r="CA556" t="s">
        <v>7360</v>
      </c>
      <c r="CC556" s="21">
        <v>44994.646226851852</v>
      </c>
      <c r="CE556" t="s">
        <v>7392</v>
      </c>
      <c r="CF556">
        <v>1100101</v>
      </c>
      <c r="CG556">
        <v>53575</v>
      </c>
      <c r="CH556">
        <v>53575</v>
      </c>
      <c r="CI556" s="21">
        <v>44995.427731481483</v>
      </c>
      <c r="CJ556" t="s">
        <v>7393</v>
      </c>
      <c r="CK556" t="s">
        <v>7393</v>
      </c>
      <c r="CL556" t="s">
        <v>7394</v>
      </c>
      <c r="CM556" t="s">
        <v>7394</v>
      </c>
      <c r="CS556" t="s">
        <v>7361</v>
      </c>
      <c r="CT556" t="s">
        <v>7362</v>
      </c>
      <c r="CU556" t="s">
        <v>7362</v>
      </c>
      <c r="CV556" t="s">
        <v>7362</v>
      </c>
      <c r="CW556" t="s">
        <v>7362</v>
      </c>
      <c r="CX556">
        <v>573333</v>
      </c>
      <c r="DA556">
        <v>0</v>
      </c>
    </row>
    <row r="557" spans="1:106" x14ac:dyDescent="0.3">
      <c r="A557">
        <v>1365</v>
      </c>
      <c r="B557" t="s">
        <v>7384</v>
      </c>
      <c r="C557">
        <v>588</v>
      </c>
      <c r="D557" s="20">
        <v>44994</v>
      </c>
      <c r="E557" t="s">
        <v>7356</v>
      </c>
      <c r="F557" t="s">
        <v>4987</v>
      </c>
      <c r="G557" t="s">
        <v>7357</v>
      </c>
      <c r="H557">
        <v>1</v>
      </c>
      <c r="I557" t="s">
        <v>7358</v>
      </c>
      <c r="J557">
        <v>1</v>
      </c>
      <c r="K557" s="20">
        <v>44994</v>
      </c>
      <c r="L557" s="23">
        <v>2563077</v>
      </c>
      <c r="M557" t="s">
        <v>7359</v>
      </c>
      <c r="N557" t="s">
        <v>7360</v>
      </c>
      <c r="O557">
        <v>0</v>
      </c>
      <c r="P557">
        <v>13012</v>
      </c>
      <c r="Q557">
        <v>453043</v>
      </c>
      <c r="R557">
        <v>0</v>
      </c>
      <c r="S557">
        <v>20230309</v>
      </c>
      <c r="T557">
        <v>0</v>
      </c>
      <c r="U557" t="s">
        <v>7361</v>
      </c>
      <c r="V557" t="s">
        <v>7360</v>
      </c>
      <c r="W557" t="s">
        <v>7360</v>
      </c>
      <c r="X557" t="s">
        <v>7360</v>
      </c>
      <c r="Y557" t="s">
        <v>7360</v>
      </c>
      <c r="Z557" t="s">
        <v>7360</v>
      </c>
      <c r="AA557" t="s">
        <v>7362</v>
      </c>
      <c r="AB557" t="s">
        <v>7360</v>
      </c>
      <c r="AC557" t="s">
        <v>7360</v>
      </c>
      <c r="AD557" t="s">
        <v>7360</v>
      </c>
      <c r="AE557" t="s">
        <v>7360</v>
      </c>
      <c r="AF557" t="s">
        <v>1684</v>
      </c>
      <c r="AG557">
        <v>0</v>
      </c>
      <c r="AH557">
        <v>0</v>
      </c>
      <c r="AI557">
        <v>0</v>
      </c>
      <c r="AJ557">
        <v>0</v>
      </c>
      <c r="AK557">
        <v>0</v>
      </c>
      <c r="AL557" t="s">
        <v>7360</v>
      </c>
      <c r="AM557">
        <v>0</v>
      </c>
      <c r="AN557" s="20">
        <v>44994</v>
      </c>
      <c r="AO557" s="20">
        <v>44994</v>
      </c>
      <c r="AP557" s="20">
        <v>44994</v>
      </c>
      <c r="AQ557">
        <v>0</v>
      </c>
      <c r="AR557">
        <v>0</v>
      </c>
      <c r="AS557">
        <v>0</v>
      </c>
      <c r="AT557">
        <v>0</v>
      </c>
      <c r="AU557">
        <v>0</v>
      </c>
      <c r="AV557" t="s">
        <v>7360</v>
      </c>
      <c r="AW557">
        <v>0</v>
      </c>
      <c r="AX557" t="s">
        <v>7360</v>
      </c>
      <c r="AY557" t="s">
        <v>7363</v>
      </c>
      <c r="BA557">
        <v>0</v>
      </c>
      <c r="BB557" s="20">
        <v>44994</v>
      </c>
      <c r="BC557">
        <v>0</v>
      </c>
      <c r="BD557" t="s">
        <v>7360</v>
      </c>
      <c r="BF557" s="20">
        <v>44994</v>
      </c>
      <c r="BG557">
        <v>0</v>
      </c>
      <c r="BH557" t="s">
        <v>7363</v>
      </c>
      <c r="BJ557" t="s">
        <v>7362</v>
      </c>
      <c r="BK557">
        <v>169</v>
      </c>
      <c r="BL557">
        <v>11</v>
      </c>
      <c r="BM557">
        <v>1</v>
      </c>
      <c r="BN557" t="s">
        <v>7364</v>
      </c>
      <c r="BO557">
        <v>0</v>
      </c>
      <c r="BP557">
        <v>0</v>
      </c>
      <c r="BQ557">
        <v>0</v>
      </c>
      <c r="BR557">
        <v>0</v>
      </c>
      <c r="BS557" t="s">
        <v>7385</v>
      </c>
      <c r="BT557" t="s">
        <v>7360</v>
      </c>
      <c r="BU557" t="s">
        <v>7360</v>
      </c>
      <c r="BV557" t="s">
        <v>7360</v>
      </c>
      <c r="BX557" t="s">
        <v>7391</v>
      </c>
      <c r="BY557">
        <v>74</v>
      </c>
      <c r="BZ557" t="s">
        <v>7360</v>
      </c>
      <c r="CA557" t="s">
        <v>7360</v>
      </c>
      <c r="CC557" s="21">
        <v>44994.652592592596</v>
      </c>
      <c r="CE557" t="s">
        <v>7392</v>
      </c>
      <c r="CF557">
        <v>1100101</v>
      </c>
      <c r="CG557">
        <v>53575</v>
      </c>
      <c r="CH557">
        <v>53575</v>
      </c>
      <c r="CI557" s="21">
        <v>44994.65587962963</v>
      </c>
      <c r="CJ557" t="s">
        <v>7393</v>
      </c>
      <c r="CK557" t="s">
        <v>7393</v>
      </c>
      <c r="CL557" t="s">
        <v>7394</v>
      </c>
      <c r="CM557" t="s">
        <v>7394</v>
      </c>
      <c r="CS557" t="s">
        <v>7361</v>
      </c>
      <c r="CT557" t="s">
        <v>7362</v>
      </c>
      <c r="CU557" t="s">
        <v>7362</v>
      </c>
      <c r="CV557" t="s">
        <v>7362</v>
      </c>
      <c r="CW557" t="s">
        <v>7362</v>
      </c>
      <c r="CX557">
        <v>2563077</v>
      </c>
      <c r="DA557">
        <v>0</v>
      </c>
    </row>
    <row r="558" spans="1:106" x14ac:dyDescent="0.3">
      <c r="A558">
        <v>1365</v>
      </c>
      <c r="B558" t="s">
        <v>7384</v>
      </c>
      <c r="C558">
        <v>589</v>
      </c>
      <c r="D558" s="20">
        <v>44994</v>
      </c>
      <c r="E558" t="s">
        <v>7372</v>
      </c>
      <c r="F558" t="s">
        <v>4992</v>
      </c>
      <c r="G558" t="s">
        <v>7357</v>
      </c>
      <c r="H558">
        <v>1</v>
      </c>
      <c r="I558" t="s">
        <v>7358</v>
      </c>
      <c r="J558">
        <v>1</v>
      </c>
      <c r="K558" s="20">
        <v>44994</v>
      </c>
      <c r="L558" s="23">
        <v>10500000</v>
      </c>
      <c r="M558" t="s">
        <v>7359</v>
      </c>
      <c r="N558" t="s">
        <v>7360</v>
      </c>
      <c r="O558">
        <v>0</v>
      </c>
      <c r="P558">
        <v>13013</v>
      </c>
      <c r="Q558">
        <v>453044</v>
      </c>
      <c r="R558">
        <v>0</v>
      </c>
      <c r="S558">
        <v>20230309</v>
      </c>
      <c r="T558">
        <v>0</v>
      </c>
      <c r="U558" t="s">
        <v>7362</v>
      </c>
      <c r="V558" t="s">
        <v>7360</v>
      </c>
      <c r="W558" t="s">
        <v>7360</v>
      </c>
      <c r="X558" t="s">
        <v>7360</v>
      </c>
      <c r="Y558" t="s">
        <v>7360</v>
      </c>
      <c r="Z558" t="s">
        <v>7360</v>
      </c>
      <c r="AA558" t="s">
        <v>7362</v>
      </c>
      <c r="AB558" t="s">
        <v>7360</v>
      </c>
      <c r="AC558" t="s">
        <v>7360</v>
      </c>
      <c r="AD558" t="s">
        <v>7360</v>
      </c>
      <c r="AE558" t="s">
        <v>7360</v>
      </c>
      <c r="AF558" t="s">
        <v>1684</v>
      </c>
      <c r="AG558">
        <v>0</v>
      </c>
      <c r="AH558">
        <v>0</v>
      </c>
      <c r="AI558">
        <v>0</v>
      </c>
      <c r="AJ558">
        <v>0</v>
      </c>
      <c r="AK558">
        <v>0</v>
      </c>
      <c r="AL558" t="s">
        <v>7360</v>
      </c>
      <c r="AM558">
        <v>0</v>
      </c>
      <c r="AN558" s="20">
        <v>44994</v>
      </c>
      <c r="AO558" s="20">
        <v>44994</v>
      </c>
      <c r="AP558" s="20">
        <v>44994</v>
      </c>
      <c r="AQ558">
        <v>0</v>
      </c>
      <c r="AR558">
        <v>0</v>
      </c>
      <c r="AS558">
        <v>0</v>
      </c>
      <c r="AT558">
        <v>0</v>
      </c>
      <c r="AU558">
        <v>0</v>
      </c>
      <c r="AV558" t="s">
        <v>7360</v>
      </c>
      <c r="AW558">
        <v>0</v>
      </c>
      <c r="AX558" t="s">
        <v>7360</v>
      </c>
      <c r="AY558" t="s">
        <v>7373</v>
      </c>
      <c r="BA558">
        <v>0</v>
      </c>
      <c r="BB558" s="20">
        <v>44994</v>
      </c>
      <c r="BC558">
        <v>0</v>
      </c>
      <c r="BD558" t="s">
        <v>7360</v>
      </c>
      <c r="BF558" s="20">
        <v>44994</v>
      </c>
      <c r="BG558">
        <v>0</v>
      </c>
      <c r="BH558" t="s">
        <v>7363</v>
      </c>
      <c r="BJ558" t="s">
        <v>7362</v>
      </c>
      <c r="BK558">
        <v>169</v>
      </c>
      <c r="BL558">
        <v>11</v>
      </c>
      <c r="BM558">
        <v>1</v>
      </c>
      <c r="BN558" t="s">
        <v>7364</v>
      </c>
      <c r="BO558">
        <v>0</v>
      </c>
      <c r="BP558">
        <v>0</v>
      </c>
      <c r="BQ558">
        <v>0</v>
      </c>
      <c r="BR558">
        <v>0</v>
      </c>
      <c r="BS558" t="s">
        <v>7385</v>
      </c>
      <c r="BT558" t="s">
        <v>7360</v>
      </c>
      <c r="BU558" t="s">
        <v>7360</v>
      </c>
      <c r="BV558" t="s">
        <v>7360</v>
      </c>
      <c r="BX558" t="s">
        <v>7391</v>
      </c>
      <c r="BY558">
        <v>74</v>
      </c>
      <c r="BZ558" t="s">
        <v>7360</v>
      </c>
      <c r="CA558" t="s">
        <v>7360</v>
      </c>
      <c r="CC558" s="21">
        <v>44994.660011574073</v>
      </c>
      <c r="CE558" t="s">
        <v>7392</v>
      </c>
      <c r="CF558">
        <v>1100101</v>
      </c>
      <c r="CG558">
        <v>53575</v>
      </c>
      <c r="CH558">
        <v>53575</v>
      </c>
      <c r="CI558" s="21">
        <v>44994.661053240743</v>
      </c>
      <c r="CJ558" t="s">
        <v>7393</v>
      </c>
      <c r="CK558" t="s">
        <v>7393</v>
      </c>
      <c r="CL558" t="s">
        <v>7394</v>
      </c>
      <c r="CM558" t="s">
        <v>7394</v>
      </c>
      <c r="CS558" t="s">
        <v>7361</v>
      </c>
      <c r="CT558" t="s">
        <v>7362</v>
      </c>
      <c r="CU558" t="s">
        <v>7362</v>
      </c>
      <c r="CV558" t="s">
        <v>7362</v>
      </c>
      <c r="CW558" t="s">
        <v>7362</v>
      </c>
      <c r="CX558">
        <v>10500000</v>
      </c>
      <c r="DA558">
        <v>0</v>
      </c>
    </row>
    <row r="559" spans="1:106" x14ac:dyDescent="0.3">
      <c r="A559">
        <v>1354</v>
      </c>
      <c r="B559" t="s">
        <v>7396</v>
      </c>
      <c r="C559">
        <v>590</v>
      </c>
      <c r="D559" s="20">
        <v>44994</v>
      </c>
      <c r="E559" t="s">
        <v>7372</v>
      </c>
      <c r="F559" t="s">
        <v>4923</v>
      </c>
      <c r="G559" t="s">
        <v>7370</v>
      </c>
      <c r="H559">
        <v>1</v>
      </c>
      <c r="I559" t="s">
        <v>7358</v>
      </c>
      <c r="J559">
        <v>1</v>
      </c>
      <c r="K559" s="20">
        <v>44994</v>
      </c>
      <c r="L559" s="23">
        <v>4068000</v>
      </c>
      <c r="M559" t="s">
        <v>7359</v>
      </c>
      <c r="N559" t="s">
        <v>7360</v>
      </c>
      <c r="O559">
        <v>0</v>
      </c>
      <c r="P559">
        <v>12977</v>
      </c>
      <c r="Q559">
        <v>453015</v>
      </c>
      <c r="R559">
        <v>0</v>
      </c>
      <c r="S559">
        <v>20230309</v>
      </c>
      <c r="T559">
        <v>0</v>
      </c>
      <c r="U559" t="s">
        <v>7362</v>
      </c>
      <c r="V559" t="s">
        <v>7360</v>
      </c>
      <c r="W559" t="s">
        <v>7360</v>
      </c>
      <c r="X559" t="s">
        <v>7360</v>
      </c>
      <c r="Y559" t="s">
        <v>7360</v>
      </c>
      <c r="Z559" t="s">
        <v>7360</v>
      </c>
      <c r="AA559" t="s">
        <v>7362</v>
      </c>
      <c r="AB559" t="s">
        <v>7360</v>
      </c>
      <c r="AC559" t="s">
        <v>7360</v>
      </c>
      <c r="AD559" t="s">
        <v>7360</v>
      </c>
      <c r="AE559" t="s">
        <v>7360</v>
      </c>
      <c r="AF559" t="s">
        <v>1684</v>
      </c>
      <c r="AG559">
        <v>0</v>
      </c>
      <c r="AH559">
        <v>0</v>
      </c>
      <c r="AI559">
        <v>0</v>
      </c>
      <c r="AJ559">
        <v>0</v>
      </c>
      <c r="AK559">
        <v>0</v>
      </c>
      <c r="AL559" t="s">
        <v>7360</v>
      </c>
      <c r="AM559">
        <v>0</v>
      </c>
      <c r="AN559" s="20">
        <v>44994</v>
      </c>
      <c r="AO559" s="20">
        <v>44994</v>
      </c>
      <c r="AP559" s="20">
        <v>44994</v>
      </c>
      <c r="AQ559">
        <v>0</v>
      </c>
      <c r="AR559">
        <v>0</v>
      </c>
      <c r="AS559">
        <v>0</v>
      </c>
      <c r="AT559">
        <v>0</v>
      </c>
      <c r="AU559">
        <v>0</v>
      </c>
      <c r="AV559" t="s">
        <v>7360</v>
      </c>
      <c r="AW559">
        <v>0</v>
      </c>
      <c r="AX559" t="s">
        <v>7360</v>
      </c>
      <c r="AY559" t="s">
        <v>7362</v>
      </c>
      <c r="BA559">
        <v>0</v>
      </c>
      <c r="BB559" s="20">
        <v>44994</v>
      </c>
      <c r="BC559">
        <v>0</v>
      </c>
      <c r="BD559" t="s">
        <v>7360</v>
      </c>
      <c r="BF559" s="20">
        <v>44994</v>
      </c>
      <c r="BG559">
        <v>0</v>
      </c>
      <c r="BH559" t="s">
        <v>7363</v>
      </c>
      <c r="BJ559" t="s">
        <v>7362</v>
      </c>
      <c r="BK559">
        <v>0</v>
      </c>
      <c r="BL559">
        <v>0</v>
      </c>
      <c r="BM559">
        <v>0</v>
      </c>
      <c r="BN559">
        <v>0</v>
      </c>
      <c r="BO559">
        <v>169</v>
      </c>
      <c r="BP559">
        <v>11</v>
      </c>
      <c r="BQ559">
        <v>1</v>
      </c>
      <c r="BR559" t="s">
        <v>7364</v>
      </c>
      <c r="BS559" t="s">
        <v>7365</v>
      </c>
      <c r="BT559" t="s">
        <v>7360</v>
      </c>
      <c r="BU559" t="s">
        <v>7360</v>
      </c>
      <c r="BV559" t="s">
        <v>7360</v>
      </c>
      <c r="BX559">
        <v>0</v>
      </c>
      <c r="BY559">
        <v>0</v>
      </c>
      <c r="BZ559" t="s">
        <v>7360</v>
      </c>
      <c r="CA559" t="s">
        <v>7360</v>
      </c>
      <c r="CB559">
        <v>3380666</v>
      </c>
      <c r="CC559" s="21">
        <v>44994.66196759259</v>
      </c>
      <c r="CE559" t="s">
        <v>7366</v>
      </c>
      <c r="CF559">
        <v>0</v>
      </c>
      <c r="CG559">
        <v>702002</v>
      </c>
      <c r="CH559">
        <v>702002</v>
      </c>
      <c r="CI559" s="21">
        <v>44994.66337962963</v>
      </c>
      <c r="CJ559" t="s">
        <v>7367</v>
      </c>
      <c r="CK559" t="s">
        <v>7367</v>
      </c>
      <c r="CL559" t="s">
        <v>7368</v>
      </c>
      <c r="CM559" t="s">
        <v>7368</v>
      </c>
      <c r="CS559" t="s">
        <v>7361</v>
      </c>
      <c r="CT559" t="s">
        <v>7362</v>
      </c>
      <c r="CU559" t="s">
        <v>7362</v>
      </c>
      <c r="CV559" t="s">
        <v>7362</v>
      </c>
      <c r="CW559" t="s">
        <v>7362</v>
      </c>
      <c r="CX559">
        <v>4068000</v>
      </c>
      <c r="DA559">
        <v>0</v>
      </c>
    </row>
    <row r="560" spans="1:106" x14ac:dyDescent="0.3">
      <c r="A560">
        <v>1355</v>
      </c>
      <c r="B560" t="s">
        <v>7409</v>
      </c>
      <c r="C560">
        <v>591</v>
      </c>
      <c r="D560" s="20">
        <v>44994</v>
      </c>
      <c r="E560" t="s">
        <v>7372</v>
      </c>
      <c r="F560" t="s">
        <v>4928</v>
      </c>
      <c r="G560" t="s">
        <v>7357</v>
      </c>
      <c r="H560">
        <v>1</v>
      </c>
      <c r="I560" t="s">
        <v>7358</v>
      </c>
      <c r="J560">
        <v>1</v>
      </c>
      <c r="K560" s="20">
        <v>44994</v>
      </c>
      <c r="L560" s="23">
        <v>3685000</v>
      </c>
      <c r="M560" t="s">
        <v>7359</v>
      </c>
      <c r="N560" t="s">
        <v>7360</v>
      </c>
      <c r="O560">
        <v>0</v>
      </c>
      <c r="P560">
        <v>12890</v>
      </c>
      <c r="Q560">
        <v>450048</v>
      </c>
      <c r="R560">
        <v>0</v>
      </c>
      <c r="S560">
        <v>20230309</v>
      </c>
      <c r="T560">
        <v>0</v>
      </c>
      <c r="U560" t="s">
        <v>7362</v>
      </c>
      <c r="V560" t="s">
        <v>7360</v>
      </c>
      <c r="W560" t="s">
        <v>7360</v>
      </c>
      <c r="X560" t="s">
        <v>7360</v>
      </c>
      <c r="Y560" t="s">
        <v>7360</v>
      </c>
      <c r="Z560" t="s">
        <v>7360</v>
      </c>
      <c r="AA560" t="s">
        <v>7362</v>
      </c>
      <c r="AB560" t="s">
        <v>7360</v>
      </c>
      <c r="AC560" t="s">
        <v>7360</v>
      </c>
      <c r="AD560" t="s">
        <v>7360</v>
      </c>
      <c r="AE560" t="s">
        <v>7360</v>
      </c>
      <c r="AF560" t="s">
        <v>1684</v>
      </c>
      <c r="AG560">
        <v>0</v>
      </c>
      <c r="AH560">
        <v>0</v>
      </c>
      <c r="AI560">
        <v>0</v>
      </c>
      <c r="AJ560">
        <v>0</v>
      </c>
      <c r="AK560">
        <v>0</v>
      </c>
      <c r="AL560" t="s">
        <v>7360</v>
      </c>
      <c r="AM560">
        <v>0</v>
      </c>
      <c r="AN560" s="20">
        <v>44994</v>
      </c>
      <c r="AO560" s="20">
        <v>44994</v>
      </c>
      <c r="AP560" s="20">
        <v>44994</v>
      </c>
      <c r="AQ560">
        <v>0</v>
      </c>
      <c r="AR560">
        <v>0</v>
      </c>
      <c r="AS560">
        <v>0</v>
      </c>
      <c r="AT560">
        <v>0</v>
      </c>
      <c r="AU560">
        <v>0</v>
      </c>
      <c r="AV560" t="s">
        <v>7360</v>
      </c>
      <c r="AW560">
        <v>0</v>
      </c>
      <c r="AX560" t="s">
        <v>7360</v>
      </c>
      <c r="AY560" t="s">
        <v>7362</v>
      </c>
      <c r="BA560">
        <v>0</v>
      </c>
      <c r="BB560" s="20">
        <v>44994</v>
      </c>
      <c r="BC560">
        <v>0</v>
      </c>
      <c r="BD560" t="s">
        <v>7360</v>
      </c>
      <c r="BF560" s="20">
        <v>44994</v>
      </c>
      <c r="BG560">
        <v>0</v>
      </c>
      <c r="BH560" t="s">
        <v>7363</v>
      </c>
      <c r="BJ560" t="s">
        <v>7362</v>
      </c>
      <c r="BK560">
        <v>0</v>
      </c>
      <c r="BL560">
        <v>0</v>
      </c>
      <c r="BM560">
        <v>0</v>
      </c>
      <c r="BN560">
        <v>0</v>
      </c>
      <c r="BO560">
        <v>169</v>
      </c>
      <c r="BP560">
        <v>11</v>
      </c>
      <c r="BQ560">
        <v>1</v>
      </c>
      <c r="BR560" t="s">
        <v>7364</v>
      </c>
      <c r="BS560" t="s">
        <v>61</v>
      </c>
      <c r="BT560" t="s">
        <v>7360</v>
      </c>
      <c r="BU560" t="s">
        <v>7360</v>
      </c>
      <c r="BV560" t="s">
        <v>7360</v>
      </c>
      <c r="BX560">
        <v>0</v>
      </c>
      <c r="BY560">
        <v>0</v>
      </c>
      <c r="BZ560" t="s">
        <v>7360</v>
      </c>
      <c r="CA560" t="s">
        <v>7360</v>
      </c>
      <c r="CB560">
        <v>3380666</v>
      </c>
      <c r="CC560" s="21">
        <v>44994.698449074072</v>
      </c>
      <c r="CE560" t="s">
        <v>7366</v>
      </c>
      <c r="CF560">
        <v>0</v>
      </c>
      <c r="CG560">
        <v>702002</v>
      </c>
      <c r="CH560">
        <v>702002</v>
      </c>
      <c r="CI560" s="21">
        <v>45011.737199074072</v>
      </c>
      <c r="CJ560" t="s">
        <v>7367</v>
      </c>
      <c r="CK560" t="s">
        <v>7367</v>
      </c>
      <c r="CL560" t="s">
        <v>7368</v>
      </c>
      <c r="CM560" t="s">
        <v>7368</v>
      </c>
      <c r="CS560" t="s">
        <v>7361</v>
      </c>
      <c r="CT560" t="s">
        <v>7362</v>
      </c>
      <c r="CU560" t="s">
        <v>7362</v>
      </c>
      <c r="CV560" t="s">
        <v>7362</v>
      </c>
      <c r="CW560" t="s">
        <v>7362</v>
      </c>
      <c r="CX560">
        <v>3685000</v>
      </c>
      <c r="DA560">
        <v>0</v>
      </c>
    </row>
    <row r="561" spans="1:105" x14ac:dyDescent="0.3">
      <c r="A561">
        <v>1354</v>
      </c>
      <c r="B561" t="s">
        <v>7396</v>
      </c>
      <c r="C561">
        <v>592</v>
      </c>
      <c r="D561" s="20">
        <v>44995</v>
      </c>
      <c r="E561" t="s">
        <v>7356</v>
      </c>
      <c r="F561" t="s">
        <v>4933</v>
      </c>
      <c r="G561" t="s">
        <v>7357</v>
      </c>
      <c r="H561">
        <v>1</v>
      </c>
      <c r="I561" t="s">
        <v>7358</v>
      </c>
      <c r="J561">
        <v>1</v>
      </c>
      <c r="K561" s="20">
        <v>44995</v>
      </c>
      <c r="L561" s="23">
        <v>109620</v>
      </c>
      <c r="M561" t="s">
        <v>7359</v>
      </c>
      <c r="N561" t="s">
        <v>7360</v>
      </c>
      <c r="O561">
        <v>0</v>
      </c>
      <c r="P561">
        <v>12572</v>
      </c>
      <c r="Q561">
        <v>440015</v>
      </c>
      <c r="R561">
        <v>0</v>
      </c>
      <c r="S561">
        <v>20230310</v>
      </c>
      <c r="T561">
        <v>0</v>
      </c>
      <c r="U561" t="s">
        <v>7361</v>
      </c>
      <c r="V561" t="s">
        <v>7360</v>
      </c>
      <c r="W561" t="s">
        <v>7360</v>
      </c>
      <c r="X561" t="s">
        <v>7360</v>
      </c>
      <c r="Y561" t="s">
        <v>7360</v>
      </c>
      <c r="Z561" t="s">
        <v>7360</v>
      </c>
      <c r="AA561" t="s">
        <v>7362</v>
      </c>
      <c r="AB561" t="s">
        <v>7360</v>
      </c>
      <c r="AC561" t="s">
        <v>7360</v>
      </c>
      <c r="AD561" t="s">
        <v>7360</v>
      </c>
      <c r="AE561" t="s">
        <v>7360</v>
      </c>
      <c r="AF561" t="s">
        <v>1684</v>
      </c>
      <c r="AG561">
        <v>0</v>
      </c>
      <c r="AH561">
        <v>0</v>
      </c>
      <c r="AI561">
        <v>0</v>
      </c>
      <c r="AJ561">
        <v>0</v>
      </c>
      <c r="AK561">
        <v>0</v>
      </c>
      <c r="AL561" t="s">
        <v>7360</v>
      </c>
      <c r="AM561">
        <v>0</v>
      </c>
      <c r="AN561" s="20">
        <v>44995</v>
      </c>
      <c r="AO561" s="20">
        <v>44995</v>
      </c>
      <c r="AP561" s="20">
        <v>44995</v>
      </c>
      <c r="AQ561">
        <v>0</v>
      </c>
      <c r="AR561">
        <v>0</v>
      </c>
      <c r="AS561">
        <v>0</v>
      </c>
      <c r="AT561">
        <v>0</v>
      </c>
      <c r="AU561">
        <v>0</v>
      </c>
      <c r="AV561" t="s">
        <v>7360</v>
      </c>
      <c r="AW561">
        <v>0</v>
      </c>
      <c r="AX561" t="s">
        <v>7360</v>
      </c>
      <c r="AY561" t="s">
        <v>7363</v>
      </c>
      <c r="BA561">
        <v>0</v>
      </c>
      <c r="BB561" s="20">
        <v>44995</v>
      </c>
      <c r="BC561">
        <v>0</v>
      </c>
      <c r="BD561" t="s">
        <v>7360</v>
      </c>
      <c r="BF561" s="20">
        <v>44995</v>
      </c>
      <c r="BG561">
        <v>0</v>
      </c>
      <c r="BH561" t="s">
        <v>7363</v>
      </c>
      <c r="BJ561" t="s">
        <v>7362</v>
      </c>
      <c r="BK561">
        <v>169</v>
      </c>
      <c r="BL561">
        <v>11</v>
      </c>
      <c r="BM561">
        <v>1</v>
      </c>
      <c r="BN561" t="s">
        <v>7364</v>
      </c>
      <c r="BO561">
        <v>169</v>
      </c>
      <c r="BP561">
        <v>11</v>
      </c>
      <c r="BQ561">
        <v>1</v>
      </c>
      <c r="BR561" t="s">
        <v>7364</v>
      </c>
      <c r="BS561" t="s">
        <v>7427</v>
      </c>
      <c r="BT561" t="s">
        <v>7360</v>
      </c>
      <c r="BU561" t="s">
        <v>7360</v>
      </c>
      <c r="BV561" t="s">
        <v>7360</v>
      </c>
      <c r="BX561" t="s">
        <v>7391</v>
      </c>
      <c r="BY561">
        <v>74</v>
      </c>
      <c r="BZ561" t="s">
        <v>7360</v>
      </c>
      <c r="CA561" t="s">
        <v>7360</v>
      </c>
      <c r="CB561">
        <v>3380666</v>
      </c>
      <c r="CC561" s="21">
        <v>44995.3825</v>
      </c>
      <c r="CE561" t="s">
        <v>7392</v>
      </c>
      <c r="CF561">
        <v>1100101</v>
      </c>
      <c r="CG561">
        <v>51669</v>
      </c>
      <c r="CH561">
        <v>51669</v>
      </c>
      <c r="CI561" s="21">
        <v>44995.383449074077</v>
      </c>
      <c r="CJ561" t="s">
        <v>7406</v>
      </c>
      <c r="CK561" t="s">
        <v>7406</v>
      </c>
      <c r="CL561" t="s">
        <v>7407</v>
      </c>
      <c r="CM561" t="s">
        <v>7407</v>
      </c>
      <c r="CS561" t="s">
        <v>7361</v>
      </c>
      <c r="CT561" t="s">
        <v>7362</v>
      </c>
      <c r="CU561" t="s">
        <v>7362</v>
      </c>
      <c r="CV561" t="s">
        <v>7362</v>
      </c>
      <c r="CW561" t="s">
        <v>7362</v>
      </c>
      <c r="CX561">
        <v>109620</v>
      </c>
      <c r="DA561">
        <v>0</v>
      </c>
    </row>
    <row r="562" spans="1:105" x14ac:dyDescent="0.3">
      <c r="A562">
        <v>1354</v>
      </c>
      <c r="B562" t="s">
        <v>7396</v>
      </c>
      <c r="C562">
        <v>593</v>
      </c>
      <c r="D562" s="20">
        <v>44995</v>
      </c>
      <c r="E562" t="s">
        <v>7356</v>
      </c>
      <c r="F562" t="s">
        <v>4939</v>
      </c>
      <c r="G562" t="s">
        <v>7357</v>
      </c>
      <c r="H562">
        <v>1</v>
      </c>
      <c r="I562" t="s">
        <v>7358</v>
      </c>
      <c r="J562">
        <v>1</v>
      </c>
      <c r="K562" s="20">
        <v>44995</v>
      </c>
      <c r="L562" s="23">
        <v>1499400</v>
      </c>
      <c r="M562" t="s">
        <v>7359</v>
      </c>
      <c r="N562" t="s">
        <v>7360</v>
      </c>
      <c r="O562">
        <v>0</v>
      </c>
      <c r="P562">
        <v>12878</v>
      </c>
      <c r="Q562">
        <v>451001</v>
      </c>
      <c r="R562">
        <v>0</v>
      </c>
      <c r="S562">
        <v>20230310</v>
      </c>
      <c r="T562">
        <v>0</v>
      </c>
      <c r="U562" t="s">
        <v>7361</v>
      </c>
      <c r="V562" t="s">
        <v>7360</v>
      </c>
      <c r="W562" t="s">
        <v>7360</v>
      </c>
      <c r="X562" t="s">
        <v>7360</v>
      </c>
      <c r="Y562" t="s">
        <v>7360</v>
      </c>
      <c r="Z562" t="s">
        <v>7360</v>
      </c>
      <c r="AA562" t="s">
        <v>7362</v>
      </c>
      <c r="AB562" t="s">
        <v>7360</v>
      </c>
      <c r="AC562" t="s">
        <v>7360</v>
      </c>
      <c r="AD562" t="s">
        <v>7360</v>
      </c>
      <c r="AE562" t="s">
        <v>7360</v>
      </c>
      <c r="AF562" t="s">
        <v>1684</v>
      </c>
      <c r="AG562">
        <v>0</v>
      </c>
      <c r="AH562">
        <v>0</v>
      </c>
      <c r="AI562">
        <v>0</v>
      </c>
      <c r="AJ562">
        <v>0</v>
      </c>
      <c r="AK562">
        <v>0</v>
      </c>
      <c r="AL562" t="s">
        <v>7360</v>
      </c>
      <c r="AM562">
        <v>0</v>
      </c>
      <c r="AN562" s="20">
        <v>44995</v>
      </c>
      <c r="AO562" s="20">
        <v>44995</v>
      </c>
      <c r="AP562" s="20">
        <v>44995</v>
      </c>
      <c r="AQ562">
        <v>0</v>
      </c>
      <c r="AR562">
        <v>0</v>
      </c>
      <c r="AS562">
        <v>0</v>
      </c>
      <c r="AT562">
        <v>0</v>
      </c>
      <c r="AU562">
        <v>0</v>
      </c>
      <c r="AV562" t="s">
        <v>7360</v>
      </c>
      <c r="AW562">
        <v>0</v>
      </c>
      <c r="AX562" t="s">
        <v>7360</v>
      </c>
      <c r="AY562" t="s">
        <v>7363</v>
      </c>
      <c r="BA562">
        <v>0</v>
      </c>
      <c r="BB562" s="20">
        <v>44995</v>
      </c>
      <c r="BC562">
        <v>0</v>
      </c>
      <c r="BD562" t="s">
        <v>7360</v>
      </c>
      <c r="BF562" s="20">
        <v>44995</v>
      </c>
      <c r="BG562">
        <v>0</v>
      </c>
      <c r="BH562" t="s">
        <v>7363</v>
      </c>
      <c r="BJ562" t="s">
        <v>7362</v>
      </c>
      <c r="BK562">
        <v>0</v>
      </c>
      <c r="BL562">
        <v>0</v>
      </c>
      <c r="BM562">
        <v>0</v>
      </c>
      <c r="BN562">
        <v>0</v>
      </c>
      <c r="BO562">
        <v>169</v>
      </c>
      <c r="BP562">
        <v>11</v>
      </c>
      <c r="BQ562">
        <v>1</v>
      </c>
      <c r="BR562" t="s">
        <v>7364</v>
      </c>
      <c r="BS562" t="s">
        <v>7378</v>
      </c>
      <c r="BT562" t="s">
        <v>7360</v>
      </c>
      <c r="BU562" t="s">
        <v>7360</v>
      </c>
      <c r="BV562" t="s">
        <v>7360</v>
      </c>
      <c r="BX562">
        <v>0</v>
      </c>
      <c r="BY562">
        <v>0</v>
      </c>
      <c r="BZ562" t="s">
        <v>7360</v>
      </c>
      <c r="CA562" t="s">
        <v>7360</v>
      </c>
      <c r="CB562">
        <v>3380666</v>
      </c>
      <c r="CC562" s="21">
        <v>44995.397997685184</v>
      </c>
      <c r="CE562" t="s">
        <v>7366</v>
      </c>
      <c r="CF562">
        <v>0</v>
      </c>
      <c r="CG562">
        <v>702002</v>
      </c>
      <c r="CH562">
        <v>702002</v>
      </c>
      <c r="CI562" s="21">
        <v>44995.403784722221</v>
      </c>
      <c r="CJ562" t="s">
        <v>7367</v>
      </c>
      <c r="CK562" t="s">
        <v>7367</v>
      </c>
      <c r="CL562" t="s">
        <v>7368</v>
      </c>
      <c r="CM562" t="s">
        <v>7368</v>
      </c>
      <c r="CS562" t="s">
        <v>7361</v>
      </c>
      <c r="CT562" t="s">
        <v>7362</v>
      </c>
      <c r="CU562" t="s">
        <v>7362</v>
      </c>
      <c r="CV562" t="s">
        <v>7362</v>
      </c>
      <c r="CW562" t="s">
        <v>7362</v>
      </c>
      <c r="CX562">
        <v>1499400</v>
      </c>
      <c r="DA562">
        <v>0</v>
      </c>
    </row>
    <row r="563" spans="1:105" x14ac:dyDescent="0.3">
      <c r="A563">
        <v>1372</v>
      </c>
      <c r="B563" t="s">
        <v>7369</v>
      </c>
      <c r="C563">
        <v>594</v>
      </c>
      <c r="D563" s="20">
        <v>44995</v>
      </c>
      <c r="E563" t="s">
        <v>7372</v>
      </c>
      <c r="F563" t="s">
        <v>4944</v>
      </c>
      <c r="G563" t="s">
        <v>7357</v>
      </c>
      <c r="H563">
        <v>1</v>
      </c>
      <c r="I563" t="s">
        <v>7358</v>
      </c>
      <c r="J563">
        <v>1</v>
      </c>
      <c r="K563" s="20">
        <v>44995</v>
      </c>
      <c r="L563" s="23">
        <v>2055153</v>
      </c>
      <c r="M563" t="s">
        <v>7359</v>
      </c>
      <c r="N563" t="s">
        <v>7360</v>
      </c>
      <c r="O563">
        <v>0</v>
      </c>
      <c r="P563">
        <v>13060</v>
      </c>
      <c r="Q563">
        <v>453068</v>
      </c>
      <c r="R563">
        <v>0</v>
      </c>
      <c r="S563">
        <v>20230310</v>
      </c>
      <c r="T563">
        <v>0</v>
      </c>
      <c r="U563" t="s">
        <v>7362</v>
      </c>
      <c r="V563" t="s">
        <v>7360</v>
      </c>
      <c r="W563" t="s">
        <v>7360</v>
      </c>
      <c r="X563" t="s">
        <v>7360</v>
      </c>
      <c r="Y563" t="s">
        <v>7360</v>
      </c>
      <c r="Z563" t="s">
        <v>7360</v>
      </c>
      <c r="AA563" t="s">
        <v>7362</v>
      </c>
      <c r="AB563" t="s">
        <v>7360</v>
      </c>
      <c r="AC563" t="s">
        <v>7360</v>
      </c>
      <c r="AD563" t="s">
        <v>7360</v>
      </c>
      <c r="AE563" t="s">
        <v>7360</v>
      </c>
      <c r="AF563" t="s">
        <v>1684</v>
      </c>
      <c r="AG563">
        <v>0</v>
      </c>
      <c r="AH563">
        <v>0</v>
      </c>
      <c r="AI563">
        <v>0</v>
      </c>
      <c r="AJ563">
        <v>0</v>
      </c>
      <c r="AK563">
        <v>0</v>
      </c>
      <c r="AL563" t="s">
        <v>7360</v>
      </c>
      <c r="AM563">
        <v>0</v>
      </c>
      <c r="AN563" s="20">
        <v>44995</v>
      </c>
      <c r="AO563" s="20">
        <v>44995</v>
      </c>
      <c r="AP563" s="20">
        <v>44995</v>
      </c>
      <c r="AQ563">
        <v>0</v>
      </c>
      <c r="AR563">
        <v>0</v>
      </c>
      <c r="AS563">
        <v>0</v>
      </c>
      <c r="AT563">
        <v>0</v>
      </c>
      <c r="AU563">
        <v>0</v>
      </c>
      <c r="AV563" t="s">
        <v>7360</v>
      </c>
      <c r="AW563">
        <v>0</v>
      </c>
      <c r="AX563" t="s">
        <v>7360</v>
      </c>
      <c r="AY563" t="s">
        <v>7373</v>
      </c>
      <c r="BA563">
        <v>0</v>
      </c>
      <c r="BB563" s="20">
        <v>44995</v>
      </c>
      <c r="BC563">
        <v>0</v>
      </c>
      <c r="BD563" t="s">
        <v>7360</v>
      </c>
      <c r="BF563" s="20">
        <v>44995</v>
      </c>
      <c r="BG563">
        <v>0</v>
      </c>
      <c r="BH563" t="s">
        <v>7363</v>
      </c>
      <c r="BJ563" t="s">
        <v>7362</v>
      </c>
      <c r="BK563">
        <v>169</v>
      </c>
      <c r="BL563">
        <v>11</v>
      </c>
      <c r="BM563">
        <v>1</v>
      </c>
      <c r="BN563" t="s">
        <v>7364</v>
      </c>
      <c r="BO563">
        <v>0</v>
      </c>
      <c r="BP563">
        <v>0</v>
      </c>
      <c r="BQ563">
        <v>0</v>
      </c>
      <c r="BR563">
        <v>0</v>
      </c>
      <c r="BS563" t="s">
        <v>48</v>
      </c>
      <c r="BT563" t="s">
        <v>7360</v>
      </c>
      <c r="BU563" t="s">
        <v>7360</v>
      </c>
      <c r="BV563" t="s">
        <v>7360</v>
      </c>
      <c r="BX563" t="s">
        <v>7391</v>
      </c>
      <c r="BY563">
        <v>74</v>
      </c>
      <c r="BZ563" t="s">
        <v>7360</v>
      </c>
      <c r="CA563" t="s">
        <v>7360</v>
      </c>
      <c r="CC563" s="21">
        <v>44995.448877314811</v>
      </c>
      <c r="CE563" t="s">
        <v>7392</v>
      </c>
      <c r="CF563">
        <v>1100101</v>
      </c>
      <c r="CG563">
        <v>53575</v>
      </c>
      <c r="CH563">
        <v>53575</v>
      </c>
      <c r="CI563" s="21">
        <v>44995.450682870367</v>
      </c>
      <c r="CJ563" t="s">
        <v>7393</v>
      </c>
      <c r="CK563" t="s">
        <v>7393</v>
      </c>
      <c r="CL563" t="s">
        <v>7394</v>
      </c>
      <c r="CM563" t="s">
        <v>7394</v>
      </c>
      <c r="CS563" t="s">
        <v>7361</v>
      </c>
      <c r="CT563" t="s">
        <v>7362</v>
      </c>
      <c r="CU563" t="s">
        <v>7362</v>
      </c>
      <c r="CV563" t="s">
        <v>7362</v>
      </c>
      <c r="CW563" t="s">
        <v>7362</v>
      </c>
      <c r="CX563">
        <v>2055153</v>
      </c>
      <c r="DA563">
        <v>0</v>
      </c>
    </row>
    <row r="564" spans="1:105" x14ac:dyDescent="0.3">
      <c r="A564">
        <v>1364</v>
      </c>
      <c r="B564" t="s">
        <v>7355</v>
      </c>
      <c r="C564">
        <v>595</v>
      </c>
      <c r="D564" s="20">
        <v>44995</v>
      </c>
      <c r="E564" t="s">
        <v>7372</v>
      </c>
      <c r="F564" t="s">
        <v>4949</v>
      </c>
      <c r="G564" t="s">
        <v>7357</v>
      </c>
      <c r="H564">
        <v>1</v>
      </c>
      <c r="I564" t="s">
        <v>7358</v>
      </c>
      <c r="J564">
        <v>1</v>
      </c>
      <c r="K564" s="20">
        <v>44995</v>
      </c>
      <c r="L564" s="23">
        <v>690005</v>
      </c>
      <c r="M564" t="s">
        <v>7359</v>
      </c>
      <c r="N564" t="s">
        <v>7360</v>
      </c>
      <c r="O564">
        <v>0</v>
      </c>
      <c r="P564">
        <v>12885</v>
      </c>
      <c r="Q564">
        <v>450039</v>
      </c>
      <c r="R564">
        <v>0</v>
      </c>
      <c r="S564">
        <v>20230310</v>
      </c>
      <c r="T564">
        <v>0</v>
      </c>
      <c r="U564" t="s">
        <v>7362</v>
      </c>
      <c r="V564" t="s">
        <v>7360</v>
      </c>
      <c r="W564" t="s">
        <v>7360</v>
      </c>
      <c r="X564" t="s">
        <v>7360</v>
      </c>
      <c r="Y564" t="s">
        <v>7360</v>
      </c>
      <c r="Z564" t="s">
        <v>7360</v>
      </c>
      <c r="AA564" t="s">
        <v>7362</v>
      </c>
      <c r="AB564" t="s">
        <v>7360</v>
      </c>
      <c r="AC564" t="s">
        <v>7360</v>
      </c>
      <c r="AD564" t="s">
        <v>7360</v>
      </c>
      <c r="AE564" t="s">
        <v>7360</v>
      </c>
      <c r="AF564" t="s">
        <v>1684</v>
      </c>
      <c r="AG564">
        <v>0</v>
      </c>
      <c r="AH564">
        <v>0</v>
      </c>
      <c r="AI564">
        <v>0</v>
      </c>
      <c r="AJ564">
        <v>0</v>
      </c>
      <c r="AK564">
        <v>0</v>
      </c>
      <c r="AL564" t="s">
        <v>7360</v>
      </c>
      <c r="AM564">
        <v>0</v>
      </c>
      <c r="AN564" s="20">
        <v>44995</v>
      </c>
      <c r="AO564" s="20">
        <v>44995</v>
      </c>
      <c r="AP564" s="20">
        <v>44995</v>
      </c>
      <c r="AQ564">
        <v>0</v>
      </c>
      <c r="AR564">
        <v>0</v>
      </c>
      <c r="AS564">
        <v>0</v>
      </c>
      <c r="AT564">
        <v>0</v>
      </c>
      <c r="AU564">
        <v>0</v>
      </c>
      <c r="AV564" t="s">
        <v>7360</v>
      </c>
      <c r="AW564">
        <v>0</v>
      </c>
      <c r="AX564" t="s">
        <v>7360</v>
      </c>
      <c r="AY564" t="s">
        <v>7362</v>
      </c>
      <c r="BA564">
        <v>0</v>
      </c>
      <c r="BB564" s="20">
        <v>44995</v>
      </c>
      <c r="BC564">
        <v>0</v>
      </c>
      <c r="BD564" t="s">
        <v>7360</v>
      </c>
      <c r="BF564" s="20">
        <v>44995</v>
      </c>
      <c r="BG564">
        <v>0</v>
      </c>
      <c r="BH564" t="s">
        <v>7363</v>
      </c>
      <c r="BJ564" t="s">
        <v>7362</v>
      </c>
      <c r="BK564">
        <v>0</v>
      </c>
      <c r="BL564">
        <v>0</v>
      </c>
      <c r="BM564">
        <v>0</v>
      </c>
      <c r="BN564">
        <v>0</v>
      </c>
      <c r="BO564">
        <v>169</v>
      </c>
      <c r="BP564">
        <v>11</v>
      </c>
      <c r="BQ564">
        <v>1</v>
      </c>
      <c r="BR564" t="s">
        <v>7364</v>
      </c>
      <c r="BS564" t="s">
        <v>7365</v>
      </c>
      <c r="BT564" t="s">
        <v>7360</v>
      </c>
      <c r="BU564" t="s">
        <v>7360</v>
      </c>
      <c r="BV564" t="s">
        <v>7360</v>
      </c>
      <c r="BX564">
        <v>0</v>
      </c>
      <c r="BY564">
        <v>0</v>
      </c>
      <c r="BZ564" t="s">
        <v>7360</v>
      </c>
      <c r="CA564" t="s">
        <v>7360</v>
      </c>
      <c r="CB564">
        <v>3380666</v>
      </c>
      <c r="CC564" s="21">
        <v>44995.464965277781</v>
      </c>
      <c r="CE564" t="s">
        <v>7366</v>
      </c>
      <c r="CF564">
        <v>0</v>
      </c>
      <c r="CG564">
        <v>702002</v>
      </c>
      <c r="CH564">
        <v>702002</v>
      </c>
      <c r="CI564" s="21">
        <v>44995.46943287037</v>
      </c>
      <c r="CJ564" t="s">
        <v>7367</v>
      </c>
      <c r="CK564" t="s">
        <v>7367</v>
      </c>
      <c r="CL564" t="s">
        <v>7368</v>
      </c>
      <c r="CM564" t="s">
        <v>7368</v>
      </c>
      <c r="CS564" t="s">
        <v>7361</v>
      </c>
      <c r="CT564" t="s">
        <v>7362</v>
      </c>
      <c r="CU564" t="s">
        <v>7362</v>
      </c>
      <c r="CV564" t="s">
        <v>7362</v>
      </c>
      <c r="CW564" t="s">
        <v>7362</v>
      </c>
      <c r="CX564">
        <v>690005</v>
      </c>
      <c r="DA564">
        <v>0</v>
      </c>
    </row>
    <row r="565" spans="1:105" x14ac:dyDescent="0.3">
      <c r="A565">
        <v>1366</v>
      </c>
      <c r="B565" t="s">
        <v>7380</v>
      </c>
      <c r="C565">
        <v>596</v>
      </c>
      <c r="D565" s="20">
        <v>45026</v>
      </c>
      <c r="E565" t="s">
        <v>7397</v>
      </c>
      <c r="F565" t="s">
        <v>4955</v>
      </c>
      <c r="G565" t="s">
        <v>7357</v>
      </c>
      <c r="H565">
        <v>1</v>
      </c>
      <c r="I565" t="s">
        <v>7358</v>
      </c>
      <c r="J565">
        <v>1</v>
      </c>
      <c r="K565" s="20">
        <v>44995</v>
      </c>
      <c r="L565" s="23">
        <v>194499</v>
      </c>
      <c r="M565" t="s">
        <v>7398</v>
      </c>
      <c r="N565" t="s">
        <v>7360</v>
      </c>
      <c r="O565">
        <v>0</v>
      </c>
      <c r="P565">
        <v>13020</v>
      </c>
      <c r="R565">
        <v>0</v>
      </c>
      <c r="S565">
        <v>20230410</v>
      </c>
      <c r="T565">
        <v>0</v>
      </c>
      <c r="U565" t="s">
        <v>7362</v>
      </c>
      <c r="V565" t="s">
        <v>7360</v>
      </c>
      <c r="W565" t="s">
        <v>7360</v>
      </c>
      <c r="X565" t="s">
        <v>7360</v>
      </c>
      <c r="Y565" t="s">
        <v>7360</v>
      </c>
      <c r="Z565" t="s">
        <v>7360</v>
      </c>
      <c r="AA565" t="s">
        <v>1684</v>
      </c>
      <c r="AB565" t="s">
        <v>7360</v>
      </c>
      <c r="AC565" t="s">
        <v>7360</v>
      </c>
      <c r="AD565" t="s">
        <v>7360</v>
      </c>
      <c r="AE565" t="s">
        <v>7360</v>
      </c>
      <c r="AF565" t="s">
        <v>1684</v>
      </c>
      <c r="AG565">
        <v>0</v>
      </c>
      <c r="AH565">
        <v>0</v>
      </c>
      <c r="AI565">
        <v>0</v>
      </c>
      <c r="AJ565">
        <v>0</v>
      </c>
      <c r="AK565">
        <v>0</v>
      </c>
      <c r="AL565" t="s">
        <v>7360</v>
      </c>
      <c r="AM565">
        <v>0</v>
      </c>
      <c r="AN565" s="20">
        <v>44995</v>
      </c>
      <c r="AO565" s="20">
        <v>44995</v>
      </c>
      <c r="AP565" s="20">
        <v>44995</v>
      </c>
      <c r="AQ565">
        <v>0</v>
      </c>
      <c r="AR565">
        <v>0</v>
      </c>
      <c r="AS565">
        <v>0</v>
      </c>
      <c r="AT565">
        <v>0</v>
      </c>
      <c r="AU565">
        <v>0</v>
      </c>
      <c r="AV565" t="s">
        <v>7360</v>
      </c>
      <c r="AW565">
        <v>0</v>
      </c>
      <c r="AX565" t="s">
        <v>7360</v>
      </c>
      <c r="AY565" t="s">
        <v>7362</v>
      </c>
      <c r="BA565">
        <v>0</v>
      </c>
      <c r="BB565" s="20">
        <v>44995</v>
      </c>
      <c r="BC565">
        <v>0</v>
      </c>
      <c r="BD565" t="s">
        <v>7360</v>
      </c>
      <c r="BF565" s="20">
        <v>44995</v>
      </c>
      <c r="BG565">
        <v>0</v>
      </c>
      <c r="BH565" t="s">
        <v>7363</v>
      </c>
      <c r="BJ565" t="s">
        <v>7362</v>
      </c>
      <c r="BK565">
        <v>169</v>
      </c>
      <c r="BL565">
        <v>11</v>
      </c>
      <c r="BM565">
        <v>1</v>
      </c>
      <c r="BN565" t="s">
        <v>7364</v>
      </c>
      <c r="BO565">
        <v>169</v>
      </c>
      <c r="BP565">
        <v>11</v>
      </c>
      <c r="BQ565">
        <v>1</v>
      </c>
      <c r="BR565" t="s">
        <v>7364</v>
      </c>
      <c r="BS565" t="s">
        <v>61</v>
      </c>
      <c r="BT565" t="s">
        <v>7360</v>
      </c>
      <c r="BU565" t="s">
        <v>7360</v>
      </c>
      <c r="BV565" t="s">
        <v>7360</v>
      </c>
      <c r="BX565" t="s">
        <v>7391</v>
      </c>
      <c r="BY565">
        <v>74</v>
      </c>
      <c r="BZ565" t="s">
        <v>7360</v>
      </c>
      <c r="CA565" t="s">
        <v>7360</v>
      </c>
      <c r="CB565">
        <v>3380666</v>
      </c>
      <c r="CC565" s="21">
        <v>44995.480092592596</v>
      </c>
      <c r="CE565" t="s">
        <v>7392</v>
      </c>
      <c r="CF565">
        <v>1100101</v>
      </c>
      <c r="CG565">
        <v>702002</v>
      </c>
      <c r="CH565">
        <v>702002</v>
      </c>
      <c r="CI565" s="21">
        <v>44995.48133101852</v>
      </c>
      <c r="CJ565" t="s">
        <v>7367</v>
      </c>
      <c r="CK565" t="s">
        <v>7367</v>
      </c>
      <c r="CL565" t="s">
        <v>7368</v>
      </c>
      <c r="CM565" t="s">
        <v>7368</v>
      </c>
      <c r="CS565" t="s">
        <v>7361</v>
      </c>
      <c r="CT565" t="s">
        <v>7362</v>
      </c>
      <c r="CU565" t="s">
        <v>7362</v>
      </c>
      <c r="CV565" t="s">
        <v>7362</v>
      </c>
      <c r="CW565" t="s">
        <v>7362</v>
      </c>
      <c r="CX565">
        <v>179999</v>
      </c>
      <c r="DA565">
        <v>0</v>
      </c>
    </row>
    <row r="566" spans="1:105" x14ac:dyDescent="0.3">
      <c r="A566">
        <v>1366</v>
      </c>
      <c r="B566" t="s">
        <v>7380</v>
      </c>
      <c r="C566">
        <v>597</v>
      </c>
      <c r="D566" s="20">
        <v>44995</v>
      </c>
      <c r="E566" t="s">
        <v>7372</v>
      </c>
      <c r="F566" t="s">
        <v>4960</v>
      </c>
      <c r="G566" t="s">
        <v>7357</v>
      </c>
      <c r="H566">
        <v>1</v>
      </c>
      <c r="I566" t="s">
        <v>7358</v>
      </c>
      <c r="J566">
        <v>1</v>
      </c>
      <c r="K566" s="20">
        <v>44995</v>
      </c>
      <c r="L566" s="23">
        <v>400000</v>
      </c>
      <c r="M566" t="s">
        <v>7359</v>
      </c>
      <c r="N566" t="s">
        <v>7360</v>
      </c>
      <c r="O566">
        <v>0</v>
      </c>
      <c r="P566">
        <v>13003</v>
      </c>
      <c r="Q566">
        <v>453036</v>
      </c>
      <c r="R566">
        <v>0</v>
      </c>
      <c r="S566">
        <v>20230310</v>
      </c>
      <c r="T566">
        <v>0</v>
      </c>
      <c r="U566" t="s">
        <v>7362</v>
      </c>
      <c r="V566" t="s">
        <v>7360</v>
      </c>
      <c r="W566" t="s">
        <v>7360</v>
      </c>
      <c r="X566" t="s">
        <v>7360</v>
      </c>
      <c r="Y566" t="s">
        <v>7360</v>
      </c>
      <c r="Z566" t="s">
        <v>7360</v>
      </c>
      <c r="AA566" t="s">
        <v>7362</v>
      </c>
      <c r="AB566" t="s">
        <v>7360</v>
      </c>
      <c r="AC566" t="s">
        <v>7360</v>
      </c>
      <c r="AD566" t="s">
        <v>7360</v>
      </c>
      <c r="AE566" t="s">
        <v>7360</v>
      </c>
      <c r="AF566" t="s">
        <v>1684</v>
      </c>
      <c r="AG566">
        <v>0</v>
      </c>
      <c r="AH566">
        <v>0</v>
      </c>
      <c r="AI566">
        <v>0</v>
      </c>
      <c r="AJ566">
        <v>0</v>
      </c>
      <c r="AK566">
        <v>0</v>
      </c>
      <c r="AL566" t="s">
        <v>7360</v>
      </c>
      <c r="AM566">
        <v>0</v>
      </c>
      <c r="AN566" s="20">
        <v>44995</v>
      </c>
      <c r="AO566" s="20">
        <v>44995</v>
      </c>
      <c r="AP566" s="20">
        <v>44995</v>
      </c>
      <c r="AQ566">
        <v>0</v>
      </c>
      <c r="AR566">
        <v>0</v>
      </c>
      <c r="AS566">
        <v>0</v>
      </c>
      <c r="AT566">
        <v>0</v>
      </c>
      <c r="AU566">
        <v>0</v>
      </c>
      <c r="AV566" t="s">
        <v>7360</v>
      </c>
      <c r="AW566">
        <v>0</v>
      </c>
      <c r="AX566" t="s">
        <v>7360</v>
      </c>
      <c r="AY566" t="s">
        <v>7362</v>
      </c>
      <c r="BA566">
        <v>0</v>
      </c>
      <c r="BB566" s="20">
        <v>44995</v>
      </c>
      <c r="BC566">
        <v>0</v>
      </c>
      <c r="BD566" t="s">
        <v>7360</v>
      </c>
      <c r="BF566" s="20">
        <v>44995</v>
      </c>
      <c r="BG566">
        <v>0</v>
      </c>
      <c r="BH566" t="s">
        <v>7363</v>
      </c>
      <c r="BJ566" t="s">
        <v>7362</v>
      </c>
      <c r="BK566">
        <v>0</v>
      </c>
      <c r="BL566">
        <v>0</v>
      </c>
      <c r="BM566">
        <v>0</v>
      </c>
      <c r="BN566">
        <v>0</v>
      </c>
      <c r="BO566">
        <v>169</v>
      </c>
      <c r="BP566">
        <v>11</v>
      </c>
      <c r="BQ566">
        <v>1</v>
      </c>
      <c r="BR566" t="s">
        <v>7364</v>
      </c>
      <c r="BS566" t="s">
        <v>7365</v>
      </c>
      <c r="BT566" t="s">
        <v>7360</v>
      </c>
      <c r="BU566" t="s">
        <v>7360</v>
      </c>
      <c r="BV566" t="s">
        <v>7360</v>
      </c>
      <c r="BX566">
        <v>0</v>
      </c>
      <c r="BY566">
        <v>0</v>
      </c>
      <c r="BZ566" t="s">
        <v>7360</v>
      </c>
      <c r="CA566" t="s">
        <v>7360</v>
      </c>
      <c r="CB566">
        <v>3380666</v>
      </c>
      <c r="CC566" s="21">
        <v>44995.487511574072</v>
      </c>
      <c r="CE566" t="s">
        <v>7366</v>
      </c>
      <c r="CF566">
        <v>0</v>
      </c>
      <c r="CG566">
        <v>702002</v>
      </c>
      <c r="CH566">
        <v>702002</v>
      </c>
      <c r="CI566" s="21">
        <v>44995.48846064815</v>
      </c>
      <c r="CJ566" t="s">
        <v>7367</v>
      </c>
      <c r="CK566" t="s">
        <v>7367</v>
      </c>
      <c r="CL566" t="s">
        <v>7368</v>
      </c>
      <c r="CM566" t="s">
        <v>7368</v>
      </c>
      <c r="CS566" t="s">
        <v>7361</v>
      </c>
      <c r="CT566" t="s">
        <v>7362</v>
      </c>
      <c r="CU566" t="s">
        <v>7362</v>
      </c>
      <c r="CV566" t="s">
        <v>7362</v>
      </c>
      <c r="CW566" t="s">
        <v>7362</v>
      </c>
      <c r="CX566">
        <v>400000</v>
      </c>
      <c r="DA566">
        <v>0</v>
      </c>
    </row>
    <row r="567" spans="1:105" x14ac:dyDescent="0.3">
      <c r="A567">
        <v>1372</v>
      </c>
      <c r="B567" t="s">
        <v>7369</v>
      </c>
      <c r="C567">
        <v>598</v>
      </c>
      <c r="D567" s="20">
        <v>44995</v>
      </c>
      <c r="E567" t="s">
        <v>7372</v>
      </c>
      <c r="F567" t="s">
        <v>4965</v>
      </c>
      <c r="G567" t="s">
        <v>7357</v>
      </c>
      <c r="H567">
        <v>1</v>
      </c>
      <c r="I567" t="s">
        <v>7358</v>
      </c>
      <c r="J567">
        <v>1</v>
      </c>
      <c r="K567" s="20">
        <v>44995</v>
      </c>
      <c r="L567" s="23">
        <v>471240</v>
      </c>
      <c r="M567" t="s">
        <v>7359</v>
      </c>
      <c r="N567" t="s">
        <v>7360</v>
      </c>
      <c r="O567">
        <v>0</v>
      </c>
      <c r="P567">
        <v>13029</v>
      </c>
      <c r="Q567">
        <v>453055</v>
      </c>
      <c r="R567">
        <v>0</v>
      </c>
      <c r="S567">
        <v>20230310</v>
      </c>
      <c r="T567">
        <v>0</v>
      </c>
      <c r="U567" t="s">
        <v>7362</v>
      </c>
      <c r="V567" t="s">
        <v>7360</v>
      </c>
      <c r="W567" t="s">
        <v>7360</v>
      </c>
      <c r="X567" t="s">
        <v>7360</v>
      </c>
      <c r="Y567" t="s">
        <v>7360</v>
      </c>
      <c r="Z567" t="s">
        <v>7360</v>
      </c>
      <c r="AA567" t="s">
        <v>7362</v>
      </c>
      <c r="AB567" t="s">
        <v>7360</v>
      </c>
      <c r="AC567" t="s">
        <v>7360</v>
      </c>
      <c r="AD567" t="s">
        <v>7360</v>
      </c>
      <c r="AE567" t="s">
        <v>7360</v>
      </c>
      <c r="AF567" t="s">
        <v>1684</v>
      </c>
      <c r="AG567">
        <v>0</v>
      </c>
      <c r="AH567">
        <v>0</v>
      </c>
      <c r="AI567">
        <v>0</v>
      </c>
      <c r="AJ567">
        <v>0</v>
      </c>
      <c r="AK567">
        <v>0</v>
      </c>
      <c r="AL567" t="s">
        <v>7360</v>
      </c>
      <c r="AM567">
        <v>0</v>
      </c>
      <c r="AN567" s="20">
        <v>44995</v>
      </c>
      <c r="AO567" s="20">
        <v>44995</v>
      </c>
      <c r="AP567" s="20">
        <v>44995</v>
      </c>
      <c r="AQ567">
        <v>0</v>
      </c>
      <c r="AR567">
        <v>0</v>
      </c>
      <c r="AS567">
        <v>0</v>
      </c>
      <c r="AT567">
        <v>0</v>
      </c>
      <c r="AU567">
        <v>0</v>
      </c>
      <c r="AV567" t="s">
        <v>7360</v>
      </c>
      <c r="AW567">
        <v>0</v>
      </c>
      <c r="AX567" t="s">
        <v>7360</v>
      </c>
      <c r="AY567" t="s">
        <v>7362</v>
      </c>
      <c r="BA567">
        <v>0</v>
      </c>
      <c r="BB567" s="20">
        <v>44995</v>
      </c>
      <c r="BC567">
        <v>0</v>
      </c>
      <c r="BD567" t="s">
        <v>7360</v>
      </c>
      <c r="BF567" s="20">
        <v>44995</v>
      </c>
      <c r="BG567">
        <v>0</v>
      </c>
      <c r="BH567" t="s">
        <v>7363</v>
      </c>
      <c r="BJ567" t="s">
        <v>7362</v>
      </c>
      <c r="BK567">
        <v>0</v>
      </c>
      <c r="BL567">
        <v>0</v>
      </c>
      <c r="BM567">
        <v>0</v>
      </c>
      <c r="BN567">
        <v>0</v>
      </c>
      <c r="BO567">
        <v>169</v>
      </c>
      <c r="BP567">
        <v>11</v>
      </c>
      <c r="BQ567">
        <v>1</v>
      </c>
      <c r="BR567" t="s">
        <v>7364</v>
      </c>
      <c r="BS567" t="s">
        <v>61</v>
      </c>
      <c r="BT567" t="s">
        <v>7360</v>
      </c>
      <c r="BU567" t="s">
        <v>7360</v>
      </c>
      <c r="BV567" t="s">
        <v>7360</v>
      </c>
      <c r="BX567">
        <v>0</v>
      </c>
      <c r="BY567">
        <v>0</v>
      </c>
      <c r="BZ567" t="s">
        <v>7360</v>
      </c>
      <c r="CA567" t="s">
        <v>7360</v>
      </c>
      <c r="CB567">
        <v>3380666</v>
      </c>
      <c r="CC567" s="21">
        <v>44995.49496527778</v>
      </c>
      <c r="CE567" t="s">
        <v>7366</v>
      </c>
      <c r="CF567">
        <v>0</v>
      </c>
      <c r="CG567">
        <v>702002</v>
      </c>
      <c r="CH567">
        <v>702002</v>
      </c>
      <c r="CI567" s="21">
        <v>44995.49658564815</v>
      </c>
      <c r="CJ567" t="s">
        <v>7367</v>
      </c>
      <c r="CK567" t="s">
        <v>7367</v>
      </c>
      <c r="CL567" t="s">
        <v>7368</v>
      </c>
      <c r="CM567" t="s">
        <v>7368</v>
      </c>
      <c r="CS567" t="s">
        <v>7361</v>
      </c>
      <c r="CT567" t="s">
        <v>7362</v>
      </c>
      <c r="CU567" t="s">
        <v>7362</v>
      </c>
      <c r="CV567" t="s">
        <v>7362</v>
      </c>
      <c r="CW567" t="s">
        <v>7362</v>
      </c>
      <c r="CX567">
        <v>471240</v>
      </c>
      <c r="DA567">
        <v>0</v>
      </c>
    </row>
    <row r="568" spans="1:105" x14ac:dyDescent="0.3">
      <c r="A568">
        <v>1373</v>
      </c>
      <c r="B568" t="s">
        <v>7383</v>
      </c>
      <c r="C568">
        <v>599</v>
      </c>
      <c r="D568" s="20">
        <v>44995</v>
      </c>
      <c r="E568" t="s">
        <v>7372</v>
      </c>
      <c r="F568" t="s">
        <v>4971</v>
      </c>
      <c r="G568" t="s">
        <v>7357</v>
      </c>
      <c r="H568">
        <v>1</v>
      </c>
      <c r="I568" t="s">
        <v>7358</v>
      </c>
      <c r="J568">
        <v>1</v>
      </c>
      <c r="K568" s="20">
        <v>44995</v>
      </c>
      <c r="L568" s="23">
        <v>307476</v>
      </c>
      <c r="M568" t="s">
        <v>7359</v>
      </c>
      <c r="N568" t="s">
        <v>7360</v>
      </c>
      <c r="O568">
        <v>0</v>
      </c>
      <c r="P568">
        <v>13021</v>
      </c>
      <c r="Q568">
        <v>453048</v>
      </c>
      <c r="R568">
        <v>0</v>
      </c>
      <c r="S568">
        <v>20230310</v>
      </c>
      <c r="T568">
        <v>0</v>
      </c>
      <c r="U568" t="s">
        <v>7362</v>
      </c>
      <c r="V568" t="s">
        <v>7360</v>
      </c>
      <c r="W568" t="s">
        <v>7360</v>
      </c>
      <c r="X568" t="s">
        <v>7360</v>
      </c>
      <c r="Y568" t="s">
        <v>7360</v>
      </c>
      <c r="Z568" t="s">
        <v>7360</v>
      </c>
      <c r="AA568" t="s">
        <v>7362</v>
      </c>
      <c r="AB568" t="s">
        <v>7360</v>
      </c>
      <c r="AC568" t="s">
        <v>7360</v>
      </c>
      <c r="AD568" t="s">
        <v>7360</v>
      </c>
      <c r="AE568" t="s">
        <v>7360</v>
      </c>
      <c r="AF568" t="s">
        <v>1684</v>
      </c>
      <c r="AG568">
        <v>0</v>
      </c>
      <c r="AH568">
        <v>0</v>
      </c>
      <c r="AI568">
        <v>0</v>
      </c>
      <c r="AJ568">
        <v>0</v>
      </c>
      <c r="AK568">
        <v>0</v>
      </c>
      <c r="AL568" t="s">
        <v>7360</v>
      </c>
      <c r="AM568">
        <v>0</v>
      </c>
      <c r="AN568" s="20">
        <v>44995</v>
      </c>
      <c r="AO568" s="20">
        <v>44995</v>
      </c>
      <c r="AP568" s="20">
        <v>44995</v>
      </c>
      <c r="AQ568">
        <v>0</v>
      </c>
      <c r="AR568">
        <v>0</v>
      </c>
      <c r="AS568">
        <v>0</v>
      </c>
      <c r="AT568">
        <v>0</v>
      </c>
      <c r="AU568">
        <v>0</v>
      </c>
      <c r="AV568" t="s">
        <v>7360</v>
      </c>
      <c r="AW568">
        <v>0</v>
      </c>
      <c r="AX568" t="s">
        <v>7360</v>
      </c>
      <c r="AY568" t="s">
        <v>7362</v>
      </c>
      <c r="BA568">
        <v>0</v>
      </c>
      <c r="BB568" s="20">
        <v>44995</v>
      </c>
      <c r="BC568">
        <v>0</v>
      </c>
      <c r="BD568" t="s">
        <v>7360</v>
      </c>
      <c r="BF568" s="20">
        <v>44995</v>
      </c>
      <c r="BG568">
        <v>0</v>
      </c>
      <c r="BH568" t="s">
        <v>7363</v>
      </c>
      <c r="BJ568" t="s">
        <v>7362</v>
      </c>
      <c r="BK568">
        <v>0</v>
      </c>
      <c r="BL568">
        <v>0</v>
      </c>
      <c r="BM568">
        <v>0</v>
      </c>
      <c r="BN568">
        <v>0</v>
      </c>
      <c r="BO568">
        <v>169</v>
      </c>
      <c r="BP568">
        <v>11</v>
      </c>
      <c r="BQ568">
        <v>1</v>
      </c>
      <c r="BR568" t="s">
        <v>7364</v>
      </c>
      <c r="BS568" t="s">
        <v>7378</v>
      </c>
      <c r="BT568" t="s">
        <v>7360</v>
      </c>
      <c r="BU568" t="s">
        <v>7360</v>
      </c>
      <c r="BV568" t="s">
        <v>7360</v>
      </c>
      <c r="BX568">
        <v>0</v>
      </c>
      <c r="BY568">
        <v>0</v>
      </c>
      <c r="BZ568" t="s">
        <v>7360</v>
      </c>
      <c r="CA568" t="s">
        <v>7360</v>
      </c>
      <c r="CB568">
        <v>3380666</v>
      </c>
      <c r="CC568" s="21">
        <v>44995.501076388886</v>
      </c>
      <c r="CE568" t="s">
        <v>7366</v>
      </c>
      <c r="CF568">
        <v>0</v>
      </c>
      <c r="CG568">
        <v>702002</v>
      </c>
      <c r="CH568">
        <v>702002</v>
      </c>
      <c r="CI568" s="21">
        <v>44995.503865740742</v>
      </c>
      <c r="CJ568" t="s">
        <v>7367</v>
      </c>
      <c r="CK568" t="s">
        <v>7367</v>
      </c>
      <c r="CL568" t="s">
        <v>7368</v>
      </c>
      <c r="CM568" t="s">
        <v>7368</v>
      </c>
      <c r="CS568" t="s">
        <v>7361</v>
      </c>
      <c r="CT568" t="s">
        <v>7362</v>
      </c>
      <c r="CU568" t="s">
        <v>7362</v>
      </c>
      <c r="CV568" t="s">
        <v>7362</v>
      </c>
      <c r="CW568" t="s">
        <v>7362</v>
      </c>
      <c r="CX568">
        <v>307476</v>
      </c>
      <c r="DA568">
        <v>0</v>
      </c>
    </row>
    <row r="569" spans="1:105" x14ac:dyDescent="0.3">
      <c r="A569">
        <v>1354</v>
      </c>
      <c r="B569" t="s">
        <v>7396</v>
      </c>
      <c r="C569">
        <v>600</v>
      </c>
      <c r="D569" s="20">
        <v>44995</v>
      </c>
      <c r="E569" t="s">
        <v>7356</v>
      </c>
      <c r="F569" t="s">
        <v>4976</v>
      </c>
      <c r="G569" t="s">
        <v>7370</v>
      </c>
      <c r="H569">
        <v>1</v>
      </c>
      <c r="I569" t="s">
        <v>7358</v>
      </c>
      <c r="J569">
        <v>1</v>
      </c>
      <c r="K569" s="20">
        <v>44995</v>
      </c>
      <c r="L569" s="23">
        <v>560000</v>
      </c>
      <c r="M569" t="s">
        <v>7359</v>
      </c>
      <c r="N569" t="s">
        <v>7360</v>
      </c>
      <c r="O569">
        <v>0</v>
      </c>
      <c r="P569">
        <v>12667</v>
      </c>
      <c r="Q569">
        <v>449029</v>
      </c>
      <c r="R569">
        <v>0</v>
      </c>
      <c r="S569">
        <v>20230310</v>
      </c>
      <c r="T569">
        <v>0</v>
      </c>
      <c r="U569" t="s">
        <v>7361</v>
      </c>
      <c r="V569" t="s">
        <v>7360</v>
      </c>
      <c r="W569" t="s">
        <v>7360</v>
      </c>
      <c r="X569" t="s">
        <v>7360</v>
      </c>
      <c r="Y569" t="s">
        <v>7360</v>
      </c>
      <c r="Z569" t="s">
        <v>7360</v>
      </c>
      <c r="AA569" t="s">
        <v>7362</v>
      </c>
      <c r="AB569" t="s">
        <v>7360</v>
      </c>
      <c r="AC569" t="s">
        <v>7360</v>
      </c>
      <c r="AD569" t="s">
        <v>7360</v>
      </c>
      <c r="AE569" t="s">
        <v>7360</v>
      </c>
      <c r="AF569" t="s">
        <v>1684</v>
      </c>
      <c r="AG569">
        <v>0</v>
      </c>
      <c r="AH569">
        <v>0</v>
      </c>
      <c r="AI569">
        <v>0</v>
      </c>
      <c r="AJ569">
        <v>0</v>
      </c>
      <c r="AK569">
        <v>0</v>
      </c>
      <c r="AL569" t="s">
        <v>7360</v>
      </c>
      <c r="AM569">
        <v>0</v>
      </c>
      <c r="AN569" s="20">
        <v>44995</v>
      </c>
      <c r="AO569" s="20">
        <v>44995</v>
      </c>
      <c r="AP569" s="20">
        <v>44995</v>
      </c>
      <c r="AQ569">
        <v>0</v>
      </c>
      <c r="AR569">
        <v>0</v>
      </c>
      <c r="AS569">
        <v>0</v>
      </c>
      <c r="AT569">
        <v>0</v>
      </c>
      <c r="AU569">
        <v>0</v>
      </c>
      <c r="AV569" t="s">
        <v>7360</v>
      </c>
      <c r="AW569">
        <v>0</v>
      </c>
      <c r="AX569" t="s">
        <v>7360</v>
      </c>
      <c r="AY569" t="s">
        <v>7363</v>
      </c>
      <c r="BA569">
        <v>0</v>
      </c>
      <c r="BB569" s="20">
        <v>44995</v>
      </c>
      <c r="BC569">
        <v>0</v>
      </c>
      <c r="BD569" t="s">
        <v>7360</v>
      </c>
      <c r="BF569" s="20">
        <v>44995</v>
      </c>
      <c r="BG569">
        <v>0</v>
      </c>
      <c r="BH569" t="s">
        <v>7363</v>
      </c>
      <c r="BJ569" t="s">
        <v>7362</v>
      </c>
      <c r="BK569">
        <v>169</v>
      </c>
      <c r="BL569">
        <v>11</v>
      </c>
      <c r="BM569">
        <v>1</v>
      </c>
      <c r="BN569" t="s">
        <v>7364</v>
      </c>
      <c r="BO569">
        <v>169</v>
      </c>
      <c r="BP569">
        <v>11</v>
      </c>
      <c r="BQ569">
        <v>1</v>
      </c>
      <c r="BR569" t="s">
        <v>7364</v>
      </c>
      <c r="BS569" t="s">
        <v>7427</v>
      </c>
      <c r="BT569" t="s">
        <v>7360</v>
      </c>
      <c r="BU569" t="s">
        <v>7360</v>
      </c>
      <c r="BV569" t="s">
        <v>7360</v>
      </c>
      <c r="BX569" t="s">
        <v>7391</v>
      </c>
      <c r="BY569">
        <v>74</v>
      </c>
      <c r="BZ569" t="s">
        <v>7360</v>
      </c>
      <c r="CA569" t="s">
        <v>7360</v>
      </c>
      <c r="CB569">
        <v>3380666</v>
      </c>
      <c r="CC569" s="21">
        <v>44995.50677083333</v>
      </c>
      <c r="CE569" t="s">
        <v>7392</v>
      </c>
      <c r="CF569">
        <v>1100101</v>
      </c>
      <c r="CG569">
        <v>51669</v>
      </c>
      <c r="CH569">
        <v>51669</v>
      </c>
      <c r="CI569" s="21">
        <v>44995.507476851853</v>
      </c>
      <c r="CJ569" t="s">
        <v>7406</v>
      </c>
      <c r="CK569" t="s">
        <v>7406</v>
      </c>
      <c r="CL569" t="s">
        <v>7407</v>
      </c>
      <c r="CM569" t="s">
        <v>7407</v>
      </c>
      <c r="CS569" t="s">
        <v>7361</v>
      </c>
      <c r="CT569" t="s">
        <v>7362</v>
      </c>
      <c r="CU569" t="s">
        <v>7362</v>
      </c>
      <c r="CV569" t="s">
        <v>7362</v>
      </c>
      <c r="CW569" t="s">
        <v>7362</v>
      </c>
      <c r="CX569">
        <v>560000</v>
      </c>
      <c r="DA569">
        <v>0</v>
      </c>
    </row>
    <row r="570" spans="1:105" x14ac:dyDescent="0.3">
      <c r="A570">
        <v>1366</v>
      </c>
      <c r="B570" t="s">
        <v>7380</v>
      </c>
      <c r="C570">
        <v>601</v>
      </c>
      <c r="D570" s="20">
        <v>44995</v>
      </c>
      <c r="E570" t="s">
        <v>7356</v>
      </c>
      <c r="F570" t="s">
        <v>4981</v>
      </c>
      <c r="G570" t="s">
        <v>7357</v>
      </c>
      <c r="H570">
        <v>1</v>
      </c>
      <c r="I570" t="s">
        <v>7358</v>
      </c>
      <c r="J570">
        <v>1</v>
      </c>
      <c r="K570" s="20">
        <v>44995</v>
      </c>
      <c r="L570" s="23">
        <v>2360000</v>
      </c>
      <c r="M570" t="s">
        <v>7359</v>
      </c>
      <c r="N570" t="s">
        <v>7360</v>
      </c>
      <c r="O570">
        <v>0</v>
      </c>
      <c r="P570">
        <v>13004</v>
      </c>
      <c r="Q570">
        <v>453037</v>
      </c>
      <c r="R570">
        <v>0</v>
      </c>
      <c r="S570">
        <v>20230310</v>
      </c>
      <c r="T570">
        <v>0</v>
      </c>
      <c r="U570" t="s">
        <v>7361</v>
      </c>
      <c r="V570" t="s">
        <v>7360</v>
      </c>
      <c r="W570" t="s">
        <v>7360</v>
      </c>
      <c r="X570" t="s">
        <v>7360</v>
      </c>
      <c r="Y570" t="s">
        <v>7360</v>
      </c>
      <c r="Z570" t="s">
        <v>7360</v>
      </c>
      <c r="AA570" t="s">
        <v>7362</v>
      </c>
      <c r="AB570" t="s">
        <v>7360</v>
      </c>
      <c r="AC570" t="s">
        <v>7360</v>
      </c>
      <c r="AD570" t="s">
        <v>7360</v>
      </c>
      <c r="AE570" t="s">
        <v>7360</v>
      </c>
      <c r="AF570" t="s">
        <v>1684</v>
      </c>
      <c r="AG570">
        <v>0</v>
      </c>
      <c r="AH570">
        <v>0</v>
      </c>
      <c r="AI570">
        <v>0</v>
      </c>
      <c r="AJ570">
        <v>0</v>
      </c>
      <c r="AK570">
        <v>0</v>
      </c>
      <c r="AL570" t="s">
        <v>7360</v>
      </c>
      <c r="AM570">
        <v>0</v>
      </c>
      <c r="AN570" s="20">
        <v>44995</v>
      </c>
      <c r="AO570" s="20">
        <v>44995</v>
      </c>
      <c r="AP570" s="20">
        <v>44995</v>
      </c>
      <c r="AQ570">
        <v>0</v>
      </c>
      <c r="AR570">
        <v>0</v>
      </c>
      <c r="AS570">
        <v>0</v>
      </c>
      <c r="AT570">
        <v>0</v>
      </c>
      <c r="AU570">
        <v>0</v>
      </c>
      <c r="AV570" t="s">
        <v>7360</v>
      </c>
      <c r="AW570">
        <v>0</v>
      </c>
      <c r="AX570" t="s">
        <v>7360</v>
      </c>
      <c r="AY570" t="s">
        <v>7363</v>
      </c>
      <c r="BA570">
        <v>0</v>
      </c>
      <c r="BB570" s="20">
        <v>44995</v>
      </c>
      <c r="BC570">
        <v>0</v>
      </c>
      <c r="BD570" t="s">
        <v>7360</v>
      </c>
      <c r="BF570" s="20">
        <v>44995</v>
      </c>
      <c r="BG570">
        <v>0</v>
      </c>
      <c r="BH570" t="s">
        <v>7363</v>
      </c>
      <c r="BJ570" t="s">
        <v>7362</v>
      </c>
      <c r="BK570">
        <v>0</v>
      </c>
      <c r="BL570">
        <v>0</v>
      </c>
      <c r="BM570">
        <v>0</v>
      </c>
      <c r="BN570">
        <v>0</v>
      </c>
      <c r="BO570">
        <v>169</v>
      </c>
      <c r="BP570">
        <v>11</v>
      </c>
      <c r="BQ570">
        <v>1</v>
      </c>
      <c r="BR570" t="s">
        <v>7364</v>
      </c>
      <c r="BS570" t="s">
        <v>7365</v>
      </c>
      <c r="BT570" t="s">
        <v>7360</v>
      </c>
      <c r="BU570" t="s">
        <v>7360</v>
      </c>
      <c r="BV570" t="s">
        <v>7360</v>
      </c>
      <c r="BX570">
        <v>0</v>
      </c>
      <c r="BY570">
        <v>0</v>
      </c>
      <c r="BZ570" t="s">
        <v>7360</v>
      </c>
      <c r="CA570" t="s">
        <v>7360</v>
      </c>
      <c r="CB570">
        <v>3380666</v>
      </c>
      <c r="CC570" s="21">
        <v>44995.509525462963</v>
      </c>
      <c r="CE570" t="s">
        <v>7366</v>
      </c>
      <c r="CF570">
        <v>0</v>
      </c>
      <c r="CG570">
        <v>702002</v>
      </c>
      <c r="CH570">
        <v>702002</v>
      </c>
      <c r="CI570" s="21">
        <v>44995.512858796297</v>
      </c>
      <c r="CJ570" t="s">
        <v>7367</v>
      </c>
      <c r="CK570" t="s">
        <v>7367</v>
      </c>
      <c r="CL570" t="s">
        <v>7368</v>
      </c>
      <c r="CM570" t="s">
        <v>7368</v>
      </c>
      <c r="CS570" t="s">
        <v>7361</v>
      </c>
      <c r="CT570" t="s">
        <v>7362</v>
      </c>
      <c r="CU570" t="s">
        <v>7362</v>
      </c>
      <c r="CV570" t="s">
        <v>7362</v>
      </c>
      <c r="CW570" t="s">
        <v>7362</v>
      </c>
      <c r="CX570">
        <v>2360000</v>
      </c>
      <c r="DA570">
        <v>0</v>
      </c>
    </row>
    <row r="571" spans="1:105" x14ac:dyDescent="0.3">
      <c r="A571">
        <v>1354</v>
      </c>
      <c r="B571" t="s">
        <v>7396</v>
      </c>
      <c r="C571">
        <v>602</v>
      </c>
      <c r="D571" s="20">
        <v>44995</v>
      </c>
      <c r="E571" t="s">
        <v>7356</v>
      </c>
      <c r="F571" t="s">
        <v>4987</v>
      </c>
      <c r="G571" t="s">
        <v>7370</v>
      </c>
      <c r="H571">
        <v>1</v>
      </c>
      <c r="I571" t="s">
        <v>7358</v>
      </c>
      <c r="J571">
        <v>1</v>
      </c>
      <c r="K571" s="20">
        <v>44995</v>
      </c>
      <c r="L571" s="23">
        <v>560000</v>
      </c>
      <c r="M571" t="s">
        <v>7359</v>
      </c>
      <c r="N571" t="s">
        <v>7360</v>
      </c>
      <c r="O571">
        <v>0</v>
      </c>
      <c r="P571">
        <v>12984</v>
      </c>
      <c r="Q571">
        <v>453021</v>
      </c>
      <c r="R571">
        <v>0</v>
      </c>
      <c r="S571">
        <v>20230310</v>
      </c>
      <c r="T571">
        <v>0</v>
      </c>
      <c r="U571" t="s">
        <v>7361</v>
      </c>
      <c r="V571" t="s">
        <v>7360</v>
      </c>
      <c r="W571" t="s">
        <v>7360</v>
      </c>
      <c r="X571" t="s">
        <v>7360</v>
      </c>
      <c r="Y571" t="s">
        <v>7360</v>
      </c>
      <c r="Z571" t="s">
        <v>7360</v>
      </c>
      <c r="AA571" t="s">
        <v>7362</v>
      </c>
      <c r="AB571" t="s">
        <v>7360</v>
      </c>
      <c r="AC571" t="s">
        <v>7360</v>
      </c>
      <c r="AD571" t="s">
        <v>7360</v>
      </c>
      <c r="AE571" t="s">
        <v>7360</v>
      </c>
      <c r="AF571" t="s">
        <v>1684</v>
      </c>
      <c r="AG571">
        <v>0</v>
      </c>
      <c r="AH571">
        <v>0</v>
      </c>
      <c r="AI571">
        <v>0</v>
      </c>
      <c r="AJ571">
        <v>0</v>
      </c>
      <c r="AK571">
        <v>0</v>
      </c>
      <c r="AL571" t="s">
        <v>7360</v>
      </c>
      <c r="AM571">
        <v>0</v>
      </c>
      <c r="AN571" s="20">
        <v>44995</v>
      </c>
      <c r="AO571" s="20">
        <v>44995</v>
      </c>
      <c r="AP571" s="20">
        <v>44995</v>
      </c>
      <c r="AQ571">
        <v>0</v>
      </c>
      <c r="AR571">
        <v>0</v>
      </c>
      <c r="AS571">
        <v>0</v>
      </c>
      <c r="AT571">
        <v>0</v>
      </c>
      <c r="AU571">
        <v>0</v>
      </c>
      <c r="AV571" t="s">
        <v>7360</v>
      </c>
      <c r="AW571">
        <v>0</v>
      </c>
      <c r="AX571" t="s">
        <v>7360</v>
      </c>
      <c r="AY571" t="s">
        <v>7363</v>
      </c>
      <c r="BA571">
        <v>0</v>
      </c>
      <c r="BB571" s="20">
        <v>44995</v>
      </c>
      <c r="BC571">
        <v>0</v>
      </c>
      <c r="BD571" t="s">
        <v>7360</v>
      </c>
      <c r="BF571" s="20">
        <v>44995</v>
      </c>
      <c r="BG571">
        <v>0</v>
      </c>
      <c r="BH571" t="s">
        <v>7363</v>
      </c>
      <c r="BJ571" t="s">
        <v>7362</v>
      </c>
      <c r="BK571">
        <v>169</v>
      </c>
      <c r="BL571">
        <v>11</v>
      </c>
      <c r="BM571">
        <v>1</v>
      </c>
      <c r="BN571" t="s">
        <v>7364</v>
      </c>
      <c r="BO571">
        <v>169</v>
      </c>
      <c r="BP571">
        <v>11</v>
      </c>
      <c r="BQ571">
        <v>1</v>
      </c>
      <c r="BR571" t="s">
        <v>7364</v>
      </c>
      <c r="BS571" t="s">
        <v>7427</v>
      </c>
      <c r="BT571" t="s">
        <v>7360</v>
      </c>
      <c r="BU571" t="s">
        <v>7360</v>
      </c>
      <c r="BV571" t="s">
        <v>7360</v>
      </c>
      <c r="BX571" t="s">
        <v>7391</v>
      </c>
      <c r="BY571">
        <v>74</v>
      </c>
      <c r="BZ571" t="s">
        <v>7360</v>
      </c>
      <c r="CA571" t="s">
        <v>7360</v>
      </c>
      <c r="CB571">
        <v>3380666</v>
      </c>
      <c r="CC571" s="21">
        <v>44995.518865740742</v>
      </c>
      <c r="CE571" t="s">
        <v>7392</v>
      </c>
      <c r="CF571">
        <v>1100101</v>
      </c>
      <c r="CG571">
        <v>51669</v>
      </c>
      <c r="CH571">
        <v>51669</v>
      </c>
      <c r="CI571" s="21">
        <v>44995.51972222222</v>
      </c>
      <c r="CJ571" t="s">
        <v>7406</v>
      </c>
      <c r="CK571" t="s">
        <v>7406</v>
      </c>
      <c r="CL571" t="s">
        <v>7407</v>
      </c>
      <c r="CM571" t="s">
        <v>7407</v>
      </c>
      <c r="CS571" t="s">
        <v>7361</v>
      </c>
      <c r="CT571" t="s">
        <v>7362</v>
      </c>
      <c r="CU571" t="s">
        <v>7362</v>
      </c>
      <c r="CV571" t="s">
        <v>7362</v>
      </c>
      <c r="CW571" t="s">
        <v>7362</v>
      </c>
      <c r="CX571">
        <v>560000</v>
      </c>
      <c r="DA571">
        <v>0</v>
      </c>
    </row>
    <row r="572" spans="1:105" x14ac:dyDescent="0.3">
      <c r="A572">
        <v>1366</v>
      </c>
      <c r="B572" t="s">
        <v>7380</v>
      </c>
      <c r="C572">
        <v>603</v>
      </c>
      <c r="D572" s="20">
        <v>44995</v>
      </c>
      <c r="E572" t="s">
        <v>7372</v>
      </c>
      <c r="F572" t="s">
        <v>4992</v>
      </c>
      <c r="G572" t="s">
        <v>7357</v>
      </c>
      <c r="H572">
        <v>1</v>
      </c>
      <c r="I572" t="s">
        <v>7358</v>
      </c>
      <c r="J572">
        <v>1</v>
      </c>
      <c r="K572" s="20">
        <v>44995</v>
      </c>
      <c r="L572" s="23">
        <v>879529</v>
      </c>
      <c r="M572" t="s">
        <v>7359</v>
      </c>
      <c r="N572" t="s">
        <v>7360</v>
      </c>
      <c r="O572">
        <v>0</v>
      </c>
      <c r="P572">
        <v>13053</v>
      </c>
      <c r="Q572">
        <v>453064</v>
      </c>
      <c r="R572">
        <v>0</v>
      </c>
      <c r="S572">
        <v>20230310</v>
      </c>
      <c r="T572">
        <v>0</v>
      </c>
      <c r="U572" t="s">
        <v>7362</v>
      </c>
      <c r="V572" t="s">
        <v>7360</v>
      </c>
      <c r="W572" t="s">
        <v>7360</v>
      </c>
      <c r="X572" t="s">
        <v>7360</v>
      </c>
      <c r="Y572" t="s">
        <v>7360</v>
      </c>
      <c r="Z572" t="s">
        <v>7360</v>
      </c>
      <c r="AA572" t="s">
        <v>7362</v>
      </c>
      <c r="AB572" t="s">
        <v>7360</v>
      </c>
      <c r="AC572" t="s">
        <v>7360</v>
      </c>
      <c r="AD572" t="s">
        <v>7360</v>
      </c>
      <c r="AE572" t="s">
        <v>7360</v>
      </c>
      <c r="AF572" t="s">
        <v>1684</v>
      </c>
      <c r="AG572">
        <v>0</v>
      </c>
      <c r="AH572">
        <v>0</v>
      </c>
      <c r="AI572">
        <v>0</v>
      </c>
      <c r="AJ572">
        <v>0</v>
      </c>
      <c r="AK572">
        <v>0</v>
      </c>
      <c r="AL572" t="s">
        <v>7360</v>
      </c>
      <c r="AM572">
        <v>0</v>
      </c>
      <c r="AN572" s="20">
        <v>44995</v>
      </c>
      <c r="AO572" s="20">
        <v>44995</v>
      </c>
      <c r="AP572" s="20">
        <v>44995</v>
      </c>
      <c r="AQ572">
        <v>0</v>
      </c>
      <c r="AR572">
        <v>0</v>
      </c>
      <c r="AS572">
        <v>0</v>
      </c>
      <c r="AT572">
        <v>0</v>
      </c>
      <c r="AU572">
        <v>0</v>
      </c>
      <c r="AV572" t="s">
        <v>7360</v>
      </c>
      <c r="AW572">
        <v>0</v>
      </c>
      <c r="AX572" t="s">
        <v>7360</v>
      </c>
      <c r="AY572" t="s">
        <v>7362</v>
      </c>
      <c r="BA572">
        <v>0</v>
      </c>
      <c r="BB572" s="20">
        <v>44995</v>
      </c>
      <c r="BC572">
        <v>0</v>
      </c>
      <c r="BD572" t="s">
        <v>7360</v>
      </c>
      <c r="BF572" s="20">
        <v>44995</v>
      </c>
      <c r="BG572">
        <v>0</v>
      </c>
      <c r="BH572" t="s">
        <v>7363</v>
      </c>
      <c r="BJ572" t="s">
        <v>7362</v>
      </c>
      <c r="BK572">
        <v>0</v>
      </c>
      <c r="BL572">
        <v>0</v>
      </c>
      <c r="BM572">
        <v>0</v>
      </c>
      <c r="BN572">
        <v>0</v>
      </c>
      <c r="BO572">
        <v>169</v>
      </c>
      <c r="BP572">
        <v>11</v>
      </c>
      <c r="BQ572">
        <v>1</v>
      </c>
      <c r="BR572" t="s">
        <v>7364</v>
      </c>
      <c r="BS572" t="s">
        <v>61</v>
      </c>
      <c r="BT572" t="s">
        <v>7360</v>
      </c>
      <c r="BU572" t="s">
        <v>7360</v>
      </c>
      <c r="BV572" t="s">
        <v>7360</v>
      </c>
      <c r="BX572">
        <v>0</v>
      </c>
      <c r="BY572">
        <v>0</v>
      </c>
      <c r="BZ572" t="s">
        <v>7360</v>
      </c>
      <c r="CA572" t="s">
        <v>7360</v>
      </c>
      <c r="CB572">
        <v>3380666</v>
      </c>
      <c r="CC572" s="21">
        <v>44995.524930555555</v>
      </c>
      <c r="CE572" t="s">
        <v>7366</v>
      </c>
      <c r="CF572">
        <v>0</v>
      </c>
      <c r="CG572">
        <v>702002</v>
      </c>
      <c r="CH572">
        <v>702002</v>
      </c>
      <c r="CI572" s="21">
        <v>44995.526736111111</v>
      </c>
      <c r="CJ572" t="s">
        <v>7367</v>
      </c>
      <c r="CK572" t="s">
        <v>7367</v>
      </c>
      <c r="CL572" t="s">
        <v>7368</v>
      </c>
      <c r="CM572" t="s">
        <v>7368</v>
      </c>
      <c r="CS572" t="s">
        <v>7361</v>
      </c>
      <c r="CT572" t="s">
        <v>7362</v>
      </c>
      <c r="CU572" t="s">
        <v>7362</v>
      </c>
      <c r="CV572" t="s">
        <v>7362</v>
      </c>
      <c r="CW572" t="s">
        <v>7362</v>
      </c>
      <c r="CX572">
        <v>879529</v>
      </c>
      <c r="DA572">
        <v>0</v>
      </c>
    </row>
    <row r="573" spans="1:105" x14ac:dyDescent="0.3">
      <c r="A573">
        <v>1354</v>
      </c>
      <c r="B573" t="s">
        <v>7396</v>
      </c>
      <c r="C573">
        <v>604</v>
      </c>
      <c r="D573" s="20">
        <v>44995</v>
      </c>
      <c r="E573" t="s">
        <v>7372</v>
      </c>
      <c r="F573" t="s">
        <v>4923</v>
      </c>
      <c r="G573" t="s">
        <v>7357</v>
      </c>
      <c r="H573">
        <v>1</v>
      </c>
      <c r="I573" t="s">
        <v>7358</v>
      </c>
      <c r="J573">
        <v>1</v>
      </c>
      <c r="K573" s="20">
        <v>44995</v>
      </c>
      <c r="L573" s="23">
        <v>1800000</v>
      </c>
      <c r="M573" t="s">
        <v>7359</v>
      </c>
      <c r="N573" t="s">
        <v>7360</v>
      </c>
      <c r="O573">
        <v>0</v>
      </c>
      <c r="P573">
        <v>12985</v>
      </c>
      <c r="Q573">
        <v>453022</v>
      </c>
      <c r="R573">
        <v>0</v>
      </c>
      <c r="S573">
        <v>20230310</v>
      </c>
      <c r="T573">
        <v>0</v>
      </c>
      <c r="U573" t="s">
        <v>7362</v>
      </c>
      <c r="V573" t="s">
        <v>7360</v>
      </c>
      <c r="W573" t="s">
        <v>7360</v>
      </c>
      <c r="X573" t="s">
        <v>7360</v>
      </c>
      <c r="Y573" t="s">
        <v>7360</v>
      </c>
      <c r="Z573" t="s">
        <v>7360</v>
      </c>
      <c r="AA573" t="s">
        <v>7362</v>
      </c>
      <c r="AB573" t="s">
        <v>7360</v>
      </c>
      <c r="AC573" t="s">
        <v>7360</v>
      </c>
      <c r="AD573" t="s">
        <v>7360</v>
      </c>
      <c r="AE573" t="s">
        <v>7360</v>
      </c>
      <c r="AF573" t="s">
        <v>1684</v>
      </c>
      <c r="AG573">
        <v>0</v>
      </c>
      <c r="AH573">
        <v>0</v>
      </c>
      <c r="AI573">
        <v>0</v>
      </c>
      <c r="AJ573">
        <v>0</v>
      </c>
      <c r="AK573">
        <v>0</v>
      </c>
      <c r="AL573" t="s">
        <v>7360</v>
      </c>
      <c r="AM573">
        <v>0</v>
      </c>
      <c r="AN573" s="20">
        <v>44995</v>
      </c>
      <c r="AO573" s="20">
        <v>44995</v>
      </c>
      <c r="AP573" s="20">
        <v>44995</v>
      </c>
      <c r="AQ573">
        <v>0</v>
      </c>
      <c r="AR573">
        <v>0</v>
      </c>
      <c r="AS573">
        <v>0</v>
      </c>
      <c r="AT573">
        <v>0</v>
      </c>
      <c r="AU573">
        <v>0</v>
      </c>
      <c r="AV573" t="s">
        <v>7360</v>
      </c>
      <c r="AW573">
        <v>0</v>
      </c>
      <c r="AX573" t="s">
        <v>7360</v>
      </c>
      <c r="AY573" t="s">
        <v>7362</v>
      </c>
      <c r="BA573">
        <v>0</v>
      </c>
      <c r="BB573" s="20">
        <v>44995</v>
      </c>
      <c r="BC573">
        <v>0</v>
      </c>
      <c r="BD573" t="s">
        <v>7360</v>
      </c>
      <c r="BF573" s="20">
        <v>44995</v>
      </c>
      <c r="BG573">
        <v>0</v>
      </c>
      <c r="BH573" t="s">
        <v>7363</v>
      </c>
      <c r="BJ573" t="s">
        <v>7362</v>
      </c>
      <c r="BK573">
        <v>169</v>
      </c>
      <c r="BL573">
        <v>11</v>
      </c>
      <c r="BM573">
        <v>1</v>
      </c>
      <c r="BN573" t="s">
        <v>7364</v>
      </c>
      <c r="BO573">
        <v>169</v>
      </c>
      <c r="BP573">
        <v>11</v>
      </c>
      <c r="BQ573">
        <v>1</v>
      </c>
      <c r="BR573" t="s">
        <v>7364</v>
      </c>
      <c r="BS573" t="s">
        <v>7427</v>
      </c>
      <c r="BT573" t="s">
        <v>7360</v>
      </c>
      <c r="BU573" t="s">
        <v>7360</v>
      </c>
      <c r="BV573" t="s">
        <v>7360</v>
      </c>
      <c r="BX573" t="s">
        <v>7391</v>
      </c>
      <c r="BY573">
        <v>74</v>
      </c>
      <c r="BZ573" t="s">
        <v>7360</v>
      </c>
      <c r="CA573" t="s">
        <v>7360</v>
      </c>
      <c r="CB573">
        <v>3380666</v>
      </c>
      <c r="CC573" s="21">
        <v>44995.528148148151</v>
      </c>
      <c r="CE573" t="s">
        <v>7392</v>
      </c>
      <c r="CF573">
        <v>1100101</v>
      </c>
      <c r="CG573">
        <v>51669</v>
      </c>
      <c r="CH573">
        <v>51669</v>
      </c>
      <c r="CI573" s="21">
        <v>44995.529629629629</v>
      </c>
      <c r="CJ573" t="s">
        <v>7406</v>
      </c>
      <c r="CK573" t="s">
        <v>7406</v>
      </c>
      <c r="CL573" t="s">
        <v>7407</v>
      </c>
      <c r="CM573" t="s">
        <v>7407</v>
      </c>
      <c r="CS573" t="s">
        <v>7361</v>
      </c>
      <c r="CT573" t="s">
        <v>7362</v>
      </c>
      <c r="CU573" t="s">
        <v>7362</v>
      </c>
      <c r="CV573" t="s">
        <v>7362</v>
      </c>
      <c r="CW573" t="s">
        <v>7362</v>
      </c>
      <c r="CX573">
        <v>1800000</v>
      </c>
      <c r="DA573">
        <v>0</v>
      </c>
    </row>
    <row r="574" spans="1:105" x14ac:dyDescent="0.3">
      <c r="A574">
        <v>1354</v>
      </c>
      <c r="B574" t="s">
        <v>7396</v>
      </c>
      <c r="C574">
        <v>605</v>
      </c>
      <c r="D574" s="20">
        <v>44995</v>
      </c>
      <c r="E574" t="s">
        <v>7372</v>
      </c>
      <c r="F574" t="s">
        <v>4928</v>
      </c>
      <c r="G574" t="s">
        <v>7370</v>
      </c>
      <c r="H574">
        <v>1</v>
      </c>
      <c r="I574" t="s">
        <v>7358</v>
      </c>
      <c r="J574">
        <v>1</v>
      </c>
      <c r="K574" s="20">
        <v>44995</v>
      </c>
      <c r="L574" s="23">
        <v>1000000</v>
      </c>
      <c r="M574" t="s">
        <v>7359</v>
      </c>
      <c r="N574" t="s">
        <v>7360</v>
      </c>
      <c r="O574">
        <v>0</v>
      </c>
      <c r="P574">
        <v>12986</v>
      </c>
      <c r="Q574">
        <v>453023</v>
      </c>
      <c r="R574">
        <v>0</v>
      </c>
      <c r="S574">
        <v>20230310</v>
      </c>
      <c r="T574">
        <v>0</v>
      </c>
      <c r="U574" t="s">
        <v>7362</v>
      </c>
      <c r="V574" t="s">
        <v>7360</v>
      </c>
      <c r="W574" t="s">
        <v>7360</v>
      </c>
      <c r="X574" t="s">
        <v>7360</v>
      </c>
      <c r="Y574" t="s">
        <v>7360</v>
      </c>
      <c r="Z574" t="s">
        <v>7360</v>
      </c>
      <c r="AA574" t="s">
        <v>7362</v>
      </c>
      <c r="AB574" t="s">
        <v>7360</v>
      </c>
      <c r="AC574" t="s">
        <v>7360</v>
      </c>
      <c r="AD574" t="s">
        <v>7360</v>
      </c>
      <c r="AE574" t="s">
        <v>7360</v>
      </c>
      <c r="AF574" t="s">
        <v>1684</v>
      </c>
      <c r="AG574">
        <v>0</v>
      </c>
      <c r="AH574">
        <v>0</v>
      </c>
      <c r="AI574">
        <v>0</v>
      </c>
      <c r="AJ574">
        <v>0</v>
      </c>
      <c r="AK574">
        <v>0</v>
      </c>
      <c r="AL574" t="s">
        <v>7360</v>
      </c>
      <c r="AM574">
        <v>0</v>
      </c>
      <c r="AN574" s="20">
        <v>44995</v>
      </c>
      <c r="AO574" s="20">
        <v>44995</v>
      </c>
      <c r="AP574" s="20">
        <v>44995</v>
      </c>
      <c r="AQ574">
        <v>0</v>
      </c>
      <c r="AR574">
        <v>0</v>
      </c>
      <c r="AS574">
        <v>0</v>
      </c>
      <c r="AT574">
        <v>0</v>
      </c>
      <c r="AU574">
        <v>0</v>
      </c>
      <c r="AV574" t="s">
        <v>7360</v>
      </c>
      <c r="AW574">
        <v>0</v>
      </c>
      <c r="AX574" t="s">
        <v>7360</v>
      </c>
      <c r="AY574" t="s">
        <v>7362</v>
      </c>
      <c r="BA574">
        <v>0</v>
      </c>
      <c r="BB574" s="20">
        <v>44995</v>
      </c>
      <c r="BC574">
        <v>0</v>
      </c>
      <c r="BD574" t="s">
        <v>7360</v>
      </c>
      <c r="BF574" s="20">
        <v>44995</v>
      </c>
      <c r="BG574">
        <v>0</v>
      </c>
      <c r="BH574" t="s">
        <v>7363</v>
      </c>
      <c r="BJ574" t="s">
        <v>7362</v>
      </c>
      <c r="BK574">
        <v>169</v>
      </c>
      <c r="BL574">
        <v>11</v>
      </c>
      <c r="BM574">
        <v>1</v>
      </c>
      <c r="BN574" t="s">
        <v>7364</v>
      </c>
      <c r="BO574">
        <v>169</v>
      </c>
      <c r="BP574">
        <v>11</v>
      </c>
      <c r="BQ574">
        <v>1</v>
      </c>
      <c r="BR574" t="s">
        <v>7364</v>
      </c>
      <c r="BS574" t="s">
        <v>7427</v>
      </c>
      <c r="BT574" t="s">
        <v>7360</v>
      </c>
      <c r="BU574" t="s">
        <v>7360</v>
      </c>
      <c r="BV574" t="s">
        <v>7360</v>
      </c>
      <c r="BX574" t="s">
        <v>7391</v>
      </c>
      <c r="BY574">
        <v>74</v>
      </c>
      <c r="BZ574" t="s">
        <v>7360</v>
      </c>
      <c r="CA574" t="s">
        <v>7360</v>
      </c>
      <c r="CB574">
        <v>3380666</v>
      </c>
      <c r="CC574" s="21">
        <v>44995.538541666669</v>
      </c>
      <c r="CE574" t="s">
        <v>7392</v>
      </c>
      <c r="CF574">
        <v>1100101</v>
      </c>
      <c r="CG574">
        <v>51669</v>
      </c>
      <c r="CH574">
        <v>51669</v>
      </c>
      <c r="CI574" s="21">
        <v>44995.585995370369</v>
      </c>
      <c r="CJ574" t="s">
        <v>7406</v>
      </c>
      <c r="CK574" t="s">
        <v>7406</v>
      </c>
      <c r="CL574" t="s">
        <v>7407</v>
      </c>
      <c r="CM574" t="s">
        <v>7407</v>
      </c>
      <c r="CS574" t="s">
        <v>7361</v>
      </c>
      <c r="CT574" t="s">
        <v>7362</v>
      </c>
      <c r="CU574" t="s">
        <v>7362</v>
      </c>
      <c r="CV574" t="s">
        <v>7362</v>
      </c>
      <c r="CW574" t="s">
        <v>7362</v>
      </c>
      <c r="CX574">
        <v>1000000</v>
      </c>
      <c r="DA574">
        <v>0</v>
      </c>
    </row>
    <row r="575" spans="1:105" x14ac:dyDescent="0.3">
      <c r="A575">
        <v>1354</v>
      </c>
      <c r="B575" t="s">
        <v>7396</v>
      </c>
      <c r="C575">
        <v>606</v>
      </c>
      <c r="D575" s="20">
        <v>44995</v>
      </c>
      <c r="E575" t="s">
        <v>7356</v>
      </c>
      <c r="F575" t="s">
        <v>4933</v>
      </c>
      <c r="G575" t="s">
        <v>7370</v>
      </c>
      <c r="H575">
        <v>1</v>
      </c>
      <c r="I575" t="s">
        <v>7358</v>
      </c>
      <c r="J575">
        <v>1</v>
      </c>
      <c r="K575" s="20">
        <v>44995</v>
      </c>
      <c r="L575" s="23">
        <v>1200000</v>
      </c>
      <c r="M575" t="s">
        <v>7359</v>
      </c>
      <c r="N575" t="s">
        <v>7360</v>
      </c>
      <c r="O575">
        <v>0</v>
      </c>
      <c r="P575">
        <v>12987</v>
      </c>
      <c r="Q575">
        <v>453024</v>
      </c>
      <c r="R575">
        <v>0</v>
      </c>
      <c r="S575">
        <v>20230310</v>
      </c>
      <c r="T575">
        <v>0</v>
      </c>
      <c r="U575" t="s">
        <v>7361</v>
      </c>
      <c r="V575" t="s">
        <v>7360</v>
      </c>
      <c r="W575" t="s">
        <v>7360</v>
      </c>
      <c r="X575" t="s">
        <v>7360</v>
      </c>
      <c r="Y575" t="s">
        <v>7360</v>
      </c>
      <c r="Z575" t="s">
        <v>7360</v>
      </c>
      <c r="AA575" t="s">
        <v>7362</v>
      </c>
      <c r="AB575" t="s">
        <v>7360</v>
      </c>
      <c r="AC575" t="s">
        <v>7360</v>
      </c>
      <c r="AD575" t="s">
        <v>7360</v>
      </c>
      <c r="AE575" t="s">
        <v>7360</v>
      </c>
      <c r="AF575" t="s">
        <v>1684</v>
      </c>
      <c r="AG575">
        <v>0</v>
      </c>
      <c r="AH575">
        <v>0</v>
      </c>
      <c r="AI575">
        <v>0</v>
      </c>
      <c r="AJ575">
        <v>0</v>
      </c>
      <c r="AK575">
        <v>0</v>
      </c>
      <c r="AL575" t="s">
        <v>7360</v>
      </c>
      <c r="AM575">
        <v>0</v>
      </c>
      <c r="AN575" s="20">
        <v>44995</v>
      </c>
      <c r="AO575" s="20">
        <v>44995</v>
      </c>
      <c r="AP575" s="20">
        <v>44995</v>
      </c>
      <c r="AQ575">
        <v>0</v>
      </c>
      <c r="AR575">
        <v>0</v>
      </c>
      <c r="AS575">
        <v>0</v>
      </c>
      <c r="AT575">
        <v>0</v>
      </c>
      <c r="AU575">
        <v>0</v>
      </c>
      <c r="AV575" t="s">
        <v>7360</v>
      </c>
      <c r="AW575">
        <v>0</v>
      </c>
      <c r="AX575" t="s">
        <v>7360</v>
      </c>
      <c r="AY575" t="s">
        <v>7363</v>
      </c>
      <c r="BA575">
        <v>0</v>
      </c>
      <c r="BB575" s="20">
        <v>44995</v>
      </c>
      <c r="BC575">
        <v>0</v>
      </c>
      <c r="BD575" t="s">
        <v>7360</v>
      </c>
      <c r="BF575" s="20">
        <v>44995</v>
      </c>
      <c r="BG575">
        <v>0</v>
      </c>
      <c r="BH575" t="s">
        <v>7363</v>
      </c>
      <c r="BJ575" t="s">
        <v>7362</v>
      </c>
      <c r="BK575">
        <v>169</v>
      </c>
      <c r="BL575">
        <v>11</v>
      </c>
      <c r="BM575">
        <v>1</v>
      </c>
      <c r="BN575" t="s">
        <v>7364</v>
      </c>
      <c r="BO575">
        <v>169</v>
      </c>
      <c r="BP575">
        <v>11</v>
      </c>
      <c r="BQ575">
        <v>1</v>
      </c>
      <c r="BR575" t="s">
        <v>7364</v>
      </c>
      <c r="BS575" t="s">
        <v>7427</v>
      </c>
      <c r="BT575" t="s">
        <v>7360</v>
      </c>
      <c r="BU575" t="s">
        <v>7360</v>
      </c>
      <c r="BV575" t="s">
        <v>7360</v>
      </c>
      <c r="BX575" t="s">
        <v>7391</v>
      </c>
      <c r="BY575">
        <v>74</v>
      </c>
      <c r="BZ575" t="s">
        <v>7360</v>
      </c>
      <c r="CA575" t="s">
        <v>7360</v>
      </c>
      <c r="CB575">
        <v>3380666</v>
      </c>
      <c r="CC575" s="21">
        <v>44995.592881944445</v>
      </c>
      <c r="CE575" t="s">
        <v>7392</v>
      </c>
      <c r="CF575">
        <v>1100101</v>
      </c>
      <c r="CG575">
        <v>51669</v>
      </c>
      <c r="CH575">
        <v>51669</v>
      </c>
      <c r="CI575" s="21">
        <v>44995.593553240738</v>
      </c>
      <c r="CJ575" t="s">
        <v>7406</v>
      </c>
      <c r="CK575" t="s">
        <v>7406</v>
      </c>
      <c r="CL575" t="s">
        <v>7407</v>
      </c>
      <c r="CM575" t="s">
        <v>7407</v>
      </c>
      <c r="CS575" t="s">
        <v>7361</v>
      </c>
      <c r="CT575" t="s">
        <v>7362</v>
      </c>
      <c r="CU575" t="s">
        <v>7362</v>
      </c>
      <c r="CV575" t="s">
        <v>7362</v>
      </c>
      <c r="CW575" t="s">
        <v>7362</v>
      </c>
      <c r="CX575">
        <v>1200000</v>
      </c>
      <c r="DA575">
        <v>0</v>
      </c>
    </row>
    <row r="576" spans="1:105" x14ac:dyDescent="0.3">
      <c r="A576">
        <v>1354</v>
      </c>
      <c r="B576" t="s">
        <v>7396</v>
      </c>
      <c r="C576">
        <v>607</v>
      </c>
      <c r="D576" s="20">
        <v>44995</v>
      </c>
      <c r="E576" t="s">
        <v>7356</v>
      </c>
      <c r="F576" t="s">
        <v>4939</v>
      </c>
      <c r="G576" t="s">
        <v>7370</v>
      </c>
      <c r="H576">
        <v>1</v>
      </c>
      <c r="I576" t="s">
        <v>7358</v>
      </c>
      <c r="J576">
        <v>1</v>
      </c>
      <c r="K576" s="20">
        <v>44995</v>
      </c>
      <c r="L576" s="23">
        <v>400000</v>
      </c>
      <c r="M576" t="s">
        <v>7359</v>
      </c>
      <c r="N576" t="s">
        <v>7360</v>
      </c>
      <c r="O576">
        <v>0</v>
      </c>
      <c r="P576">
        <v>13091</v>
      </c>
      <c r="Q576">
        <v>453082</v>
      </c>
      <c r="R576">
        <v>0</v>
      </c>
      <c r="S576">
        <v>20230310</v>
      </c>
      <c r="T576">
        <v>0</v>
      </c>
      <c r="U576" t="s">
        <v>7361</v>
      </c>
      <c r="V576" t="s">
        <v>7360</v>
      </c>
      <c r="W576" t="s">
        <v>7360</v>
      </c>
      <c r="X576" t="s">
        <v>7360</v>
      </c>
      <c r="Y576" t="s">
        <v>7360</v>
      </c>
      <c r="Z576" t="s">
        <v>7360</v>
      </c>
      <c r="AA576" t="s">
        <v>7362</v>
      </c>
      <c r="AB576" t="s">
        <v>7360</v>
      </c>
      <c r="AC576" t="s">
        <v>7360</v>
      </c>
      <c r="AD576" t="s">
        <v>7360</v>
      </c>
      <c r="AE576" t="s">
        <v>7360</v>
      </c>
      <c r="AF576" t="s">
        <v>1684</v>
      </c>
      <c r="AG576">
        <v>0</v>
      </c>
      <c r="AH576">
        <v>0</v>
      </c>
      <c r="AI576">
        <v>0</v>
      </c>
      <c r="AJ576">
        <v>0</v>
      </c>
      <c r="AK576">
        <v>0</v>
      </c>
      <c r="AL576" t="s">
        <v>7360</v>
      </c>
      <c r="AM576">
        <v>0</v>
      </c>
      <c r="AN576" s="20">
        <v>44995</v>
      </c>
      <c r="AO576" s="20">
        <v>44995</v>
      </c>
      <c r="AP576" s="20">
        <v>44995</v>
      </c>
      <c r="AQ576">
        <v>0</v>
      </c>
      <c r="AR576">
        <v>0</v>
      </c>
      <c r="AS576">
        <v>0</v>
      </c>
      <c r="AT576">
        <v>0</v>
      </c>
      <c r="AU576">
        <v>0</v>
      </c>
      <c r="AV576" t="s">
        <v>7360</v>
      </c>
      <c r="AW576">
        <v>0</v>
      </c>
      <c r="AX576" t="s">
        <v>7360</v>
      </c>
      <c r="AY576" t="s">
        <v>7363</v>
      </c>
      <c r="BA576">
        <v>0</v>
      </c>
      <c r="BB576" s="20">
        <v>44995</v>
      </c>
      <c r="BC576">
        <v>0</v>
      </c>
      <c r="BD576" t="s">
        <v>7360</v>
      </c>
      <c r="BF576" s="20">
        <v>44995</v>
      </c>
      <c r="BG576">
        <v>0</v>
      </c>
      <c r="BH576" t="s">
        <v>7363</v>
      </c>
      <c r="BJ576" t="s">
        <v>7362</v>
      </c>
      <c r="BK576">
        <v>0</v>
      </c>
      <c r="BL576">
        <v>0</v>
      </c>
      <c r="BM576">
        <v>0</v>
      </c>
      <c r="BN576">
        <v>0</v>
      </c>
      <c r="BO576">
        <v>169</v>
      </c>
      <c r="BP576">
        <v>11</v>
      </c>
      <c r="BQ576">
        <v>1</v>
      </c>
      <c r="BR576" t="s">
        <v>7364</v>
      </c>
      <c r="BS576" t="s">
        <v>7365</v>
      </c>
      <c r="BT576" t="s">
        <v>7360</v>
      </c>
      <c r="BU576" t="s">
        <v>7360</v>
      </c>
      <c r="BV576" t="s">
        <v>7360</v>
      </c>
      <c r="BX576">
        <v>0</v>
      </c>
      <c r="BY576">
        <v>0</v>
      </c>
      <c r="BZ576" t="s">
        <v>7360</v>
      </c>
      <c r="CA576" t="s">
        <v>7360</v>
      </c>
      <c r="CB576">
        <v>3380666</v>
      </c>
      <c r="CC576" s="21">
        <v>44995.610682870371</v>
      </c>
      <c r="CE576" t="s">
        <v>7366</v>
      </c>
      <c r="CF576">
        <v>0</v>
      </c>
      <c r="CG576">
        <v>702002</v>
      </c>
      <c r="CH576">
        <v>702002</v>
      </c>
      <c r="CI576" s="21">
        <v>44995.611678240741</v>
      </c>
      <c r="CJ576" t="s">
        <v>7367</v>
      </c>
      <c r="CK576" t="s">
        <v>7367</v>
      </c>
      <c r="CL576" t="s">
        <v>7368</v>
      </c>
      <c r="CM576" t="s">
        <v>7368</v>
      </c>
      <c r="CS576" t="s">
        <v>7361</v>
      </c>
      <c r="CT576" t="s">
        <v>7362</v>
      </c>
      <c r="CU576" t="s">
        <v>7362</v>
      </c>
      <c r="CV576" t="s">
        <v>7362</v>
      </c>
      <c r="CW576" t="s">
        <v>7362</v>
      </c>
      <c r="CX576">
        <v>400000</v>
      </c>
      <c r="DA576">
        <v>0</v>
      </c>
    </row>
    <row r="577" spans="1:106" x14ac:dyDescent="0.3">
      <c r="A577">
        <v>1354</v>
      </c>
      <c r="B577" t="s">
        <v>7396</v>
      </c>
      <c r="C577">
        <v>608</v>
      </c>
      <c r="D577" s="20">
        <v>44995</v>
      </c>
      <c r="E577" t="s">
        <v>7372</v>
      </c>
      <c r="F577" t="s">
        <v>4944</v>
      </c>
      <c r="G577" t="s">
        <v>7370</v>
      </c>
      <c r="H577">
        <v>1</v>
      </c>
      <c r="I577" t="s">
        <v>7358</v>
      </c>
      <c r="J577">
        <v>1</v>
      </c>
      <c r="K577" s="20">
        <v>44995</v>
      </c>
      <c r="L577" s="23">
        <v>1200000</v>
      </c>
      <c r="M577" t="s">
        <v>7359</v>
      </c>
      <c r="N577" t="s">
        <v>7360</v>
      </c>
      <c r="O577">
        <v>0</v>
      </c>
      <c r="P577">
        <v>12988</v>
      </c>
      <c r="Q577">
        <v>453025</v>
      </c>
      <c r="R577">
        <v>0</v>
      </c>
      <c r="S577">
        <v>20230310</v>
      </c>
      <c r="T577">
        <v>0</v>
      </c>
      <c r="U577" t="s">
        <v>7362</v>
      </c>
      <c r="V577" t="s">
        <v>7360</v>
      </c>
      <c r="W577" t="s">
        <v>7360</v>
      </c>
      <c r="X577" t="s">
        <v>7360</v>
      </c>
      <c r="Y577" t="s">
        <v>7360</v>
      </c>
      <c r="Z577" t="s">
        <v>7360</v>
      </c>
      <c r="AA577" t="s">
        <v>7362</v>
      </c>
      <c r="AB577" t="s">
        <v>7360</v>
      </c>
      <c r="AC577" t="s">
        <v>7360</v>
      </c>
      <c r="AD577" t="s">
        <v>7360</v>
      </c>
      <c r="AE577" t="s">
        <v>7360</v>
      </c>
      <c r="AF577" t="s">
        <v>1684</v>
      </c>
      <c r="AG577">
        <v>0</v>
      </c>
      <c r="AH577">
        <v>0</v>
      </c>
      <c r="AI577">
        <v>0</v>
      </c>
      <c r="AJ577">
        <v>0</v>
      </c>
      <c r="AK577">
        <v>0</v>
      </c>
      <c r="AL577" t="s">
        <v>7360</v>
      </c>
      <c r="AM577">
        <v>0</v>
      </c>
      <c r="AN577" s="20">
        <v>44995</v>
      </c>
      <c r="AO577" s="20">
        <v>44995</v>
      </c>
      <c r="AP577" s="20">
        <v>44995</v>
      </c>
      <c r="AQ577">
        <v>0</v>
      </c>
      <c r="AR577">
        <v>0</v>
      </c>
      <c r="AS577">
        <v>0</v>
      </c>
      <c r="AT577">
        <v>0</v>
      </c>
      <c r="AU577">
        <v>0</v>
      </c>
      <c r="AV577" t="s">
        <v>7360</v>
      </c>
      <c r="AW577">
        <v>0</v>
      </c>
      <c r="AX577" t="s">
        <v>7360</v>
      </c>
      <c r="AY577" t="s">
        <v>7362</v>
      </c>
      <c r="BA577">
        <v>0</v>
      </c>
      <c r="BB577" s="20">
        <v>44995</v>
      </c>
      <c r="BC577">
        <v>0</v>
      </c>
      <c r="BD577" t="s">
        <v>7360</v>
      </c>
      <c r="BF577" s="20">
        <v>44995</v>
      </c>
      <c r="BG577">
        <v>0</v>
      </c>
      <c r="BH577" t="s">
        <v>7363</v>
      </c>
      <c r="BJ577" t="s">
        <v>7362</v>
      </c>
      <c r="BK577">
        <v>169</v>
      </c>
      <c r="BL577">
        <v>11</v>
      </c>
      <c r="BM577">
        <v>1</v>
      </c>
      <c r="BN577" t="s">
        <v>7364</v>
      </c>
      <c r="BO577">
        <v>169</v>
      </c>
      <c r="BP577">
        <v>11</v>
      </c>
      <c r="BQ577">
        <v>1</v>
      </c>
      <c r="BR577" t="s">
        <v>7364</v>
      </c>
      <c r="BS577" t="s">
        <v>7427</v>
      </c>
      <c r="BT577" t="s">
        <v>7360</v>
      </c>
      <c r="BU577" t="s">
        <v>7360</v>
      </c>
      <c r="BV577" t="s">
        <v>7360</v>
      </c>
      <c r="BX577" t="s">
        <v>7391</v>
      </c>
      <c r="BY577">
        <v>74</v>
      </c>
      <c r="BZ577" t="s">
        <v>7360</v>
      </c>
      <c r="CA577" t="s">
        <v>7360</v>
      </c>
      <c r="CB577">
        <v>3380666</v>
      </c>
      <c r="CC577" s="21">
        <v>44995.667673611111</v>
      </c>
      <c r="CE577" t="s">
        <v>7392</v>
      </c>
      <c r="CF577">
        <v>1100101</v>
      </c>
      <c r="CG577">
        <v>51669</v>
      </c>
      <c r="CH577">
        <v>51669</v>
      </c>
      <c r="CI577" s="21">
        <v>44995.677499999998</v>
      </c>
      <c r="CJ577" t="s">
        <v>7406</v>
      </c>
      <c r="CK577" t="s">
        <v>7406</v>
      </c>
      <c r="CL577" t="s">
        <v>7407</v>
      </c>
      <c r="CM577" t="s">
        <v>7407</v>
      </c>
      <c r="CS577" t="s">
        <v>7361</v>
      </c>
      <c r="CT577" t="s">
        <v>7362</v>
      </c>
      <c r="CU577" t="s">
        <v>7362</v>
      </c>
      <c r="CV577" t="s">
        <v>7362</v>
      </c>
      <c r="CW577" t="s">
        <v>7362</v>
      </c>
      <c r="CX577">
        <v>1200000</v>
      </c>
      <c r="DA577">
        <v>0</v>
      </c>
    </row>
    <row r="578" spans="1:106" x14ac:dyDescent="0.3">
      <c r="A578">
        <v>1365</v>
      </c>
      <c r="B578" t="s">
        <v>7384</v>
      </c>
      <c r="C578">
        <v>609</v>
      </c>
      <c r="D578" s="20">
        <v>44995</v>
      </c>
      <c r="E578" t="s">
        <v>7356</v>
      </c>
      <c r="F578" t="s">
        <v>4949</v>
      </c>
      <c r="G578" t="s">
        <v>7357</v>
      </c>
      <c r="H578">
        <v>1</v>
      </c>
      <c r="I578" t="s">
        <v>7358</v>
      </c>
      <c r="J578">
        <v>1</v>
      </c>
      <c r="K578" s="20">
        <v>44995</v>
      </c>
      <c r="L578" s="23">
        <v>759934</v>
      </c>
      <c r="M578" t="s">
        <v>7359</v>
      </c>
      <c r="N578" t="s">
        <v>7360</v>
      </c>
      <c r="O578">
        <v>0</v>
      </c>
      <c r="P578">
        <v>13106</v>
      </c>
      <c r="Q578">
        <v>453093</v>
      </c>
      <c r="R578">
        <v>0</v>
      </c>
      <c r="S578">
        <v>20230310</v>
      </c>
      <c r="T578">
        <v>0</v>
      </c>
      <c r="U578" t="s">
        <v>7361</v>
      </c>
      <c r="V578" t="s">
        <v>7360</v>
      </c>
      <c r="W578" t="s">
        <v>7360</v>
      </c>
      <c r="X578" t="s">
        <v>7360</v>
      </c>
      <c r="Y578" t="s">
        <v>7360</v>
      </c>
      <c r="Z578" t="s">
        <v>7360</v>
      </c>
      <c r="AA578" t="s">
        <v>7362</v>
      </c>
      <c r="AB578" t="s">
        <v>7360</v>
      </c>
      <c r="AC578" t="s">
        <v>7360</v>
      </c>
      <c r="AD578" t="s">
        <v>7360</v>
      </c>
      <c r="AE578" t="s">
        <v>7360</v>
      </c>
      <c r="AF578" t="s">
        <v>1684</v>
      </c>
      <c r="AG578">
        <v>0</v>
      </c>
      <c r="AH578">
        <v>0</v>
      </c>
      <c r="AI578">
        <v>0</v>
      </c>
      <c r="AJ578">
        <v>0</v>
      </c>
      <c r="AK578">
        <v>0</v>
      </c>
      <c r="AL578" t="s">
        <v>7360</v>
      </c>
      <c r="AM578">
        <v>0</v>
      </c>
      <c r="AN578" s="20">
        <v>44995</v>
      </c>
      <c r="AO578" s="20">
        <v>44995</v>
      </c>
      <c r="AP578" s="20">
        <v>44995</v>
      </c>
      <c r="AQ578">
        <v>0</v>
      </c>
      <c r="AR578">
        <v>0</v>
      </c>
      <c r="AS578">
        <v>0</v>
      </c>
      <c r="AT578">
        <v>0</v>
      </c>
      <c r="AU578">
        <v>0</v>
      </c>
      <c r="AV578" t="s">
        <v>7360</v>
      </c>
      <c r="AW578">
        <v>0</v>
      </c>
      <c r="AX578" t="s">
        <v>7360</v>
      </c>
      <c r="AY578" t="s">
        <v>7363</v>
      </c>
      <c r="BA578">
        <v>0</v>
      </c>
      <c r="BB578" s="20">
        <v>44995</v>
      </c>
      <c r="BC578">
        <v>0</v>
      </c>
      <c r="BD578" t="s">
        <v>7360</v>
      </c>
      <c r="BF578" s="20">
        <v>44995</v>
      </c>
      <c r="BG578">
        <v>0</v>
      </c>
      <c r="BH578" t="s">
        <v>7363</v>
      </c>
      <c r="BJ578" t="s">
        <v>7362</v>
      </c>
      <c r="BK578">
        <v>169</v>
      </c>
      <c r="BL578">
        <v>11</v>
      </c>
      <c r="BM578">
        <v>1</v>
      </c>
      <c r="BN578" t="s">
        <v>7364</v>
      </c>
      <c r="BO578">
        <v>0</v>
      </c>
      <c r="BP578">
        <v>0</v>
      </c>
      <c r="BQ578">
        <v>0</v>
      </c>
      <c r="BR578">
        <v>0</v>
      </c>
      <c r="BS578" t="s">
        <v>7385</v>
      </c>
      <c r="BT578" t="s">
        <v>7360</v>
      </c>
      <c r="BU578" t="s">
        <v>7360</v>
      </c>
      <c r="BV578" t="s">
        <v>7360</v>
      </c>
      <c r="BX578" t="s">
        <v>7391</v>
      </c>
      <c r="BY578">
        <v>74</v>
      </c>
      <c r="BZ578" t="s">
        <v>7360</v>
      </c>
      <c r="CA578" t="s">
        <v>7360</v>
      </c>
      <c r="CB578" t="s">
        <v>7360</v>
      </c>
      <c r="CC578" s="21">
        <v>44995.667581018519</v>
      </c>
      <c r="CE578" t="s">
        <v>7392</v>
      </c>
      <c r="CF578">
        <v>1100101</v>
      </c>
      <c r="CG578">
        <v>53575</v>
      </c>
      <c r="CH578">
        <v>53575</v>
      </c>
      <c r="CI578" s="21">
        <v>44995.668680555558</v>
      </c>
      <c r="CJ578" t="s">
        <v>7393</v>
      </c>
      <c r="CK578" t="s">
        <v>7393</v>
      </c>
      <c r="CL578" t="s">
        <v>7394</v>
      </c>
      <c r="CM578" t="s">
        <v>7394</v>
      </c>
      <c r="CS578" t="s">
        <v>7361</v>
      </c>
      <c r="CT578" t="s">
        <v>7362</v>
      </c>
      <c r="CU578" t="s">
        <v>7362</v>
      </c>
      <c r="CV578" t="s">
        <v>7362</v>
      </c>
      <c r="CW578" t="s">
        <v>7362</v>
      </c>
      <c r="CX578">
        <v>759934</v>
      </c>
      <c r="DA578">
        <v>0</v>
      </c>
    </row>
    <row r="579" spans="1:106" x14ac:dyDescent="0.3">
      <c r="A579">
        <v>1354</v>
      </c>
      <c r="B579" t="s">
        <v>7396</v>
      </c>
      <c r="C579">
        <v>610</v>
      </c>
      <c r="D579" s="20">
        <v>44995</v>
      </c>
      <c r="E579" t="s">
        <v>7356</v>
      </c>
      <c r="F579" t="s">
        <v>4955</v>
      </c>
      <c r="G579" t="s">
        <v>7370</v>
      </c>
      <c r="H579">
        <v>1</v>
      </c>
      <c r="I579" t="s">
        <v>7358</v>
      </c>
      <c r="J579">
        <v>1</v>
      </c>
      <c r="K579" s="20">
        <v>44995</v>
      </c>
      <c r="L579" s="23">
        <v>1200000</v>
      </c>
      <c r="M579" t="s">
        <v>7359</v>
      </c>
      <c r="N579" t="s">
        <v>7360</v>
      </c>
      <c r="O579">
        <v>0</v>
      </c>
      <c r="P579">
        <v>12989</v>
      </c>
      <c r="Q579">
        <v>453026</v>
      </c>
      <c r="R579">
        <v>0</v>
      </c>
      <c r="S579">
        <v>20230310</v>
      </c>
      <c r="T579">
        <v>0</v>
      </c>
      <c r="U579" t="s">
        <v>7361</v>
      </c>
      <c r="V579" t="s">
        <v>7360</v>
      </c>
      <c r="W579" t="s">
        <v>7360</v>
      </c>
      <c r="X579" t="s">
        <v>7360</v>
      </c>
      <c r="Y579" t="s">
        <v>7360</v>
      </c>
      <c r="Z579" t="s">
        <v>7360</v>
      </c>
      <c r="AA579" t="s">
        <v>7362</v>
      </c>
      <c r="AB579" t="s">
        <v>7360</v>
      </c>
      <c r="AC579" t="s">
        <v>7360</v>
      </c>
      <c r="AD579" t="s">
        <v>7360</v>
      </c>
      <c r="AE579" t="s">
        <v>7360</v>
      </c>
      <c r="AF579" t="s">
        <v>1684</v>
      </c>
      <c r="AG579">
        <v>0</v>
      </c>
      <c r="AH579">
        <v>0</v>
      </c>
      <c r="AI579">
        <v>0</v>
      </c>
      <c r="AJ579">
        <v>0</v>
      </c>
      <c r="AK579">
        <v>0</v>
      </c>
      <c r="AL579" t="s">
        <v>7360</v>
      </c>
      <c r="AM579">
        <v>0</v>
      </c>
      <c r="AN579" s="20">
        <v>44995</v>
      </c>
      <c r="AO579" s="20">
        <v>44995</v>
      </c>
      <c r="AP579" s="20">
        <v>44995</v>
      </c>
      <c r="AQ579">
        <v>0</v>
      </c>
      <c r="AR579">
        <v>0</v>
      </c>
      <c r="AS579">
        <v>0</v>
      </c>
      <c r="AT579">
        <v>0</v>
      </c>
      <c r="AU579">
        <v>0</v>
      </c>
      <c r="AV579" t="s">
        <v>7360</v>
      </c>
      <c r="AW579">
        <v>0</v>
      </c>
      <c r="AX579" t="s">
        <v>7360</v>
      </c>
      <c r="AY579" t="s">
        <v>7363</v>
      </c>
      <c r="BA579">
        <v>0</v>
      </c>
      <c r="BB579" s="20">
        <v>44995</v>
      </c>
      <c r="BC579">
        <v>0</v>
      </c>
      <c r="BD579" t="s">
        <v>7360</v>
      </c>
      <c r="BF579" s="20">
        <v>44995</v>
      </c>
      <c r="BG579">
        <v>0</v>
      </c>
      <c r="BH579" t="s">
        <v>7363</v>
      </c>
      <c r="BJ579" t="s">
        <v>7362</v>
      </c>
      <c r="BK579">
        <v>169</v>
      </c>
      <c r="BL579">
        <v>11</v>
      </c>
      <c r="BM579">
        <v>1</v>
      </c>
      <c r="BN579" t="s">
        <v>7364</v>
      </c>
      <c r="BO579">
        <v>169</v>
      </c>
      <c r="BP579">
        <v>11</v>
      </c>
      <c r="BQ579">
        <v>1</v>
      </c>
      <c r="BR579" t="s">
        <v>7364</v>
      </c>
      <c r="BS579" t="s">
        <v>7427</v>
      </c>
      <c r="BT579" t="s">
        <v>7360</v>
      </c>
      <c r="BU579" t="s">
        <v>7360</v>
      </c>
      <c r="BV579" t="s">
        <v>7360</v>
      </c>
      <c r="BX579" t="s">
        <v>7391</v>
      </c>
      <c r="BY579">
        <v>74</v>
      </c>
      <c r="BZ579" t="s">
        <v>7360</v>
      </c>
      <c r="CA579" t="s">
        <v>7360</v>
      </c>
      <c r="CB579">
        <v>3380666</v>
      </c>
      <c r="CC579" s="21">
        <v>44995.683553240742</v>
      </c>
      <c r="CE579" t="s">
        <v>7392</v>
      </c>
      <c r="CF579">
        <v>1100101</v>
      </c>
      <c r="CG579">
        <v>51669</v>
      </c>
      <c r="CH579">
        <v>51669</v>
      </c>
      <c r="CI579" s="21">
        <v>44995.684259259258</v>
      </c>
      <c r="CJ579" t="s">
        <v>7406</v>
      </c>
      <c r="CK579" t="s">
        <v>7406</v>
      </c>
      <c r="CL579" t="s">
        <v>7407</v>
      </c>
      <c r="CM579" t="s">
        <v>7407</v>
      </c>
      <c r="CS579" t="s">
        <v>7361</v>
      </c>
      <c r="CT579" t="s">
        <v>7362</v>
      </c>
      <c r="CU579" t="s">
        <v>7362</v>
      </c>
      <c r="CV579" t="s">
        <v>7362</v>
      </c>
      <c r="CW579" t="s">
        <v>7362</v>
      </c>
      <c r="CX579">
        <v>1200000</v>
      </c>
      <c r="DA579">
        <v>0</v>
      </c>
    </row>
    <row r="580" spans="1:106" x14ac:dyDescent="0.3">
      <c r="A580">
        <v>1354</v>
      </c>
      <c r="B580" t="s">
        <v>7396</v>
      </c>
      <c r="C580">
        <v>611</v>
      </c>
      <c r="D580" s="20">
        <v>44995</v>
      </c>
      <c r="E580" t="s">
        <v>7372</v>
      </c>
      <c r="F580" t="s">
        <v>4960</v>
      </c>
      <c r="G580" t="s">
        <v>7370</v>
      </c>
      <c r="H580">
        <v>1</v>
      </c>
      <c r="I580" t="s">
        <v>7358</v>
      </c>
      <c r="J580">
        <v>1</v>
      </c>
      <c r="K580" s="20">
        <v>44995</v>
      </c>
      <c r="L580" s="23">
        <v>1440000</v>
      </c>
      <c r="M580" t="s">
        <v>7359</v>
      </c>
      <c r="N580" t="s">
        <v>7360</v>
      </c>
      <c r="O580">
        <v>0</v>
      </c>
      <c r="P580">
        <v>12991</v>
      </c>
      <c r="Q580">
        <v>453027</v>
      </c>
      <c r="R580">
        <v>0</v>
      </c>
      <c r="S580">
        <v>20230310</v>
      </c>
      <c r="T580">
        <v>0</v>
      </c>
      <c r="U580" t="s">
        <v>7362</v>
      </c>
      <c r="V580" t="s">
        <v>7360</v>
      </c>
      <c r="W580" t="s">
        <v>7360</v>
      </c>
      <c r="X580" t="s">
        <v>7360</v>
      </c>
      <c r="Y580" t="s">
        <v>7360</v>
      </c>
      <c r="Z580" t="s">
        <v>7360</v>
      </c>
      <c r="AA580" t="s">
        <v>7362</v>
      </c>
      <c r="AB580" t="s">
        <v>7360</v>
      </c>
      <c r="AC580" t="s">
        <v>7360</v>
      </c>
      <c r="AD580" t="s">
        <v>7360</v>
      </c>
      <c r="AE580" t="s">
        <v>7360</v>
      </c>
      <c r="AF580" t="s">
        <v>1684</v>
      </c>
      <c r="AG580">
        <v>0</v>
      </c>
      <c r="AH580">
        <v>0</v>
      </c>
      <c r="AI580">
        <v>0</v>
      </c>
      <c r="AJ580">
        <v>0</v>
      </c>
      <c r="AK580">
        <v>0</v>
      </c>
      <c r="AL580" t="s">
        <v>7360</v>
      </c>
      <c r="AM580">
        <v>0</v>
      </c>
      <c r="AN580" s="20">
        <v>44995</v>
      </c>
      <c r="AO580" s="20">
        <v>44995</v>
      </c>
      <c r="AP580" s="20">
        <v>44995</v>
      </c>
      <c r="AQ580">
        <v>0</v>
      </c>
      <c r="AR580">
        <v>0</v>
      </c>
      <c r="AS580">
        <v>0</v>
      </c>
      <c r="AT580">
        <v>0</v>
      </c>
      <c r="AU580">
        <v>0</v>
      </c>
      <c r="AV580" t="s">
        <v>7360</v>
      </c>
      <c r="AW580">
        <v>0</v>
      </c>
      <c r="AX580" t="s">
        <v>7360</v>
      </c>
      <c r="AY580" t="s">
        <v>7362</v>
      </c>
      <c r="BA580">
        <v>0</v>
      </c>
      <c r="BB580" s="20">
        <v>44995</v>
      </c>
      <c r="BC580">
        <v>0</v>
      </c>
      <c r="BD580" t="s">
        <v>7360</v>
      </c>
      <c r="BF580" s="20">
        <v>44995</v>
      </c>
      <c r="BG580">
        <v>0</v>
      </c>
      <c r="BH580" t="s">
        <v>7363</v>
      </c>
      <c r="BJ580" t="s">
        <v>7362</v>
      </c>
      <c r="BK580">
        <v>169</v>
      </c>
      <c r="BL580">
        <v>11</v>
      </c>
      <c r="BM580">
        <v>1</v>
      </c>
      <c r="BN580" t="s">
        <v>7364</v>
      </c>
      <c r="BO580">
        <v>169</v>
      </c>
      <c r="BP580">
        <v>11</v>
      </c>
      <c r="BQ580">
        <v>1</v>
      </c>
      <c r="BR580" t="s">
        <v>7364</v>
      </c>
      <c r="BS580" t="s">
        <v>7427</v>
      </c>
      <c r="BT580" t="s">
        <v>7360</v>
      </c>
      <c r="BU580" t="s">
        <v>7360</v>
      </c>
      <c r="BV580" t="s">
        <v>7360</v>
      </c>
      <c r="BX580" t="s">
        <v>7391</v>
      </c>
      <c r="BY580">
        <v>74</v>
      </c>
      <c r="BZ580" t="s">
        <v>7360</v>
      </c>
      <c r="CA580" t="s">
        <v>7360</v>
      </c>
      <c r="CB580">
        <v>3380666</v>
      </c>
      <c r="CC580" s="21">
        <v>44995.68849537037</v>
      </c>
      <c r="CE580" t="s">
        <v>7392</v>
      </c>
      <c r="CF580">
        <v>1100101</v>
      </c>
      <c r="CG580">
        <v>51669</v>
      </c>
      <c r="CH580">
        <v>51669</v>
      </c>
      <c r="CI580" s="21">
        <v>44995.689120370371</v>
      </c>
      <c r="CJ580" t="s">
        <v>7406</v>
      </c>
      <c r="CK580" t="s">
        <v>7406</v>
      </c>
      <c r="CL580" t="s">
        <v>7407</v>
      </c>
      <c r="CM580" t="s">
        <v>7407</v>
      </c>
      <c r="CS580" t="s">
        <v>7361</v>
      </c>
      <c r="CT580" t="s">
        <v>7362</v>
      </c>
      <c r="CU580" t="s">
        <v>7362</v>
      </c>
      <c r="CV580" t="s">
        <v>7362</v>
      </c>
      <c r="CW580" t="s">
        <v>7362</v>
      </c>
      <c r="CX580">
        <v>1440000</v>
      </c>
      <c r="DA580">
        <v>0</v>
      </c>
    </row>
    <row r="581" spans="1:106" x14ac:dyDescent="0.3">
      <c r="A581">
        <v>1354</v>
      </c>
      <c r="B581" t="s">
        <v>7396</v>
      </c>
      <c r="C581">
        <v>612</v>
      </c>
      <c r="D581" s="20">
        <v>44995</v>
      </c>
      <c r="E581" t="s">
        <v>7372</v>
      </c>
      <c r="F581" t="s">
        <v>4965</v>
      </c>
      <c r="G581" t="s">
        <v>7370</v>
      </c>
      <c r="H581">
        <v>1</v>
      </c>
      <c r="I581" t="s">
        <v>7358</v>
      </c>
      <c r="J581">
        <v>1</v>
      </c>
      <c r="K581" s="20">
        <v>44995</v>
      </c>
      <c r="L581" s="23">
        <v>1200000</v>
      </c>
      <c r="M581" t="s">
        <v>7359</v>
      </c>
      <c r="N581" t="s">
        <v>7360</v>
      </c>
      <c r="O581">
        <v>0</v>
      </c>
      <c r="P581">
        <v>12993</v>
      </c>
      <c r="Q581">
        <v>453028</v>
      </c>
      <c r="R581">
        <v>0</v>
      </c>
      <c r="S581">
        <v>20230310</v>
      </c>
      <c r="T581">
        <v>0</v>
      </c>
      <c r="U581" t="s">
        <v>7362</v>
      </c>
      <c r="V581" t="s">
        <v>7360</v>
      </c>
      <c r="W581" t="s">
        <v>7360</v>
      </c>
      <c r="X581" t="s">
        <v>7360</v>
      </c>
      <c r="Y581" t="s">
        <v>7360</v>
      </c>
      <c r="Z581" t="s">
        <v>7360</v>
      </c>
      <c r="AA581" t="s">
        <v>7362</v>
      </c>
      <c r="AB581" t="s">
        <v>7360</v>
      </c>
      <c r="AC581" t="s">
        <v>7360</v>
      </c>
      <c r="AD581" t="s">
        <v>7360</v>
      </c>
      <c r="AE581" t="s">
        <v>7360</v>
      </c>
      <c r="AF581" t="s">
        <v>1684</v>
      </c>
      <c r="AG581">
        <v>0</v>
      </c>
      <c r="AH581">
        <v>0</v>
      </c>
      <c r="AI581">
        <v>0</v>
      </c>
      <c r="AJ581">
        <v>0</v>
      </c>
      <c r="AK581">
        <v>0</v>
      </c>
      <c r="AL581" t="s">
        <v>7360</v>
      </c>
      <c r="AM581">
        <v>0</v>
      </c>
      <c r="AN581" s="20">
        <v>44995</v>
      </c>
      <c r="AO581" s="20">
        <v>44995</v>
      </c>
      <c r="AP581" s="20">
        <v>44995</v>
      </c>
      <c r="AQ581">
        <v>0</v>
      </c>
      <c r="AR581">
        <v>0</v>
      </c>
      <c r="AS581">
        <v>0</v>
      </c>
      <c r="AT581">
        <v>0</v>
      </c>
      <c r="AU581">
        <v>0</v>
      </c>
      <c r="AV581" t="s">
        <v>7360</v>
      </c>
      <c r="AW581">
        <v>0</v>
      </c>
      <c r="AX581" t="s">
        <v>7360</v>
      </c>
      <c r="AY581" t="s">
        <v>7362</v>
      </c>
      <c r="BA581">
        <v>0</v>
      </c>
      <c r="BB581" s="20">
        <v>44995</v>
      </c>
      <c r="BC581">
        <v>0</v>
      </c>
      <c r="BD581" t="s">
        <v>7360</v>
      </c>
      <c r="BF581" s="20">
        <v>44995</v>
      </c>
      <c r="BG581">
        <v>0</v>
      </c>
      <c r="BH581" t="s">
        <v>7363</v>
      </c>
      <c r="BJ581" t="s">
        <v>7362</v>
      </c>
      <c r="BK581">
        <v>169</v>
      </c>
      <c r="BL581">
        <v>11</v>
      </c>
      <c r="BM581">
        <v>1</v>
      </c>
      <c r="BN581" t="s">
        <v>7364</v>
      </c>
      <c r="BO581">
        <v>169</v>
      </c>
      <c r="BP581">
        <v>11</v>
      </c>
      <c r="BQ581">
        <v>1</v>
      </c>
      <c r="BR581" t="s">
        <v>7364</v>
      </c>
      <c r="BS581" t="s">
        <v>7427</v>
      </c>
      <c r="BT581" t="s">
        <v>7360</v>
      </c>
      <c r="BU581" t="s">
        <v>7360</v>
      </c>
      <c r="BV581" t="s">
        <v>7360</v>
      </c>
      <c r="BX581" t="s">
        <v>7391</v>
      </c>
      <c r="BY581">
        <v>74</v>
      </c>
      <c r="BZ581" t="s">
        <v>7360</v>
      </c>
      <c r="CA581" t="s">
        <v>7360</v>
      </c>
      <c r="CB581">
        <v>3380666</v>
      </c>
      <c r="CC581" s="21">
        <v>44995.692129629628</v>
      </c>
      <c r="CE581" t="s">
        <v>7392</v>
      </c>
      <c r="CF581">
        <v>1100101</v>
      </c>
      <c r="CG581">
        <v>51669</v>
      </c>
      <c r="CH581">
        <v>51669</v>
      </c>
      <c r="CI581" s="21">
        <v>44995.692812499998</v>
      </c>
      <c r="CJ581" t="s">
        <v>7406</v>
      </c>
      <c r="CK581" t="s">
        <v>7406</v>
      </c>
      <c r="CL581" t="s">
        <v>7407</v>
      </c>
      <c r="CM581" t="s">
        <v>7407</v>
      </c>
      <c r="CS581" t="s">
        <v>7361</v>
      </c>
      <c r="CT581" t="s">
        <v>7362</v>
      </c>
      <c r="CU581" t="s">
        <v>7362</v>
      </c>
      <c r="CV581" t="s">
        <v>7362</v>
      </c>
      <c r="CW581" t="s">
        <v>7362</v>
      </c>
      <c r="CX581">
        <v>1200000</v>
      </c>
      <c r="DA581">
        <v>0</v>
      </c>
    </row>
    <row r="582" spans="1:106" x14ac:dyDescent="0.3">
      <c r="A582">
        <v>1370</v>
      </c>
      <c r="B582" t="s">
        <v>7390</v>
      </c>
      <c r="C582">
        <v>613</v>
      </c>
      <c r="D582" s="20">
        <v>44995</v>
      </c>
      <c r="E582" t="s">
        <v>7372</v>
      </c>
      <c r="F582" t="s">
        <v>4971</v>
      </c>
      <c r="G582" t="s">
        <v>7357</v>
      </c>
      <c r="H582">
        <v>1</v>
      </c>
      <c r="I582" t="s">
        <v>7358</v>
      </c>
      <c r="J582">
        <v>1</v>
      </c>
      <c r="K582" s="20">
        <v>44995</v>
      </c>
      <c r="L582" s="23">
        <v>221935</v>
      </c>
      <c r="M582" t="s">
        <v>7359</v>
      </c>
      <c r="N582" t="s">
        <v>7360</v>
      </c>
      <c r="O582">
        <v>0</v>
      </c>
      <c r="P582">
        <v>13000</v>
      </c>
      <c r="Q582">
        <v>453034</v>
      </c>
      <c r="R582">
        <v>0</v>
      </c>
      <c r="S582">
        <v>20230310</v>
      </c>
      <c r="T582">
        <v>0</v>
      </c>
      <c r="U582" t="s">
        <v>7362</v>
      </c>
      <c r="V582" t="s">
        <v>7360</v>
      </c>
      <c r="W582" t="s">
        <v>7360</v>
      </c>
      <c r="X582" t="s">
        <v>7360</v>
      </c>
      <c r="Y582" t="s">
        <v>7360</v>
      </c>
      <c r="Z582" t="s">
        <v>7360</v>
      </c>
      <c r="AA582" t="s">
        <v>7362</v>
      </c>
      <c r="AB582" t="s">
        <v>7360</v>
      </c>
      <c r="AC582" t="s">
        <v>7360</v>
      </c>
      <c r="AD582" t="s">
        <v>7360</v>
      </c>
      <c r="AE582" t="s">
        <v>7360</v>
      </c>
      <c r="AF582" t="s">
        <v>1684</v>
      </c>
      <c r="AG582">
        <v>0</v>
      </c>
      <c r="AH582">
        <v>0</v>
      </c>
      <c r="AI582">
        <v>0</v>
      </c>
      <c r="AJ582">
        <v>0</v>
      </c>
      <c r="AK582">
        <v>0</v>
      </c>
      <c r="AL582" t="s">
        <v>7360</v>
      </c>
      <c r="AM582">
        <v>0</v>
      </c>
      <c r="AN582" s="20">
        <v>44995</v>
      </c>
      <c r="AO582" s="20">
        <v>44995</v>
      </c>
      <c r="AP582" s="20">
        <v>44995</v>
      </c>
      <c r="AQ582">
        <v>0</v>
      </c>
      <c r="AR582">
        <v>0</v>
      </c>
      <c r="AS582">
        <v>0</v>
      </c>
      <c r="AT582">
        <v>0</v>
      </c>
      <c r="AU582">
        <v>0</v>
      </c>
      <c r="AV582" t="s">
        <v>7360</v>
      </c>
      <c r="AW582">
        <v>0</v>
      </c>
      <c r="AX582" t="s">
        <v>7360</v>
      </c>
      <c r="AY582" t="s">
        <v>7362</v>
      </c>
      <c r="BA582">
        <v>0</v>
      </c>
      <c r="BB582" s="20">
        <v>44995</v>
      </c>
      <c r="BC582">
        <v>0</v>
      </c>
      <c r="BD582" t="s">
        <v>7360</v>
      </c>
      <c r="BF582" s="20">
        <v>44995</v>
      </c>
      <c r="BG582">
        <v>0</v>
      </c>
      <c r="BH582" t="s">
        <v>7363</v>
      </c>
      <c r="BJ582" t="s">
        <v>7362</v>
      </c>
      <c r="BK582">
        <v>169</v>
      </c>
      <c r="BL582">
        <v>11</v>
      </c>
      <c r="BM582">
        <v>1</v>
      </c>
      <c r="BN582" t="s">
        <v>7364</v>
      </c>
      <c r="BO582">
        <v>0</v>
      </c>
      <c r="BP582">
        <v>0</v>
      </c>
      <c r="BQ582">
        <v>0</v>
      </c>
      <c r="BR582">
        <v>0</v>
      </c>
      <c r="BS582" t="s">
        <v>7454</v>
      </c>
      <c r="BT582" t="s">
        <v>7360</v>
      </c>
      <c r="BU582" t="s">
        <v>7360</v>
      </c>
      <c r="BV582" t="s">
        <v>7360</v>
      </c>
      <c r="BX582" t="s">
        <v>7391</v>
      </c>
      <c r="BY582">
        <v>74</v>
      </c>
      <c r="BZ582" t="s">
        <v>7360</v>
      </c>
      <c r="CA582" t="s">
        <v>7360</v>
      </c>
      <c r="CB582">
        <v>3183417594</v>
      </c>
      <c r="CC582" s="20">
        <v>44999</v>
      </c>
      <c r="CE582" t="s">
        <v>7392</v>
      </c>
      <c r="CF582">
        <v>1100101</v>
      </c>
      <c r="CG582">
        <v>53575</v>
      </c>
      <c r="CH582">
        <v>53575</v>
      </c>
      <c r="CI582" s="21">
        <v>44995.69771990741</v>
      </c>
      <c r="CJ582" t="s">
        <v>7393</v>
      </c>
      <c r="CK582" t="s">
        <v>7393</v>
      </c>
      <c r="CL582" t="s">
        <v>7394</v>
      </c>
      <c r="CM582" t="s">
        <v>7394</v>
      </c>
      <c r="CS582" t="s">
        <v>7361</v>
      </c>
      <c r="CT582" t="s">
        <v>7362</v>
      </c>
      <c r="CU582" t="s">
        <v>7362</v>
      </c>
      <c r="CV582" t="s">
        <v>7362</v>
      </c>
      <c r="CW582" t="s">
        <v>7362</v>
      </c>
      <c r="CX582">
        <v>221935</v>
      </c>
      <c r="DA582">
        <v>0</v>
      </c>
    </row>
    <row r="583" spans="1:106" x14ac:dyDescent="0.3">
      <c r="A583">
        <v>1354</v>
      </c>
      <c r="B583" t="s">
        <v>7396</v>
      </c>
      <c r="C583">
        <v>614</v>
      </c>
      <c r="D583" s="20">
        <v>44995</v>
      </c>
      <c r="E583" t="s">
        <v>7372</v>
      </c>
      <c r="F583" t="s">
        <v>4976</v>
      </c>
      <c r="G583" t="s">
        <v>7370</v>
      </c>
      <c r="H583">
        <v>1</v>
      </c>
      <c r="I583" t="s">
        <v>7358</v>
      </c>
      <c r="J583">
        <v>1</v>
      </c>
      <c r="K583" s="20">
        <v>44995</v>
      </c>
      <c r="L583" s="23">
        <v>1680000</v>
      </c>
      <c r="M583" t="s">
        <v>7359</v>
      </c>
      <c r="N583" t="s">
        <v>7360</v>
      </c>
      <c r="O583">
        <v>0</v>
      </c>
      <c r="P583">
        <v>12998</v>
      </c>
      <c r="Q583">
        <v>453032</v>
      </c>
      <c r="R583">
        <v>0</v>
      </c>
      <c r="S583">
        <v>20230310</v>
      </c>
      <c r="T583">
        <v>0</v>
      </c>
      <c r="U583" t="s">
        <v>7362</v>
      </c>
      <c r="V583" t="s">
        <v>7360</v>
      </c>
      <c r="W583" t="s">
        <v>7360</v>
      </c>
      <c r="X583" t="s">
        <v>7360</v>
      </c>
      <c r="Y583" t="s">
        <v>7360</v>
      </c>
      <c r="Z583" t="s">
        <v>7360</v>
      </c>
      <c r="AA583" t="s">
        <v>7362</v>
      </c>
      <c r="AB583" t="s">
        <v>7360</v>
      </c>
      <c r="AC583" t="s">
        <v>7360</v>
      </c>
      <c r="AD583" t="s">
        <v>7360</v>
      </c>
      <c r="AE583" t="s">
        <v>7360</v>
      </c>
      <c r="AF583" t="s">
        <v>1684</v>
      </c>
      <c r="AG583">
        <v>0</v>
      </c>
      <c r="AH583">
        <v>0</v>
      </c>
      <c r="AI583">
        <v>0</v>
      </c>
      <c r="AJ583">
        <v>0</v>
      </c>
      <c r="AK583">
        <v>0</v>
      </c>
      <c r="AL583" t="s">
        <v>7360</v>
      </c>
      <c r="AM583">
        <v>0</v>
      </c>
      <c r="AN583" s="20">
        <v>44995</v>
      </c>
      <c r="AO583" s="20">
        <v>44995</v>
      </c>
      <c r="AP583" s="20">
        <v>44995</v>
      </c>
      <c r="AQ583">
        <v>0</v>
      </c>
      <c r="AR583">
        <v>0</v>
      </c>
      <c r="AS583">
        <v>0</v>
      </c>
      <c r="AT583">
        <v>0</v>
      </c>
      <c r="AU583">
        <v>0</v>
      </c>
      <c r="AV583" t="s">
        <v>7360</v>
      </c>
      <c r="AW583">
        <v>0</v>
      </c>
      <c r="AX583" t="s">
        <v>7360</v>
      </c>
      <c r="AY583" t="s">
        <v>7362</v>
      </c>
      <c r="BA583">
        <v>0</v>
      </c>
      <c r="BB583" s="20">
        <v>44995</v>
      </c>
      <c r="BC583">
        <v>0</v>
      </c>
      <c r="BD583" t="s">
        <v>7360</v>
      </c>
      <c r="BF583" s="20">
        <v>44995</v>
      </c>
      <c r="BG583">
        <v>0</v>
      </c>
      <c r="BH583" t="s">
        <v>7363</v>
      </c>
      <c r="BJ583" t="s">
        <v>7362</v>
      </c>
      <c r="BK583">
        <v>169</v>
      </c>
      <c r="BL583">
        <v>11</v>
      </c>
      <c r="BM583">
        <v>1</v>
      </c>
      <c r="BN583" t="s">
        <v>7364</v>
      </c>
      <c r="BO583">
        <v>169</v>
      </c>
      <c r="BP583">
        <v>11</v>
      </c>
      <c r="BQ583">
        <v>1</v>
      </c>
      <c r="BR583" t="s">
        <v>7364</v>
      </c>
      <c r="BS583" t="s">
        <v>7427</v>
      </c>
      <c r="BT583" t="s">
        <v>7360</v>
      </c>
      <c r="BU583" t="s">
        <v>7360</v>
      </c>
      <c r="BV583" t="s">
        <v>7360</v>
      </c>
      <c r="BX583" t="s">
        <v>7391</v>
      </c>
      <c r="BY583">
        <v>74</v>
      </c>
      <c r="BZ583" t="s">
        <v>7360</v>
      </c>
      <c r="CA583" t="s">
        <v>7360</v>
      </c>
      <c r="CB583">
        <v>3380666</v>
      </c>
      <c r="CC583" s="21">
        <v>44995.699328703704</v>
      </c>
      <c r="CE583" t="s">
        <v>7392</v>
      </c>
      <c r="CF583">
        <v>1100101</v>
      </c>
      <c r="CG583">
        <v>51669</v>
      </c>
      <c r="CH583">
        <v>51669</v>
      </c>
      <c r="CI583" s="21">
        <v>44995.700879629629</v>
      </c>
      <c r="CJ583" t="s">
        <v>7406</v>
      </c>
      <c r="CK583" t="s">
        <v>7406</v>
      </c>
      <c r="CL583" t="s">
        <v>7407</v>
      </c>
      <c r="CM583" t="s">
        <v>7407</v>
      </c>
      <c r="CS583" t="s">
        <v>7361</v>
      </c>
      <c r="CT583" t="s">
        <v>7362</v>
      </c>
      <c r="CU583" t="s">
        <v>7362</v>
      </c>
      <c r="CV583" t="s">
        <v>7362</v>
      </c>
      <c r="CW583" t="s">
        <v>7362</v>
      </c>
      <c r="CX583">
        <v>1680000</v>
      </c>
      <c r="DA583">
        <v>0</v>
      </c>
    </row>
    <row r="584" spans="1:106" x14ac:dyDescent="0.3">
      <c r="A584">
        <v>1354</v>
      </c>
      <c r="B584" t="s">
        <v>7396</v>
      </c>
      <c r="C584">
        <v>647</v>
      </c>
      <c r="D584" s="20">
        <v>44999</v>
      </c>
      <c r="E584" t="s">
        <v>7372</v>
      </c>
      <c r="F584" t="s">
        <v>4981</v>
      </c>
      <c r="G584" t="s">
        <v>7370</v>
      </c>
      <c r="H584">
        <v>1</v>
      </c>
      <c r="I584" t="s">
        <v>7358</v>
      </c>
      <c r="J584">
        <v>1</v>
      </c>
      <c r="K584" s="20">
        <v>44999</v>
      </c>
      <c r="L584" s="23">
        <v>30000000</v>
      </c>
      <c r="M584" t="s">
        <v>7403</v>
      </c>
      <c r="N584" t="s">
        <v>7360</v>
      </c>
      <c r="O584">
        <v>0</v>
      </c>
      <c r="P584">
        <v>12429</v>
      </c>
      <c r="Q584">
        <v>137003</v>
      </c>
      <c r="R584">
        <v>0</v>
      </c>
      <c r="S584">
        <v>20230314</v>
      </c>
      <c r="T584">
        <v>0</v>
      </c>
      <c r="U584" t="s">
        <v>7362</v>
      </c>
      <c r="V584" t="s">
        <v>7360</v>
      </c>
      <c r="W584" t="s">
        <v>7360</v>
      </c>
      <c r="X584" t="s">
        <v>7360</v>
      </c>
      <c r="Y584" t="s">
        <v>7360</v>
      </c>
      <c r="Z584" t="s">
        <v>7360</v>
      </c>
      <c r="AA584" t="s">
        <v>7362</v>
      </c>
      <c r="AB584" t="s">
        <v>7360</v>
      </c>
      <c r="AC584" t="s">
        <v>7360</v>
      </c>
      <c r="AD584" t="s">
        <v>7360</v>
      </c>
      <c r="AE584" t="s">
        <v>7360</v>
      </c>
      <c r="AF584" t="s">
        <v>1684</v>
      </c>
      <c r="AG584">
        <v>0</v>
      </c>
      <c r="AH584">
        <v>0</v>
      </c>
      <c r="AI584">
        <v>0</v>
      </c>
      <c r="AJ584">
        <v>0</v>
      </c>
      <c r="AK584">
        <v>0</v>
      </c>
      <c r="AL584" t="s">
        <v>7360</v>
      </c>
      <c r="AM584">
        <v>0</v>
      </c>
      <c r="AN584" s="20">
        <v>44999</v>
      </c>
      <c r="AO584" s="20">
        <v>44999</v>
      </c>
      <c r="AP584" s="20">
        <v>44999</v>
      </c>
      <c r="AQ584">
        <v>0</v>
      </c>
      <c r="AR584">
        <v>0</v>
      </c>
      <c r="AS584">
        <v>0</v>
      </c>
      <c r="AT584">
        <v>0</v>
      </c>
      <c r="AU584">
        <v>0</v>
      </c>
      <c r="AV584" t="s">
        <v>7360</v>
      </c>
      <c r="AW584">
        <v>0</v>
      </c>
      <c r="AX584" t="s">
        <v>7360</v>
      </c>
      <c r="AY584" t="s">
        <v>7373</v>
      </c>
      <c r="BA584">
        <v>0</v>
      </c>
      <c r="BB584" s="20">
        <v>44999</v>
      </c>
      <c r="BC584">
        <v>0</v>
      </c>
      <c r="BD584" t="s">
        <v>7360</v>
      </c>
      <c r="BE584">
        <v>239</v>
      </c>
      <c r="BF584" s="20">
        <v>44999</v>
      </c>
      <c r="BG584">
        <v>0</v>
      </c>
      <c r="BH584" t="s">
        <v>7363</v>
      </c>
      <c r="BJ584" t="s">
        <v>7362</v>
      </c>
      <c r="BK584">
        <v>169</v>
      </c>
      <c r="BL584">
        <v>11</v>
      </c>
      <c r="BM584">
        <v>1</v>
      </c>
      <c r="BN584" t="s">
        <v>7364</v>
      </c>
      <c r="BO584">
        <v>169</v>
      </c>
      <c r="BP584">
        <v>11</v>
      </c>
      <c r="BQ584">
        <v>1</v>
      </c>
      <c r="BR584" t="s">
        <v>7364</v>
      </c>
      <c r="BS584" t="s">
        <v>132</v>
      </c>
      <c r="BT584" t="s">
        <v>7360</v>
      </c>
      <c r="BU584" t="s">
        <v>7360</v>
      </c>
      <c r="BV584" t="s">
        <v>7360</v>
      </c>
      <c r="BX584" t="s">
        <v>7391</v>
      </c>
      <c r="BY584">
        <v>74</v>
      </c>
      <c r="BZ584" t="s">
        <v>7360</v>
      </c>
      <c r="CA584" t="s">
        <v>7360</v>
      </c>
      <c r="CB584">
        <v>3380666</v>
      </c>
      <c r="CC584" s="21">
        <v>45009.461238425924</v>
      </c>
      <c r="CE584" t="s">
        <v>7392</v>
      </c>
      <c r="CF584">
        <v>1100101</v>
      </c>
      <c r="CG584">
        <v>51669</v>
      </c>
      <c r="CH584">
        <v>51669</v>
      </c>
      <c r="CI584" s="21">
        <v>45009.462384259263</v>
      </c>
      <c r="CJ584" t="s">
        <v>7406</v>
      </c>
      <c r="CK584" t="s">
        <v>7406</v>
      </c>
      <c r="CL584" t="s">
        <v>7407</v>
      </c>
      <c r="CM584" t="s">
        <v>7407</v>
      </c>
      <c r="CS584" t="s">
        <v>7361</v>
      </c>
      <c r="CT584" t="s">
        <v>7362</v>
      </c>
      <c r="CU584" t="s">
        <v>7362</v>
      </c>
      <c r="CV584" t="s">
        <v>7362</v>
      </c>
      <c r="CW584" t="s">
        <v>7362</v>
      </c>
      <c r="CX584">
        <v>30000000</v>
      </c>
      <c r="DA584">
        <v>0</v>
      </c>
      <c r="DB584">
        <v>141005</v>
      </c>
    </row>
    <row r="585" spans="1:106" x14ac:dyDescent="0.3">
      <c r="A585">
        <v>1354</v>
      </c>
      <c r="B585" t="s">
        <v>7396</v>
      </c>
      <c r="C585">
        <v>648</v>
      </c>
      <c r="D585" s="20">
        <v>44999</v>
      </c>
      <c r="E585" t="s">
        <v>7372</v>
      </c>
      <c r="F585" t="s">
        <v>4987</v>
      </c>
      <c r="G585" t="s">
        <v>7370</v>
      </c>
      <c r="H585">
        <v>1</v>
      </c>
      <c r="I585" t="s">
        <v>7358</v>
      </c>
      <c r="J585">
        <v>1</v>
      </c>
      <c r="K585" s="20">
        <v>44999</v>
      </c>
      <c r="L585" s="23">
        <v>30000000</v>
      </c>
      <c r="M585" t="s">
        <v>7403</v>
      </c>
      <c r="N585" t="s">
        <v>7360</v>
      </c>
      <c r="O585">
        <v>0</v>
      </c>
      <c r="P585">
        <v>12050</v>
      </c>
      <c r="Q585">
        <v>137005</v>
      </c>
      <c r="R585">
        <v>0</v>
      </c>
      <c r="S585">
        <v>20230314</v>
      </c>
      <c r="T585">
        <v>0</v>
      </c>
      <c r="U585" t="s">
        <v>7362</v>
      </c>
      <c r="V585" t="s">
        <v>7360</v>
      </c>
      <c r="W585" t="s">
        <v>7360</v>
      </c>
      <c r="X585" t="s">
        <v>7360</v>
      </c>
      <c r="Y585" t="s">
        <v>7360</v>
      </c>
      <c r="Z585" t="s">
        <v>7360</v>
      </c>
      <c r="AA585" t="s">
        <v>7362</v>
      </c>
      <c r="AB585" t="s">
        <v>7360</v>
      </c>
      <c r="AC585" t="s">
        <v>7360</v>
      </c>
      <c r="AD585" t="s">
        <v>7360</v>
      </c>
      <c r="AE585" t="s">
        <v>7360</v>
      </c>
      <c r="AF585" t="s">
        <v>1684</v>
      </c>
      <c r="AG585">
        <v>0</v>
      </c>
      <c r="AH585">
        <v>0</v>
      </c>
      <c r="AI585">
        <v>0</v>
      </c>
      <c r="AJ585">
        <v>0</v>
      </c>
      <c r="AK585">
        <v>0</v>
      </c>
      <c r="AL585" t="s">
        <v>7360</v>
      </c>
      <c r="AM585">
        <v>0</v>
      </c>
      <c r="AN585" s="20">
        <v>44999</v>
      </c>
      <c r="AO585" s="20">
        <v>44999</v>
      </c>
      <c r="AP585" s="20">
        <v>44999</v>
      </c>
      <c r="AQ585">
        <v>0</v>
      </c>
      <c r="AR585">
        <v>0</v>
      </c>
      <c r="AS585">
        <v>0</v>
      </c>
      <c r="AT585">
        <v>0</v>
      </c>
      <c r="AU585">
        <v>0</v>
      </c>
      <c r="AV585" t="s">
        <v>7360</v>
      </c>
      <c r="AW585">
        <v>0</v>
      </c>
      <c r="AX585" t="s">
        <v>7360</v>
      </c>
      <c r="AY585" t="s">
        <v>7373</v>
      </c>
      <c r="BA585">
        <v>0</v>
      </c>
      <c r="BB585" s="20">
        <v>44999</v>
      </c>
      <c r="BC585">
        <v>0</v>
      </c>
      <c r="BD585" t="s">
        <v>7360</v>
      </c>
      <c r="BE585">
        <v>241</v>
      </c>
      <c r="BF585" s="20">
        <v>44999</v>
      </c>
      <c r="BG585">
        <v>0</v>
      </c>
      <c r="BH585" t="s">
        <v>7363</v>
      </c>
      <c r="BJ585" t="s">
        <v>7362</v>
      </c>
      <c r="BK585">
        <v>169</v>
      </c>
      <c r="BL585">
        <v>11</v>
      </c>
      <c r="BM585">
        <v>1</v>
      </c>
      <c r="BN585" t="s">
        <v>7364</v>
      </c>
      <c r="BO585">
        <v>0</v>
      </c>
      <c r="BP585">
        <v>0</v>
      </c>
      <c r="BQ585">
        <v>0</v>
      </c>
      <c r="BR585">
        <v>0</v>
      </c>
      <c r="BS585" t="s">
        <v>7455</v>
      </c>
      <c r="BT585" t="s">
        <v>7360</v>
      </c>
      <c r="BU585" t="s">
        <v>7360</v>
      </c>
      <c r="BV585" t="s">
        <v>7360</v>
      </c>
      <c r="BX585" t="s">
        <v>7391</v>
      </c>
      <c r="BY585">
        <v>74</v>
      </c>
      <c r="BZ585" t="s">
        <v>7360</v>
      </c>
      <c r="CA585" t="s">
        <v>7360</v>
      </c>
      <c r="CB585">
        <v>5558210</v>
      </c>
      <c r="CC585" s="21">
        <v>45009.503078703703</v>
      </c>
      <c r="CD585" t="s">
        <v>7456</v>
      </c>
      <c r="CE585" t="s">
        <v>7392</v>
      </c>
      <c r="CF585">
        <v>1100101</v>
      </c>
      <c r="CG585">
        <v>53575</v>
      </c>
      <c r="CH585">
        <v>53575</v>
      </c>
      <c r="CI585" s="21">
        <v>45014.365219907406</v>
      </c>
      <c r="CJ585" t="s">
        <v>7393</v>
      </c>
      <c r="CK585" t="s">
        <v>7393</v>
      </c>
      <c r="CL585" t="s">
        <v>7394</v>
      </c>
      <c r="CM585" t="s">
        <v>7394</v>
      </c>
      <c r="CS585" t="s">
        <v>7361</v>
      </c>
      <c r="CT585" t="s">
        <v>7362</v>
      </c>
      <c r="CU585" t="s">
        <v>7362</v>
      </c>
      <c r="CV585" t="s">
        <v>7362</v>
      </c>
      <c r="CW585" t="s">
        <v>7362</v>
      </c>
      <c r="CX585">
        <v>30000000</v>
      </c>
      <c r="DA585">
        <v>0</v>
      </c>
      <c r="DB585">
        <v>141002</v>
      </c>
    </row>
    <row r="586" spans="1:106" x14ac:dyDescent="0.3">
      <c r="A586">
        <v>1366</v>
      </c>
      <c r="B586" t="s">
        <v>7380</v>
      </c>
      <c r="C586">
        <v>617</v>
      </c>
      <c r="D586" s="20">
        <v>44998</v>
      </c>
      <c r="E586" t="s">
        <v>7372</v>
      </c>
      <c r="F586" t="s">
        <v>4992</v>
      </c>
      <c r="G586" t="s">
        <v>7357</v>
      </c>
      <c r="H586">
        <v>1</v>
      </c>
      <c r="I586" t="s">
        <v>7358</v>
      </c>
      <c r="J586">
        <v>1</v>
      </c>
      <c r="K586" s="20">
        <v>44998</v>
      </c>
      <c r="L586" s="23">
        <v>13591607</v>
      </c>
      <c r="M586" t="s">
        <v>7359</v>
      </c>
      <c r="N586" t="s">
        <v>7360</v>
      </c>
      <c r="O586">
        <v>0</v>
      </c>
      <c r="P586">
        <v>12970</v>
      </c>
      <c r="Q586">
        <v>453009</v>
      </c>
      <c r="R586">
        <v>0</v>
      </c>
      <c r="S586">
        <v>20230313</v>
      </c>
      <c r="T586">
        <v>0</v>
      </c>
      <c r="U586" t="s">
        <v>7362</v>
      </c>
      <c r="V586" t="s">
        <v>7360</v>
      </c>
      <c r="W586" t="s">
        <v>7360</v>
      </c>
      <c r="X586" t="s">
        <v>7360</v>
      </c>
      <c r="Y586" t="s">
        <v>7360</v>
      </c>
      <c r="Z586" t="s">
        <v>7360</v>
      </c>
      <c r="AA586" t="s">
        <v>7362</v>
      </c>
      <c r="AB586" t="s">
        <v>7360</v>
      </c>
      <c r="AC586" t="s">
        <v>7360</v>
      </c>
      <c r="AD586" t="s">
        <v>7360</v>
      </c>
      <c r="AE586" t="s">
        <v>7360</v>
      </c>
      <c r="AF586" t="s">
        <v>1684</v>
      </c>
      <c r="AG586">
        <v>0</v>
      </c>
      <c r="AH586">
        <v>0</v>
      </c>
      <c r="AI586">
        <v>0</v>
      </c>
      <c r="AJ586">
        <v>0</v>
      </c>
      <c r="AK586">
        <v>0</v>
      </c>
      <c r="AL586" t="s">
        <v>7360</v>
      </c>
      <c r="AM586">
        <v>0</v>
      </c>
      <c r="AN586" s="20">
        <v>44998</v>
      </c>
      <c r="AO586" s="20">
        <v>44998</v>
      </c>
      <c r="AP586" s="20">
        <v>44998</v>
      </c>
      <c r="AQ586">
        <v>0</v>
      </c>
      <c r="AR586">
        <v>0</v>
      </c>
      <c r="AS586">
        <v>0</v>
      </c>
      <c r="AT586">
        <v>0</v>
      </c>
      <c r="AU586">
        <v>0</v>
      </c>
      <c r="AV586" t="s">
        <v>7360</v>
      </c>
      <c r="AW586">
        <v>0</v>
      </c>
      <c r="AX586" t="s">
        <v>7360</v>
      </c>
      <c r="AY586" t="s">
        <v>7362</v>
      </c>
      <c r="BA586">
        <v>0</v>
      </c>
      <c r="BB586" s="20">
        <v>44998</v>
      </c>
      <c r="BC586">
        <v>0</v>
      </c>
      <c r="BD586" t="s">
        <v>7360</v>
      </c>
      <c r="BF586" s="20">
        <v>44998</v>
      </c>
      <c r="BG586">
        <v>0</v>
      </c>
      <c r="BH586" t="s">
        <v>7363</v>
      </c>
      <c r="BJ586" t="s">
        <v>7362</v>
      </c>
      <c r="BK586">
        <v>169</v>
      </c>
      <c r="BL586">
        <v>11</v>
      </c>
      <c r="BM586">
        <v>1</v>
      </c>
      <c r="BN586" t="s">
        <v>7364</v>
      </c>
      <c r="BO586">
        <v>169</v>
      </c>
      <c r="BP586">
        <v>11</v>
      </c>
      <c r="BQ586">
        <v>1</v>
      </c>
      <c r="BR586" t="s">
        <v>7364</v>
      </c>
      <c r="BS586" t="s">
        <v>61</v>
      </c>
      <c r="BT586" t="s">
        <v>7360</v>
      </c>
      <c r="BU586" t="s">
        <v>7360</v>
      </c>
      <c r="BV586" t="s">
        <v>7360</v>
      </c>
      <c r="BX586" t="s">
        <v>7391</v>
      </c>
      <c r="BY586">
        <v>74</v>
      </c>
      <c r="BZ586" t="s">
        <v>7360</v>
      </c>
      <c r="CA586" t="s">
        <v>7360</v>
      </c>
      <c r="CB586" t="s">
        <v>7360</v>
      </c>
      <c r="CC586" s="21">
        <v>44998.459224537037</v>
      </c>
      <c r="CE586" t="s">
        <v>7392</v>
      </c>
      <c r="CF586">
        <v>1100101</v>
      </c>
      <c r="CG586">
        <v>50947</v>
      </c>
      <c r="CH586">
        <v>50947</v>
      </c>
      <c r="CI586" s="21">
        <v>44998.466087962966</v>
      </c>
      <c r="CJ586" t="s">
        <v>7442</v>
      </c>
      <c r="CK586" t="s">
        <v>7442</v>
      </c>
      <c r="CL586" t="s">
        <v>7443</v>
      </c>
      <c r="CM586" t="s">
        <v>7443</v>
      </c>
      <c r="CS586" t="s">
        <v>7361</v>
      </c>
      <c r="CT586" t="s">
        <v>7362</v>
      </c>
      <c r="CU586" t="s">
        <v>7362</v>
      </c>
      <c r="CV586" t="s">
        <v>7362</v>
      </c>
      <c r="CW586" t="s">
        <v>7362</v>
      </c>
      <c r="CX586">
        <v>13591607</v>
      </c>
      <c r="DA586">
        <v>0</v>
      </c>
    </row>
    <row r="587" spans="1:106" x14ac:dyDescent="0.3">
      <c r="A587">
        <v>1364</v>
      </c>
      <c r="B587" t="s">
        <v>7355</v>
      </c>
      <c r="C587">
        <v>618</v>
      </c>
      <c r="D587" s="20">
        <v>44998</v>
      </c>
      <c r="E587" t="s">
        <v>7372</v>
      </c>
      <c r="F587" t="s">
        <v>4923</v>
      </c>
      <c r="G587" t="s">
        <v>7357</v>
      </c>
      <c r="H587">
        <v>1</v>
      </c>
      <c r="I587" t="s">
        <v>7358</v>
      </c>
      <c r="J587">
        <v>1</v>
      </c>
      <c r="K587" s="20">
        <v>44998</v>
      </c>
      <c r="L587" s="23">
        <v>847855</v>
      </c>
      <c r="M587" t="s">
        <v>7359</v>
      </c>
      <c r="N587" t="s">
        <v>7360</v>
      </c>
      <c r="O587">
        <v>0</v>
      </c>
      <c r="P587">
        <v>12851</v>
      </c>
      <c r="Q587">
        <v>450015</v>
      </c>
      <c r="R587">
        <v>0</v>
      </c>
      <c r="S587">
        <v>20230313</v>
      </c>
      <c r="T587">
        <v>0</v>
      </c>
      <c r="U587" t="s">
        <v>7362</v>
      </c>
      <c r="V587" t="s">
        <v>7360</v>
      </c>
      <c r="W587" t="s">
        <v>7360</v>
      </c>
      <c r="X587" t="s">
        <v>7360</v>
      </c>
      <c r="Y587" t="s">
        <v>7360</v>
      </c>
      <c r="Z587" t="s">
        <v>7360</v>
      </c>
      <c r="AA587" t="s">
        <v>7362</v>
      </c>
      <c r="AB587" t="s">
        <v>7360</v>
      </c>
      <c r="AC587" t="s">
        <v>7360</v>
      </c>
      <c r="AD587" t="s">
        <v>7360</v>
      </c>
      <c r="AE587" t="s">
        <v>7360</v>
      </c>
      <c r="AF587" t="s">
        <v>1684</v>
      </c>
      <c r="AG587">
        <v>0</v>
      </c>
      <c r="AH587">
        <v>0</v>
      </c>
      <c r="AI587">
        <v>0</v>
      </c>
      <c r="AJ587">
        <v>0</v>
      </c>
      <c r="AK587">
        <v>0</v>
      </c>
      <c r="AL587" t="s">
        <v>7360</v>
      </c>
      <c r="AM587">
        <v>0</v>
      </c>
      <c r="AN587" s="20">
        <v>44998</v>
      </c>
      <c r="AO587" s="20">
        <v>44998</v>
      </c>
      <c r="AP587" s="20">
        <v>44998</v>
      </c>
      <c r="AQ587">
        <v>0</v>
      </c>
      <c r="AR587">
        <v>0</v>
      </c>
      <c r="AS587">
        <v>0</v>
      </c>
      <c r="AT587">
        <v>0</v>
      </c>
      <c r="AU587">
        <v>0</v>
      </c>
      <c r="AV587" t="s">
        <v>7360</v>
      </c>
      <c r="AW587">
        <v>0</v>
      </c>
      <c r="AX587" t="s">
        <v>7360</v>
      </c>
      <c r="AY587" t="s">
        <v>7362</v>
      </c>
      <c r="BA587">
        <v>0</v>
      </c>
      <c r="BB587" s="20">
        <v>44998</v>
      </c>
      <c r="BC587">
        <v>0</v>
      </c>
      <c r="BD587" t="s">
        <v>7360</v>
      </c>
      <c r="BF587" s="20">
        <v>44998</v>
      </c>
      <c r="BG587">
        <v>0</v>
      </c>
      <c r="BH587" t="s">
        <v>7363</v>
      </c>
      <c r="BJ587" t="s">
        <v>7362</v>
      </c>
      <c r="BK587">
        <v>169</v>
      </c>
      <c r="BL587">
        <v>11</v>
      </c>
      <c r="BM587">
        <v>1</v>
      </c>
      <c r="BN587" t="s">
        <v>7364</v>
      </c>
      <c r="BO587">
        <v>169</v>
      </c>
      <c r="BP587">
        <v>11</v>
      </c>
      <c r="BQ587">
        <v>1</v>
      </c>
      <c r="BR587" t="s">
        <v>7364</v>
      </c>
      <c r="BS587" t="s">
        <v>7365</v>
      </c>
      <c r="BT587" t="s">
        <v>7360</v>
      </c>
      <c r="BU587" t="s">
        <v>7360</v>
      </c>
      <c r="BV587" t="s">
        <v>7360</v>
      </c>
      <c r="BX587" t="s">
        <v>7391</v>
      </c>
      <c r="BY587">
        <v>74</v>
      </c>
      <c r="BZ587" t="s">
        <v>7360</v>
      </c>
      <c r="CA587" t="s">
        <v>7360</v>
      </c>
      <c r="CB587" t="s">
        <v>7360</v>
      </c>
      <c r="CC587" s="21">
        <v>44998.530243055553</v>
      </c>
      <c r="CE587" t="s">
        <v>7392</v>
      </c>
      <c r="CF587">
        <v>1100101</v>
      </c>
      <c r="CG587">
        <v>50947</v>
      </c>
      <c r="CH587">
        <v>50947</v>
      </c>
      <c r="CI587" s="21">
        <v>44998.534039351849</v>
      </c>
      <c r="CJ587" t="s">
        <v>7442</v>
      </c>
      <c r="CK587" t="s">
        <v>7442</v>
      </c>
      <c r="CL587" t="s">
        <v>7443</v>
      </c>
      <c r="CM587" t="s">
        <v>7443</v>
      </c>
      <c r="CS587" t="s">
        <v>7361</v>
      </c>
      <c r="CT587" t="s">
        <v>7362</v>
      </c>
      <c r="CU587" t="s">
        <v>7362</v>
      </c>
      <c r="CV587" t="s">
        <v>7362</v>
      </c>
      <c r="CW587" t="s">
        <v>7362</v>
      </c>
      <c r="CX587">
        <v>847855</v>
      </c>
      <c r="DA587">
        <v>0</v>
      </c>
    </row>
    <row r="588" spans="1:106" x14ac:dyDescent="0.3">
      <c r="A588">
        <v>1372</v>
      </c>
      <c r="B588" t="s">
        <v>7369</v>
      </c>
      <c r="C588">
        <v>619</v>
      </c>
      <c r="D588" s="20">
        <v>44998</v>
      </c>
      <c r="E588" t="s">
        <v>7356</v>
      </c>
      <c r="F588" t="s">
        <v>4928</v>
      </c>
      <c r="G588" t="s">
        <v>7357</v>
      </c>
      <c r="H588">
        <v>1</v>
      </c>
      <c r="I588" t="s">
        <v>7358</v>
      </c>
      <c r="J588">
        <v>1</v>
      </c>
      <c r="K588" s="20">
        <v>44998</v>
      </c>
      <c r="L588" s="23">
        <v>1365000</v>
      </c>
      <c r="M588" t="s">
        <v>7359</v>
      </c>
      <c r="N588" t="s">
        <v>7360</v>
      </c>
      <c r="O588">
        <v>0</v>
      </c>
      <c r="P588">
        <v>12975</v>
      </c>
      <c r="Q588">
        <v>453014</v>
      </c>
      <c r="R588">
        <v>0</v>
      </c>
      <c r="S588">
        <v>20230313</v>
      </c>
      <c r="T588">
        <v>0</v>
      </c>
      <c r="U588" t="s">
        <v>7361</v>
      </c>
      <c r="V588" t="s">
        <v>7360</v>
      </c>
      <c r="W588" t="s">
        <v>7360</v>
      </c>
      <c r="X588" t="s">
        <v>7360</v>
      </c>
      <c r="Y588" t="s">
        <v>7360</v>
      </c>
      <c r="Z588" t="s">
        <v>7360</v>
      </c>
      <c r="AA588" t="s">
        <v>7362</v>
      </c>
      <c r="AB588" t="s">
        <v>7360</v>
      </c>
      <c r="AC588" t="s">
        <v>7360</v>
      </c>
      <c r="AD588" t="s">
        <v>7360</v>
      </c>
      <c r="AE588" t="s">
        <v>7360</v>
      </c>
      <c r="AF588" t="s">
        <v>1684</v>
      </c>
      <c r="AG588">
        <v>0</v>
      </c>
      <c r="AH588">
        <v>0</v>
      </c>
      <c r="AI588">
        <v>0</v>
      </c>
      <c r="AJ588">
        <v>0</v>
      </c>
      <c r="AK588">
        <v>0</v>
      </c>
      <c r="AL588" t="s">
        <v>7360</v>
      </c>
      <c r="AM588">
        <v>0</v>
      </c>
      <c r="AN588" s="20">
        <v>44998</v>
      </c>
      <c r="AO588" s="20">
        <v>44998</v>
      </c>
      <c r="AP588" s="20">
        <v>44998</v>
      </c>
      <c r="AQ588">
        <v>0</v>
      </c>
      <c r="AR588">
        <v>0</v>
      </c>
      <c r="AS588">
        <v>0</v>
      </c>
      <c r="AT588">
        <v>0</v>
      </c>
      <c r="AU588">
        <v>0</v>
      </c>
      <c r="AV588" t="s">
        <v>7360</v>
      </c>
      <c r="AW588">
        <v>0</v>
      </c>
      <c r="AX588" t="s">
        <v>7360</v>
      </c>
      <c r="AY588" t="s">
        <v>7363</v>
      </c>
      <c r="BA588">
        <v>0</v>
      </c>
      <c r="BB588" s="20">
        <v>44998</v>
      </c>
      <c r="BC588">
        <v>0</v>
      </c>
      <c r="BD588" t="s">
        <v>7360</v>
      </c>
      <c r="BF588" s="20">
        <v>44998</v>
      </c>
      <c r="BG588">
        <v>0</v>
      </c>
      <c r="BH588" t="s">
        <v>7363</v>
      </c>
      <c r="BJ588" t="s">
        <v>7362</v>
      </c>
      <c r="BK588">
        <v>169</v>
      </c>
      <c r="BL588">
        <v>11</v>
      </c>
      <c r="BM588">
        <v>1</v>
      </c>
      <c r="BN588" t="s">
        <v>7364</v>
      </c>
      <c r="BO588">
        <v>169</v>
      </c>
      <c r="BP588">
        <v>11</v>
      </c>
      <c r="BQ588">
        <v>1</v>
      </c>
      <c r="BR588" t="s">
        <v>7364</v>
      </c>
      <c r="BS588" t="s">
        <v>61</v>
      </c>
      <c r="BT588" t="s">
        <v>7360</v>
      </c>
      <c r="BU588" t="s">
        <v>7360</v>
      </c>
      <c r="BV588" t="s">
        <v>7360</v>
      </c>
      <c r="BX588" t="s">
        <v>7391</v>
      </c>
      <c r="BY588">
        <v>74</v>
      </c>
      <c r="BZ588" t="s">
        <v>7360</v>
      </c>
      <c r="CA588" t="s">
        <v>7360</v>
      </c>
      <c r="CB588" t="s">
        <v>7360</v>
      </c>
      <c r="CC588" s="21">
        <v>44998.595729166664</v>
      </c>
      <c r="CE588" t="s">
        <v>7392</v>
      </c>
      <c r="CF588">
        <v>1100101</v>
      </c>
      <c r="CG588">
        <v>50947</v>
      </c>
      <c r="CH588">
        <v>50947</v>
      </c>
      <c r="CI588" s="21">
        <v>44998.597604166665</v>
      </c>
      <c r="CJ588" t="s">
        <v>7442</v>
      </c>
      <c r="CK588" t="s">
        <v>7442</v>
      </c>
      <c r="CL588" t="s">
        <v>7443</v>
      </c>
      <c r="CM588" t="s">
        <v>7443</v>
      </c>
      <c r="CS588" t="s">
        <v>7361</v>
      </c>
      <c r="CT588" t="s">
        <v>7362</v>
      </c>
      <c r="CU588" t="s">
        <v>7362</v>
      </c>
      <c r="CV588" t="s">
        <v>7362</v>
      </c>
      <c r="CW588" t="s">
        <v>7362</v>
      </c>
      <c r="CX588">
        <v>1365000</v>
      </c>
      <c r="DA588">
        <v>0</v>
      </c>
    </row>
    <row r="589" spans="1:106" x14ac:dyDescent="0.3">
      <c r="A589">
        <v>1355</v>
      </c>
      <c r="B589" t="s">
        <v>7409</v>
      </c>
      <c r="C589">
        <v>620</v>
      </c>
      <c r="D589" s="20">
        <v>44998</v>
      </c>
      <c r="E589" t="s">
        <v>7397</v>
      </c>
      <c r="F589" t="s">
        <v>4933</v>
      </c>
      <c r="G589" t="s">
        <v>7370</v>
      </c>
      <c r="H589">
        <v>1</v>
      </c>
      <c r="I589" t="s">
        <v>7358</v>
      </c>
      <c r="J589">
        <v>1</v>
      </c>
      <c r="K589" s="20">
        <v>44998</v>
      </c>
      <c r="L589" s="23">
        <v>12700000</v>
      </c>
      <c r="M589" t="s">
        <v>7398</v>
      </c>
      <c r="N589" t="s">
        <v>7360</v>
      </c>
      <c r="O589">
        <v>0</v>
      </c>
      <c r="P589">
        <v>13007</v>
      </c>
      <c r="R589">
        <v>0</v>
      </c>
      <c r="S589">
        <v>20230313</v>
      </c>
      <c r="T589">
        <v>0</v>
      </c>
      <c r="U589" t="s">
        <v>7362</v>
      </c>
      <c r="V589" t="s">
        <v>7360</v>
      </c>
      <c r="W589" t="s">
        <v>7360</v>
      </c>
      <c r="X589" t="s">
        <v>7360</v>
      </c>
      <c r="Y589" t="s">
        <v>7360</v>
      </c>
      <c r="Z589" t="s">
        <v>7360</v>
      </c>
      <c r="AA589" t="s">
        <v>1684</v>
      </c>
      <c r="AB589" t="s">
        <v>7360</v>
      </c>
      <c r="AC589" t="s">
        <v>7360</v>
      </c>
      <c r="AD589" t="s">
        <v>7360</v>
      </c>
      <c r="AE589" t="s">
        <v>7360</v>
      </c>
      <c r="AF589" t="s">
        <v>1684</v>
      </c>
      <c r="AG589">
        <v>0</v>
      </c>
      <c r="AH589">
        <v>0</v>
      </c>
      <c r="AI589">
        <v>0</v>
      </c>
      <c r="AJ589">
        <v>0</v>
      </c>
      <c r="AK589">
        <v>0</v>
      </c>
      <c r="AL589" t="s">
        <v>7360</v>
      </c>
      <c r="AM589">
        <v>0</v>
      </c>
      <c r="AN589" s="20">
        <v>44998</v>
      </c>
      <c r="AO589" s="20">
        <v>44998</v>
      </c>
      <c r="AP589" s="20">
        <v>44998</v>
      </c>
      <c r="AQ589">
        <v>0</v>
      </c>
      <c r="AR589">
        <v>0</v>
      </c>
      <c r="AS589">
        <v>0</v>
      </c>
      <c r="AT589">
        <v>0</v>
      </c>
      <c r="AU589">
        <v>0</v>
      </c>
      <c r="AV589" t="s">
        <v>7360</v>
      </c>
      <c r="AW589">
        <v>0</v>
      </c>
      <c r="AX589" t="s">
        <v>7360</v>
      </c>
      <c r="AY589" t="s">
        <v>7362</v>
      </c>
      <c r="BA589">
        <v>0</v>
      </c>
      <c r="BB589" s="20">
        <v>44998</v>
      </c>
      <c r="BC589">
        <v>0</v>
      </c>
      <c r="BD589" t="s">
        <v>7360</v>
      </c>
      <c r="BF589" s="20">
        <v>44998</v>
      </c>
      <c r="BG589">
        <v>0</v>
      </c>
      <c r="BH589" t="s">
        <v>7363</v>
      </c>
      <c r="BJ589" t="s">
        <v>7362</v>
      </c>
      <c r="BK589">
        <v>169</v>
      </c>
      <c r="BL589">
        <v>11</v>
      </c>
      <c r="BM589">
        <v>1</v>
      </c>
      <c r="BN589" t="s">
        <v>7364</v>
      </c>
      <c r="BO589">
        <v>169</v>
      </c>
      <c r="BP589">
        <v>11</v>
      </c>
      <c r="BQ589">
        <v>1</v>
      </c>
      <c r="BR589" t="s">
        <v>7364</v>
      </c>
      <c r="BS589" t="s">
        <v>7411</v>
      </c>
      <c r="BT589" t="s">
        <v>7360</v>
      </c>
      <c r="BU589" t="s">
        <v>7360</v>
      </c>
      <c r="BV589" t="s">
        <v>7360</v>
      </c>
      <c r="BX589" t="s">
        <v>7391</v>
      </c>
      <c r="BY589">
        <v>74</v>
      </c>
      <c r="BZ589" t="s">
        <v>7360</v>
      </c>
      <c r="CA589" t="s">
        <v>7360</v>
      </c>
      <c r="CB589">
        <v>3380666</v>
      </c>
      <c r="CC589" s="21">
        <v>44998.596203703702</v>
      </c>
      <c r="CE589" t="s">
        <v>7392</v>
      </c>
      <c r="CF589">
        <v>1100101</v>
      </c>
      <c r="CG589">
        <v>51669</v>
      </c>
      <c r="CH589">
        <v>51669</v>
      </c>
      <c r="CI589" s="21">
        <v>44998.60050925926</v>
      </c>
      <c r="CJ589" t="s">
        <v>7406</v>
      </c>
      <c r="CK589" t="s">
        <v>7406</v>
      </c>
      <c r="CL589" t="s">
        <v>7407</v>
      </c>
      <c r="CM589" t="s">
        <v>7407</v>
      </c>
      <c r="CS589" t="s">
        <v>7361</v>
      </c>
      <c r="CT589" t="s">
        <v>7362</v>
      </c>
      <c r="CU589" t="s">
        <v>7362</v>
      </c>
      <c r="CV589" t="s">
        <v>7362</v>
      </c>
      <c r="CW589" t="s">
        <v>7362</v>
      </c>
      <c r="CX589">
        <v>12700000</v>
      </c>
      <c r="DA589">
        <v>0</v>
      </c>
    </row>
    <row r="590" spans="1:106" x14ac:dyDescent="0.3">
      <c r="A590">
        <v>1364</v>
      </c>
      <c r="B590" t="s">
        <v>7355</v>
      </c>
      <c r="C590">
        <v>621</v>
      </c>
      <c r="D590" s="20">
        <v>44998</v>
      </c>
      <c r="E590" t="s">
        <v>7372</v>
      </c>
      <c r="F590" t="s">
        <v>4939</v>
      </c>
      <c r="G590" t="s">
        <v>7357</v>
      </c>
      <c r="H590">
        <v>1</v>
      </c>
      <c r="I590" t="s">
        <v>7358</v>
      </c>
      <c r="J590">
        <v>1</v>
      </c>
      <c r="K590" s="20">
        <v>44998</v>
      </c>
      <c r="L590" s="23">
        <v>847855</v>
      </c>
      <c r="M590" t="s">
        <v>7359</v>
      </c>
      <c r="N590" t="s">
        <v>7360</v>
      </c>
      <c r="O590">
        <v>0</v>
      </c>
      <c r="P590">
        <v>12852</v>
      </c>
      <c r="Q590">
        <v>450016</v>
      </c>
      <c r="R590">
        <v>0</v>
      </c>
      <c r="S590">
        <v>20230313</v>
      </c>
      <c r="T590">
        <v>0</v>
      </c>
      <c r="U590" t="s">
        <v>7362</v>
      </c>
      <c r="V590" t="s">
        <v>7360</v>
      </c>
      <c r="W590" t="s">
        <v>7360</v>
      </c>
      <c r="X590" t="s">
        <v>7360</v>
      </c>
      <c r="Y590" t="s">
        <v>7360</v>
      </c>
      <c r="Z590" t="s">
        <v>7360</v>
      </c>
      <c r="AA590" t="s">
        <v>7362</v>
      </c>
      <c r="AB590" t="s">
        <v>7360</v>
      </c>
      <c r="AC590" t="s">
        <v>7360</v>
      </c>
      <c r="AD590" t="s">
        <v>7360</v>
      </c>
      <c r="AE590" t="s">
        <v>7360</v>
      </c>
      <c r="AF590" t="s">
        <v>1684</v>
      </c>
      <c r="AG590">
        <v>0</v>
      </c>
      <c r="AH590">
        <v>0</v>
      </c>
      <c r="AI590">
        <v>0</v>
      </c>
      <c r="AJ590">
        <v>0</v>
      </c>
      <c r="AK590">
        <v>0</v>
      </c>
      <c r="AL590" t="s">
        <v>7360</v>
      </c>
      <c r="AM590">
        <v>0</v>
      </c>
      <c r="AN590" s="20">
        <v>44998</v>
      </c>
      <c r="AO590" s="20">
        <v>44998</v>
      </c>
      <c r="AP590" s="20">
        <v>44998</v>
      </c>
      <c r="AQ590">
        <v>0</v>
      </c>
      <c r="AR590">
        <v>0</v>
      </c>
      <c r="AS590">
        <v>0</v>
      </c>
      <c r="AT590">
        <v>0</v>
      </c>
      <c r="AU590">
        <v>0</v>
      </c>
      <c r="AV590" t="s">
        <v>7360</v>
      </c>
      <c r="AW590">
        <v>0</v>
      </c>
      <c r="AX590" t="s">
        <v>7360</v>
      </c>
      <c r="AY590" t="s">
        <v>7362</v>
      </c>
      <c r="BA590">
        <v>0</v>
      </c>
      <c r="BB590" s="20">
        <v>44998</v>
      </c>
      <c r="BC590">
        <v>0</v>
      </c>
      <c r="BD590" t="s">
        <v>7360</v>
      </c>
      <c r="BF590" s="20">
        <v>44998</v>
      </c>
      <c r="BG590">
        <v>0</v>
      </c>
      <c r="BH590" t="s">
        <v>7363</v>
      </c>
      <c r="BJ590" t="s">
        <v>7362</v>
      </c>
      <c r="BK590">
        <v>169</v>
      </c>
      <c r="BL590">
        <v>11</v>
      </c>
      <c r="BM590">
        <v>1</v>
      </c>
      <c r="BN590" t="s">
        <v>7364</v>
      </c>
      <c r="BO590">
        <v>169</v>
      </c>
      <c r="BP590">
        <v>11</v>
      </c>
      <c r="BQ590">
        <v>1</v>
      </c>
      <c r="BR590" t="s">
        <v>7364</v>
      </c>
      <c r="BS590" t="s">
        <v>7365</v>
      </c>
      <c r="BT590" t="s">
        <v>7360</v>
      </c>
      <c r="BU590" t="s">
        <v>7360</v>
      </c>
      <c r="BV590" t="s">
        <v>7360</v>
      </c>
      <c r="BX590" t="s">
        <v>7391</v>
      </c>
      <c r="BY590">
        <v>74</v>
      </c>
      <c r="BZ590" t="s">
        <v>7360</v>
      </c>
      <c r="CA590" t="s">
        <v>7360</v>
      </c>
      <c r="CB590" t="s">
        <v>7360</v>
      </c>
      <c r="CC590" s="21">
        <v>44998.604699074072</v>
      </c>
      <c r="CE590" t="s">
        <v>7392</v>
      </c>
      <c r="CF590">
        <v>1100101</v>
      </c>
      <c r="CG590">
        <v>50947</v>
      </c>
      <c r="CH590">
        <v>50947</v>
      </c>
      <c r="CI590" s="21">
        <v>44998.606493055559</v>
      </c>
      <c r="CJ590" t="s">
        <v>7442</v>
      </c>
      <c r="CK590" t="s">
        <v>7442</v>
      </c>
      <c r="CL590" t="s">
        <v>7443</v>
      </c>
      <c r="CM590" t="s">
        <v>7443</v>
      </c>
      <c r="CS590" t="s">
        <v>7361</v>
      </c>
      <c r="CT590" t="s">
        <v>7362</v>
      </c>
      <c r="CU590" t="s">
        <v>7362</v>
      </c>
      <c r="CV590" t="s">
        <v>7362</v>
      </c>
      <c r="CW590" t="s">
        <v>7362</v>
      </c>
      <c r="CX590">
        <v>847855</v>
      </c>
      <c r="DA590">
        <v>0</v>
      </c>
    </row>
    <row r="591" spans="1:106" x14ac:dyDescent="0.3">
      <c r="A591">
        <v>1362</v>
      </c>
      <c r="B591" t="s">
        <v>7371</v>
      </c>
      <c r="C591">
        <v>622</v>
      </c>
      <c r="D591" s="20">
        <v>44998</v>
      </c>
      <c r="E591" t="s">
        <v>7356</v>
      </c>
      <c r="F591" t="s">
        <v>4944</v>
      </c>
      <c r="G591" t="s">
        <v>7357</v>
      </c>
      <c r="H591">
        <v>1</v>
      </c>
      <c r="I591" t="s">
        <v>7358</v>
      </c>
      <c r="J591">
        <v>1</v>
      </c>
      <c r="K591" s="20">
        <v>44998</v>
      </c>
      <c r="L591" s="23">
        <v>265922</v>
      </c>
      <c r="M591" t="s">
        <v>7359</v>
      </c>
      <c r="N591" t="s">
        <v>7360</v>
      </c>
      <c r="O591">
        <v>0</v>
      </c>
      <c r="P591">
        <v>13115</v>
      </c>
      <c r="Q591">
        <v>453100</v>
      </c>
      <c r="R591">
        <v>0</v>
      </c>
      <c r="S591">
        <v>20230313</v>
      </c>
      <c r="T591">
        <v>0</v>
      </c>
      <c r="U591" t="s">
        <v>7361</v>
      </c>
      <c r="V591" t="s">
        <v>7360</v>
      </c>
      <c r="W591" t="s">
        <v>7360</v>
      </c>
      <c r="X591" t="s">
        <v>7360</v>
      </c>
      <c r="Y591" t="s">
        <v>7360</v>
      </c>
      <c r="Z591" t="s">
        <v>7360</v>
      </c>
      <c r="AA591" t="s">
        <v>7362</v>
      </c>
      <c r="AB591" t="s">
        <v>7360</v>
      </c>
      <c r="AC591" t="s">
        <v>7360</v>
      </c>
      <c r="AD591" t="s">
        <v>7360</v>
      </c>
      <c r="AE591" t="s">
        <v>7360</v>
      </c>
      <c r="AF591" t="s">
        <v>1684</v>
      </c>
      <c r="AG591">
        <v>0</v>
      </c>
      <c r="AH591">
        <v>0</v>
      </c>
      <c r="AI591">
        <v>0</v>
      </c>
      <c r="AJ591">
        <v>0</v>
      </c>
      <c r="AK591">
        <v>0</v>
      </c>
      <c r="AL591" t="s">
        <v>7360</v>
      </c>
      <c r="AM591">
        <v>0</v>
      </c>
      <c r="AN591" s="20">
        <v>44998</v>
      </c>
      <c r="AO591" s="20">
        <v>44998</v>
      </c>
      <c r="AP591" s="20">
        <v>44998</v>
      </c>
      <c r="AQ591">
        <v>0</v>
      </c>
      <c r="AR591">
        <v>0</v>
      </c>
      <c r="AS591">
        <v>0</v>
      </c>
      <c r="AT591">
        <v>0</v>
      </c>
      <c r="AU591">
        <v>0</v>
      </c>
      <c r="AV591" t="s">
        <v>7360</v>
      </c>
      <c r="AW591">
        <v>0</v>
      </c>
      <c r="AX591" t="s">
        <v>7360</v>
      </c>
      <c r="AY591" t="s">
        <v>7363</v>
      </c>
      <c r="BA591">
        <v>0</v>
      </c>
      <c r="BB591" s="20">
        <v>44998</v>
      </c>
      <c r="BC591">
        <v>0</v>
      </c>
      <c r="BD591" t="s">
        <v>7360</v>
      </c>
      <c r="BF591" s="20">
        <v>44998</v>
      </c>
      <c r="BG591">
        <v>0</v>
      </c>
      <c r="BH591" t="s">
        <v>7363</v>
      </c>
      <c r="BJ591" t="s">
        <v>7362</v>
      </c>
      <c r="BK591">
        <v>169</v>
      </c>
      <c r="BL591">
        <v>11</v>
      </c>
      <c r="BM591">
        <v>1</v>
      </c>
      <c r="BN591" t="s">
        <v>7364</v>
      </c>
      <c r="BO591">
        <v>169</v>
      </c>
      <c r="BP591">
        <v>11</v>
      </c>
      <c r="BQ591">
        <v>1</v>
      </c>
      <c r="BR591" t="s">
        <v>7364</v>
      </c>
      <c r="BS591" t="s">
        <v>7411</v>
      </c>
      <c r="BT591" t="s">
        <v>7360</v>
      </c>
      <c r="BU591" t="s">
        <v>7360</v>
      </c>
      <c r="BV591" t="s">
        <v>7360</v>
      </c>
      <c r="BX591" t="s">
        <v>7391</v>
      </c>
      <c r="BY591">
        <v>74</v>
      </c>
      <c r="BZ591" t="s">
        <v>7360</v>
      </c>
      <c r="CA591" t="s">
        <v>7360</v>
      </c>
      <c r="CB591">
        <v>3380666</v>
      </c>
      <c r="CC591" s="21">
        <v>44998.608298611114</v>
      </c>
      <c r="CE591" t="s">
        <v>7392</v>
      </c>
      <c r="CF591">
        <v>1100101</v>
      </c>
      <c r="CG591">
        <v>51669</v>
      </c>
      <c r="CH591">
        <v>51669</v>
      </c>
      <c r="CI591" s="21">
        <v>44998.609375</v>
      </c>
      <c r="CJ591" t="s">
        <v>7406</v>
      </c>
      <c r="CK591" t="s">
        <v>7406</v>
      </c>
      <c r="CL591" t="s">
        <v>7407</v>
      </c>
      <c r="CM591" t="s">
        <v>7407</v>
      </c>
      <c r="CS591" t="s">
        <v>7361</v>
      </c>
      <c r="CT591" t="s">
        <v>7362</v>
      </c>
      <c r="CU591" t="s">
        <v>7362</v>
      </c>
      <c r="CV591" t="s">
        <v>7362</v>
      </c>
      <c r="CW591" t="s">
        <v>7362</v>
      </c>
      <c r="CX591">
        <v>265922</v>
      </c>
      <c r="DA591">
        <v>0</v>
      </c>
    </row>
    <row r="592" spans="1:106" x14ac:dyDescent="0.3">
      <c r="A592">
        <v>1364</v>
      </c>
      <c r="B592" t="s">
        <v>7355</v>
      </c>
      <c r="C592">
        <v>623</v>
      </c>
      <c r="D592" s="20">
        <v>44998</v>
      </c>
      <c r="E592" t="s">
        <v>7372</v>
      </c>
      <c r="F592" t="s">
        <v>4949</v>
      </c>
      <c r="G592" t="s">
        <v>7357</v>
      </c>
      <c r="H592">
        <v>1</v>
      </c>
      <c r="I592" t="s">
        <v>7358</v>
      </c>
      <c r="J592">
        <v>1</v>
      </c>
      <c r="K592" s="20">
        <v>44998</v>
      </c>
      <c r="L592" s="23">
        <v>847855</v>
      </c>
      <c r="M592" t="s">
        <v>7359</v>
      </c>
      <c r="N592" t="s">
        <v>7360</v>
      </c>
      <c r="O592">
        <v>0</v>
      </c>
      <c r="P592">
        <v>12853</v>
      </c>
      <c r="Q592">
        <v>450017</v>
      </c>
      <c r="R592">
        <v>0</v>
      </c>
      <c r="S592">
        <v>20230313</v>
      </c>
      <c r="T592">
        <v>0</v>
      </c>
      <c r="U592" t="s">
        <v>7362</v>
      </c>
      <c r="V592" t="s">
        <v>7360</v>
      </c>
      <c r="W592" t="s">
        <v>7360</v>
      </c>
      <c r="X592" t="s">
        <v>7360</v>
      </c>
      <c r="Y592" t="s">
        <v>7360</v>
      </c>
      <c r="Z592" t="s">
        <v>7360</v>
      </c>
      <c r="AA592" t="s">
        <v>7362</v>
      </c>
      <c r="AB592" t="s">
        <v>7360</v>
      </c>
      <c r="AC592" t="s">
        <v>7360</v>
      </c>
      <c r="AD592" t="s">
        <v>7360</v>
      </c>
      <c r="AE592" t="s">
        <v>7360</v>
      </c>
      <c r="AF592" t="s">
        <v>1684</v>
      </c>
      <c r="AG592">
        <v>0</v>
      </c>
      <c r="AH592">
        <v>0</v>
      </c>
      <c r="AI592">
        <v>0</v>
      </c>
      <c r="AJ592">
        <v>0</v>
      </c>
      <c r="AK592">
        <v>0</v>
      </c>
      <c r="AL592" t="s">
        <v>7360</v>
      </c>
      <c r="AM592">
        <v>0</v>
      </c>
      <c r="AN592" s="20">
        <v>44998</v>
      </c>
      <c r="AO592" s="20">
        <v>44998</v>
      </c>
      <c r="AP592" s="20">
        <v>44998</v>
      </c>
      <c r="AQ592">
        <v>0</v>
      </c>
      <c r="AR592">
        <v>0</v>
      </c>
      <c r="AS592">
        <v>0</v>
      </c>
      <c r="AT592">
        <v>0</v>
      </c>
      <c r="AU592">
        <v>0</v>
      </c>
      <c r="AV592" t="s">
        <v>7360</v>
      </c>
      <c r="AW592">
        <v>0</v>
      </c>
      <c r="AX592" t="s">
        <v>7360</v>
      </c>
      <c r="AY592" t="s">
        <v>7362</v>
      </c>
      <c r="BA592">
        <v>0</v>
      </c>
      <c r="BB592" s="20">
        <v>44998</v>
      </c>
      <c r="BC592">
        <v>0</v>
      </c>
      <c r="BD592" t="s">
        <v>7360</v>
      </c>
      <c r="BF592" s="20">
        <v>44998</v>
      </c>
      <c r="BG592">
        <v>0</v>
      </c>
      <c r="BH592" t="s">
        <v>7363</v>
      </c>
      <c r="BJ592" t="s">
        <v>7362</v>
      </c>
      <c r="BK592">
        <v>169</v>
      </c>
      <c r="BL592">
        <v>11</v>
      </c>
      <c r="BM592">
        <v>1</v>
      </c>
      <c r="BN592" t="s">
        <v>7364</v>
      </c>
      <c r="BO592">
        <v>169</v>
      </c>
      <c r="BP592">
        <v>11</v>
      </c>
      <c r="BQ592">
        <v>1</v>
      </c>
      <c r="BR592" t="s">
        <v>7364</v>
      </c>
      <c r="BS592" t="s">
        <v>7365</v>
      </c>
      <c r="BT592" t="s">
        <v>7360</v>
      </c>
      <c r="BU592" t="s">
        <v>7360</v>
      </c>
      <c r="BV592" t="s">
        <v>7360</v>
      </c>
      <c r="BX592" t="s">
        <v>7391</v>
      </c>
      <c r="BY592">
        <v>74</v>
      </c>
      <c r="BZ592" t="s">
        <v>7360</v>
      </c>
      <c r="CA592" t="s">
        <v>7360</v>
      </c>
      <c r="CB592" t="s">
        <v>7360</v>
      </c>
      <c r="CC592" s="21">
        <v>44998.611377314817</v>
      </c>
      <c r="CE592" t="s">
        <v>7392</v>
      </c>
      <c r="CF592">
        <v>1100101</v>
      </c>
      <c r="CG592">
        <v>50947</v>
      </c>
      <c r="CH592">
        <v>50947</v>
      </c>
      <c r="CI592" s="21">
        <v>44998.612858796296</v>
      </c>
      <c r="CJ592" t="s">
        <v>7442</v>
      </c>
      <c r="CK592" t="s">
        <v>7442</v>
      </c>
      <c r="CL592" t="s">
        <v>7443</v>
      </c>
      <c r="CM592" t="s">
        <v>7443</v>
      </c>
      <c r="CS592" t="s">
        <v>7361</v>
      </c>
      <c r="CT592" t="s">
        <v>7362</v>
      </c>
      <c r="CU592" t="s">
        <v>7362</v>
      </c>
      <c r="CV592" t="s">
        <v>7362</v>
      </c>
      <c r="CW592" t="s">
        <v>7362</v>
      </c>
      <c r="CX592">
        <v>847855</v>
      </c>
      <c r="DA592">
        <v>0</v>
      </c>
    </row>
    <row r="593" spans="1:106" x14ac:dyDescent="0.3">
      <c r="A593">
        <v>1361</v>
      </c>
      <c r="B593" t="s">
        <v>7376</v>
      </c>
      <c r="C593">
        <v>624</v>
      </c>
      <c r="D593" s="20">
        <v>44998</v>
      </c>
      <c r="E593" t="s">
        <v>7356</v>
      </c>
      <c r="F593" t="s">
        <v>4955</v>
      </c>
      <c r="G593" t="s">
        <v>7357</v>
      </c>
      <c r="H593">
        <v>1</v>
      </c>
      <c r="I593" t="s">
        <v>7358</v>
      </c>
      <c r="J593">
        <v>1</v>
      </c>
      <c r="K593" s="20">
        <v>44998</v>
      </c>
      <c r="L593" s="23">
        <v>812956</v>
      </c>
      <c r="M593" t="s">
        <v>7359</v>
      </c>
      <c r="N593" t="s">
        <v>7360</v>
      </c>
      <c r="O593">
        <v>0</v>
      </c>
      <c r="P593">
        <v>13116</v>
      </c>
      <c r="Q593">
        <v>454007</v>
      </c>
      <c r="R593">
        <v>0</v>
      </c>
      <c r="S593">
        <v>20230313</v>
      </c>
      <c r="T593">
        <v>0</v>
      </c>
      <c r="U593" t="s">
        <v>7361</v>
      </c>
      <c r="V593" t="s">
        <v>7360</v>
      </c>
      <c r="W593" t="s">
        <v>7360</v>
      </c>
      <c r="X593" t="s">
        <v>7360</v>
      </c>
      <c r="Y593" t="s">
        <v>7360</v>
      </c>
      <c r="Z593" t="s">
        <v>7360</v>
      </c>
      <c r="AA593" t="s">
        <v>7362</v>
      </c>
      <c r="AB593" t="s">
        <v>7360</v>
      </c>
      <c r="AC593" t="s">
        <v>7360</v>
      </c>
      <c r="AD593" t="s">
        <v>7360</v>
      </c>
      <c r="AE593" t="s">
        <v>7360</v>
      </c>
      <c r="AF593" t="s">
        <v>1684</v>
      </c>
      <c r="AG593">
        <v>0</v>
      </c>
      <c r="AH593">
        <v>0</v>
      </c>
      <c r="AI593">
        <v>0</v>
      </c>
      <c r="AJ593">
        <v>0</v>
      </c>
      <c r="AK593">
        <v>0</v>
      </c>
      <c r="AL593" t="s">
        <v>7360</v>
      </c>
      <c r="AM593">
        <v>0</v>
      </c>
      <c r="AN593" s="20">
        <v>44998</v>
      </c>
      <c r="AO593" s="20">
        <v>44998</v>
      </c>
      <c r="AP593" s="20">
        <v>44998</v>
      </c>
      <c r="AQ593">
        <v>0</v>
      </c>
      <c r="AR593">
        <v>0</v>
      </c>
      <c r="AS593">
        <v>0</v>
      </c>
      <c r="AT593">
        <v>0</v>
      </c>
      <c r="AU593">
        <v>0</v>
      </c>
      <c r="AV593" t="s">
        <v>7360</v>
      </c>
      <c r="AW593">
        <v>0</v>
      </c>
      <c r="AX593" t="s">
        <v>7360</v>
      </c>
      <c r="AY593" t="s">
        <v>7363</v>
      </c>
      <c r="BA593">
        <v>0</v>
      </c>
      <c r="BB593" s="20">
        <v>44998</v>
      </c>
      <c r="BC593">
        <v>0</v>
      </c>
      <c r="BD593" t="s">
        <v>7360</v>
      </c>
      <c r="BF593" s="20">
        <v>44998</v>
      </c>
      <c r="BG593">
        <v>0</v>
      </c>
      <c r="BH593" t="s">
        <v>7363</v>
      </c>
      <c r="BJ593" t="s">
        <v>7362</v>
      </c>
      <c r="BK593">
        <v>169</v>
      </c>
      <c r="BL593">
        <v>11</v>
      </c>
      <c r="BM593">
        <v>1</v>
      </c>
      <c r="BN593" t="s">
        <v>7364</v>
      </c>
      <c r="BO593">
        <v>169</v>
      </c>
      <c r="BP593">
        <v>11</v>
      </c>
      <c r="BQ593">
        <v>1</v>
      </c>
      <c r="BR593" t="s">
        <v>7364</v>
      </c>
      <c r="BS593" t="s">
        <v>7387</v>
      </c>
      <c r="BT593" t="s">
        <v>7360</v>
      </c>
      <c r="BU593" t="s">
        <v>7360</v>
      </c>
      <c r="BV593" t="s">
        <v>7360</v>
      </c>
      <c r="BX593" t="s">
        <v>7391</v>
      </c>
      <c r="BY593">
        <v>74</v>
      </c>
      <c r="BZ593" t="s">
        <v>7360</v>
      </c>
      <c r="CA593" t="s">
        <v>7360</v>
      </c>
      <c r="CB593">
        <v>3380666</v>
      </c>
      <c r="CC593" s="21">
        <v>44998.618761574071</v>
      </c>
      <c r="CE593" t="s">
        <v>7392</v>
      </c>
      <c r="CF593">
        <v>1100101</v>
      </c>
      <c r="CG593">
        <v>51669</v>
      </c>
      <c r="CH593">
        <v>51669</v>
      </c>
      <c r="CI593" s="21">
        <v>44998.619583333333</v>
      </c>
      <c r="CJ593" t="s">
        <v>7406</v>
      </c>
      <c r="CK593" t="s">
        <v>7406</v>
      </c>
      <c r="CL593" t="s">
        <v>7407</v>
      </c>
      <c r="CM593" t="s">
        <v>7407</v>
      </c>
      <c r="CS593" t="s">
        <v>7361</v>
      </c>
      <c r="CT593" t="s">
        <v>7362</v>
      </c>
      <c r="CU593" t="s">
        <v>7362</v>
      </c>
      <c r="CV593" t="s">
        <v>7362</v>
      </c>
      <c r="CW593" t="s">
        <v>7362</v>
      </c>
      <c r="CX593">
        <v>812956</v>
      </c>
      <c r="DA593">
        <v>0</v>
      </c>
    </row>
    <row r="594" spans="1:106" x14ac:dyDescent="0.3">
      <c r="A594">
        <v>1354</v>
      </c>
      <c r="B594" t="s">
        <v>7396</v>
      </c>
      <c r="C594">
        <v>625</v>
      </c>
      <c r="D594" s="20">
        <v>44998</v>
      </c>
      <c r="E594" t="s">
        <v>7356</v>
      </c>
      <c r="F594" t="s">
        <v>4960</v>
      </c>
      <c r="G594" t="s">
        <v>7370</v>
      </c>
      <c r="H594">
        <v>1</v>
      </c>
      <c r="I594" t="s">
        <v>7358</v>
      </c>
      <c r="J594">
        <v>1</v>
      </c>
      <c r="K594" s="20">
        <v>44998</v>
      </c>
      <c r="L594" s="23">
        <v>428400</v>
      </c>
      <c r="M594" t="s">
        <v>7359</v>
      </c>
      <c r="N594" t="s">
        <v>7360</v>
      </c>
      <c r="O594">
        <v>0</v>
      </c>
      <c r="P594">
        <v>12891</v>
      </c>
      <c r="Q594">
        <v>450045</v>
      </c>
      <c r="R594">
        <v>0</v>
      </c>
      <c r="S594">
        <v>20230313</v>
      </c>
      <c r="T594">
        <v>0</v>
      </c>
      <c r="U594" t="s">
        <v>7361</v>
      </c>
      <c r="V594" t="s">
        <v>7360</v>
      </c>
      <c r="W594" t="s">
        <v>7360</v>
      </c>
      <c r="X594" t="s">
        <v>7360</v>
      </c>
      <c r="Y594" t="s">
        <v>7360</v>
      </c>
      <c r="Z594" t="s">
        <v>7360</v>
      </c>
      <c r="AA594" t="s">
        <v>7362</v>
      </c>
      <c r="AB594" t="s">
        <v>7360</v>
      </c>
      <c r="AC594" t="s">
        <v>7360</v>
      </c>
      <c r="AD594" t="s">
        <v>7360</v>
      </c>
      <c r="AE594" t="s">
        <v>7360</v>
      </c>
      <c r="AF594" t="s">
        <v>1684</v>
      </c>
      <c r="AG594">
        <v>0</v>
      </c>
      <c r="AH594">
        <v>0</v>
      </c>
      <c r="AI594">
        <v>0</v>
      </c>
      <c r="AJ594">
        <v>0</v>
      </c>
      <c r="AK594">
        <v>0</v>
      </c>
      <c r="AL594" t="s">
        <v>7360</v>
      </c>
      <c r="AM594">
        <v>0</v>
      </c>
      <c r="AN594" s="20">
        <v>44998</v>
      </c>
      <c r="AO594" s="20">
        <v>44998</v>
      </c>
      <c r="AP594" s="20">
        <v>44998</v>
      </c>
      <c r="AQ594">
        <v>0</v>
      </c>
      <c r="AR594">
        <v>0</v>
      </c>
      <c r="AS594">
        <v>0</v>
      </c>
      <c r="AT594">
        <v>0</v>
      </c>
      <c r="AU594">
        <v>0</v>
      </c>
      <c r="AV594" t="s">
        <v>7360</v>
      </c>
      <c r="AW594">
        <v>0</v>
      </c>
      <c r="AX594" t="s">
        <v>7360</v>
      </c>
      <c r="AY594" t="s">
        <v>7363</v>
      </c>
      <c r="BA594">
        <v>0</v>
      </c>
      <c r="BB594" s="20">
        <v>44998</v>
      </c>
      <c r="BC594">
        <v>0</v>
      </c>
      <c r="BD594" t="s">
        <v>7360</v>
      </c>
      <c r="BF594" s="20">
        <v>44998</v>
      </c>
      <c r="BG594">
        <v>0</v>
      </c>
      <c r="BH594" t="s">
        <v>7363</v>
      </c>
      <c r="BJ594" t="s">
        <v>7362</v>
      </c>
      <c r="BK594">
        <v>169</v>
      </c>
      <c r="BL594">
        <v>11</v>
      </c>
      <c r="BM594">
        <v>1</v>
      </c>
      <c r="BN594" t="s">
        <v>7364</v>
      </c>
      <c r="BO594">
        <v>169</v>
      </c>
      <c r="BP594">
        <v>11</v>
      </c>
      <c r="BQ594">
        <v>1</v>
      </c>
      <c r="BR594" t="s">
        <v>7364</v>
      </c>
      <c r="BS594" t="s">
        <v>7388</v>
      </c>
      <c r="BT594" t="s">
        <v>7360</v>
      </c>
      <c r="BU594" t="s">
        <v>7360</v>
      </c>
      <c r="BV594" t="s">
        <v>7360</v>
      </c>
      <c r="BX594" t="s">
        <v>7391</v>
      </c>
      <c r="BY594">
        <v>74</v>
      </c>
      <c r="BZ594" t="s">
        <v>7360</v>
      </c>
      <c r="CA594" t="s">
        <v>7360</v>
      </c>
      <c r="CB594">
        <v>3380666</v>
      </c>
      <c r="CC594" s="21">
        <v>44998.624293981484</v>
      </c>
      <c r="CE594" t="s">
        <v>7392</v>
      </c>
      <c r="CF594">
        <v>1100101</v>
      </c>
      <c r="CG594">
        <v>51669</v>
      </c>
      <c r="CH594">
        <v>51669</v>
      </c>
      <c r="CI594" s="21">
        <v>44998.624976851854</v>
      </c>
      <c r="CJ594" t="s">
        <v>7406</v>
      </c>
      <c r="CK594" t="s">
        <v>7406</v>
      </c>
      <c r="CL594" t="s">
        <v>7407</v>
      </c>
      <c r="CM594" t="s">
        <v>7407</v>
      </c>
      <c r="CS594" t="s">
        <v>7361</v>
      </c>
      <c r="CT594" t="s">
        <v>7362</v>
      </c>
      <c r="CU594" t="s">
        <v>7362</v>
      </c>
      <c r="CV594" t="s">
        <v>7362</v>
      </c>
      <c r="CW594" t="s">
        <v>7362</v>
      </c>
      <c r="CX594">
        <v>428400</v>
      </c>
      <c r="DA594">
        <v>0</v>
      </c>
    </row>
    <row r="595" spans="1:106" x14ac:dyDescent="0.3">
      <c r="A595">
        <v>1364</v>
      </c>
      <c r="B595" t="s">
        <v>7355</v>
      </c>
      <c r="C595">
        <v>626</v>
      </c>
      <c r="D595" s="20">
        <v>44998</v>
      </c>
      <c r="E595" t="s">
        <v>7372</v>
      </c>
      <c r="F595" t="s">
        <v>4965</v>
      </c>
      <c r="G595" t="s">
        <v>7357</v>
      </c>
      <c r="H595">
        <v>1</v>
      </c>
      <c r="I595" t="s">
        <v>7358</v>
      </c>
      <c r="J595">
        <v>1</v>
      </c>
      <c r="K595" s="20">
        <v>44998</v>
      </c>
      <c r="L595" s="23">
        <v>737800</v>
      </c>
      <c r="M595" t="s">
        <v>7359</v>
      </c>
      <c r="N595" t="s">
        <v>7360</v>
      </c>
      <c r="O595">
        <v>0</v>
      </c>
      <c r="P595">
        <v>12886</v>
      </c>
      <c r="Q595">
        <v>450040</v>
      </c>
      <c r="R595">
        <v>0</v>
      </c>
      <c r="S595">
        <v>20230313</v>
      </c>
      <c r="T595">
        <v>0</v>
      </c>
      <c r="U595" t="s">
        <v>7362</v>
      </c>
      <c r="V595" t="s">
        <v>7360</v>
      </c>
      <c r="W595" t="s">
        <v>7360</v>
      </c>
      <c r="X595" t="s">
        <v>7360</v>
      </c>
      <c r="Y595" t="s">
        <v>7360</v>
      </c>
      <c r="Z595" t="s">
        <v>7360</v>
      </c>
      <c r="AA595" t="s">
        <v>7362</v>
      </c>
      <c r="AB595" t="s">
        <v>7360</v>
      </c>
      <c r="AC595" t="s">
        <v>7360</v>
      </c>
      <c r="AD595" t="s">
        <v>7360</v>
      </c>
      <c r="AE595" t="s">
        <v>7360</v>
      </c>
      <c r="AF595" t="s">
        <v>1684</v>
      </c>
      <c r="AG595">
        <v>0</v>
      </c>
      <c r="AH595">
        <v>0</v>
      </c>
      <c r="AI595">
        <v>0</v>
      </c>
      <c r="AJ595">
        <v>0</v>
      </c>
      <c r="AK595">
        <v>0</v>
      </c>
      <c r="AL595" t="s">
        <v>7360</v>
      </c>
      <c r="AM595">
        <v>0</v>
      </c>
      <c r="AN595" s="20">
        <v>44998</v>
      </c>
      <c r="AO595" s="20">
        <v>44998</v>
      </c>
      <c r="AP595" s="20">
        <v>44998</v>
      </c>
      <c r="AQ595">
        <v>0</v>
      </c>
      <c r="AR595">
        <v>0</v>
      </c>
      <c r="AS595">
        <v>0</v>
      </c>
      <c r="AT595">
        <v>0</v>
      </c>
      <c r="AU595">
        <v>0</v>
      </c>
      <c r="AV595" t="s">
        <v>7360</v>
      </c>
      <c r="AW595">
        <v>0</v>
      </c>
      <c r="AX595" t="s">
        <v>7360</v>
      </c>
      <c r="AY595" t="s">
        <v>7362</v>
      </c>
      <c r="BA595">
        <v>0</v>
      </c>
      <c r="BB595" s="20">
        <v>44998</v>
      </c>
      <c r="BC595">
        <v>0</v>
      </c>
      <c r="BD595" t="s">
        <v>7360</v>
      </c>
      <c r="BF595" s="20">
        <v>44998</v>
      </c>
      <c r="BG595">
        <v>0</v>
      </c>
      <c r="BH595" t="s">
        <v>7363</v>
      </c>
      <c r="BJ595" t="s">
        <v>7362</v>
      </c>
      <c r="BK595">
        <v>169</v>
      </c>
      <c r="BL595">
        <v>11</v>
      </c>
      <c r="BM595">
        <v>1</v>
      </c>
      <c r="BN595" t="s">
        <v>7364</v>
      </c>
      <c r="BO595">
        <v>169</v>
      </c>
      <c r="BP595">
        <v>11</v>
      </c>
      <c r="BQ595">
        <v>1</v>
      </c>
      <c r="BR595" t="s">
        <v>7364</v>
      </c>
      <c r="BS595" t="s">
        <v>7365</v>
      </c>
      <c r="BT595" t="s">
        <v>7360</v>
      </c>
      <c r="BU595" t="s">
        <v>7360</v>
      </c>
      <c r="BV595" t="s">
        <v>7360</v>
      </c>
      <c r="BX595" t="s">
        <v>7391</v>
      </c>
      <c r="BY595">
        <v>74</v>
      </c>
      <c r="BZ595" t="s">
        <v>7360</v>
      </c>
      <c r="CA595" t="s">
        <v>7360</v>
      </c>
      <c r="CB595" t="s">
        <v>7360</v>
      </c>
      <c r="CC595" s="21">
        <v>44998.624872685185</v>
      </c>
      <c r="CE595" t="s">
        <v>7392</v>
      </c>
      <c r="CF595">
        <v>1100101</v>
      </c>
      <c r="CG595">
        <v>50947</v>
      </c>
      <c r="CH595">
        <v>50947</v>
      </c>
      <c r="CI595" s="21">
        <v>44998.629861111112</v>
      </c>
      <c r="CJ595" t="s">
        <v>7442</v>
      </c>
      <c r="CK595" t="s">
        <v>7442</v>
      </c>
      <c r="CL595" t="s">
        <v>7443</v>
      </c>
      <c r="CM595" t="s">
        <v>7443</v>
      </c>
      <c r="CS595" t="s">
        <v>7361</v>
      </c>
      <c r="CT595" t="s">
        <v>7362</v>
      </c>
      <c r="CU595" t="s">
        <v>7362</v>
      </c>
      <c r="CV595" t="s">
        <v>7362</v>
      </c>
      <c r="CW595" t="s">
        <v>7362</v>
      </c>
      <c r="CX595">
        <v>737800</v>
      </c>
      <c r="DA595">
        <v>0</v>
      </c>
    </row>
    <row r="596" spans="1:106" x14ac:dyDescent="0.3">
      <c r="A596">
        <v>1366</v>
      </c>
      <c r="B596" t="s">
        <v>7380</v>
      </c>
      <c r="C596">
        <v>627</v>
      </c>
      <c r="D596" s="20">
        <v>44998</v>
      </c>
      <c r="E596" t="s">
        <v>7356</v>
      </c>
      <c r="F596" t="s">
        <v>4971</v>
      </c>
      <c r="G596" t="s">
        <v>7357</v>
      </c>
      <c r="H596">
        <v>1</v>
      </c>
      <c r="I596" t="s">
        <v>7358</v>
      </c>
      <c r="J596">
        <v>1</v>
      </c>
      <c r="K596" s="20">
        <v>44998</v>
      </c>
      <c r="L596" s="23">
        <v>4165000</v>
      </c>
      <c r="M596" t="s">
        <v>7359</v>
      </c>
      <c r="N596" t="s">
        <v>7360</v>
      </c>
      <c r="O596">
        <v>0</v>
      </c>
      <c r="P596">
        <v>13002</v>
      </c>
      <c r="Q596">
        <v>453035</v>
      </c>
      <c r="R596">
        <v>0</v>
      </c>
      <c r="S596">
        <v>20230313</v>
      </c>
      <c r="T596">
        <v>0</v>
      </c>
      <c r="U596" t="s">
        <v>7361</v>
      </c>
      <c r="V596" t="s">
        <v>7360</v>
      </c>
      <c r="W596" t="s">
        <v>7360</v>
      </c>
      <c r="X596" t="s">
        <v>7360</v>
      </c>
      <c r="Y596" t="s">
        <v>7360</v>
      </c>
      <c r="Z596" t="s">
        <v>7360</v>
      </c>
      <c r="AA596" t="s">
        <v>7362</v>
      </c>
      <c r="AB596" t="s">
        <v>7360</v>
      </c>
      <c r="AC596" t="s">
        <v>7360</v>
      </c>
      <c r="AD596" t="s">
        <v>7360</v>
      </c>
      <c r="AE596" t="s">
        <v>7360</v>
      </c>
      <c r="AF596" t="s">
        <v>1684</v>
      </c>
      <c r="AG596">
        <v>0</v>
      </c>
      <c r="AH596">
        <v>0</v>
      </c>
      <c r="AI596">
        <v>0</v>
      </c>
      <c r="AJ596">
        <v>0</v>
      </c>
      <c r="AK596">
        <v>0</v>
      </c>
      <c r="AL596" t="s">
        <v>7360</v>
      </c>
      <c r="AM596">
        <v>0</v>
      </c>
      <c r="AN596" s="20">
        <v>44998</v>
      </c>
      <c r="AO596" s="20">
        <v>44998</v>
      </c>
      <c r="AP596" s="20">
        <v>44998</v>
      </c>
      <c r="AQ596">
        <v>0</v>
      </c>
      <c r="AR596">
        <v>0</v>
      </c>
      <c r="AS596">
        <v>0</v>
      </c>
      <c r="AT596">
        <v>0</v>
      </c>
      <c r="AU596">
        <v>0</v>
      </c>
      <c r="AV596" t="s">
        <v>7360</v>
      </c>
      <c r="AW596">
        <v>0</v>
      </c>
      <c r="AX596" t="s">
        <v>7360</v>
      </c>
      <c r="AY596" t="s">
        <v>7363</v>
      </c>
      <c r="BA596">
        <v>0</v>
      </c>
      <c r="BB596" s="20">
        <v>44998</v>
      </c>
      <c r="BC596">
        <v>0</v>
      </c>
      <c r="BD596" t="s">
        <v>7360</v>
      </c>
      <c r="BF596" s="20">
        <v>44998</v>
      </c>
      <c r="BG596">
        <v>0</v>
      </c>
      <c r="BH596" t="s">
        <v>7363</v>
      </c>
      <c r="BJ596" t="s">
        <v>7362</v>
      </c>
      <c r="BK596">
        <v>169</v>
      </c>
      <c r="BL596">
        <v>11</v>
      </c>
      <c r="BM596">
        <v>1</v>
      </c>
      <c r="BN596" t="s">
        <v>7364</v>
      </c>
      <c r="BO596">
        <v>169</v>
      </c>
      <c r="BP596">
        <v>11</v>
      </c>
      <c r="BQ596">
        <v>1</v>
      </c>
      <c r="BR596" t="s">
        <v>7364</v>
      </c>
      <c r="BS596" t="s">
        <v>7365</v>
      </c>
      <c r="BT596" t="s">
        <v>7360</v>
      </c>
      <c r="BU596" t="s">
        <v>7360</v>
      </c>
      <c r="BV596" t="s">
        <v>7360</v>
      </c>
      <c r="BX596" t="s">
        <v>7391</v>
      </c>
      <c r="BY596">
        <v>74</v>
      </c>
      <c r="BZ596" t="s">
        <v>7360</v>
      </c>
      <c r="CA596" t="s">
        <v>7360</v>
      </c>
      <c r="CB596" t="s">
        <v>7360</v>
      </c>
      <c r="CC596" s="21">
        <v>44998.637141203704</v>
      </c>
      <c r="CE596" t="s">
        <v>7392</v>
      </c>
      <c r="CF596">
        <v>1100101</v>
      </c>
      <c r="CG596">
        <v>50947</v>
      </c>
      <c r="CH596">
        <v>50947</v>
      </c>
      <c r="CI596" s="21">
        <v>44998.644918981481</v>
      </c>
      <c r="CJ596" t="s">
        <v>7442</v>
      </c>
      <c r="CK596" t="s">
        <v>7442</v>
      </c>
      <c r="CL596" t="s">
        <v>7443</v>
      </c>
      <c r="CM596" t="s">
        <v>7443</v>
      </c>
      <c r="CS596" t="s">
        <v>7361</v>
      </c>
      <c r="CT596" t="s">
        <v>7362</v>
      </c>
      <c r="CU596" t="s">
        <v>7362</v>
      </c>
      <c r="CV596" t="s">
        <v>7362</v>
      </c>
      <c r="CW596" t="s">
        <v>7362</v>
      </c>
      <c r="CX596">
        <v>4165000</v>
      </c>
      <c r="DA596">
        <v>0</v>
      </c>
    </row>
    <row r="597" spans="1:106" x14ac:dyDescent="0.3">
      <c r="A597">
        <v>1370</v>
      </c>
      <c r="B597" t="s">
        <v>7390</v>
      </c>
      <c r="C597">
        <v>628</v>
      </c>
      <c r="D597" s="20">
        <v>44998</v>
      </c>
      <c r="E597" t="s">
        <v>7372</v>
      </c>
      <c r="F597" t="s">
        <v>4976</v>
      </c>
      <c r="G597" t="s">
        <v>7357</v>
      </c>
      <c r="H597">
        <v>1</v>
      </c>
      <c r="I597" t="s">
        <v>7358</v>
      </c>
      <c r="J597">
        <v>1</v>
      </c>
      <c r="K597" s="20">
        <v>44998</v>
      </c>
      <c r="L597" s="23">
        <v>1650000</v>
      </c>
      <c r="M597" t="s">
        <v>7359</v>
      </c>
      <c r="N597" t="s">
        <v>7360</v>
      </c>
      <c r="O597">
        <v>0</v>
      </c>
      <c r="P597">
        <v>12949</v>
      </c>
      <c r="Q597">
        <v>452001</v>
      </c>
      <c r="R597">
        <v>0</v>
      </c>
      <c r="S597">
        <v>20230313</v>
      </c>
      <c r="T597">
        <v>0</v>
      </c>
      <c r="U597" t="s">
        <v>7362</v>
      </c>
      <c r="V597" t="s">
        <v>7360</v>
      </c>
      <c r="W597" t="s">
        <v>7360</v>
      </c>
      <c r="X597" t="s">
        <v>7360</v>
      </c>
      <c r="Y597" t="s">
        <v>7360</v>
      </c>
      <c r="Z597" t="s">
        <v>7360</v>
      </c>
      <c r="AA597" t="s">
        <v>7362</v>
      </c>
      <c r="AB597" t="s">
        <v>7360</v>
      </c>
      <c r="AC597" t="s">
        <v>7360</v>
      </c>
      <c r="AD597" t="s">
        <v>7360</v>
      </c>
      <c r="AE597" t="s">
        <v>7360</v>
      </c>
      <c r="AF597" t="s">
        <v>1684</v>
      </c>
      <c r="AG597">
        <v>0</v>
      </c>
      <c r="AH597">
        <v>0</v>
      </c>
      <c r="AI597">
        <v>0</v>
      </c>
      <c r="AJ597">
        <v>0</v>
      </c>
      <c r="AK597">
        <v>0</v>
      </c>
      <c r="AL597" t="s">
        <v>7360</v>
      </c>
      <c r="AM597">
        <v>0</v>
      </c>
      <c r="AN597" s="20">
        <v>44998</v>
      </c>
      <c r="AO597" s="20">
        <v>44998</v>
      </c>
      <c r="AP597" s="20">
        <v>44998</v>
      </c>
      <c r="AQ597">
        <v>0</v>
      </c>
      <c r="AR597">
        <v>0</v>
      </c>
      <c r="AS597">
        <v>0</v>
      </c>
      <c r="AT597">
        <v>0</v>
      </c>
      <c r="AU597">
        <v>0</v>
      </c>
      <c r="AV597" t="s">
        <v>7360</v>
      </c>
      <c r="AW597">
        <v>0</v>
      </c>
      <c r="AX597" t="s">
        <v>7360</v>
      </c>
      <c r="AY597" t="s">
        <v>7362</v>
      </c>
      <c r="BA597">
        <v>0</v>
      </c>
      <c r="BB597" s="20">
        <v>44998</v>
      </c>
      <c r="BC597">
        <v>0</v>
      </c>
      <c r="BD597" t="s">
        <v>7360</v>
      </c>
      <c r="BF597" s="20">
        <v>44998</v>
      </c>
      <c r="BG597">
        <v>0</v>
      </c>
      <c r="BH597" t="s">
        <v>7363</v>
      </c>
      <c r="BJ597" t="s">
        <v>7362</v>
      </c>
      <c r="BK597">
        <v>169</v>
      </c>
      <c r="BL597">
        <v>11</v>
      </c>
      <c r="BM597">
        <v>1</v>
      </c>
      <c r="BN597" t="s">
        <v>7364</v>
      </c>
      <c r="BO597">
        <v>169</v>
      </c>
      <c r="BP597">
        <v>11</v>
      </c>
      <c r="BQ597">
        <v>1</v>
      </c>
      <c r="BR597" t="s">
        <v>7364</v>
      </c>
      <c r="BS597" t="s">
        <v>7378</v>
      </c>
      <c r="BT597" t="s">
        <v>7360</v>
      </c>
      <c r="BU597" t="s">
        <v>7360</v>
      </c>
      <c r="BV597" t="s">
        <v>7360</v>
      </c>
      <c r="BX597" t="s">
        <v>7391</v>
      </c>
      <c r="BY597">
        <v>74</v>
      </c>
      <c r="BZ597" t="s">
        <v>7360</v>
      </c>
      <c r="CA597" t="s">
        <v>7360</v>
      </c>
      <c r="CB597" t="s">
        <v>7360</v>
      </c>
      <c r="CC597" s="21">
        <v>44998.639421296299</v>
      </c>
      <c r="CE597" t="s">
        <v>7392</v>
      </c>
      <c r="CF597">
        <v>1100101</v>
      </c>
      <c r="CG597">
        <v>50947</v>
      </c>
      <c r="CH597">
        <v>50947</v>
      </c>
      <c r="CI597" s="21">
        <v>44998.640659722223</v>
      </c>
      <c r="CJ597" t="s">
        <v>7442</v>
      </c>
      <c r="CK597" t="s">
        <v>7442</v>
      </c>
      <c r="CL597" t="s">
        <v>7443</v>
      </c>
      <c r="CM597" t="s">
        <v>7443</v>
      </c>
      <c r="CS597" t="s">
        <v>7361</v>
      </c>
      <c r="CT597" t="s">
        <v>7362</v>
      </c>
      <c r="CU597" t="s">
        <v>7362</v>
      </c>
      <c r="CV597" t="s">
        <v>7362</v>
      </c>
      <c r="CW597" t="s">
        <v>7362</v>
      </c>
      <c r="CX597">
        <v>1650000</v>
      </c>
      <c r="DA597">
        <v>0</v>
      </c>
    </row>
    <row r="598" spans="1:106" x14ac:dyDescent="0.3">
      <c r="A598">
        <v>1372</v>
      </c>
      <c r="B598" t="s">
        <v>7369</v>
      </c>
      <c r="C598">
        <v>629</v>
      </c>
      <c r="D598" s="20">
        <v>44998</v>
      </c>
      <c r="E598" t="s">
        <v>7372</v>
      </c>
      <c r="F598" t="s">
        <v>4981</v>
      </c>
      <c r="G598" t="s">
        <v>7357</v>
      </c>
      <c r="H598">
        <v>1</v>
      </c>
      <c r="I598" t="s">
        <v>7358</v>
      </c>
      <c r="J598">
        <v>1</v>
      </c>
      <c r="K598" s="20">
        <v>44998</v>
      </c>
      <c r="L598" s="23">
        <v>1168401</v>
      </c>
      <c r="M598" t="s">
        <v>7359</v>
      </c>
      <c r="N598" t="s">
        <v>7360</v>
      </c>
      <c r="O598">
        <v>0</v>
      </c>
      <c r="P598">
        <v>12828</v>
      </c>
      <c r="Q598">
        <v>450049</v>
      </c>
      <c r="R598">
        <v>0</v>
      </c>
      <c r="S598">
        <v>20230313</v>
      </c>
      <c r="T598">
        <v>0</v>
      </c>
      <c r="U598" t="s">
        <v>7362</v>
      </c>
      <c r="V598" t="s">
        <v>7360</v>
      </c>
      <c r="W598" t="s">
        <v>7360</v>
      </c>
      <c r="X598" t="s">
        <v>7360</v>
      </c>
      <c r="Y598" t="s">
        <v>7360</v>
      </c>
      <c r="Z598" t="s">
        <v>7360</v>
      </c>
      <c r="AA598" t="s">
        <v>7362</v>
      </c>
      <c r="AB598" t="s">
        <v>7360</v>
      </c>
      <c r="AC598" t="s">
        <v>7360</v>
      </c>
      <c r="AD598" t="s">
        <v>7360</v>
      </c>
      <c r="AE598" t="s">
        <v>7360</v>
      </c>
      <c r="AF598" t="s">
        <v>1684</v>
      </c>
      <c r="AG598">
        <v>0</v>
      </c>
      <c r="AH598">
        <v>0</v>
      </c>
      <c r="AI598">
        <v>0</v>
      </c>
      <c r="AJ598">
        <v>0</v>
      </c>
      <c r="AK598">
        <v>0</v>
      </c>
      <c r="AL598" t="s">
        <v>7360</v>
      </c>
      <c r="AM598">
        <v>0</v>
      </c>
      <c r="AN598" s="20">
        <v>44998</v>
      </c>
      <c r="AO598" s="20">
        <v>44998</v>
      </c>
      <c r="AP598" s="20">
        <v>44998</v>
      </c>
      <c r="AQ598">
        <v>0</v>
      </c>
      <c r="AR598">
        <v>0</v>
      </c>
      <c r="AS598">
        <v>0</v>
      </c>
      <c r="AT598">
        <v>0</v>
      </c>
      <c r="AU598">
        <v>0</v>
      </c>
      <c r="AV598" t="s">
        <v>7360</v>
      </c>
      <c r="AW598">
        <v>0</v>
      </c>
      <c r="AX598" t="s">
        <v>7360</v>
      </c>
      <c r="AY598" t="s">
        <v>7362</v>
      </c>
      <c r="BA598">
        <v>0</v>
      </c>
      <c r="BB598" s="20">
        <v>44998</v>
      </c>
      <c r="BC598">
        <v>0</v>
      </c>
      <c r="BD598" t="s">
        <v>7360</v>
      </c>
      <c r="BF598" s="20">
        <v>44998</v>
      </c>
      <c r="BG598">
        <v>0</v>
      </c>
      <c r="BH598" t="s">
        <v>7363</v>
      </c>
      <c r="BJ598" t="s">
        <v>7362</v>
      </c>
      <c r="BK598">
        <v>169</v>
      </c>
      <c r="BL598">
        <v>11</v>
      </c>
      <c r="BM598">
        <v>1</v>
      </c>
      <c r="BN598" t="s">
        <v>7364</v>
      </c>
      <c r="BO598">
        <v>169</v>
      </c>
      <c r="BP598">
        <v>11</v>
      </c>
      <c r="BQ598">
        <v>1</v>
      </c>
      <c r="BR598" t="s">
        <v>7364</v>
      </c>
      <c r="BS598" t="s">
        <v>48</v>
      </c>
      <c r="BT598" t="s">
        <v>7360</v>
      </c>
      <c r="BU598" t="s">
        <v>7360</v>
      </c>
      <c r="BV598" t="s">
        <v>7360</v>
      </c>
      <c r="BX598" t="s">
        <v>7391</v>
      </c>
      <c r="BY598">
        <v>74</v>
      </c>
      <c r="BZ598" t="s">
        <v>7360</v>
      </c>
      <c r="CA598" t="s">
        <v>7360</v>
      </c>
      <c r="CB598">
        <v>3380666</v>
      </c>
      <c r="CC598" s="21">
        <v>44998.641817129632</v>
      </c>
      <c r="CE598" t="s">
        <v>7392</v>
      </c>
      <c r="CF598">
        <v>1100101</v>
      </c>
      <c r="CG598">
        <v>51669</v>
      </c>
      <c r="CH598">
        <v>51669</v>
      </c>
      <c r="CI598" s="21">
        <v>44998.643784722219</v>
      </c>
      <c r="CJ598" t="s">
        <v>7406</v>
      </c>
      <c r="CK598" t="s">
        <v>7406</v>
      </c>
      <c r="CL598" t="s">
        <v>7407</v>
      </c>
      <c r="CM598" t="s">
        <v>7407</v>
      </c>
      <c r="CS598" t="s">
        <v>7361</v>
      </c>
      <c r="CT598" t="s">
        <v>7362</v>
      </c>
      <c r="CU598" t="s">
        <v>7362</v>
      </c>
      <c r="CV598" t="s">
        <v>7362</v>
      </c>
      <c r="CW598" t="s">
        <v>7362</v>
      </c>
      <c r="CX598">
        <v>1168401</v>
      </c>
      <c r="DA598">
        <v>0</v>
      </c>
    </row>
    <row r="599" spans="1:106" x14ac:dyDescent="0.3">
      <c r="A599">
        <v>1354</v>
      </c>
      <c r="B599" t="s">
        <v>7396</v>
      </c>
      <c r="C599">
        <v>656</v>
      </c>
      <c r="D599" s="20">
        <v>45000</v>
      </c>
      <c r="E599" t="s">
        <v>7372</v>
      </c>
      <c r="F599" t="s">
        <v>4987</v>
      </c>
      <c r="G599" t="s">
        <v>7370</v>
      </c>
      <c r="H599">
        <v>1</v>
      </c>
      <c r="I599" t="s">
        <v>7358</v>
      </c>
      <c r="J599">
        <v>1</v>
      </c>
      <c r="K599" s="20">
        <v>45000</v>
      </c>
      <c r="L599" s="23">
        <v>30000000</v>
      </c>
      <c r="M599" t="s">
        <v>7403</v>
      </c>
      <c r="N599" t="s">
        <v>7360</v>
      </c>
      <c r="O599">
        <v>0</v>
      </c>
      <c r="P599">
        <v>12371</v>
      </c>
      <c r="Q599">
        <v>138001</v>
      </c>
      <c r="R599">
        <v>0</v>
      </c>
      <c r="S599">
        <v>20230315</v>
      </c>
      <c r="T599">
        <v>0</v>
      </c>
      <c r="U599" t="s">
        <v>7362</v>
      </c>
      <c r="V599" t="s">
        <v>7360</v>
      </c>
      <c r="W599" t="s">
        <v>7360</v>
      </c>
      <c r="X599" t="s">
        <v>7360</v>
      </c>
      <c r="Y599" t="s">
        <v>7360</v>
      </c>
      <c r="Z599" t="s">
        <v>7360</v>
      </c>
      <c r="AA599" t="s">
        <v>7362</v>
      </c>
      <c r="AB599" t="s">
        <v>7360</v>
      </c>
      <c r="AC599" t="s">
        <v>7360</v>
      </c>
      <c r="AD599" t="s">
        <v>7360</v>
      </c>
      <c r="AE599" t="s">
        <v>7360</v>
      </c>
      <c r="AF599" t="s">
        <v>1684</v>
      </c>
      <c r="AG599">
        <v>0</v>
      </c>
      <c r="AH599">
        <v>0</v>
      </c>
      <c r="AI599">
        <v>0</v>
      </c>
      <c r="AJ599">
        <v>0</v>
      </c>
      <c r="AK599">
        <v>0</v>
      </c>
      <c r="AL599" t="s">
        <v>7360</v>
      </c>
      <c r="AM599">
        <v>0</v>
      </c>
      <c r="AN599" s="20">
        <v>45000</v>
      </c>
      <c r="AO599" s="20">
        <v>45000</v>
      </c>
      <c r="AP599" s="20">
        <v>45000</v>
      </c>
      <c r="AQ599">
        <v>0</v>
      </c>
      <c r="AR599">
        <v>0</v>
      </c>
      <c r="AS599">
        <v>0</v>
      </c>
      <c r="AT599">
        <v>0</v>
      </c>
      <c r="AU599">
        <v>0</v>
      </c>
      <c r="AV599" t="s">
        <v>7360</v>
      </c>
      <c r="AW599">
        <v>0</v>
      </c>
      <c r="AX599" t="s">
        <v>7360</v>
      </c>
      <c r="AY599" t="s">
        <v>7373</v>
      </c>
      <c r="BA599">
        <v>0</v>
      </c>
      <c r="BB599" s="20">
        <v>45000</v>
      </c>
      <c r="BC599">
        <v>0</v>
      </c>
      <c r="BD599" t="s">
        <v>7360</v>
      </c>
      <c r="BE599">
        <v>245</v>
      </c>
      <c r="BF599" s="20">
        <v>45000</v>
      </c>
      <c r="BG599">
        <v>0</v>
      </c>
      <c r="BH599" t="s">
        <v>7363</v>
      </c>
      <c r="BJ599" t="s">
        <v>7362</v>
      </c>
      <c r="BK599">
        <v>169</v>
      </c>
      <c r="BL599">
        <v>11</v>
      </c>
      <c r="BM599">
        <v>1</v>
      </c>
      <c r="BN599" t="s">
        <v>7364</v>
      </c>
      <c r="BO599">
        <v>169</v>
      </c>
      <c r="BP599">
        <v>11</v>
      </c>
      <c r="BQ599">
        <v>1</v>
      </c>
      <c r="BR599" t="s">
        <v>7364</v>
      </c>
      <c r="BS599" t="s">
        <v>7457</v>
      </c>
      <c r="BT599" t="s">
        <v>7360</v>
      </c>
      <c r="BU599" t="s">
        <v>7360</v>
      </c>
      <c r="BV599" t="s">
        <v>7360</v>
      </c>
      <c r="BX599" t="s">
        <v>7391</v>
      </c>
      <c r="BY599">
        <v>74</v>
      </c>
      <c r="BZ599" t="s">
        <v>7360</v>
      </c>
      <c r="CA599" t="s">
        <v>7360</v>
      </c>
      <c r="CB599">
        <v>3380666</v>
      </c>
      <c r="CC599" s="21">
        <v>45012.353738425925</v>
      </c>
      <c r="CE599" t="s">
        <v>7392</v>
      </c>
      <c r="CF599">
        <v>1100101</v>
      </c>
      <c r="CG599">
        <v>51669</v>
      </c>
      <c r="CH599">
        <v>51669</v>
      </c>
      <c r="CI599" s="21">
        <v>45012.354571759257</v>
      </c>
      <c r="CJ599" t="s">
        <v>7406</v>
      </c>
      <c r="CK599" t="s">
        <v>7406</v>
      </c>
      <c r="CL599" t="s">
        <v>7407</v>
      </c>
      <c r="CM599" t="s">
        <v>7407</v>
      </c>
      <c r="CS599" t="s">
        <v>7361</v>
      </c>
      <c r="CT599" t="s">
        <v>7362</v>
      </c>
      <c r="CU599" t="s">
        <v>7362</v>
      </c>
      <c r="CV599" t="s">
        <v>7362</v>
      </c>
      <c r="CW599" t="s">
        <v>7362</v>
      </c>
      <c r="CX599">
        <v>18000000</v>
      </c>
      <c r="DA599">
        <v>0</v>
      </c>
    </row>
    <row r="600" spans="1:106" x14ac:dyDescent="0.3">
      <c r="A600">
        <v>1373</v>
      </c>
      <c r="B600" t="s">
        <v>7383</v>
      </c>
      <c r="C600">
        <v>631</v>
      </c>
      <c r="D600" s="20">
        <v>44998</v>
      </c>
      <c r="E600" t="s">
        <v>7372</v>
      </c>
      <c r="F600" t="s">
        <v>4992</v>
      </c>
      <c r="G600" t="s">
        <v>7357</v>
      </c>
      <c r="H600">
        <v>1</v>
      </c>
      <c r="I600" t="s">
        <v>7358</v>
      </c>
      <c r="J600">
        <v>1</v>
      </c>
      <c r="K600" s="20">
        <v>44998</v>
      </c>
      <c r="L600" s="23">
        <v>1019088</v>
      </c>
      <c r="M600" t="s">
        <v>7359</v>
      </c>
      <c r="N600" t="s">
        <v>7360</v>
      </c>
      <c r="O600">
        <v>0</v>
      </c>
      <c r="P600">
        <v>13023</v>
      </c>
      <c r="Q600">
        <v>453049</v>
      </c>
      <c r="R600">
        <v>0</v>
      </c>
      <c r="S600">
        <v>20230313</v>
      </c>
      <c r="T600">
        <v>0</v>
      </c>
      <c r="U600" t="s">
        <v>7362</v>
      </c>
      <c r="V600" t="s">
        <v>7360</v>
      </c>
      <c r="W600" t="s">
        <v>7360</v>
      </c>
      <c r="X600" t="s">
        <v>7360</v>
      </c>
      <c r="Y600" t="s">
        <v>7360</v>
      </c>
      <c r="Z600" t="s">
        <v>7360</v>
      </c>
      <c r="AA600" t="s">
        <v>7362</v>
      </c>
      <c r="AB600" t="s">
        <v>7360</v>
      </c>
      <c r="AC600" t="s">
        <v>7360</v>
      </c>
      <c r="AD600" t="s">
        <v>7360</v>
      </c>
      <c r="AE600" t="s">
        <v>7360</v>
      </c>
      <c r="AF600" t="s">
        <v>1684</v>
      </c>
      <c r="AG600">
        <v>0</v>
      </c>
      <c r="AH600">
        <v>0</v>
      </c>
      <c r="AI600">
        <v>0</v>
      </c>
      <c r="AJ600">
        <v>0</v>
      </c>
      <c r="AK600">
        <v>0</v>
      </c>
      <c r="AL600" t="s">
        <v>7360</v>
      </c>
      <c r="AM600">
        <v>0</v>
      </c>
      <c r="AN600" s="20">
        <v>44998</v>
      </c>
      <c r="AO600" s="20">
        <v>44998</v>
      </c>
      <c r="AP600" s="20">
        <v>44998</v>
      </c>
      <c r="AQ600">
        <v>0</v>
      </c>
      <c r="AR600">
        <v>0</v>
      </c>
      <c r="AS600">
        <v>0</v>
      </c>
      <c r="AT600">
        <v>0</v>
      </c>
      <c r="AU600">
        <v>0</v>
      </c>
      <c r="AV600" t="s">
        <v>7360</v>
      </c>
      <c r="AW600">
        <v>0</v>
      </c>
      <c r="AX600" t="s">
        <v>7360</v>
      </c>
      <c r="AY600" t="s">
        <v>7362</v>
      </c>
      <c r="BA600">
        <v>0</v>
      </c>
      <c r="BB600" s="20">
        <v>44998</v>
      </c>
      <c r="BC600">
        <v>0</v>
      </c>
      <c r="BD600" t="s">
        <v>7360</v>
      </c>
      <c r="BF600" s="20">
        <v>44998</v>
      </c>
      <c r="BG600">
        <v>0</v>
      </c>
      <c r="BH600" t="s">
        <v>7363</v>
      </c>
      <c r="BJ600" t="s">
        <v>7362</v>
      </c>
      <c r="BK600">
        <v>169</v>
      </c>
      <c r="BL600">
        <v>11</v>
      </c>
      <c r="BM600">
        <v>1</v>
      </c>
      <c r="BN600" t="s">
        <v>7364</v>
      </c>
      <c r="BO600">
        <v>169</v>
      </c>
      <c r="BP600">
        <v>11</v>
      </c>
      <c r="BQ600">
        <v>1</v>
      </c>
      <c r="BR600" t="s">
        <v>7364</v>
      </c>
      <c r="BS600" t="s">
        <v>61</v>
      </c>
      <c r="BT600" t="s">
        <v>7360</v>
      </c>
      <c r="BU600" t="s">
        <v>7360</v>
      </c>
      <c r="BV600" t="s">
        <v>7360</v>
      </c>
      <c r="BX600" t="s">
        <v>7391</v>
      </c>
      <c r="BY600">
        <v>74</v>
      </c>
      <c r="BZ600" t="s">
        <v>7360</v>
      </c>
      <c r="CA600" t="s">
        <v>7360</v>
      </c>
      <c r="CB600" t="s">
        <v>7360</v>
      </c>
      <c r="CC600" s="21">
        <v>44998.653067129628</v>
      </c>
      <c r="CE600" t="s">
        <v>7392</v>
      </c>
      <c r="CF600">
        <v>1100101</v>
      </c>
      <c r="CG600">
        <v>50947</v>
      </c>
      <c r="CH600">
        <v>50947</v>
      </c>
      <c r="CI600" s="21">
        <v>44998.654629629629</v>
      </c>
      <c r="CJ600" t="s">
        <v>7442</v>
      </c>
      <c r="CK600" t="s">
        <v>7442</v>
      </c>
      <c r="CL600" t="s">
        <v>7443</v>
      </c>
      <c r="CM600" t="s">
        <v>7443</v>
      </c>
      <c r="CS600" t="s">
        <v>7361</v>
      </c>
      <c r="CT600" t="s">
        <v>7362</v>
      </c>
      <c r="CU600" t="s">
        <v>7362</v>
      </c>
      <c r="CV600" t="s">
        <v>7362</v>
      </c>
      <c r="CW600" t="s">
        <v>7362</v>
      </c>
      <c r="CX600">
        <v>1019088</v>
      </c>
      <c r="DA600">
        <v>0</v>
      </c>
    </row>
    <row r="601" spans="1:106" x14ac:dyDescent="0.3">
      <c r="A601">
        <v>1366</v>
      </c>
      <c r="B601" t="s">
        <v>7380</v>
      </c>
      <c r="C601">
        <v>632</v>
      </c>
      <c r="D601" s="20">
        <v>44998</v>
      </c>
      <c r="E601" t="s">
        <v>7372</v>
      </c>
      <c r="F601" t="s">
        <v>4923</v>
      </c>
      <c r="G601" t="s">
        <v>7357</v>
      </c>
      <c r="H601">
        <v>1</v>
      </c>
      <c r="I601" t="s">
        <v>7358</v>
      </c>
      <c r="J601">
        <v>1</v>
      </c>
      <c r="K601" s="20">
        <v>44998</v>
      </c>
      <c r="L601" s="23">
        <v>790755</v>
      </c>
      <c r="M601" t="s">
        <v>7359</v>
      </c>
      <c r="N601" t="s">
        <v>7360</v>
      </c>
      <c r="O601">
        <v>0</v>
      </c>
      <c r="P601">
        <v>13024</v>
      </c>
      <c r="Q601">
        <v>453050</v>
      </c>
      <c r="R601">
        <v>0</v>
      </c>
      <c r="S601">
        <v>20230313</v>
      </c>
      <c r="T601">
        <v>0</v>
      </c>
      <c r="U601" t="s">
        <v>7362</v>
      </c>
      <c r="V601" t="s">
        <v>7360</v>
      </c>
      <c r="W601" t="s">
        <v>7360</v>
      </c>
      <c r="X601" t="s">
        <v>7360</v>
      </c>
      <c r="Y601" t="s">
        <v>7360</v>
      </c>
      <c r="Z601" t="s">
        <v>7360</v>
      </c>
      <c r="AA601" t="s">
        <v>7362</v>
      </c>
      <c r="AB601" t="s">
        <v>7360</v>
      </c>
      <c r="AC601" t="s">
        <v>7360</v>
      </c>
      <c r="AD601" t="s">
        <v>7360</v>
      </c>
      <c r="AE601" t="s">
        <v>7360</v>
      </c>
      <c r="AF601" t="s">
        <v>1684</v>
      </c>
      <c r="AG601">
        <v>0</v>
      </c>
      <c r="AH601">
        <v>0</v>
      </c>
      <c r="AI601">
        <v>0</v>
      </c>
      <c r="AJ601">
        <v>0</v>
      </c>
      <c r="AK601">
        <v>0</v>
      </c>
      <c r="AL601" t="s">
        <v>7360</v>
      </c>
      <c r="AM601">
        <v>0</v>
      </c>
      <c r="AN601" s="20">
        <v>44998</v>
      </c>
      <c r="AO601" s="20">
        <v>44998</v>
      </c>
      <c r="AP601" s="20">
        <v>44998</v>
      </c>
      <c r="AQ601">
        <v>0</v>
      </c>
      <c r="AR601">
        <v>0</v>
      </c>
      <c r="AS601">
        <v>0</v>
      </c>
      <c r="AT601">
        <v>0</v>
      </c>
      <c r="AU601">
        <v>0</v>
      </c>
      <c r="AV601" t="s">
        <v>7360</v>
      </c>
      <c r="AW601">
        <v>0</v>
      </c>
      <c r="AX601" t="s">
        <v>7360</v>
      </c>
      <c r="AY601" t="s">
        <v>7362</v>
      </c>
      <c r="BA601">
        <v>0</v>
      </c>
      <c r="BB601" s="20">
        <v>44998</v>
      </c>
      <c r="BC601">
        <v>0</v>
      </c>
      <c r="BD601" t="s">
        <v>7360</v>
      </c>
      <c r="BF601" s="20">
        <v>44998</v>
      </c>
      <c r="BG601">
        <v>0</v>
      </c>
      <c r="BH601" t="s">
        <v>7363</v>
      </c>
      <c r="BJ601" t="s">
        <v>7362</v>
      </c>
      <c r="BK601">
        <v>169</v>
      </c>
      <c r="BL601">
        <v>11</v>
      </c>
      <c r="BM601">
        <v>1</v>
      </c>
      <c r="BN601" t="s">
        <v>7364</v>
      </c>
      <c r="BO601">
        <v>169</v>
      </c>
      <c r="BP601">
        <v>11</v>
      </c>
      <c r="BQ601">
        <v>1</v>
      </c>
      <c r="BR601" t="s">
        <v>7364</v>
      </c>
      <c r="BS601" t="s">
        <v>61</v>
      </c>
      <c r="BT601" t="s">
        <v>7360</v>
      </c>
      <c r="BU601" t="s">
        <v>7360</v>
      </c>
      <c r="BV601" t="s">
        <v>7360</v>
      </c>
      <c r="BX601" t="s">
        <v>7391</v>
      </c>
      <c r="BY601">
        <v>74</v>
      </c>
      <c r="BZ601" t="s">
        <v>7360</v>
      </c>
      <c r="CA601" t="s">
        <v>7360</v>
      </c>
      <c r="CB601">
        <v>3380666</v>
      </c>
      <c r="CC601" s="21">
        <v>44998.657071759262</v>
      </c>
      <c r="CE601" t="s">
        <v>7392</v>
      </c>
      <c r="CF601">
        <v>1100101</v>
      </c>
      <c r="CG601">
        <v>50947</v>
      </c>
      <c r="CH601">
        <v>51669</v>
      </c>
      <c r="CI601" s="21">
        <v>45009.618564814817</v>
      </c>
      <c r="CJ601" t="s">
        <v>7442</v>
      </c>
      <c r="CK601" t="s">
        <v>7406</v>
      </c>
      <c r="CL601" t="s">
        <v>7443</v>
      </c>
      <c r="CM601" t="s">
        <v>7407</v>
      </c>
      <c r="CS601" t="s">
        <v>7361</v>
      </c>
      <c r="CT601" t="s">
        <v>7362</v>
      </c>
      <c r="CU601" t="s">
        <v>7362</v>
      </c>
      <c r="CV601" t="s">
        <v>7362</v>
      </c>
      <c r="CW601" t="s">
        <v>7362</v>
      </c>
      <c r="CX601">
        <v>790755</v>
      </c>
      <c r="DA601">
        <v>0</v>
      </c>
    </row>
    <row r="602" spans="1:106" x14ac:dyDescent="0.3">
      <c r="A602">
        <v>1366</v>
      </c>
      <c r="B602" t="s">
        <v>7380</v>
      </c>
      <c r="C602">
        <v>633</v>
      </c>
      <c r="D602" s="20">
        <v>44998</v>
      </c>
      <c r="E602" t="s">
        <v>7356</v>
      </c>
      <c r="F602" t="s">
        <v>4928</v>
      </c>
      <c r="G602" t="s">
        <v>7357</v>
      </c>
      <c r="H602">
        <v>1</v>
      </c>
      <c r="I602" t="s">
        <v>7358</v>
      </c>
      <c r="J602">
        <v>1</v>
      </c>
      <c r="K602" s="20">
        <v>44998</v>
      </c>
      <c r="L602" s="23">
        <v>2073880</v>
      </c>
      <c r="M602" t="s">
        <v>7359</v>
      </c>
      <c r="N602" t="s">
        <v>7360</v>
      </c>
      <c r="O602">
        <v>0</v>
      </c>
      <c r="P602">
        <v>12900</v>
      </c>
      <c r="Q602">
        <v>450056</v>
      </c>
      <c r="R602">
        <v>0</v>
      </c>
      <c r="S602">
        <v>20230313</v>
      </c>
      <c r="T602">
        <v>0</v>
      </c>
      <c r="U602" t="s">
        <v>7361</v>
      </c>
      <c r="V602" t="s">
        <v>7360</v>
      </c>
      <c r="W602" t="s">
        <v>7360</v>
      </c>
      <c r="X602" t="s">
        <v>7360</v>
      </c>
      <c r="Y602" t="s">
        <v>7360</v>
      </c>
      <c r="Z602" t="s">
        <v>7360</v>
      </c>
      <c r="AA602" t="s">
        <v>7362</v>
      </c>
      <c r="AB602" t="s">
        <v>7360</v>
      </c>
      <c r="AC602" t="s">
        <v>7360</v>
      </c>
      <c r="AD602" t="s">
        <v>7360</v>
      </c>
      <c r="AE602" t="s">
        <v>7360</v>
      </c>
      <c r="AF602" t="s">
        <v>1684</v>
      </c>
      <c r="AG602">
        <v>0</v>
      </c>
      <c r="AH602">
        <v>0</v>
      </c>
      <c r="AI602">
        <v>0</v>
      </c>
      <c r="AJ602">
        <v>0</v>
      </c>
      <c r="AK602">
        <v>0</v>
      </c>
      <c r="AL602" t="s">
        <v>7360</v>
      </c>
      <c r="AM602">
        <v>0</v>
      </c>
      <c r="AN602" s="20">
        <v>44998</v>
      </c>
      <c r="AO602" s="20">
        <v>44998</v>
      </c>
      <c r="AP602" s="20">
        <v>44998</v>
      </c>
      <c r="AQ602">
        <v>0</v>
      </c>
      <c r="AR602">
        <v>0</v>
      </c>
      <c r="AS602">
        <v>0</v>
      </c>
      <c r="AT602">
        <v>0</v>
      </c>
      <c r="AU602">
        <v>0</v>
      </c>
      <c r="AV602" t="s">
        <v>7360</v>
      </c>
      <c r="AW602">
        <v>0</v>
      </c>
      <c r="AX602" t="s">
        <v>7360</v>
      </c>
      <c r="AY602" t="s">
        <v>7363</v>
      </c>
      <c r="BA602">
        <v>0</v>
      </c>
      <c r="BB602" s="20">
        <v>44998</v>
      </c>
      <c r="BC602">
        <v>0</v>
      </c>
      <c r="BD602" t="s">
        <v>7360</v>
      </c>
      <c r="BF602" s="20">
        <v>44998</v>
      </c>
      <c r="BG602">
        <v>0</v>
      </c>
      <c r="BH602" t="s">
        <v>7363</v>
      </c>
      <c r="BJ602" t="s">
        <v>7362</v>
      </c>
      <c r="BK602">
        <v>169</v>
      </c>
      <c r="BL602">
        <v>11</v>
      </c>
      <c r="BM602">
        <v>1</v>
      </c>
      <c r="BN602" t="s">
        <v>7364</v>
      </c>
      <c r="BO602">
        <v>169</v>
      </c>
      <c r="BP602">
        <v>11</v>
      </c>
      <c r="BQ602">
        <v>1</v>
      </c>
      <c r="BR602" t="s">
        <v>7364</v>
      </c>
      <c r="BS602" t="s">
        <v>48</v>
      </c>
      <c r="BT602" t="s">
        <v>7360</v>
      </c>
      <c r="BU602" t="s">
        <v>7360</v>
      </c>
      <c r="BV602" t="s">
        <v>7360</v>
      </c>
      <c r="BX602" t="s">
        <v>7391</v>
      </c>
      <c r="BY602">
        <v>74</v>
      </c>
      <c r="BZ602" t="s">
        <v>7360</v>
      </c>
      <c r="CA602" t="s">
        <v>7360</v>
      </c>
      <c r="CB602">
        <v>3380666</v>
      </c>
      <c r="CC602" s="21">
        <v>44998.662939814814</v>
      </c>
      <c r="CE602" t="s">
        <v>7392</v>
      </c>
      <c r="CF602">
        <v>1100101</v>
      </c>
      <c r="CG602">
        <v>51669</v>
      </c>
      <c r="CH602">
        <v>51669</v>
      </c>
      <c r="CI602" s="21">
        <v>45002.484849537039</v>
      </c>
      <c r="CJ602" t="s">
        <v>7406</v>
      </c>
      <c r="CK602" t="s">
        <v>7406</v>
      </c>
      <c r="CL602" t="s">
        <v>7407</v>
      </c>
      <c r="CM602" t="s">
        <v>7407</v>
      </c>
      <c r="CS602" t="s">
        <v>7361</v>
      </c>
      <c r="CT602" t="s">
        <v>7362</v>
      </c>
      <c r="CU602" t="s">
        <v>7362</v>
      </c>
      <c r="CV602" t="s">
        <v>7362</v>
      </c>
      <c r="CW602" t="s">
        <v>7362</v>
      </c>
      <c r="CX602">
        <v>2073880</v>
      </c>
      <c r="DA602">
        <v>0</v>
      </c>
    </row>
    <row r="603" spans="1:106" x14ac:dyDescent="0.3">
      <c r="A603">
        <v>1354</v>
      </c>
      <c r="B603" t="s">
        <v>7396</v>
      </c>
      <c r="C603">
        <v>634</v>
      </c>
      <c r="D603" s="20">
        <v>45026</v>
      </c>
      <c r="E603" t="s">
        <v>7397</v>
      </c>
      <c r="F603" t="s">
        <v>4933</v>
      </c>
      <c r="G603" t="s">
        <v>7357</v>
      </c>
      <c r="H603">
        <v>1</v>
      </c>
      <c r="I603" t="s">
        <v>7358</v>
      </c>
      <c r="J603">
        <v>1</v>
      </c>
      <c r="K603" s="20">
        <v>44998</v>
      </c>
      <c r="L603" s="23">
        <v>38652450</v>
      </c>
      <c r="M603" t="s">
        <v>7398</v>
      </c>
      <c r="N603" t="s">
        <v>7360</v>
      </c>
      <c r="O603">
        <v>0</v>
      </c>
      <c r="P603">
        <v>12349</v>
      </c>
      <c r="R603">
        <v>0</v>
      </c>
      <c r="S603">
        <v>20230410</v>
      </c>
      <c r="T603">
        <v>0</v>
      </c>
      <c r="U603" t="s">
        <v>7362</v>
      </c>
      <c r="V603" t="s">
        <v>7360</v>
      </c>
      <c r="W603" t="s">
        <v>7360</v>
      </c>
      <c r="X603" t="s">
        <v>7360</v>
      </c>
      <c r="Y603" t="s">
        <v>7360</v>
      </c>
      <c r="Z603" t="s">
        <v>7360</v>
      </c>
      <c r="AA603" t="s">
        <v>1684</v>
      </c>
      <c r="AB603" t="s">
        <v>7360</v>
      </c>
      <c r="AC603" t="s">
        <v>7360</v>
      </c>
      <c r="AD603" t="s">
        <v>7360</v>
      </c>
      <c r="AE603" t="s">
        <v>7360</v>
      </c>
      <c r="AF603" t="s">
        <v>1684</v>
      </c>
      <c r="AG603">
        <v>0</v>
      </c>
      <c r="AH603">
        <v>0</v>
      </c>
      <c r="AI603">
        <v>0</v>
      </c>
      <c r="AJ603">
        <v>0</v>
      </c>
      <c r="AK603">
        <v>0</v>
      </c>
      <c r="AL603" t="s">
        <v>7360</v>
      </c>
      <c r="AM603">
        <v>0</v>
      </c>
      <c r="AN603" s="20">
        <v>44998</v>
      </c>
      <c r="AO603" s="20">
        <v>44998</v>
      </c>
      <c r="AP603" s="20">
        <v>44998</v>
      </c>
      <c r="AQ603">
        <v>0</v>
      </c>
      <c r="AR603">
        <v>0</v>
      </c>
      <c r="AS603">
        <v>0</v>
      </c>
      <c r="AT603">
        <v>0</v>
      </c>
      <c r="AU603">
        <v>0</v>
      </c>
      <c r="AV603" t="s">
        <v>7360</v>
      </c>
      <c r="AW603">
        <v>0</v>
      </c>
      <c r="AX603" t="s">
        <v>7360</v>
      </c>
      <c r="AY603" t="s">
        <v>7362</v>
      </c>
      <c r="BA603">
        <v>0</v>
      </c>
      <c r="BB603" s="20">
        <v>44998</v>
      </c>
      <c r="BC603">
        <v>0</v>
      </c>
      <c r="BD603" t="s">
        <v>7360</v>
      </c>
      <c r="BF603" s="20">
        <v>44998</v>
      </c>
      <c r="BG603">
        <v>0</v>
      </c>
      <c r="BH603" t="s">
        <v>7363</v>
      </c>
      <c r="BJ603" t="s">
        <v>7362</v>
      </c>
      <c r="BK603">
        <v>169</v>
      </c>
      <c r="BL603">
        <v>11</v>
      </c>
      <c r="BM603">
        <v>1</v>
      </c>
      <c r="BN603" t="s">
        <v>7364</v>
      </c>
      <c r="BO603">
        <v>169</v>
      </c>
      <c r="BP603">
        <v>11</v>
      </c>
      <c r="BQ603">
        <v>1</v>
      </c>
      <c r="BR603" t="s">
        <v>7364</v>
      </c>
      <c r="BS603" t="s">
        <v>7365</v>
      </c>
      <c r="BT603" t="s">
        <v>7360</v>
      </c>
      <c r="BU603" t="s">
        <v>7360</v>
      </c>
      <c r="BV603" t="s">
        <v>7360</v>
      </c>
      <c r="BX603" t="s">
        <v>7391</v>
      </c>
      <c r="BY603">
        <v>74</v>
      </c>
      <c r="BZ603" t="s">
        <v>7360</v>
      </c>
      <c r="CA603" t="s">
        <v>7360</v>
      </c>
      <c r="CB603" t="s">
        <v>7360</v>
      </c>
      <c r="CC603" s="21">
        <v>44998.663530092592</v>
      </c>
      <c r="CE603" t="s">
        <v>7392</v>
      </c>
      <c r="CF603">
        <v>1100101</v>
      </c>
      <c r="CG603">
        <v>50947</v>
      </c>
      <c r="CJ603" t="s">
        <v>7442</v>
      </c>
      <c r="CL603" t="s">
        <v>7443</v>
      </c>
      <c r="CS603" t="s">
        <v>7361</v>
      </c>
      <c r="CT603" t="s">
        <v>7362</v>
      </c>
      <c r="CU603" t="s">
        <v>7362</v>
      </c>
      <c r="CV603" t="s">
        <v>7362</v>
      </c>
      <c r="CW603" t="s">
        <v>7362</v>
      </c>
      <c r="DA603">
        <v>0</v>
      </c>
      <c r="DB603">
        <v>136003</v>
      </c>
    </row>
    <row r="604" spans="1:106" x14ac:dyDescent="0.3">
      <c r="A604">
        <v>1354</v>
      </c>
      <c r="B604" t="s">
        <v>7396</v>
      </c>
      <c r="C604">
        <v>635</v>
      </c>
      <c r="D604" s="20">
        <v>44998</v>
      </c>
      <c r="E604" t="s">
        <v>7372</v>
      </c>
      <c r="F604" t="s">
        <v>4939</v>
      </c>
      <c r="G604" t="s">
        <v>7370</v>
      </c>
      <c r="H604">
        <v>1</v>
      </c>
      <c r="I604" t="s">
        <v>7358</v>
      </c>
      <c r="J604">
        <v>1</v>
      </c>
      <c r="K604" s="20">
        <v>44998</v>
      </c>
      <c r="L604" s="23">
        <v>2820000</v>
      </c>
      <c r="M604" t="s">
        <v>7359</v>
      </c>
      <c r="N604" t="s">
        <v>7360</v>
      </c>
      <c r="O604">
        <v>0</v>
      </c>
      <c r="P604">
        <v>13094</v>
      </c>
      <c r="Q604">
        <v>453083</v>
      </c>
      <c r="R604">
        <v>0</v>
      </c>
      <c r="S604">
        <v>20230313</v>
      </c>
      <c r="T604">
        <v>0</v>
      </c>
      <c r="U604" t="s">
        <v>7362</v>
      </c>
      <c r="V604" t="s">
        <v>7360</v>
      </c>
      <c r="W604" t="s">
        <v>7360</v>
      </c>
      <c r="X604" t="s">
        <v>7360</v>
      </c>
      <c r="Y604" t="s">
        <v>7360</v>
      </c>
      <c r="Z604" t="s">
        <v>7360</v>
      </c>
      <c r="AA604" t="s">
        <v>7362</v>
      </c>
      <c r="AB604" t="s">
        <v>7360</v>
      </c>
      <c r="AC604" t="s">
        <v>7360</v>
      </c>
      <c r="AD604" t="s">
        <v>7360</v>
      </c>
      <c r="AE604" t="s">
        <v>7360</v>
      </c>
      <c r="AF604" t="s">
        <v>1684</v>
      </c>
      <c r="AG604">
        <v>0</v>
      </c>
      <c r="AH604">
        <v>0</v>
      </c>
      <c r="AI604">
        <v>0</v>
      </c>
      <c r="AJ604">
        <v>0</v>
      </c>
      <c r="AK604">
        <v>0</v>
      </c>
      <c r="AL604" t="s">
        <v>7360</v>
      </c>
      <c r="AM604">
        <v>0</v>
      </c>
      <c r="AN604" s="20">
        <v>44998</v>
      </c>
      <c r="AO604" s="20">
        <v>44998</v>
      </c>
      <c r="AP604" s="20">
        <v>44998</v>
      </c>
      <c r="AQ604">
        <v>0</v>
      </c>
      <c r="AR604">
        <v>0</v>
      </c>
      <c r="AS604">
        <v>0</v>
      </c>
      <c r="AT604">
        <v>0</v>
      </c>
      <c r="AU604">
        <v>0</v>
      </c>
      <c r="AV604" t="s">
        <v>7360</v>
      </c>
      <c r="AW604">
        <v>0</v>
      </c>
      <c r="AX604" t="s">
        <v>7360</v>
      </c>
      <c r="AY604" t="s">
        <v>7362</v>
      </c>
      <c r="BA604">
        <v>0</v>
      </c>
      <c r="BB604" s="20">
        <v>44998</v>
      </c>
      <c r="BC604">
        <v>0</v>
      </c>
      <c r="BD604" t="s">
        <v>7360</v>
      </c>
      <c r="BF604" s="20">
        <v>44998</v>
      </c>
      <c r="BG604">
        <v>0</v>
      </c>
      <c r="BH604" t="s">
        <v>7363</v>
      </c>
      <c r="BJ604" t="s">
        <v>7362</v>
      </c>
      <c r="BK604">
        <v>169</v>
      </c>
      <c r="BL604">
        <v>11</v>
      </c>
      <c r="BM604">
        <v>1</v>
      </c>
      <c r="BN604" t="s">
        <v>7364</v>
      </c>
      <c r="BO604">
        <v>169</v>
      </c>
      <c r="BP604">
        <v>11</v>
      </c>
      <c r="BQ604">
        <v>1</v>
      </c>
      <c r="BR604" t="s">
        <v>7364</v>
      </c>
      <c r="BS604" t="s">
        <v>7411</v>
      </c>
      <c r="BT604" t="s">
        <v>7360</v>
      </c>
      <c r="BU604" t="s">
        <v>7360</v>
      </c>
      <c r="BV604" t="s">
        <v>7360</v>
      </c>
      <c r="BX604" t="s">
        <v>7391</v>
      </c>
      <c r="BY604">
        <v>74</v>
      </c>
      <c r="BZ604" t="s">
        <v>7360</v>
      </c>
      <c r="CA604" t="s">
        <v>7360</v>
      </c>
      <c r="CB604">
        <v>3380666</v>
      </c>
      <c r="CC604" s="21">
        <v>44998.679942129631</v>
      </c>
      <c r="CE604" t="s">
        <v>7392</v>
      </c>
      <c r="CF604">
        <v>1100101</v>
      </c>
      <c r="CG604">
        <v>51669</v>
      </c>
      <c r="CH604">
        <v>51669</v>
      </c>
      <c r="CI604" s="21">
        <v>44998.681354166663</v>
      </c>
      <c r="CJ604" t="s">
        <v>7406</v>
      </c>
      <c r="CK604" t="s">
        <v>7406</v>
      </c>
      <c r="CL604" t="s">
        <v>7407</v>
      </c>
      <c r="CM604" t="s">
        <v>7407</v>
      </c>
      <c r="CS604" t="s">
        <v>7361</v>
      </c>
      <c r="CT604" t="s">
        <v>7362</v>
      </c>
      <c r="CU604" t="s">
        <v>7362</v>
      </c>
      <c r="CV604" t="s">
        <v>7362</v>
      </c>
      <c r="CW604" t="s">
        <v>7362</v>
      </c>
      <c r="CX604">
        <v>2820000</v>
      </c>
      <c r="DA604">
        <v>0</v>
      </c>
    </row>
    <row r="605" spans="1:106" x14ac:dyDescent="0.3">
      <c r="A605">
        <v>1351</v>
      </c>
      <c r="B605" t="s">
        <v>7420</v>
      </c>
      <c r="C605">
        <v>636</v>
      </c>
      <c r="D605" s="20">
        <v>44998</v>
      </c>
      <c r="E605" t="s">
        <v>7356</v>
      </c>
      <c r="F605" t="s">
        <v>4944</v>
      </c>
      <c r="G605" t="s">
        <v>7381</v>
      </c>
      <c r="H605">
        <v>2</v>
      </c>
      <c r="I605" t="s">
        <v>7428</v>
      </c>
      <c r="J605" t="s">
        <v>7458</v>
      </c>
      <c r="K605" s="20">
        <v>44998</v>
      </c>
      <c r="L605" s="23">
        <f>24.98*4748.14</f>
        <v>118608.53720000001</v>
      </c>
      <c r="M605" t="s">
        <v>7359</v>
      </c>
      <c r="N605" t="s">
        <v>7360</v>
      </c>
      <c r="O605">
        <v>0</v>
      </c>
      <c r="P605">
        <v>13109</v>
      </c>
      <c r="Q605">
        <v>453095</v>
      </c>
      <c r="R605">
        <v>0</v>
      </c>
      <c r="S605">
        <v>20230313</v>
      </c>
      <c r="T605">
        <v>0</v>
      </c>
      <c r="U605" t="s">
        <v>7361</v>
      </c>
      <c r="V605" t="s">
        <v>7360</v>
      </c>
      <c r="W605" t="s">
        <v>7360</v>
      </c>
      <c r="X605" t="s">
        <v>7360</v>
      </c>
      <c r="Y605" t="s">
        <v>7360</v>
      </c>
      <c r="Z605" t="s">
        <v>7360</v>
      </c>
      <c r="AA605" t="s">
        <v>7362</v>
      </c>
      <c r="AB605" t="s">
        <v>7360</v>
      </c>
      <c r="AC605" t="s">
        <v>7360</v>
      </c>
      <c r="AD605" t="s">
        <v>7360</v>
      </c>
      <c r="AE605" t="s">
        <v>7360</v>
      </c>
      <c r="AF605" t="s">
        <v>1684</v>
      </c>
      <c r="AG605">
        <v>0</v>
      </c>
      <c r="AH605">
        <v>0</v>
      </c>
      <c r="AI605">
        <v>0</v>
      </c>
      <c r="AJ605">
        <v>0</v>
      </c>
      <c r="AK605">
        <v>0</v>
      </c>
      <c r="AL605" t="s">
        <v>7360</v>
      </c>
      <c r="AM605">
        <v>0</v>
      </c>
      <c r="AN605" s="20">
        <v>44998</v>
      </c>
      <c r="AO605" s="21">
        <v>41914.537905092591</v>
      </c>
      <c r="AP605" s="20">
        <v>44998</v>
      </c>
      <c r="AQ605">
        <v>0</v>
      </c>
      <c r="AR605">
        <v>0</v>
      </c>
      <c r="AS605">
        <v>0</v>
      </c>
      <c r="AT605">
        <v>0</v>
      </c>
      <c r="AU605">
        <v>0</v>
      </c>
      <c r="AV605" t="s">
        <v>7360</v>
      </c>
      <c r="AW605">
        <v>0</v>
      </c>
      <c r="AX605" t="s">
        <v>7360</v>
      </c>
      <c r="AY605" t="s">
        <v>7363</v>
      </c>
      <c r="BA605">
        <v>0</v>
      </c>
      <c r="BB605" s="20">
        <v>44998</v>
      </c>
      <c r="BC605">
        <v>0</v>
      </c>
      <c r="BD605" t="s">
        <v>7360</v>
      </c>
      <c r="BF605" s="20">
        <v>44998</v>
      </c>
      <c r="BG605">
        <v>0</v>
      </c>
      <c r="BH605" t="s">
        <v>1729</v>
      </c>
      <c r="BJ605" t="s">
        <v>7362</v>
      </c>
      <c r="BK605">
        <v>169</v>
      </c>
      <c r="BL605">
        <v>11</v>
      </c>
      <c r="BM605">
        <v>1</v>
      </c>
      <c r="BN605" t="s">
        <v>7364</v>
      </c>
      <c r="BO605">
        <v>169</v>
      </c>
      <c r="BP605">
        <v>11</v>
      </c>
      <c r="BQ605">
        <v>1</v>
      </c>
      <c r="BR605" t="s">
        <v>7364</v>
      </c>
      <c r="BS605" t="s">
        <v>7411</v>
      </c>
      <c r="BT605" t="s">
        <v>7360</v>
      </c>
      <c r="BU605" t="s">
        <v>7360</v>
      </c>
      <c r="BV605" t="s">
        <v>7360</v>
      </c>
      <c r="BX605" t="s">
        <v>7391</v>
      </c>
      <c r="BY605">
        <v>74</v>
      </c>
      <c r="BZ605" t="s">
        <v>7360</v>
      </c>
      <c r="CA605" t="s">
        <v>7360</v>
      </c>
      <c r="CB605">
        <v>3380666</v>
      </c>
      <c r="CC605" s="21">
        <v>44998.687974537039</v>
      </c>
      <c r="CE605" t="s">
        <v>7392</v>
      </c>
      <c r="CF605">
        <v>1100101</v>
      </c>
      <c r="CG605">
        <v>51669</v>
      </c>
      <c r="CH605">
        <v>51669</v>
      </c>
      <c r="CI605" s="21">
        <v>44998.689837962964</v>
      </c>
      <c r="CJ605" t="s">
        <v>7406</v>
      </c>
      <c r="CK605" t="s">
        <v>7406</v>
      </c>
      <c r="CL605" t="s">
        <v>7407</v>
      </c>
      <c r="CM605" t="s">
        <v>7407</v>
      </c>
      <c r="CS605" t="s">
        <v>7361</v>
      </c>
      <c r="CT605" t="s">
        <v>7362</v>
      </c>
      <c r="CU605" t="s">
        <v>7362</v>
      </c>
      <c r="CV605" t="s">
        <v>7362</v>
      </c>
      <c r="CW605" t="s">
        <v>7362</v>
      </c>
      <c r="CX605" t="s">
        <v>7459</v>
      </c>
      <c r="DA605">
        <v>0</v>
      </c>
    </row>
    <row r="606" spans="1:106" x14ac:dyDescent="0.3">
      <c r="A606">
        <v>1354</v>
      </c>
      <c r="B606" t="s">
        <v>7396</v>
      </c>
      <c r="C606">
        <v>637</v>
      </c>
      <c r="D606" s="20">
        <v>44998</v>
      </c>
      <c r="E606" t="s">
        <v>7372</v>
      </c>
      <c r="F606" t="s">
        <v>4949</v>
      </c>
      <c r="G606" t="s">
        <v>7370</v>
      </c>
      <c r="H606">
        <v>1</v>
      </c>
      <c r="I606" t="s">
        <v>7358</v>
      </c>
      <c r="J606">
        <v>1</v>
      </c>
      <c r="K606" s="20">
        <v>44998</v>
      </c>
      <c r="L606" s="23">
        <v>3240000</v>
      </c>
      <c r="M606" t="s">
        <v>7359</v>
      </c>
      <c r="N606" t="s">
        <v>7360</v>
      </c>
      <c r="O606">
        <v>0</v>
      </c>
      <c r="P606">
        <v>13102</v>
      </c>
      <c r="Q606">
        <v>453091</v>
      </c>
      <c r="R606">
        <v>0</v>
      </c>
      <c r="S606">
        <v>20230313</v>
      </c>
      <c r="T606">
        <v>0</v>
      </c>
      <c r="U606" t="s">
        <v>7362</v>
      </c>
      <c r="V606" t="s">
        <v>7360</v>
      </c>
      <c r="W606" t="s">
        <v>7360</v>
      </c>
      <c r="X606" t="s">
        <v>7360</v>
      </c>
      <c r="Y606" t="s">
        <v>7360</v>
      </c>
      <c r="Z606" t="s">
        <v>7360</v>
      </c>
      <c r="AA606" t="s">
        <v>7362</v>
      </c>
      <c r="AB606" t="s">
        <v>7360</v>
      </c>
      <c r="AC606" t="s">
        <v>7360</v>
      </c>
      <c r="AD606" t="s">
        <v>7360</v>
      </c>
      <c r="AE606" t="s">
        <v>7360</v>
      </c>
      <c r="AF606" t="s">
        <v>1684</v>
      </c>
      <c r="AG606">
        <v>0</v>
      </c>
      <c r="AH606">
        <v>0</v>
      </c>
      <c r="AI606">
        <v>0</v>
      </c>
      <c r="AJ606">
        <v>0</v>
      </c>
      <c r="AK606">
        <v>0</v>
      </c>
      <c r="AL606" t="s">
        <v>7360</v>
      </c>
      <c r="AM606">
        <v>0</v>
      </c>
      <c r="AN606" s="20">
        <v>44998</v>
      </c>
      <c r="AO606" s="20">
        <v>44998</v>
      </c>
      <c r="AP606" s="20">
        <v>44998</v>
      </c>
      <c r="AQ606">
        <v>0</v>
      </c>
      <c r="AR606">
        <v>0</v>
      </c>
      <c r="AS606">
        <v>0</v>
      </c>
      <c r="AT606">
        <v>0</v>
      </c>
      <c r="AU606">
        <v>0</v>
      </c>
      <c r="AV606" t="s">
        <v>7360</v>
      </c>
      <c r="AW606">
        <v>0</v>
      </c>
      <c r="AX606" t="s">
        <v>7360</v>
      </c>
      <c r="AY606" t="s">
        <v>7362</v>
      </c>
      <c r="BA606">
        <v>0</v>
      </c>
      <c r="BB606" s="20">
        <v>44998</v>
      </c>
      <c r="BC606">
        <v>0</v>
      </c>
      <c r="BD606" t="s">
        <v>7360</v>
      </c>
      <c r="BF606" s="20">
        <v>44998</v>
      </c>
      <c r="BG606">
        <v>0</v>
      </c>
      <c r="BH606" t="s">
        <v>7363</v>
      </c>
      <c r="BJ606" t="s">
        <v>7362</v>
      </c>
      <c r="BK606">
        <v>169</v>
      </c>
      <c r="BL606">
        <v>11</v>
      </c>
      <c r="BM606">
        <v>1</v>
      </c>
      <c r="BN606" t="s">
        <v>7364</v>
      </c>
      <c r="BO606">
        <v>169</v>
      </c>
      <c r="BP606">
        <v>11</v>
      </c>
      <c r="BQ606">
        <v>1</v>
      </c>
      <c r="BR606" t="s">
        <v>7364</v>
      </c>
      <c r="BS606" t="s">
        <v>7411</v>
      </c>
      <c r="BT606" t="s">
        <v>7360</v>
      </c>
      <c r="BU606" t="s">
        <v>7360</v>
      </c>
      <c r="BV606" t="s">
        <v>7360</v>
      </c>
      <c r="BX606" t="s">
        <v>7391</v>
      </c>
      <c r="BY606">
        <v>74</v>
      </c>
      <c r="BZ606" t="s">
        <v>7360</v>
      </c>
      <c r="CA606" t="s">
        <v>7360</v>
      </c>
      <c r="CB606">
        <v>3380666</v>
      </c>
      <c r="CC606" s="21">
        <v>44998.691747685189</v>
      </c>
      <c r="CE606" t="s">
        <v>7392</v>
      </c>
      <c r="CF606">
        <v>1100101</v>
      </c>
      <c r="CG606">
        <v>51669</v>
      </c>
      <c r="CH606">
        <v>51669</v>
      </c>
      <c r="CI606" s="21">
        <v>44998.692465277774</v>
      </c>
      <c r="CJ606" t="s">
        <v>7406</v>
      </c>
      <c r="CK606" t="s">
        <v>7406</v>
      </c>
      <c r="CL606" t="s">
        <v>7407</v>
      </c>
      <c r="CM606" t="s">
        <v>7407</v>
      </c>
      <c r="CS606" t="s">
        <v>7361</v>
      </c>
      <c r="CT606" t="s">
        <v>7362</v>
      </c>
      <c r="CU606" t="s">
        <v>7362</v>
      </c>
      <c r="CV606" t="s">
        <v>7362</v>
      </c>
      <c r="CW606" t="s">
        <v>7362</v>
      </c>
      <c r="CX606">
        <v>3240000</v>
      </c>
      <c r="DA606">
        <v>0</v>
      </c>
    </row>
    <row r="607" spans="1:106" x14ac:dyDescent="0.3">
      <c r="A607">
        <v>1371</v>
      </c>
      <c r="B607" t="s">
        <v>7389</v>
      </c>
      <c r="C607">
        <v>638</v>
      </c>
      <c r="D607" s="20">
        <v>44999</v>
      </c>
      <c r="E607" t="s">
        <v>7356</v>
      </c>
      <c r="F607" t="s">
        <v>4955</v>
      </c>
      <c r="G607" t="s">
        <v>7357</v>
      </c>
      <c r="H607">
        <v>1</v>
      </c>
      <c r="I607" t="s">
        <v>7358</v>
      </c>
      <c r="J607">
        <v>1</v>
      </c>
      <c r="K607" s="20">
        <v>44999</v>
      </c>
      <c r="L607" s="23">
        <v>8271690</v>
      </c>
      <c r="M607" t="s">
        <v>7359</v>
      </c>
      <c r="N607" t="s">
        <v>7360</v>
      </c>
      <c r="O607">
        <v>0</v>
      </c>
      <c r="P607">
        <v>13152</v>
      </c>
      <c r="Q607">
        <v>454024</v>
      </c>
      <c r="R607">
        <v>0</v>
      </c>
      <c r="S607">
        <v>20230314</v>
      </c>
      <c r="T607">
        <v>0</v>
      </c>
      <c r="U607" t="s">
        <v>7361</v>
      </c>
      <c r="V607" t="s">
        <v>7360</v>
      </c>
      <c r="W607" t="s">
        <v>7360</v>
      </c>
      <c r="X607" t="s">
        <v>7360</v>
      </c>
      <c r="Y607" t="s">
        <v>7360</v>
      </c>
      <c r="Z607" t="s">
        <v>7360</v>
      </c>
      <c r="AA607" t="s">
        <v>7362</v>
      </c>
      <c r="AB607" t="s">
        <v>7360</v>
      </c>
      <c r="AC607" t="s">
        <v>7360</v>
      </c>
      <c r="AD607" t="s">
        <v>7360</v>
      </c>
      <c r="AE607" t="s">
        <v>7360</v>
      </c>
      <c r="AF607" t="s">
        <v>1684</v>
      </c>
      <c r="AG607">
        <v>0</v>
      </c>
      <c r="AH607">
        <v>0</v>
      </c>
      <c r="AI607">
        <v>0</v>
      </c>
      <c r="AJ607">
        <v>0</v>
      </c>
      <c r="AK607">
        <v>0</v>
      </c>
      <c r="AL607" t="s">
        <v>7360</v>
      </c>
      <c r="AM607">
        <v>0</v>
      </c>
      <c r="AN607" s="20">
        <v>44999</v>
      </c>
      <c r="AO607" s="20">
        <v>44999</v>
      </c>
      <c r="AP607" s="20">
        <v>44999</v>
      </c>
      <c r="AQ607">
        <v>0</v>
      </c>
      <c r="AR607">
        <v>0</v>
      </c>
      <c r="AS607">
        <v>0</v>
      </c>
      <c r="AT607">
        <v>0</v>
      </c>
      <c r="AU607">
        <v>0</v>
      </c>
      <c r="AV607" t="s">
        <v>7360</v>
      </c>
      <c r="AW607">
        <v>0</v>
      </c>
      <c r="AX607" t="s">
        <v>7360</v>
      </c>
      <c r="AY607" t="s">
        <v>7363</v>
      </c>
      <c r="BA607">
        <v>0</v>
      </c>
      <c r="BB607" s="20">
        <v>44999</v>
      </c>
      <c r="BC607">
        <v>0</v>
      </c>
      <c r="BD607" t="s">
        <v>7360</v>
      </c>
      <c r="BF607" s="20">
        <v>44999</v>
      </c>
      <c r="BG607">
        <v>0</v>
      </c>
      <c r="BH607" t="s">
        <v>7363</v>
      </c>
      <c r="BJ607" t="s">
        <v>7362</v>
      </c>
      <c r="BK607">
        <v>169</v>
      </c>
      <c r="BL607">
        <v>11</v>
      </c>
      <c r="BM607">
        <v>1</v>
      </c>
      <c r="BN607" t="s">
        <v>7364</v>
      </c>
      <c r="BO607">
        <v>169</v>
      </c>
      <c r="BP607">
        <v>11</v>
      </c>
      <c r="BQ607">
        <v>1</v>
      </c>
      <c r="BR607" t="s">
        <v>7364</v>
      </c>
      <c r="BS607" t="s">
        <v>7427</v>
      </c>
      <c r="BT607" t="s">
        <v>7360</v>
      </c>
      <c r="BU607" t="s">
        <v>7360</v>
      </c>
      <c r="BV607" t="s">
        <v>7360</v>
      </c>
      <c r="BX607" t="s">
        <v>7391</v>
      </c>
      <c r="BY607">
        <v>74</v>
      </c>
      <c r="BZ607" t="s">
        <v>7360</v>
      </c>
      <c r="CA607" t="s">
        <v>7360</v>
      </c>
      <c r="CB607" t="s">
        <v>7360</v>
      </c>
      <c r="CC607" s="21">
        <v>44999.380057870374</v>
      </c>
      <c r="CE607" t="s">
        <v>7392</v>
      </c>
      <c r="CF607">
        <v>1100101</v>
      </c>
      <c r="CG607">
        <v>50947</v>
      </c>
      <c r="CH607">
        <v>50947</v>
      </c>
      <c r="CI607" s="21">
        <v>44999.382164351853</v>
      </c>
      <c r="CJ607" t="s">
        <v>7442</v>
      </c>
      <c r="CK607" t="s">
        <v>7442</v>
      </c>
      <c r="CL607" t="s">
        <v>7443</v>
      </c>
      <c r="CM607" t="s">
        <v>7443</v>
      </c>
      <c r="CS607" t="s">
        <v>7361</v>
      </c>
      <c r="CT607" t="s">
        <v>7362</v>
      </c>
      <c r="CU607" t="s">
        <v>7362</v>
      </c>
      <c r="CV607" t="s">
        <v>7362</v>
      </c>
      <c r="CW607" t="s">
        <v>7362</v>
      </c>
      <c r="CX607">
        <v>8271690</v>
      </c>
      <c r="DA607">
        <v>0</v>
      </c>
    </row>
    <row r="608" spans="1:106" x14ac:dyDescent="0.3">
      <c r="A608">
        <v>1365</v>
      </c>
      <c r="B608" t="s">
        <v>7384</v>
      </c>
      <c r="C608">
        <v>639</v>
      </c>
      <c r="D608" s="20">
        <v>44999</v>
      </c>
      <c r="E608" t="s">
        <v>7372</v>
      </c>
      <c r="F608" t="s">
        <v>4960</v>
      </c>
      <c r="G608" t="s">
        <v>7357</v>
      </c>
      <c r="H608">
        <v>1</v>
      </c>
      <c r="I608" t="s">
        <v>7358</v>
      </c>
      <c r="J608">
        <v>1</v>
      </c>
      <c r="K608" s="20">
        <v>44999</v>
      </c>
      <c r="L608" s="23">
        <v>1724310</v>
      </c>
      <c r="M608" t="s">
        <v>7359</v>
      </c>
      <c r="N608" t="s">
        <v>7360</v>
      </c>
      <c r="O608">
        <v>0</v>
      </c>
      <c r="P608">
        <v>13154</v>
      </c>
      <c r="Q608">
        <v>454026</v>
      </c>
      <c r="R608">
        <v>0</v>
      </c>
      <c r="S608">
        <v>20230314</v>
      </c>
      <c r="T608">
        <v>0</v>
      </c>
      <c r="U608" t="s">
        <v>7362</v>
      </c>
      <c r="V608" t="s">
        <v>7360</v>
      </c>
      <c r="W608" t="s">
        <v>7360</v>
      </c>
      <c r="X608" t="s">
        <v>7360</v>
      </c>
      <c r="Y608" t="s">
        <v>7360</v>
      </c>
      <c r="Z608" t="s">
        <v>7360</v>
      </c>
      <c r="AA608" t="s">
        <v>7362</v>
      </c>
      <c r="AB608" t="s">
        <v>7360</v>
      </c>
      <c r="AC608" t="s">
        <v>7360</v>
      </c>
      <c r="AD608" t="s">
        <v>7360</v>
      </c>
      <c r="AE608" t="s">
        <v>7360</v>
      </c>
      <c r="AF608" t="s">
        <v>1684</v>
      </c>
      <c r="AG608">
        <v>0</v>
      </c>
      <c r="AH608">
        <v>0</v>
      </c>
      <c r="AI608">
        <v>0</v>
      </c>
      <c r="AJ608">
        <v>0</v>
      </c>
      <c r="AK608">
        <v>0</v>
      </c>
      <c r="AL608" t="s">
        <v>7360</v>
      </c>
      <c r="AM608">
        <v>0</v>
      </c>
      <c r="AN608" s="20">
        <v>44999</v>
      </c>
      <c r="AO608" s="20">
        <v>44999</v>
      </c>
      <c r="AP608" s="20">
        <v>44999</v>
      </c>
      <c r="AQ608">
        <v>0</v>
      </c>
      <c r="AR608">
        <v>0</v>
      </c>
      <c r="AS608">
        <v>0</v>
      </c>
      <c r="AT608">
        <v>0</v>
      </c>
      <c r="AU608">
        <v>0</v>
      </c>
      <c r="AV608" t="s">
        <v>7360</v>
      </c>
      <c r="AW608">
        <v>0</v>
      </c>
      <c r="AX608" t="s">
        <v>7360</v>
      </c>
      <c r="AY608" t="s">
        <v>7362</v>
      </c>
      <c r="BA608">
        <v>0</v>
      </c>
      <c r="BB608" s="20">
        <v>44999</v>
      </c>
      <c r="BC608">
        <v>0</v>
      </c>
      <c r="BD608" t="s">
        <v>7360</v>
      </c>
      <c r="BF608" s="20">
        <v>44999</v>
      </c>
      <c r="BG608">
        <v>0</v>
      </c>
      <c r="BH608" t="s">
        <v>7363</v>
      </c>
      <c r="BJ608" t="s">
        <v>7362</v>
      </c>
      <c r="BK608">
        <v>169</v>
      </c>
      <c r="BL608">
        <v>11</v>
      </c>
      <c r="BM608">
        <v>1</v>
      </c>
      <c r="BN608" t="s">
        <v>7364</v>
      </c>
      <c r="BO608">
        <v>169</v>
      </c>
      <c r="BP608">
        <v>11</v>
      </c>
      <c r="BQ608">
        <v>1</v>
      </c>
      <c r="BR608" t="s">
        <v>7364</v>
      </c>
      <c r="BS608" t="s">
        <v>7460</v>
      </c>
      <c r="BT608" t="s">
        <v>7360</v>
      </c>
      <c r="BU608" t="s">
        <v>7360</v>
      </c>
      <c r="BV608" t="s">
        <v>7360</v>
      </c>
      <c r="BX608" t="s">
        <v>7391</v>
      </c>
      <c r="BY608">
        <v>74</v>
      </c>
      <c r="BZ608" t="s">
        <v>7360</v>
      </c>
      <c r="CA608" t="s">
        <v>7360</v>
      </c>
      <c r="CB608">
        <v>3156020026</v>
      </c>
      <c r="CC608" s="21">
        <v>44999.391226851854</v>
      </c>
      <c r="CE608" t="s">
        <v>7392</v>
      </c>
      <c r="CF608">
        <v>1100101</v>
      </c>
      <c r="CG608">
        <v>50947</v>
      </c>
      <c r="CH608">
        <v>50947</v>
      </c>
      <c r="CI608" s="21">
        <v>44999.398784722223</v>
      </c>
      <c r="CJ608" t="s">
        <v>7442</v>
      </c>
      <c r="CK608" t="s">
        <v>7442</v>
      </c>
      <c r="CL608" t="s">
        <v>7443</v>
      </c>
      <c r="CM608" t="s">
        <v>7443</v>
      </c>
      <c r="CS608" t="s">
        <v>7361</v>
      </c>
      <c r="CT608" t="s">
        <v>7362</v>
      </c>
      <c r="CU608" t="s">
        <v>7362</v>
      </c>
      <c r="CV608" t="s">
        <v>7362</v>
      </c>
      <c r="CW608" t="s">
        <v>7362</v>
      </c>
      <c r="CX608">
        <v>1724310</v>
      </c>
      <c r="DA608">
        <v>0</v>
      </c>
    </row>
    <row r="609" spans="1:106" x14ac:dyDescent="0.3">
      <c r="A609">
        <v>1354</v>
      </c>
      <c r="B609" t="s">
        <v>7396</v>
      </c>
      <c r="C609">
        <v>640</v>
      </c>
      <c r="D609" s="20">
        <v>44999</v>
      </c>
      <c r="E609" t="s">
        <v>7372</v>
      </c>
      <c r="F609" t="s">
        <v>4965</v>
      </c>
      <c r="G609" t="s">
        <v>7370</v>
      </c>
      <c r="H609">
        <v>1</v>
      </c>
      <c r="I609" t="s">
        <v>7358</v>
      </c>
      <c r="J609">
        <v>1</v>
      </c>
      <c r="K609" s="20">
        <v>44999</v>
      </c>
      <c r="L609" s="23">
        <v>2450000</v>
      </c>
      <c r="M609" t="s">
        <v>7359</v>
      </c>
      <c r="N609" t="s">
        <v>7360</v>
      </c>
      <c r="O609">
        <v>0</v>
      </c>
      <c r="P609">
        <v>13067</v>
      </c>
      <c r="Q609">
        <v>453073</v>
      </c>
      <c r="R609">
        <v>0</v>
      </c>
      <c r="S609">
        <v>20230314</v>
      </c>
      <c r="T609">
        <v>0</v>
      </c>
      <c r="U609" t="s">
        <v>7362</v>
      </c>
      <c r="V609" t="s">
        <v>7360</v>
      </c>
      <c r="W609" t="s">
        <v>7360</v>
      </c>
      <c r="X609" t="s">
        <v>7360</v>
      </c>
      <c r="Y609" t="s">
        <v>7360</v>
      </c>
      <c r="Z609" t="s">
        <v>7360</v>
      </c>
      <c r="AA609" t="s">
        <v>7362</v>
      </c>
      <c r="AB609" t="s">
        <v>7360</v>
      </c>
      <c r="AC609" t="s">
        <v>7360</v>
      </c>
      <c r="AD609" t="s">
        <v>7360</v>
      </c>
      <c r="AE609" t="s">
        <v>7360</v>
      </c>
      <c r="AF609" t="s">
        <v>1684</v>
      </c>
      <c r="AG609">
        <v>0</v>
      </c>
      <c r="AH609">
        <v>0</v>
      </c>
      <c r="AI609">
        <v>0</v>
      </c>
      <c r="AJ609">
        <v>0</v>
      </c>
      <c r="AK609">
        <v>0</v>
      </c>
      <c r="AL609" t="s">
        <v>7360</v>
      </c>
      <c r="AM609">
        <v>0</v>
      </c>
      <c r="AN609" s="20">
        <v>44999</v>
      </c>
      <c r="AO609" s="20">
        <v>44999</v>
      </c>
      <c r="AP609" s="20">
        <v>44999</v>
      </c>
      <c r="AQ609">
        <v>0</v>
      </c>
      <c r="AR609">
        <v>0</v>
      </c>
      <c r="AS609">
        <v>0</v>
      </c>
      <c r="AT609">
        <v>0</v>
      </c>
      <c r="AU609">
        <v>0</v>
      </c>
      <c r="AV609" t="s">
        <v>7360</v>
      </c>
      <c r="AW609">
        <v>0</v>
      </c>
      <c r="AX609" t="s">
        <v>7360</v>
      </c>
      <c r="AY609" t="s">
        <v>7362</v>
      </c>
      <c r="BA609">
        <v>0</v>
      </c>
      <c r="BB609" s="20">
        <v>44999</v>
      </c>
      <c r="BC609">
        <v>0</v>
      </c>
      <c r="BD609" t="s">
        <v>7360</v>
      </c>
      <c r="BF609" s="20">
        <v>44999</v>
      </c>
      <c r="BG609">
        <v>0</v>
      </c>
      <c r="BH609" t="s">
        <v>7363</v>
      </c>
      <c r="BJ609" t="s">
        <v>7362</v>
      </c>
      <c r="BK609">
        <v>169</v>
      </c>
      <c r="BL609">
        <v>11</v>
      </c>
      <c r="BM609">
        <v>1</v>
      </c>
      <c r="BN609" t="s">
        <v>7364</v>
      </c>
      <c r="BO609">
        <v>0</v>
      </c>
      <c r="BP609">
        <v>0</v>
      </c>
      <c r="BQ609">
        <v>0</v>
      </c>
      <c r="BR609">
        <v>0</v>
      </c>
      <c r="BS609" t="s">
        <v>7427</v>
      </c>
      <c r="BT609" t="s">
        <v>7360</v>
      </c>
      <c r="BU609" t="s">
        <v>7360</v>
      </c>
      <c r="BV609" t="s">
        <v>7360</v>
      </c>
      <c r="BX609" t="s">
        <v>7391</v>
      </c>
      <c r="BY609">
        <v>74</v>
      </c>
      <c r="BZ609" t="s">
        <v>7360</v>
      </c>
      <c r="CA609" t="s">
        <v>7360</v>
      </c>
      <c r="CC609" s="21">
        <v>44999.399421296293</v>
      </c>
      <c r="CE609" t="s">
        <v>7392</v>
      </c>
      <c r="CF609">
        <v>1100101</v>
      </c>
      <c r="CG609">
        <v>53575</v>
      </c>
      <c r="CH609">
        <v>53575</v>
      </c>
      <c r="CI609" s="21">
        <v>44999.400833333333</v>
      </c>
      <c r="CJ609" t="s">
        <v>7393</v>
      </c>
      <c r="CK609" t="s">
        <v>7393</v>
      </c>
      <c r="CL609" t="s">
        <v>7394</v>
      </c>
      <c r="CM609" t="s">
        <v>7394</v>
      </c>
      <c r="CS609" t="s">
        <v>7361</v>
      </c>
      <c r="CT609" t="s">
        <v>7362</v>
      </c>
      <c r="CU609" t="s">
        <v>7362</v>
      </c>
      <c r="CV609" t="s">
        <v>7362</v>
      </c>
      <c r="CW609" t="s">
        <v>7362</v>
      </c>
      <c r="CX609">
        <v>2450000</v>
      </c>
      <c r="DA609">
        <v>0</v>
      </c>
    </row>
    <row r="610" spans="1:106" x14ac:dyDescent="0.3">
      <c r="A610">
        <v>1354</v>
      </c>
      <c r="B610" t="s">
        <v>7396</v>
      </c>
      <c r="C610">
        <v>713</v>
      </c>
      <c r="D610" s="20">
        <v>45007</v>
      </c>
      <c r="E610" t="s">
        <v>7372</v>
      </c>
      <c r="F610" t="s">
        <v>4971</v>
      </c>
      <c r="G610" t="s">
        <v>7370</v>
      </c>
      <c r="H610">
        <v>1</v>
      </c>
      <c r="I610" t="s">
        <v>7358</v>
      </c>
      <c r="J610">
        <v>1</v>
      </c>
      <c r="K610" s="20">
        <v>45007</v>
      </c>
      <c r="L610" s="23">
        <v>30000000</v>
      </c>
      <c r="M610" t="s">
        <v>7403</v>
      </c>
      <c r="N610" t="s">
        <v>7360</v>
      </c>
      <c r="O610">
        <v>0</v>
      </c>
      <c r="P610">
        <v>12368</v>
      </c>
      <c r="Q610">
        <v>139001</v>
      </c>
      <c r="R610">
        <v>0</v>
      </c>
      <c r="S610">
        <v>20230322</v>
      </c>
      <c r="T610">
        <v>0</v>
      </c>
      <c r="U610" t="s">
        <v>7362</v>
      </c>
      <c r="V610" t="s">
        <v>7360</v>
      </c>
      <c r="W610" t="s">
        <v>7360</v>
      </c>
      <c r="X610" t="s">
        <v>7360</v>
      </c>
      <c r="Y610" t="s">
        <v>7360</v>
      </c>
      <c r="Z610" t="s">
        <v>7360</v>
      </c>
      <c r="AA610" t="s">
        <v>7362</v>
      </c>
      <c r="AB610" t="s">
        <v>7360</v>
      </c>
      <c r="AC610" t="s">
        <v>7360</v>
      </c>
      <c r="AD610" t="s">
        <v>7360</v>
      </c>
      <c r="AE610" t="s">
        <v>7360</v>
      </c>
      <c r="AF610" t="s">
        <v>1684</v>
      </c>
      <c r="AG610">
        <v>0</v>
      </c>
      <c r="AH610">
        <v>0</v>
      </c>
      <c r="AI610">
        <v>0</v>
      </c>
      <c r="AJ610">
        <v>0</v>
      </c>
      <c r="AK610">
        <v>0</v>
      </c>
      <c r="AL610" t="s">
        <v>7360</v>
      </c>
      <c r="AM610">
        <v>0</v>
      </c>
      <c r="AN610" s="20">
        <v>45007</v>
      </c>
      <c r="AO610" s="20">
        <v>45007</v>
      </c>
      <c r="AP610" s="20">
        <v>45007</v>
      </c>
      <c r="AQ610">
        <v>0</v>
      </c>
      <c r="AR610">
        <v>0</v>
      </c>
      <c r="AS610">
        <v>0</v>
      </c>
      <c r="AT610">
        <v>0</v>
      </c>
      <c r="AU610">
        <v>0</v>
      </c>
      <c r="AV610" t="s">
        <v>7360</v>
      </c>
      <c r="AW610">
        <v>0</v>
      </c>
      <c r="AX610" t="s">
        <v>7360</v>
      </c>
      <c r="AY610" t="s">
        <v>7373</v>
      </c>
      <c r="BA610">
        <v>0</v>
      </c>
      <c r="BB610" s="20">
        <v>45007</v>
      </c>
      <c r="BC610">
        <v>0</v>
      </c>
      <c r="BD610" t="s">
        <v>7360</v>
      </c>
      <c r="BE610">
        <v>246</v>
      </c>
      <c r="BF610" s="20">
        <v>45007</v>
      </c>
      <c r="BG610">
        <v>0</v>
      </c>
      <c r="BH610" t="s">
        <v>7363</v>
      </c>
      <c r="BJ610" t="s">
        <v>7362</v>
      </c>
      <c r="BK610">
        <v>169</v>
      </c>
      <c r="BL610">
        <v>11</v>
      </c>
      <c r="BM610">
        <v>1</v>
      </c>
      <c r="BN610" t="s">
        <v>7364</v>
      </c>
      <c r="BO610">
        <v>169</v>
      </c>
      <c r="BP610">
        <v>11</v>
      </c>
      <c r="BQ610">
        <v>1</v>
      </c>
      <c r="BR610" t="s">
        <v>7364</v>
      </c>
      <c r="BS610" t="s">
        <v>7454</v>
      </c>
      <c r="BT610" t="s">
        <v>7360</v>
      </c>
      <c r="BU610" t="s">
        <v>7360</v>
      </c>
      <c r="BV610" t="s">
        <v>7360</v>
      </c>
      <c r="BX610" t="s">
        <v>7391</v>
      </c>
      <c r="BY610">
        <v>74</v>
      </c>
      <c r="BZ610" t="s">
        <v>7360</v>
      </c>
      <c r="CA610" t="s">
        <v>7360</v>
      </c>
      <c r="CB610">
        <v>3156020026</v>
      </c>
      <c r="CC610" s="21">
        <v>45012.370474537034</v>
      </c>
      <c r="CE610" t="s">
        <v>7392</v>
      </c>
      <c r="CF610">
        <v>1100101</v>
      </c>
      <c r="CG610">
        <v>50947</v>
      </c>
      <c r="CH610">
        <v>50947</v>
      </c>
      <c r="CI610" s="21">
        <v>45012.404282407406</v>
      </c>
      <c r="CJ610" t="s">
        <v>7442</v>
      </c>
      <c r="CK610" t="s">
        <v>7442</v>
      </c>
      <c r="CL610" t="s">
        <v>7443</v>
      </c>
      <c r="CM610" t="s">
        <v>7443</v>
      </c>
      <c r="CS610" t="s">
        <v>7361</v>
      </c>
      <c r="CT610" t="s">
        <v>7362</v>
      </c>
      <c r="CU610" t="s">
        <v>7362</v>
      </c>
      <c r="CV610" t="s">
        <v>7362</v>
      </c>
      <c r="CW610" t="s">
        <v>7362</v>
      </c>
      <c r="CX610">
        <v>17583142</v>
      </c>
      <c r="DA610">
        <v>0</v>
      </c>
    </row>
    <row r="611" spans="1:106" x14ac:dyDescent="0.3">
      <c r="A611">
        <v>1354</v>
      </c>
      <c r="B611" t="s">
        <v>7396</v>
      </c>
      <c r="C611">
        <v>714</v>
      </c>
      <c r="D611" s="20">
        <v>45007</v>
      </c>
      <c r="E611" t="s">
        <v>7372</v>
      </c>
      <c r="F611" t="s">
        <v>4976</v>
      </c>
      <c r="G611" t="s">
        <v>7370</v>
      </c>
      <c r="H611">
        <v>1</v>
      </c>
      <c r="I611" t="s">
        <v>7358</v>
      </c>
      <c r="J611">
        <v>1</v>
      </c>
      <c r="K611" s="20">
        <v>45007</v>
      </c>
      <c r="L611" s="23">
        <v>30000000</v>
      </c>
      <c r="M611" t="s">
        <v>7403</v>
      </c>
      <c r="N611" t="s">
        <v>7360</v>
      </c>
      <c r="O611">
        <v>0</v>
      </c>
      <c r="P611">
        <v>12433</v>
      </c>
      <c r="Q611">
        <v>137002</v>
      </c>
      <c r="R611">
        <v>0</v>
      </c>
      <c r="S611">
        <v>20230322</v>
      </c>
      <c r="T611">
        <v>0</v>
      </c>
      <c r="U611" t="s">
        <v>7362</v>
      </c>
      <c r="V611" t="s">
        <v>7360</v>
      </c>
      <c r="W611" t="s">
        <v>7360</v>
      </c>
      <c r="X611" t="s">
        <v>7360</v>
      </c>
      <c r="Y611" t="s">
        <v>7360</v>
      </c>
      <c r="Z611" t="s">
        <v>7360</v>
      </c>
      <c r="AA611" t="s">
        <v>7362</v>
      </c>
      <c r="AB611" t="s">
        <v>7360</v>
      </c>
      <c r="AC611" t="s">
        <v>7360</v>
      </c>
      <c r="AD611" t="s">
        <v>7360</v>
      </c>
      <c r="AE611" t="s">
        <v>7360</v>
      </c>
      <c r="AF611" t="s">
        <v>1684</v>
      </c>
      <c r="AG611">
        <v>0</v>
      </c>
      <c r="AH611">
        <v>0</v>
      </c>
      <c r="AI611">
        <v>0</v>
      </c>
      <c r="AJ611">
        <v>0</v>
      </c>
      <c r="AK611">
        <v>0</v>
      </c>
      <c r="AL611" t="s">
        <v>7360</v>
      </c>
      <c r="AM611">
        <v>0</v>
      </c>
      <c r="AN611" s="20">
        <v>45007</v>
      </c>
      <c r="AO611" s="20">
        <v>45007</v>
      </c>
      <c r="AP611" s="20">
        <v>45007</v>
      </c>
      <c r="AQ611">
        <v>0</v>
      </c>
      <c r="AR611">
        <v>0</v>
      </c>
      <c r="AS611">
        <v>0</v>
      </c>
      <c r="AT611">
        <v>0</v>
      </c>
      <c r="AU611">
        <v>0</v>
      </c>
      <c r="AV611" t="s">
        <v>7360</v>
      </c>
      <c r="AW611">
        <v>0</v>
      </c>
      <c r="AX611" t="s">
        <v>7360</v>
      </c>
      <c r="AY611" t="s">
        <v>7373</v>
      </c>
      <c r="BA611">
        <v>0</v>
      </c>
      <c r="BB611" s="20">
        <v>45007</v>
      </c>
      <c r="BC611">
        <v>0</v>
      </c>
      <c r="BD611" t="s">
        <v>7360</v>
      </c>
      <c r="BE611">
        <v>238</v>
      </c>
      <c r="BF611" s="20">
        <v>45007</v>
      </c>
      <c r="BG611">
        <v>0</v>
      </c>
      <c r="BH611" t="s">
        <v>7363</v>
      </c>
      <c r="BJ611" t="s">
        <v>7362</v>
      </c>
      <c r="BK611">
        <v>169</v>
      </c>
      <c r="BL611">
        <v>11</v>
      </c>
      <c r="BM611">
        <v>1</v>
      </c>
      <c r="BN611" t="s">
        <v>7364</v>
      </c>
      <c r="BO611">
        <v>169</v>
      </c>
      <c r="BP611">
        <v>11</v>
      </c>
      <c r="BQ611">
        <v>1</v>
      </c>
      <c r="BR611" t="s">
        <v>7364</v>
      </c>
      <c r="BS611" t="s">
        <v>7454</v>
      </c>
      <c r="BT611" t="s">
        <v>7360</v>
      </c>
      <c r="BU611" t="s">
        <v>7360</v>
      </c>
      <c r="BV611" t="s">
        <v>7360</v>
      </c>
      <c r="BX611" t="s">
        <v>7391</v>
      </c>
      <c r="BY611">
        <v>74</v>
      </c>
      <c r="BZ611" t="s">
        <v>7360</v>
      </c>
      <c r="CA611" t="s">
        <v>7360</v>
      </c>
      <c r="CB611">
        <v>3156020026</v>
      </c>
      <c r="CC611" s="21">
        <v>45012.474490740744</v>
      </c>
      <c r="CE611" t="s">
        <v>7392</v>
      </c>
      <c r="CF611">
        <v>1100101</v>
      </c>
      <c r="CG611">
        <v>51669</v>
      </c>
      <c r="CH611">
        <v>51669</v>
      </c>
      <c r="CI611" s="21">
        <v>45012.494479166664</v>
      </c>
      <c r="CJ611" t="s">
        <v>7406</v>
      </c>
      <c r="CK611" t="s">
        <v>7406</v>
      </c>
      <c r="CL611" t="s">
        <v>7407</v>
      </c>
      <c r="CM611" t="s">
        <v>7407</v>
      </c>
      <c r="CS611" t="s">
        <v>7361</v>
      </c>
      <c r="CT611" t="s">
        <v>7362</v>
      </c>
      <c r="CU611" t="s">
        <v>7362</v>
      </c>
      <c r="CV611" t="s">
        <v>7362</v>
      </c>
      <c r="CW611" t="s">
        <v>7362</v>
      </c>
      <c r="CX611">
        <v>24537800</v>
      </c>
      <c r="DA611">
        <v>0</v>
      </c>
    </row>
    <row r="612" spans="1:106" x14ac:dyDescent="0.3">
      <c r="A612">
        <v>1370</v>
      </c>
      <c r="B612" t="s">
        <v>7390</v>
      </c>
      <c r="C612">
        <v>643</v>
      </c>
      <c r="D612" s="20">
        <v>44999</v>
      </c>
      <c r="E612" t="s">
        <v>7356</v>
      </c>
      <c r="F612" t="s">
        <v>4981</v>
      </c>
      <c r="G612" t="s">
        <v>7357</v>
      </c>
      <c r="H612">
        <v>1</v>
      </c>
      <c r="I612" t="s">
        <v>7358</v>
      </c>
      <c r="J612">
        <v>1</v>
      </c>
      <c r="K612" s="20">
        <v>44999</v>
      </c>
      <c r="L612" s="23">
        <v>114900</v>
      </c>
      <c r="M612" t="s">
        <v>7359</v>
      </c>
      <c r="N612" t="s">
        <v>7360</v>
      </c>
      <c r="O612">
        <v>0</v>
      </c>
      <c r="P612">
        <v>13155</v>
      </c>
      <c r="Q612">
        <v>454027</v>
      </c>
      <c r="R612">
        <v>0</v>
      </c>
      <c r="S612">
        <v>20230314</v>
      </c>
      <c r="T612">
        <v>0</v>
      </c>
      <c r="U612" t="s">
        <v>7361</v>
      </c>
      <c r="V612" t="s">
        <v>7360</v>
      </c>
      <c r="W612" t="s">
        <v>7360</v>
      </c>
      <c r="X612" t="s">
        <v>7360</v>
      </c>
      <c r="Y612" t="s">
        <v>7360</v>
      </c>
      <c r="Z612" t="s">
        <v>7360</v>
      </c>
      <c r="AA612" t="s">
        <v>7362</v>
      </c>
      <c r="AB612" t="s">
        <v>7360</v>
      </c>
      <c r="AC612" t="s">
        <v>7360</v>
      </c>
      <c r="AD612" t="s">
        <v>7360</v>
      </c>
      <c r="AE612" t="s">
        <v>7360</v>
      </c>
      <c r="AF612" t="s">
        <v>1684</v>
      </c>
      <c r="AG612">
        <v>0</v>
      </c>
      <c r="AH612">
        <v>0</v>
      </c>
      <c r="AI612">
        <v>0</v>
      </c>
      <c r="AJ612">
        <v>0</v>
      </c>
      <c r="AK612">
        <v>0</v>
      </c>
      <c r="AL612" t="s">
        <v>7360</v>
      </c>
      <c r="AM612">
        <v>0</v>
      </c>
      <c r="AN612" s="20">
        <v>44999</v>
      </c>
      <c r="AO612" s="20">
        <v>44999</v>
      </c>
      <c r="AP612" s="20">
        <v>44999</v>
      </c>
      <c r="AQ612">
        <v>0</v>
      </c>
      <c r="AR612">
        <v>0</v>
      </c>
      <c r="AS612">
        <v>0</v>
      </c>
      <c r="AT612">
        <v>0</v>
      </c>
      <c r="AU612">
        <v>0</v>
      </c>
      <c r="AV612" t="s">
        <v>7360</v>
      </c>
      <c r="AW612">
        <v>0</v>
      </c>
      <c r="AX612" t="s">
        <v>7360</v>
      </c>
      <c r="AY612" t="s">
        <v>7363</v>
      </c>
      <c r="BA612">
        <v>0</v>
      </c>
      <c r="BB612" s="20">
        <v>44999</v>
      </c>
      <c r="BC612">
        <v>0</v>
      </c>
      <c r="BD612" t="s">
        <v>7360</v>
      </c>
      <c r="BF612" s="20">
        <v>44999</v>
      </c>
      <c r="BG612">
        <v>0</v>
      </c>
      <c r="BH612" t="s">
        <v>7363</v>
      </c>
      <c r="BJ612" t="s">
        <v>7362</v>
      </c>
      <c r="BK612">
        <v>169</v>
      </c>
      <c r="BL612">
        <v>11</v>
      </c>
      <c r="BM612">
        <v>1</v>
      </c>
      <c r="BN612" t="s">
        <v>7364</v>
      </c>
      <c r="BO612">
        <v>169</v>
      </c>
      <c r="BP612">
        <v>11</v>
      </c>
      <c r="BQ612">
        <v>1</v>
      </c>
      <c r="BR612" t="s">
        <v>7364</v>
      </c>
      <c r="BS612" t="s">
        <v>7460</v>
      </c>
      <c r="BT612" t="s">
        <v>7360</v>
      </c>
      <c r="BU612" t="s">
        <v>7360</v>
      </c>
      <c r="BV612" t="s">
        <v>7360</v>
      </c>
      <c r="BX612" t="s">
        <v>7391</v>
      </c>
      <c r="BY612">
        <v>74</v>
      </c>
      <c r="BZ612" t="s">
        <v>7360</v>
      </c>
      <c r="CA612" t="s">
        <v>7360</v>
      </c>
      <c r="CB612">
        <v>3156020026</v>
      </c>
      <c r="CC612" s="21">
        <v>44999.429143518515</v>
      </c>
      <c r="CE612" t="s">
        <v>7392</v>
      </c>
      <c r="CF612">
        <v>1100101</v>
      </c>
      <c r="CG612">
        <v>50947</v>
      </c>
      <c r="CH612">
        <v>50947</v>
      </c>
      <c r="CI612" s="21">
        <v>44999.431145833332</v>
      </c>
      <c r="CJ612" t="s">
        <v>7442</v>
      </c>
      <c r="CK612" t="s">
        <v>7442</v>
      </c>
      <c r="CL612" t="s">
        <v>7443</v>
      </c>
      <c r="CM612" t="s">
        <v>7443</v>
      </c>
      <c r="CS612" t="s">
        <v>7361</v>
      </c>
      <c r="CT612" t="s">
        <v>7362</v>
      </c>
      <c r="CU612" t="s">
        <v>7362</v>
      </c>
      <c r="CV612" t="s">
        <v>7362</v>
      </c>
      <c r="CW612" t="s">
        <v>7362</v>
      </c>
      <c r="CX612">
        <v>114900</v>
      </c>
      <c r="DA612">
        <v>0</v>
      </c>
    </row>
    <row r="613" spans="1:106" x14ac:dyDescent="0.3">
      <c r="A613">
        <v>1366</v>
      </c>
      <c r="B613" t="s">
        <v>7380</v>
      </c>
      <c r="C613">
        <v>644</v>
      </c>
      <c r="D613" s="20">
        <v>44999</v>
      </c>
      <c r="E613" t="s">
        <v>7372</v>
      </c>
      <c r="F613" t="s">
        <v>4987</v>
      </c>
      <c r="G613" t="s">
        <v>7357</v>
      </c>
      <c r="H613">
        <v>1</v>
      </c>
      <c r="I613" t="s">
        <v>7358</v>
      </c>
      <c r="J613">
        <v>1</v>
      </c>
      <c r="K613" s="20">
        <v>44999</v>
      </c>
      <c r="L613" s="23">
        <v>396000</v>
      </c>
      <c r="M613" t="s">
        <v>7359</v>
      </c>
      <c r="N613" t="s">
        <v>7360</v>
      </c>
      <c r="O613">
        <v>0</v>
      </c>
      <c r="P613">
        <v>12339</v>
      </c>
      <c r="Q613">
        <v>433007</v>
      </c>
      <c r="R613">
        <v>0</v>
      </c>
      <c r="S613">
        <v>20230314</v>
      </c>
      <c r="T613">
        <v>0</v>
      </c>
      <c r="U613" t="s">
        <v>7362</v>
      </c>
      <c r="V613" t="s">
        <v>7360</v>
      </c>
      <c r="W613" t="s">
        <v>7360</v>
      </c>
      <c r="X613" t="s">
        <v>7360</v>
      </c>
      <c r="Y613" t="s">
        <v>7360</v>
      </c>
      <c r="Z613" t="s">
        <v>7360</v>
      </c>
      <c r="AA613" t="s">
        <v>7362</v>
      </c>
      <c r="AB613" t="s">
        <v>7360</v>
      </c>
      <c r="AC613" t="s">
        <v>7360</v>
      </c>
      <c r="AD613" t="s">
        <v>7360</v>
      </c>
      <c r="AE613" t="s">
        <v>7360</v>
      </c>
      <c r="AF613" t="s">
        <v>1684</v>
      </c>
      <c r="AG613">
        <v>0</v>
      </c>
      <c r="AH613">
        <v>0</v>
      </c>
      <c r="AI613">
        <v>0</v>
      </c>
      <c r="AJ613">
        <v>0</v>
      </c>
      <c r="AK613">
        <v>0</v>
      </c>
      <c r="AL613" t="s">
        <v>7360</v>
      </c>
      <c r="AM613">
        <v>0</v>
      </c>
      <c r="AN613" s="20">
        <v>44999</v>
      </c>
      <c r="AO613" s="20">
        <v>44999</v>
      </c>
      <c r="AP613" s="20">
        <v>44999</v>
      </c>
      <c r="AQ613">
        <v>0</v>
      </c>
      <c r="AR613">
        <v>0</v>
      </c>
      <c r="AS613">
        <v>0</v>
      </c>
      <c r="AT613">
        <v>0</v>
      </c>
      <c r="AU613">
        <v>0</v>
      </c>
      <c r="AV613" t="s">
        <v>7360</v>
      </c>
      <c r="AW613">
        <v>0</v>
      </c>
      <c r="AX613" t="s">
        <v>7360</v>
      </c>
      <c r="AY613" t="s">
        <v>7362</v>
      </c>
      <c r="BA613">
        <v>0</v>
      </c>
      <c r="BB613" s="20">
        <v>44999</v>
      </c>
      <c r="BC613">
        <v>0</v>
      </c>
      <c r="BD613" t="s">
        <v>7360</v>
      </c>
      <c r="BF613" s="20">
        <v>44999</v>
      </c>
      <c r="BG613">
        <v>0</v>
      </c>
      <c r="BH613" t="s">
        <v>7363</v>
      </c>
      <c r="BJ613" t="s">
        <v>7362</v>
      </c>
      <c r="BK613">
        <v>0</v>
      </c>
      <c r="BL613">
        <v>0</v>
      </c>
      <c r="BM613">
        <v>0</v>
      </c>
      <c r="BN613">
        <v>0</v>
      </c>
      <c r="BO613">
        <v>169</v>
      </c>
      <c r="BP613">
        <v>11</v>
      </c>
      <c r="BQ613">
        <v>1</v>
      </c>
      <c r="BR613" t="s">
        <v>7364</v>
      </c>
      <c r="BS613" t="s">
        <v>7365</v>
      </c>
      <c r="BT613" t="s">
        <v>7360</v>
      </c>
      <c r="BU613" t="s">
        <v>7360</v>
      </c>
      <c r="BV613" t="s">
        <v>7360</v>
      </c>
      <c r="BX613">
        <v>0</v>
      </c>
      <c r="BY613">
        <v>0</v>
      </c>
      <c r="BZ613" t="s">
        <v>7360</v>
      </c>
      <c r="CA613" t="s">
        <v>7360</v>
      </c>
      <c r="CB613">
        <v>3380666</v>
      </c>
      <c r="CC613" s="21">
        <v>44999.438136574077</v>
      </c>
      <c r="CE613" t="s">
        <v>7366</v>
      </c>
      <c r="CF613">
        <v>0</v>
      </c>
      <c r="CG613">
        <v>702002</v>
      </c>
      <c r="CH613">
        <v>702002</v>
      </c>
      <c r="CI613" s="21">
        <v>44999.441689814812</v>
      </c>
      <c r="CJ613" t="s">
        <v>7367</v>
      </c>
      <c r="CK613" t="s">
        <v>7367</v>
      </c>
      <c r="CL613" t="s">
        <v>7368</v>
      </c>
      <c r="CM613" t="s">
        <v>7368</v>
      </c>
      <c r="CS613" t="s">
        <v>7361</v>
      </c>
      <c r="CT613" t="s">
        <v>7362</v>
      </c>
      <c r="CU613" t="s">
        <v>7362</v>
      </c>
      <c r="CV613" t="s">
        <v>7362</v>
      </c>
      <c r="CW613" t="s">
        <v>7362</v>
      </c>
      <c r="CX613">
        <v>396000</v>
      </c>
      <c r="DA613">
        <v>0</v>
      </c>
    </row>
    <row r="614" spans="1:106" x14ac:dyDescent="0.3">
      <c r="A614">
        <v>1366</v>
      </c>
      <c r="B614" t="s">
        <v>7380</v>
      </c>
      <c r="C614">
        <v>820</v>
      </c>
      <c r="D614" s="20">
        <v>45026</v>
      </c>
      <c r="E614" t="s">
        <v>7397</v>
      </c>
      <c r="F614" t="s">
        <v>4992</v>
      </c>
      <c r="G614" t="s">
        <v>7357</v>
      </c>
      <c r="H614">
        <v>1</v>
      </c>
      <c r="I614" t="s">
        <v>7358</v>
      </c>
      <c r="J614">
        <v>1</v>
      </c>
      <c r="K614" s="20">
        <v>45014</v>
      </c>
      <c r="L614" s="23">
        <v>25602850</v>
      </c>
      <c r="M614" t="s">
        <v>7398</v>
      </c>
      <c r="N614" t="s">
        <v>7360</v>
      </c>
      <c r="O614">
        <v>0</v>
      </c>
      <c r="P614">
        <v>13418</v>
      </c>
      <c r="R614">
        <v>0</v>
      </c>
      <c r="S614">
        <v>20230410</v>
      </c>
      <c r="T614">
        <v>0</v>
      </c>
      <c r="U614" t="s">
        <v>7362</v>
      </c>
      <c r="V614" t="s">
        <v>7360</v>
      </c>
      <c r="W614" t="s">
        <v>7360</v>
      </c>
      <c r="X614" t="s">
        <v>7360</v>
      </c>
      <c r="Y614" t="s">
        <v>7360</v>
      </c>
      <c r="Z614" t="s">
        <v>7360</v>
      </c>
      <c r="AA614" t="s">
        <v>1684</v>
      </c>
      <c r="AB614" t="s">
        <v>7360</v>
      </c>
      <c r="AC614" t="s">
        <v>7360</v>
      </c>
      <c r="AD614" t="s">
        <v>7360</v>
      </c>
      <c r="AE614" t="s">
        <v>7360</v>
      </c>
      <c r="AF614" t="s">
        <v>1684</v>
      </c>
      <c r="AG614">
        <v>0</v>
      </c>
      <c r="AH614">
        <v>0</v>
      </c>
      <c r="AI614">
        <v>0</v>
      </c>
      <c r="AJ614">
        <v>0</v>
      </c>
      <c r="AK614">
        <v>0</v>
      </c>
      <c r="AL614" t="s">
        <v>7360</v>
      </c>
      <c r="AM614">
        <v>0</v>
      </c>
      <c r="AN614" s="20">
        <v>45014</v>
      </c>
      <c r="AO614" s="20">
        <v>45014</v>
      </c>
      <c r="AP614" s="20">
        <v>45014</v>
      </c>
      <c r="AQ614">
        <v>0</v>
      </c>
      <c r="AR614">
        <v>0</v>
      </c>
      <c r="AS614">
        <v>0</v>
      </c>
      <c r="AT614">
        <v>0</v>
      </c>
      <c r="AU614">
        <v>0</v>
      </c>
      <c r="AV614" t="s">
        <v>7360</v>
      </c>
      <c r="AW614">
        <v>0</v>
      </c>
      <c r="AX614" t="s">
        <v>7360</v>
      </c>
      <c r="AY614" t="s">
        <v>7362</v>
      </c>
      <c r="BA614">
        <v>0</v>
      </c>
      <c r="BB614" s="20">
        <v>45014</v>
      </c>
      <c r="BC614">
        <v>0</v>
      </c>
      <c r="BD614" t="s">
        <v>7360</v>
      </c>
      <c r="BF614" s="20">
        <v>45014</v>
      </c>
      <c r="BG614">
        <v>0</v>
      </c>
      <c r="BH614" t="s">
        <v>7363</v>
      </c>
      <c r="BJ614" t="s">
        <v>7362</v>
      </c>
      <c r="BK614">
        <v>169</v>
      </c>
      <c r="BL614">
        <v>11</v>
      </c>
      <c r="BM614">
        <v>1</v>
      </c>
      <c r="BN614" t="s">
        <v>7364</v>
      </c>
      <c r="BO614">
        <v>169</v>
      </c>
      <c r="BP614">
        <v>11</v>
      </c>
      <c r="BQ614">
        <v>1</v>
      </c>
      <c r="BR614" t="s">
        <v>7364</v>
      </c>
      <c r="BS614" t="s">
        <v>132</v>
      </c>
      <c r="BT614" t="s">
        <v>7360</v>
      </c>
      <c r="BU614" t="s">
        <v>7360</v>
      </c>
      <c r="BV614" t="s">
        <v>7360</v>
      </c>
      <c r="BX614" t="s">
        <v>7391</v>
      </c>
      <c r="BY614">
        <v>74</v>
      </c>
      <c r="BZ614" t="s">
        <v>7360</v>
      </c>
      <c r="CA614" t="s">
        <v>7360</v>
      </c>
      <c r="CB614" t="s">
        <v>7360</v>
      </c>
      <c r="CC614" s="21">
        <v>44999.440671296295</v>
      </c>
      <c r="CE614" t="s">
        <v>7392</v>
      </c>
      <c r="CF614">
        <v>1100101</v>
      </c>
      <c r="CG614">
        <v>50947</v>
      </c>
      <c r="CH614">
        <v>50947</v>
      </c>
      <c r="CI614" s="21">
        <v>45008.650706018518</v>
      </c>
      <c r="CJ614" t="s">
        <v>7442</v>
      </c>
      <c r="CK614" t="s">
        <v>7442</v>
      </c>
      <c r="CL614" t="s">
        <v>7443</v>
      </c>
      <c r="CM614" t="s">
        <v>7443</v>
      </c>
      <c r="CS614" t="s">
        <v>7361</v>
      </c>
      <c r="CT614" t="s">
        <v>7362</v>
      </c>
      <c r="CU614" t="s">
        <v>7362</v>
      </c>
      <c r="CV614" t="s">
        <v>7362</v>
      </c>
      <c r="CW614" t="s">
        <v>7362</v>
      </c>
      <c r="CX614">
        <v>23324000</v>
      </c>
      <c r="DA614">
        <v>0</v>
      </c>
    </row>
    <row r="615" spans="1:106" x14ac:dyDescent="0.3">
      <c r="A615">
        <v>1354</v>
      </c>
      <c r="B615" t="s">
        <v>7396</v>
      </c>
      <c r="C615">
        <v>715</v>
      </c>
      <c r="D615" s="20">
        <v>45007</v>
      </c>
      <c r="E615" t="s">
        <v>7372</v>
      </c>
      <c r="F615" t="s">
        <v>4923</v>
      </c>
      <c r="G615" t="s">
        <v>7370</v>
      </c>
      <c r="H615">
        <v>1</v>
      </c>
      <c r="I615" t="s">
        <v>7358</v>
      </c>
      <c r="J615">
        <v>1</v>
      </c>
      <c r="K615" s="20">
        <v>45007</v>
      </c>
      <c r="L615" s="23">
        <v>30000000</v>
      </c>
      <c r="M615" t="s">
        <v>7403</v>
      </c>
      <c r="N615" t="s">
        <v>7360</v>
      </c>
      <c r="O615">
        <v>0</v>
      </c>
      <c r="P615">
        <v>12755</v>
      </c>
      <c r="Q615">
        <v>140003</v>
      </c>
      <c r="R615">
        <v>0</v>
      </c>
      <c r="S615">
        <v>20230322</v>
      </c>
      <c r="T615">
        <v>0</v>
      </c>
      <c r="U615" t="s">
        <v>7362</v>
      </c>
      <c r="V615" t="s">
        <v>7360</v>
      </c>
      <c r="W615" t="s">
        <v>7360</v>
      </c>
      <c r="X615" t="s">
        <v>7360</v>
      </c>
      <c r="Y615" t="s">
        <v>7360</v>
      </c>
      <c r="Z615" t="s">
        <v>7360</v>
      </c>
      <c r="AA615" t="s">
        <v>7362</v>
      </c>
      <c r="AB615" t="s">
        <v>7360</v>
      </c>
      <c r="AC615" t="s">
        <v>7360</v>
      </c>
      <c r="AD615" t="s">
        <v>7360</v>
      </c>
      <c r="AE615" t="s">
        <v>7360</v>
      </c>
      <c r="AF615" t="s">
        <v>1684</v>
      </c>
      <c r="AG615">
        <v>0</v>
      </c>
      <c r="AH615">
        <v>0</v>
      </c>
      <c r="AI615">
        <v>0</v>
      </c>
      <c r="AJ615">
        <v>0</v>
      </c>
      <c r="AK615">
        <v>0</v>
      </c>
      <c r="AL615" t="s">
        <v>7360</v>
      </c>
      <c r="AM615">
        <v>0</v>
      </c>
      <c r="AN615" s="20">
        <v>45007</v>
      </c>
      <c r="AO615" s="20">
        <v>45007</v>
      </c>
      <c r="AP615" s="20">
        <v>45007</v>
      </c>
      <c r="AQ615">
        <v>0</v>
      </c>
      <c r="AR615">
        <v>0</v>
      </c>
      <c r="AS615">
        <v>0</v>
      </c>
      <c r="AT615">
        <v>0</v>
      </c>
      <c r="AU615">
        <v>0</v>
      </c>
      <c r="AV615" t="s">
        <v>7360</v>
      </c>
      <c r="AW615">
        <v>0</v>
      </c>
      <c r="AX615" t="s">
        <v>7360</v>
      </c>
      <c r="AY615" t="s">
        <v>7373</v>
      </c>
      <c r="BA615">
        <v>0</v>
      </c>
      <c r="BB615" s="20">
        <v>45007</v>
      </c>
      <c r="BC615">
        <v>0</v>
      </c>
      <c r="BD615" t="s">
        <v>7360</v>
      </c>
      <c r="BE615">
        <v>249</v>
      </c>
      <c r="BF615" s="20">
        <v>45007</v>
      </c>
      <c r="BG615">
        <v>0</v>
      </c>
      <c r="BH615" t="s">
        <v>7363</v>
      </c>
      <c r="BJ615" t="s">
        <v>7362</v>
      </c>
      <c r="BK615">
        <v>0</v>
      </c>
      <c r="BL615">
        <v>0</v>
      </c>
      <c r="BM615">
        <v>0</v>
      </c>
      <c r="BN615">
        <v>0</v>
      </c>
      <c r="BO615">
        <v>169</v>
      </c>
      <c r="BP615">
        <v>11</v>
      </c>
      <c r="BQ615">
        <v>1</v>
      </c>
      <c r="BR615" t="s">
        <v>7364</v>
      </c>
      <c r="BS615" t="s">
        <v>7386</v>
      </c>
      <c r="BT615" t="s">
        <v>7360</v>
      </c>
      <c r="BU615" t="s">
        <v>7360</v>
      </c>
      <c r="BV615" t="s">
        <v>7360</v>
      </c>
      <c r="BX615">
        <v>0</v>
      </c>
      <c r="BY615">
        <v>0</v>
      </c>
      <c r="BZ615" t="s">
        <v>7360</v>
      </c>
      <c r="CA615" t="s">
        <v>7360</v>
      </c>
      <c r="CB615">
        <v>3380666</v>
      </c>
      <c r="CC615" s="21">
        <v>45012.679155092592</v>
      </c>
      <c r="CE615" t="s">
        <v>7366</v>
      </c>
      <c r="CF615">
        <v>0</v>
      </c>
      <c r="CG615">
        <v>702002</v>
      </c>
      <c r="CH615">
        <v>702002</v>
      </c>
      <c r="CI615" s="21">
        <v>45012.681979166664</v>
      </c>
      <c r="CJ615" t="s">
        <v>7367</v>
      </c>
      <c r="CK615" t="s">
        <v>7367</v>
      </c>
      <c r="CL615" t="s">
        <v>7368</v>
      </c>
      <c r="CM615" t="s">
        <v>7368</v>
      </c>
      <c r="CS615" t="s">
        <v>7361</v>
      </c>
      <c r="CT615" t="s">
        <v>7362</v>
      </c>
      <c r="CU615" t="s">
        <v>7362</v>
      </c>
      <c r="CV615" t="s">
        <v>7362</v>
      </c>
      <c r="CW615" t="s">
        <v>7362</v>
      </c>
      <c r="CX615">
        <v>20230000</v>
      </c>
      <c r="DA615">
        <v>0</v>
      </c>
      <c r="DB615">
        <v>142003</v>
      </c>
    </row>
    <row r="616" spans="1:106" x14ac:dyDescent="0.3">
      <c r="A616">
        <v>1354</v>
      </c>
      <c r="B616" t="s">
        <v>7396</v>
      </c>
      <c r="C616">
        <v>716</v>
      </c>
      <c r="D616" s="20">
        <v>45007</v>
      </c>
      <c r="E616" t="s">
        <v>7372</v>
      </c>
      <c r="F616" t="s">
        <v>4928</v>
      </c>
      <c r="G616" t="s">
        <v>7370</v>
      </c>
      <c r="H616">
        <v>1</v>
      </c>
      <c r="I616" t="s">
        <v>7358</v>
      </c>
      <c r="J616">
        <v>1</v>
      </c>
      <c r="K616" s="20">
        <v>45007</v>
      </c>
      <c r="L616" s="23">
        <v>30000000</v>
      </c>
      <c r="M616" t="s">
        <v>7403</v>
      </c>
      <c r="N616" t="s">
        <v>7360</v>
      </c>
      <c r="O616">
        <v>0</v>
      </c>
      <c r="P616">
        <v>12772</v>
      </c>
      <c r="Q616">
        <v>140001</v>
      </c>
      <c r="R616">
        <v>0</v>
      </c>
      <c r="S616">
        <v>20230322</v>
      </c>
      <c r="T616">
        <v>0</v>
      </c>
      <c r="U616" t="s">
        <v>7362</v>
      </c>
      <c r="V616" t="s">
        <v>7360</v>
      </c>
      <c r="W616" t="s">
        <v>7360</v>
      </c>
      <c r="X616" t="s">
        <v>7360</v>
      </c>
      <c r="Y616" t="s">
        <v>7360</v>
      </c>
      <c r="Z616" t="s">
        <v>7360</v>
      </c>
      <c r="AA616" t="s">
        <v>7362</v>
      </c>
      <c r="AB616" t="s">
        <v>7360</v>
      </c>
      <c r="AC616" t="s">
        <v>7360</v>
      </c>
      <c r="AD616" t="s">
        <v>7360</v>
      </c>
      <c r="AE616" t="s">
        <v>7360</v>
      </c>
      <c r="AF616" t="s">
        <v>1684</v>
      </c>
      <c r="AG616">
        <v>0</v>
      </c>
      <c r="AH616">
        <v>0</v>
      </c>
      <c r="AI616">
        <v>0</v>
      </c>
      <c r="AJ616">
        <v>0</v>
      </c>
      <c r="AK616">
        <v>0</v>
      </c>
      <c r="AL616" t="s">
        <v>7360</v>
      </c>
      <c r="AM616">
        <v>0</v>
      </c>
      <c r="AN616" s="20">
        <v>45007</v>
      </c>
      <c r="AO616" s="20">
        <v>45007</v>
      </c>
      <c r="AP616" s="20">
        <v>45007</v>
      </c>
      <c r="AQ616">
        <v>0</v>
      </c>
      <c r="AR616">
        <v>0</v>
      </c>
      <c r="AS616">
        <v>0</v>
      </c>
      <c r="AT616">
        <v>0</v>
      </c>
      <c r="AU616">
        <v>0</v>
      </c>
      <c r="AV616" t="s">
        <v>7360</v>
      </c>
      <c r="AW616">
        <v>0</v>
      </c>
      <c r="AX616" t="s">
        <v>7360</v>
      </c>
      <c r="AY616" t="s">
        <v>7373</v>
      </c>
      <c r="BA616">
        <v>0</v>
      </c>
      <c r="BB616" s="20">
        <v>45007</v>
      </c>
      <c r="BC616">
        <v>0</v>
      </c>
      <c r="BD616" t="s">
        <v>7360</v>
      </c>
      <c r="BE616">
        <v>247</v>
      </c>
      <c r="BF616" s="20">
        <v>45007</v>
      </c>
      <c r="BG616">
        <v>0</v>
      </c>
      <c r="BH616" t="s">
        <v>7363</v>
      </c>
      <c r="BJ616" t="s">
        <v>7362</v>
      </c>
      <c r="BK616">
        <v>0</v>
      </c>
      <c r="BL616">
        <v>0</v>
      </c>
      <c r="BM616">
        <v>0</v>
      </c>
      <c r="BN616">
        <v>0</v>
      </c>
      <c r="BO616">
        <v>169</v>
      </c>
      <c r="BP616">
        <v>11</v>
      </c>
      <c r="BQ616">
        <v>1</v>
      </c>
      <c r="BR616" t="s">
        <v>7364</v>
      </c>
      <c r="BS616" t="s">
        <v>7386</v>
      </c>
      <c r="BT616" t="s">
        <v>7360</v>
      </c>
      <c r="BU616" t="s">
        <v>7360</v>
      </c>
      <c r="BV616" t="s">
        <v>7360</v>
      </c>
      <c r="BX616">
        <v>0</v>
      </c>
      <c r="BY616">
        <v>0</v>
      </c>
      <c r="BZ616" t="s">
        <v>7360</v>
      </c>
      <c r="CA616" t="s">
        <v>7360</v>
      </c>
      <c r="CB616">
        <v>3380666</v>
      </c>
      <c r="CC616" s="21">
        <v>45012.702187499999</v>
      </c>
      <c r="CE616" t="s">
        <v>7366</v>
      </c>
      <c r="CF616">
        <v>0</v>
      </c>
      <c r="CG616">
        <v>702002</v>
      </c>
      <c r="CH616">
        <v>702002</v>
      </c>
      <c r="CI616" s="21">
        <v>45012.704409722224</v>
      </c>
      <c r="CJ616" t="s">
        <v>7367</v>
      </c>
      <c r="CK616" t="s">
        <v>7367</v>
      </c>
      <c r="CL616" t="s">
        <v>7368</v>
      </c>
      <c r="CM616" t="s">
        <v>7368</v>
      </c>
      <c r="CS616" t="s">
        <v>7361</v>
      </c>
      <c r="CT616" t="s">
        <v>7362</v>
      </c>
      <c r="CU616" t="s">
        <v>7362</v>
      </c>
      <c r="CV616" t="s">
        <v>7362</v>
      </c>
      <c r="CW616" t="s">
        <v>7362</v>
      </c>
      <c r="CX616">
        <v>15099490</v>
      </c>
      <c r="DA616">
        <v>0</v>
      </c>
      <c r="DB616">
        <v>142009</v>
      </c>
    </row>
    <row r="617" spans="1:106" x14ac:dyDescent="0.3">
      <c r="A617">
        <v>1354</v>
      </c>
      <c r="B617" t="s">
        <v>7396</v>
      </c>
      <c r="C617">
        <v>721</v>
      </c>
      <c r="D617" s="20">
        <v>45007</v>
      </c>
      <c r="E617" t="s">
        <v>7372</v>
      </c>
      <c r="F617" t="s">
        <v>4933</v>
      </c>
      <c r="G617" t="s">
        <v>7370</v>
      </c>
      <c r="H617">
        <v>1</v>
      </c>
      <c r="I617" t="s">
        <v>7358</v>
      </c>
      <c r="J617">
        <v>1</v>
      </c>
      <c r="K617" s="20">
        <v>45007</v>
      </c>
      <c r="L617" s="23">
        <v>30000000</v>
      </c>
      <c r="M617" t="s">
        <v>7403</v>
      </c>
      <c r="N617" t="s">
        <v>7360</v>
      </c>
      <c r="O617">
        <v>0</v>
      </c>
      <c r="P617">
        <v>12055</v>
      </c>
      <c r="Q617">
        <v>140002</v>
      </c>
      <c r="R617">
        <v>0</v>
      </c>
      <c r="S617">
        <v>20230322</v>
      </c>
      <c r="T617">
        <v>0</v>
      </c>
      <c r="U617" t="s">
        <v>7362</v>
      </c>
      <c r="V617" t="s">
        <v>7360</v>
      </c>
      <c r="W617" t="s">
        <v>7360</v>
      </c>
      <c r="X617" t="s">
        <v>7360</v>
      </c>
      <c r="Y617" t="s">
        <v>7360</v>
      </c>
      <c r="Z617" t="s">
        <v>7360</v>
      </c>
      <c r="AA617" t="s">
        <v>7362</v>
      </c>
      <c r="AB617" t="s">
        <v>7360</v>
      </c>
      <c r="AC617" t="s">
        <v>7360</v>
      </c>
      <c r="AD617" t="s">
        <v>7360</v>
      </c>
      <c r="AE617" t="s">
        <v>7360</v>
      </c>
      <c r="AF617" t="s">
        <v>1684</v>
      </c>
      <c r="AG617">
        <v>0</v>
      </c>
      <c r="AH617">
        <v>0</v>
      </c>
      <c r="AI617">
        <v>0</v>
      </c>
      <c r="AJ617">
        <v>0</v>
      </c>
      <c r="AK617">
        <v>0</v>
      </c>
      <c r="AL617" t="s">
        <v>7360</v>
      </c>
      <c r="AM617">
        <v>0</v>
      </c>
      <c r="AN617" s="20">
        <v>45007</v>
      </c>
      <c r="AO617" s="20">
        <v>45007</v>
      </c>
      <c r="AP617" s="20">
        <v>45007</v>
      </c>
      <c r="AQ617">
        <v>0</v>
      </c>
      <c r="AR617">
        <v>0</v>
      </c>
      <c r="AS617">
        <v>0</v>
      </c>
      <c r="AT617">
        <v>0</v>
      </c>
      <c r="AU617">
        <v>0</v>
      </c>
      <c r="AV617" t="s">
        <v>7360</v>
      </c>
      <c r="AW617">
        <v>0</v>
      </c>
      <c r="AX617" t="s">
        <v>7360</v>
      </c>
      <c r="AY617" t="s">
        <v>7373</v>
      </c>
      <c r="BA617">
        <v>0</v>
      </c>
      <c r="BB617" s="20">
        <v>45007</v>
      </c>
      <c r="BC617">
        <v>0</v>
      </c>
      <c r="BD617" t="s">
        <v>7360</v>
      </c>
      <c r="BE617">
        <v>248</v>
      </c>
      <c r="BF617" s="20">
        <v>45007</v>
      </c>
      <c r="BG617">
        <v>0</v>
      </c>
      <c r="BH617" t="s">
        <v>7363</v>
      </c>
      <c r="BJ617" t="s">
        <v>7362</v>
      </c>
      <c r="BK617">
        <v>169</v>
      </c>
      <c r="BL617">
        <v>11</v>
      </c>
      <c r="BM617">
        <v>1</v>
      </c>
      <c r="BN617" t="s">
        <v>7364</v>
      </c>
      <c r="BO617">
        <v>169</v>
      </c>
      <c r="BP617">
        <v>11</v>
      </c>
      <c r="BQ617">
        <v>1</v>
      </c>
      <c r="BR617" t="s">
        <v>7364</v>
      </c>
      <c r="BS617" t="s">
        <v>7365</v>
      </c>
      <c r="BT617" t="s">
        <v>7360</v>
      </c>
      <c r="BU617" t="s">
        <v>7360</v>
      </c>
      <c r="BV617" t="s">
        <v>7360</v>
      </c>
      <c r="BX617" t="s">
        <v>7391</v>
      </c>
      <c r="BY617">
        <v>74</v>
      </c>
      <c r="BZ617" t="s">
        <v>7360</v>
      </c>
      <c r="CA617" t="s">
        <v>7360</v>
      </c>
      <c r="CB617">
        <v>3380666</v>
      </c>
      <c r="CC617" s="21">
        <v>45013.505416666667</v>
      </c>
      <c r="CE617" t="s">
        <v>7392</v>
      </c>
      <c r="CF617">
        <v>1100101</v>
      </c>
      <c r="CG617">
        <v>51669</v>
      </c>
      <c r="CH617">
        <v>51669</v>
      </c>
      <c r="CI617" s="21">
        <v>45013.512673611112</v>
      </c>
      <c r="CJ617" t="s">
        <v>7406</v>
      </c>
      <c r="CK617" t="s">
        <v>7406</v>
      </c>
      <c r="CL617" t="s">
        <v>7407</v>
      </c>
      <c r="CM617" t="s">
        <v>7407</v>
      </c>
      <c r="CS617" t="s">
        <v>7361</v>
      </c>
      <c r="CT617" t="s">
        <v>7362</v>
      </c>
      <c r="CU617" t="s">
        <v>7362</v>
      </c>
      <c r="CV617" t="s">
        <v>7362</v>
      </c>
      <c r="CW617" t="s">
        <v>7362</v>
      </c>
      <c r="CX617">
        <v>23274461</v>
      </c>
      <c r="DA617">
        <v>0</v>
      </c>
      <c r="DB617">
        <v>143001</v>
      </c>
    </row>
    <row r="618" spans="1:106" x14ac:dyDescent="0.3">
      <c r="A618">
        <v>1355</v>
      </c>
      <c r="B618" t="s">
        <v>7409</v>
      </c>
      <c r="C618">
        <v>649</v>
      </c>
      <c r="D618" s="20">
        <v>45026</v>
      </c>
      <c r="E618" t="s">
        <v>7397</v>
      </c>
      <c r="F618" t="s">
        <v>4939</v>
      </c>
      <c r="G618" t="s">
        <v>7357</v>
      </c>
      <c r="H618">
        <v>1</v>
      </c>
      <c r="I618" t="s">
        <v>7358</v>
      </c>
      <c r="J618">
        <v>1</v>
      </c>
      <c r="K618" s="20">
        <v>44999</v>
      </c>
      <c r="L618" s="23">
        <v>56049000</v>
      </c>
      <c r="M618" t="s">
        <v>7398</v>
      </c>
      <c r="N618" t="s">
        <v>7360</v>
      </c>
      <c r="O618">
        <v>0</v>
      </c>
      <c r="P618">
        <v>13028</v>
      </c>
      <c r="R618">
        <v>0</v>
      </c>
      <c r="S618">
        <v>20230410</v>
      </c>
      <c r="T618">
        <v>0</v>
      </c>
      <c r="U618" t="s">
        <v>7362</v>
      </c>
      <c r="V618" t="s">
        <v>7360</v>
      </c>
      <c r="W618" t="s">
        <v>7360</v>
      </c>
      <c r="X618" t="s">
        <v>7360</v>
      </c>
      <c r="Y618" t="s">
        <v>7360</v>
      </c>
      <c r="Z618" t="s">
        <v>7360</v>
      </c>
      <c r="AA618" t="s">
        <v>1684</v>
      </c>
      <c r="AB618" t="s">
        <v>7360</v>
      </c>
      <c r="AC618" t="s">
        <v>7360</v>
      </c>
      <c r="AD618" t="s">
        <v>7360</v>
      </c>
      <c r="AE618" t="s">
        <v>7360</v>
      </c>
      <c r="AF618" t="s">
        <v>1684</v>
      </c>
      <c r="AG618">
        <v>0</v>
      </c>
      <c r="AH618">
        <v>0</v>
      </c>
      <c r="AI618">
        <v>0</v>
      </c>
      <c r="AJ618">
        <v>0</v>
      </c>
      <c r="AK618">
        <v>0</v>
      </c>
      <c r="AL618" t="s">
        <v>7360</v>
      </c>
      <c r="AM618">
        <v>0</v>
      </c>
      <c r="AN618" s="20">
        <v>44999</v>
      </c>
      <c r="AO618" s="20">
        <v>44999</v>
      </c>
      <c r="AP618" s="20">
        <v>44999</v>
      </c>
      <c r="AQ618">
        <v>0</v>
      </c>
      <c r="AR618">
        <v>0</v>
      </c>
      <c r="AS618">
        <v>0</v>
      </c>
      <c r="AT618">
        <v>0</v>
      </c>
      <c r="AU618">
        <v>0</v>
      </c>
      <c r="AV618" t="s">
        <v>7360</v>
      </c>
      <c r="AW618">
        <v>0</v>
      </c>
      <c r="AX618" t="s">
        <v>7360</v>
      </c>
      <c r="AY618" t="s">
        <v>7362</v>
      </c>
      <c r="BA618">
        <v>0</v>
      </c>
      <c r="BB618" s="20">
        <v>44999</v>
      </c>
      <c r="BC618">
        <v>0</v>
      </c>
      <c r="BD618" t="s">
        <v>7360</v>
      </c>
      <c r="BF618" s="20">
        <v>44999</v>
      </c>
      <c r="BG618">
        <v>0</v>
      </c>
      <c r="BH618" t="s">
        <v>7363</v>
      </c>
      <c r="BJ618" t="s">
        <v>7362</v>
      </c>
      <c r="BK618">
        <v>169</v>
      </c>
      <c r="BL618">
        <v>11</v>
      </c>
      <c r="BM618">
        <v>1</v>
      </c>
      <c r="BN618" t="s">
        <v>7364</v>
      </c>
      <c r="BO618">
        <v>169</v>
      </c>
      <c r="BP618">
        <v>11</v>
      </c>
      <c r="BQ618">
        <v>1</v>
      </c>
      <c r="BR618" t="s">
        <v>7364</v>
      </c>
      <c r="BS618" t="s">
        <v>48</v>
      </c>
      <c r="BT618" t="s">
        <v>7360</v>
      </c>
      <c r="BU618" t="s">
        <v>7360</v>
      </c>
      <c r="BV618" t="s">
        <v>7360</v>
      </c>
      <c r="BX618" t="s">
        <v>7391</v>
      </c>
      <c r="BY618">
        <v>74</v>
      </c>
      <c r="BZ618" t="s">
        <v>7360</v>
      </c>
      <c r="CA618" t="s">
        <v>7360</v>
      </c>
      <c r="CB618">
        <v>3380666</v>
      </c>
      <c r="CC618" s="21">
        <v>44999.485277777778</v>
      </c>
      <c r="CE618" t="s">
        <v>7392</v>
      </c>
      <c r="CF618">
        <v>1100101</v>
      </c>
      <c r="CG618">
        <v>51669</v>
      </c>
      <c r="CJ618" t="s">
        <v>7406</v>
      </c>
      <c r="CL618" t="s">
        <v>7407</v>
      </c>
      <c r="CS618" t="s">
        <v>7361</v>
      </c>
      <c r="CT618" t="s">
        <v>7362</v>
      </c>
      <c r="CU618" t="s">
        <v>7362</v>
      </c>
      <c r="CV618" t="s">
        <v>7362</v>
      </c>
      <c r="CW618" t="s">
        <v>7362</v>
      </c>
      <c r="DA618">
        <v>0</v>
      </c>
      <c r="DB618">
        <v>88001</v>
      </c>
    </row>
    <row r="619" spans="1:106" x14ac:dyDescent="0.3">
      <c r="A619">
        <v>1366</v>
      </c>
      <c r="B619" t="s">
        <v>7380</v>
      </c>
      <c r="C619">
        <v>650</v>
      </c>
      <c r="D619" s="20">
        <v>44999</v>
      </c>
      <c r="E619" t="s">
        <v>7356</v>
      </c>
      <c r="F619" t="s">
        <v>4944</v>
      </c>
      <c r="G619" t="s">
        <v>7357</v>
      </c>
      <c r="H619">
        <v>1</v>
      </c>
      <c r="I619" t="s">
        <v>7358</v>
      </c>
      <c r="J619">
        <v>1</v>
      </c>
      <c r="K619" s="20">
        <v>44999</v>
      </c>
      <c r="L619" s="23">
        <v>199563</v>
      </c>
      <c r="M619" t="s">
        <v>7359</v>
      </c>
      <c r="N619" t="s">
        <v>7360</v>
      </c>
      <c r="O619">
        <v>0</v>
      </c>
      <c r="P619">
        <v>13058</v>
      </c>
      <c r="Q619">
        <v>453066</v>
      </c>
      <c r="R619">
        <v>0</v>
      </c>
      <c r="S619">
        <v>20230314</v>
      </c>
      <c r="T619">
        <v>0</v>
      </c>
      <c r="U619" t="s">
        <v>7361</v>
      </c>
      <c r="V619" t="s">
        <v>7360</v>
      </c>
      <c r="W619" t="s">
        <v>7360</v>
      </c>
      <c r="X619" t="s">
        <v>7360</v>
      </c>
      <c r="Y619" t="s">
        <v>7360</v>
      </c>
      <c r="Z619" t="s">
        <v>7360</v>
      </c>
      <c r="AA619" t="s">
        <v>7362</v>
      </c>
      <c r="AB619" t="s">
        <v>7360</v>
      </c>
      <c r="AC619" t="s">
        <v>7360</v>
      </c>
      <c r="AD619" t="s">
        <v>7360</v>
      </c>
      <c r="AE619" t="s">
        <v>7360</v>
      </c>
      <c r="AF619" t="s">
        <v>1684</v>
      </c>
      <c r="AG619">
        <v>0</v>
      </c>
      <c r="AH619">
        <v>0</v>
      </c>
      <c r="AI619">
        <v>0</v>
      </c>
      <c r="AJ619">
        <v>0</v>
      </c>
      <c r="AK619">
        <v>0</v>
      </c>
      <c r="AL619" t="s">
        <v>7360</v>
      </c>
      <c r="AM619">
        <v>0</v>
      </c>
      <c r="AN619" s="20">
        <v>44999</v>
      </c>
      <c r="AO619" s="20">
        <v>44999</v>
      </c>
      <c r="AP619" s="20">
        <v>44999</v>
      </c>
      <c r="AQ619">
        <v>0</v>
      </c>
      <c r="AR619">
        <v>0</v>
      </c>
      <c r="AS619">
        <v>0</v>
      </c>
      <c r="AT619">
        <v>0</v>
      </c>
      <c r="AU619">
        <v>0</v>
      </c>
      <c r="AV619" t="s">
        <v>7360</v>
      </c>
      <c r="AW619">
        <v>0</v>
      </c>
      <c r="AX619" t="s">
        <v>7360</v>
      </c>
      <c r="AY619" t="s">
        <v>7363</v>
      </c>
      <c r="BA619">
        <v>0</v>
      </c>
      <c r="BB619" s="20">
        <v>44999</v>
      </c>
      <c r="BC619">
        <v>0</v>
      </c>
      <c r="BD619" t="s">
        <v>7360</v>
      </c>
      <c r="BF619" s="20">
        <v>44999</v>
      </c>
      <c r="BG619">
        <v>0</v>
      </c>
      <c r="BH619" t="s">
        <v>7363</v>
      </c>
      <c r="BJ619" t="s">
        <v>7362</v>
      </c>
      <c r="BK619">
        <v>0</v>
      </c>
      <c r="BL619">
        <v>0</v>
      </c>
      <c r="BM619">
        <v>0</v>
      </c>
      <c r="BN619">
        <v>0</v>
      </c>
      <c r="BO619">
        <v>169</v>
      </c>
      <c r="BP619">
        <v>11</v>
      </c>
      <c r="BQ619">
        <v>1</v>
      </c>
      <c r="BR619" t="s">
        <v>7364</v>
      </c>
      <c r="BS619" t="s">
        <v>61</v>
      </c>
      <c r="BT619" t="s">
        <v>7360</v>
      </c>
      <c r="BU619" t="s">
        <v>7360</v>
      </c>
      <c r="BV619" t="s">
        <v>7360</v>
      </c>
      <c r="BX619">
        <v>0</v>
      </c>
      <c r="BY619">
        <v>0</v>
      </c>
      <c r="BZ619" t="s">
        <v>7360</v>
      </c>
      <c r="CA619" t="s">
        <v>7360</v>
      </c>
      <c r="CB619">
        <v>3380666</v>
      </c>
      <c r="CC619" s="21">
        <v>44999.5862037037</v>
      </c>
      <c r="CE619" t="s">
        <v>7366</v>
      </c>
      <c r="CF619">
        <v>0</v>
      </c>
      <c r="CG619">
        <v>702002</v>
      </c>
      <c r="CH619">
        <v>702002</v>
      </c>
      <c r="CI619" s="21">
        <v>44999.587812500002</v>
      </c>
      <c r="CJ619" t="s">
        <v>7367</v>
      </c>
      <c r="CK619" t="s">
        <v>7367</v>
      </c>
      <c r="CL619" t="s">
        <v>7368</v>
      </c>
      <c r="CM619" t="s">
        <v>7368</v>
      </c>
      <c r="CS619" t="s">
        <v>7361</v>
      </c>
      <c r="CT619" t="s">
        <v>7362</v>
      </c>
      <c r="CU619" t="s">
        <v>7362</v>
      </c>
      <c r="CV619" t="s">
        <v>7362</v>
      </c>
      <c r="CW619" t="s">
        <v>7362</v>
      </c>
      <c r="CX619">
        <v>199563</v>
      </c>
      <c r="DA619">
        <v>0</v>
      </c>
    </row>
    <row r="620" spans="1:106" x14ac:dyDescent="0.3">
      <c r="A620">
        <v>1354</v>
      </c>
      <c r="B620" t="s">
        <v>7396</v>
      </c>
      <c r="C620">
        <v>744</v>
      </c>
      <c r="D620" s="20">
        <v>45009</v>
      </c>
      <c r="E620" t="s">
        <v>7372</v>
      </c>
      <c r="F620" t="s">
        <v>4949</v>
      </c>
      <c r="G620" t="s">
        <v>7370</v>
      </c>
      <c r="H620">
        <v>1</v>
      </c>
      <c r="I620" t="s">
        <v>7358</v>
      </c>
      <c r="J620">
        <v>1</v>
      </c>
      <c r="K620" s="20">
        <v>45009</v>
      </c>
      <c r="L620" s="23">
        <v>30000000</v>
      </c>
      <c r="M620" t="s">
        <v>7403</v>
      </c>
      <c r="N620" t="s">
        <v>7360</v>
      </c>
      <c r="O620">
        <v>0</v>
      </c>
      <c r="P620">
        <v>13325</v>
      </c>
      <c r="Q620">
        <v>141006</v>
      </c>
      <c r="R620">
        <v>0</v>
      </c>
      <c r="S620">
        <v>20230324</v>
      </c>
      <c r="T620">
        <v>0</v>
      </c>
      <c r="U620" t="s">
        <v>7362</v>
      </c>
      <c r="V620" t="s">
        <v>7360</v>
      </c>
      <c r="W620" t="s">
        <v>7360</v>
      </c>
      <c r="X620" t="s">
        <v>7360</v>
      </c>
      <c r="Y620" t="s">
        <v>7360</v>
      </c>
      <c r="Z620" t="s">
        <v>7360</v>
      </c>
      <c r="AA620" t="s">
        <v>7362</v>
      </c>
      <c r="AB620" t="s">
        <v>7360</v>
      </c>
      <c r="AC620" t="s">
        <v>7360</v>
      </c>
      <c r="AD620" t="s">
        <v>7360</v>
      </c>
      <c r="AE620" t="s">
        <v>7360</v>
      </c>
      <c r="AF620" t="s">
        <v>1684</v>
      </c>
      <c r="AG620">
        <v>0</v>
      </c>
      <c r="AH620">
        <v>0</v>
      </c>
      <c r="AI620">
        <v>0</v>
      </c>
      <c r="AJ620">
        <v>0</v>
      </c>
      <c r="AK620">
        <v>0</v>
      </c>
      <c r="AL620" t="s">
        <v>7360</v>
      </c>
      <c r="AM620">
        <v>0</v>
      </c>
      <c r="AN620" s="20">
        <v>45009</v>
      </c>
      <c r="AO620" s="20">
        <v>45009</v>
      </c>
      <c r="AP620" s="20">
        <v>45009</v>
      </c>
      <c r="AQ620">
        <v>0</v>
      </c>
      <c r="AR620">
        <v>0</v>
      </c>
      <c r="AS620">
        <v>0</v>
      </c>
      <c r="AT620">
        <v>0</v>
      </c>
      <c r="AU620">
        <v>0</v>
      </c>
      <c r="AV620" t="s">
        <v>7360</v>
      </c>
      <c r="AW620">
        <v>0</v>
      </c>
      <c r="AX620" t="s">
        <v>7360</v>
      </c>
      <c r="AY620" t="s">
        <v>7362</v>
      </c>
      <c r="BA620">
        <v>0</v>
      </c>
      <c r="BB620" s="20">
        <v>45009</v>
      </c>
      <c r="BC620">
        <v>0</v>
      </c>
      <c r="BD620" t="s">
        <v>7360</v>
      </c>
      <c r="BE620">
        <v>254</v>
      </c>
      <c r="BF620" s="20">
        <v>45009</v>
      </c>
      <c r="BG620">
        <v>0</v>
      </c>
      <c r="BH620" t="s">
        <v>7363</v>
      </c>
      <c r="BJ620" t="s">
        <v>7362</v>
      </c>
      <c r="BK620">
        <v>0</v>
      </c>
      <c r="BL620">
        <v>0</v>
      </c>
      <c r="BM620">
        <v>0</v>
      </c>
      <c r="BN620">
        <v>0</v>
      </c>
      <c r="BO620">
        <v>169</v>
      </c>
      <c r="BP620">
        <v>11</v>
      </c>
      <c r="BQ620">
        <v>1</v>
      </c>
      <c r="BR620" t="s">
        <v>7364</v>
      </c>
      <c r="BS620" t="s">
        <v>7404</v>
      </c>
      <c r="BT620" t="s">
        <v>7360</v>
      </c>
      <c r="BU620" t="s">
        <v>7360</v>
      </c>
      <c r="BV620" t="s">
        <v>7360</v>
      </c>
      <c r="BX620">
        <v>0</v>
      </c>
      <c r="BY620">
        <v>0</v>
      </c>
      <c r="BZ620" t="s">
        <v>7360</v>
      </c>
      <c r="CA620" t="s">
        <v>7360</v>
      </c>
      <c r="CB620">
        <v>3380666</v>
      </c>
      <c r="CC620" s="20">
        <v>45014</v>
      </c>
      <c r="CE620" t="s">
        <v>7366</v>
      </c>
      <c r="CF620">
        <v>0</v>
      </c>
      <c r="CG620">
        <v>702002</v>
      </c>
      <c r="CJ620" t="s">
        <v>7367</v>
      </c>
      <c r="CL620" t="s">
        <v>7368</v>
      </c>
      <c r="CS620" t="s">
        <v>7361</v>
      </c>
      <c r="CT620" t="s">
        <v>7362</v>
      </c>
      <c r="CU620" t="s">
        <v>7362</v>
      </c>
      <c r="CV620" t="s">
        <v>7362</v>
      </c>
      <c r="CW620" t="s">
        <v>7362</v>
      </c>
      <c r="DA620">
        <v>0</v>
      </c>
    </row>
    <row r="621" spans="1:106" x14ac:dyDescent="0.3">
      <c r="A621">
        <v>1366</v>
      </c>
      <c r="B621" t="s">
        <v>7380</v>
      </c>
      <c r="C621">
        <v>652</v>
      </c>
      <c r="D621" s="20">
        <v>44999</v>
      </c>
      <c r="E621" t="s">
        <v>7356</v>
      </c>
      <c r="F621" t="s">
        <v>4955</v>
      </c>
      <c r="G621" t="s">
        <v>7357</v>
      </c>
      <c r="H621">
        <v>1</v>
      </c>
      <c r="I621" t="s">
        <v>7358</v>
      </c>
      <c r="J621">
        <v>1</v>
      </c>
      <c r="K621" s="20">
        <v>44999</v>
      </c>
      <c r="L621" s="23">
        <v>3480000</v>
      </c>
      <c r="M621" t="s">
        <v>7359</v>
      </c>
      <c r="N621" t="s">
        <v>7360</v>
      </c>
      <c r="O621">
        <v>0</v>
      </c>
      <c r="P621">
        <v>13092</v>
      </c>
      <c r="Q621">
        <v>453099</v>
      </c>
      <c r="R621">
        <v>0</v>
      </c>
      <c r="S621">
        <v>20230314</v>
      </c>
      <c r="T621">
        <v>0</v>
      </c>
      <c r="U621" t="s">
        <v>7361</v>
      </c>
      <c r="V621" t="s">
        <v>7360</v>
      </c>
      <c r="W621" t="s">
        <v>7360</v>
      </c>
      <c r="X621" t="s">
        <v>7360</v>
      </c>
      <c r="Y621" t="s">
        <v>7360</v>
      </c>
      <c r="Z621" t="s">
        <v>7360</v>
      </c>
      <c r="AA621" t="s">
        <v>7362</v>
      </c>
      <c r="AB621" t="s">
        <v>7360</v>
      </c>
      <c r="AC621" t="s">
        <v>7360</v>
      </c>
      <c r="AD621" t="s">
        <v>7360</v>
      </c>
      <c r="AE621" t="s">
        <v>7360</v>
      </c>
      <c r="AF621" t="s">
        <v>1684</v>
      </c>
      <c r="AG621">
        <v>0</v>
      </c>
      <c r="AH621">
        <v>0</v>
      </c>
      <c r="AI621">
        <v>0</v>
      </c>
      <c r="AJ621">
        <v>0</v>
      </c>
      <c r="AK621">
        <v>0</v>
      </c>
      <c r="AL621" t="s">
        <v>7360</v>
      </c>
      <c r="AM621">
        <v>0</v>
      </c>
      <c r="AN621" s="20">
        <v>44999</v>
      </c>
      <c r="AO621" s="20">
        <v>44999</v>
      </c>
      <c r="AP621" s="20">
        <v>44999</v>
      </c>
      <c r="AQ621">
        <v>0</v>
      </c>
      <c r="AR621">
        <v>0</v>
      </c>
      <c r="AS621">
        <v>0</v>
      </c>
      <c r="AT621">
        <v>0</v>
      </c>
      <c r="AU621">
        <v>0</v>
      </c>
      <c r="AV621" t="s">
        <v>7360</v>
      </c>
      <c r="AW621">
        <v>0</v>
      </c>
      <c r="AX621" t="s">
        <v>7360</v>
      </c>
      <c r="AY621" t="s">
        <v>7363</v>
      </c>
      <c r="BA621">
        <v>0</v>
      </c>
      <c r="BB621" s="20">
        <v>44999</v>
      </c>
      <c r="BC621">
        <v>0</v>
      </c>
      <c r="BD621" t="s">
        <v>7360</v>
      </c>
      <c r="BF621" s="20">
        <v>44999</v>
      </c>
      <c r="BG621">
        <v>0</v>
      </c>
      <c r="BH621" t="s">
        <v>7363</v>
      </c>
      <c r="BJ621" t="s">
        <v>7362</v>
      </c>
      <c r="BK621">
        <v>169</v>
      </c>
      <c r="BL621">
        <v>11</v>
      </c>
      <c r="BM621">
        <v>1</v>
      </c>
      <c r="BN621" t="s">
        <v>7364</v>
      </c>
      <c r="BO621">
        <v>169</v>
      </c>
      <c r="BP621">
        <v>11</v>
      </c>
      <c r="BQ621">
        <v>1</v>
      </c>
      <c r="BR621" t="s">
        <v>7364</v>
      </c>
      <c r="BS621" t="s">
        <v>7461</v>
      </c>
      <c r="BT621" t="s">
        <v>7360</v>
      </c>
      <c r="BU621" t="s">
        <v>7360</v>
      </c>
      <c r="BV621" t="s">
        <v>7360</v>
      </c>
      <c r="BX621" t="s">
        <v>7391</v>
      </c>
      <c r="BY621">
        <v>74</v>
      </c>
      <c r="BZ621" t="s">
        <v>7360</v>
      </c>
      <c r="CA621" t="s">
        <v>7360</v>
      </c>
      <c r="CB621" t="s">
        <v>7360</v>
      </c>
      <c r="CC621" s="21">
        <v>44999.642280092594</v>
      </c>
      <c r="CE621" t="s">
        <v>7392</v>
      </c>
      <c r="CF621">
        <v>1100101</v>
      </c>
      <c r="CG621">
        <v>50947</v>
      </c>
      <c r="CH621">
        <v>50947</v>
      </c>
      <c r="CI621" s="21">
        <v>44999.645127314812</v>
      </c>
      <c r="CJ621" t="s">
        <v>7442</v>
      </c>
      <c r="CK621" t="s">
        <v>7442</v>
      </c>
      <c r="CL621" t="s">
        <v>7443</v>
      </c>
      <c r="CM621" t="s">
        <v>7443</v>
      </c>
      <c r="CS621" t="s">
        <v>7361</v>
      </c>
      <c r="CT621" t="s">
        <v>7362</v>
      </c>
      <c r="CU621" t="s">
        <v>7362</v>
      </c>
      <c r="CV621" t="s">
        <v>7362</v>
      </c>
      <c r="CW621" t="s">
        <v>7362</v>
      </c>
      <c r="CX621">
        <v>3480000</v>
      </c>
      <c r="DA621">
        <v>0</v>
      </c>
    </row>
    <row r="622" spans="1:106" x14ac:dyDescent="0.3">
      <c r="A622">
        <v>1362</v>
      </c>
      <c r="B622" t="s">
        <v>7371</v>
      </c>
      <c r="C622">
        <v>653</v>
      </c>
      <c r="D622" s="20">
        <v>44999</v>
      </c>
      <c r="E622" t="s">
        <v>7356</v>
      </c>
      <c r="F622" t="s">
        <v>4960</v>
      </c>
      <c r="G622" t="s">
        <v>7357</v>
      </c>
      <c r="H622">
        <v>1</v>
      </c>
      <c r="I622" t="s">
        <v>7358</v>
      </c>
      <c r="J622">
        <v>1</v>
      </c>
      <c r="K622" s="20">
        <v>44999</v>
      </c>
      <c r="L622" s="23">
        <v>6854711</v>
      </c>
      <c r="M622" t="s">
        <v>7359</v>
      </c>
      <c r="N622" t="s">
        <v>7360</v>
      </c>
      <c r="O622">
        <v>0</v>
      </c>
      <c r="P622">
        <v>13099</v>
      </c>
      <c r="Q622">
        <v>453089</v>
      </c>
      <c r="R622">
        <v>0</v>
      </c>
      <c r="S622">
        <v>20230314</v>
      </c>
      <c r="T622">
        <v>0</v>
      </c>
      <c r="U622" t="s">
        <v>7361</v>
      </c>
      <c r="V622" t="s">
        <v>7360</v>
      </c>
      <c r="W622" t="s">
        <v>7360</v>
      </c>
      <c r="X622" t="s">
        <v>7360</v>
      </c>
      <c r="Y622" t="s">
        <v>7360</v>
      </c>
      <c r="Z622" t="s">
        <v>7360</v>
      </c>
      <c r="AA622" t="s">
        <v>7362</v>
      </c>
      <c r="AB622" t="s">
        <v>7360</v>
      </c>
      <c r="AC622" t="s">
        <v>7360</v>
      </c>
      <c r="AD622" t="s">
        <v>7360</v>
      </c>
      <c r="AE622" t="s">
        <v>7360</v>
      </c>
      <c r="AF622" t="s">
        <v>1684</v>
      </c>
      <c r="AG622">
        <v>0</v>
      </c>
      <c r="AH622">
        <v>0</v>
      </c>
      <c r="AI622">
        <v>0</v>
      </c>
      <c r="AJ622">
        <v>0</v>
      </c>
      <c r="AK622">
        <v>0</v>
      </c>
      <c r="AL622" t="s">
        <v>7360</v>
      </c>
      <c r="AM622">
        <v>0</v>
      </c>
      <c r="AN622" s="20">
        <v>44999</v>
      </c>
      <c r="AO622" s="20">
        <v>44999</v>
      </c>
      <c r="AP622" s="20">
        <v>44999</v>
      </c>
      <c r="AQ622">
        <v>0</v>
      </c>
      <c r="AR622">
        <v>0</v>
      </c>
      <c r="AS622">
        <v>0</v>
      </c>
      <c r="AT622">
        <v>0</v>
      </c>
      <c r="AU622">
        <v>0</v>
      </c>
      <c r="AV622" t="s">
        <v>7360</v>
      </c>
      <c r="AW622">
        <v>0</v>
      </c>
      <c r="AX622" t="s">
        <v>7360</v>
      </c>
      <c r="AY622" t="s">
        <v>7363</v>
      </c>
      <c r="BA622">
        <v>0</v>
      </c>
      <c r="BB622" s="20">
        <v>44999</v>
      </c>
      <c r="BC622">
        <v>0</v>
      </c>
      <c r="BD622" t="s">
        <v>7360</v>
      </c>
      <c r="BF622" s="20">
        <v>44999</v>
      </c>
      <c r="BG622">
        <v>0</v>
      </c>
      <c r="BH622" t="s">
        <v>7363</v>
      </c>
      <c r="BJ622" t="s">
        <v>7362</v>
      </c>
      <c r="BK622">
        <v>169</v>
      </c>
      <c r="BL622">
        <v>11</v>
      </c>
      <c r="BM622">
        <v>1</v>
      </c>
      <c r="BN622" t="s">
        <v>7364</v>
      </c>
      <c r="BO622">
        <v>169</v>
      </c>
      <c r="BP622">
        <v>11</v>
      </c>
      <c r="BQ622">
        <v>1</v>
      </c>
      <c r="BR622" t="s">
        <v>7364</v>
      </c>
      <c r="BS622" t="s">
        <v>7400</v>
      </c>
      <c r="BT622" t="s">
        <v>7360</v>
      </c>
      <c r="BU622" t="s">
        <v>7360</v>
      </c>
      <c r="BV622" t="s">
        <v>7360</v>
      </c>
      <c r="BX622" t="s">
        <v>7391</v>
      </c>
      <c r="BY622">
        <v>74</v>
      </c>
      <c r="BZ622" t="s">
        <v>7360</v>
      </c>
      <c r="CA622" t="s">
        <v>7360</v>
      </c>
      <c r="CB622" t="s">
        <v>7360</v>
      </c>
      <c r="CC622" s="21">
        <v>44999.666238425925</v>
      </c>
      <c r="CE622" t="s">
        <v>7392</v>
      </c>
      <c r="CF622">
        <v>1100101</v>
      </c>
      <c r="CG622">
        <v>50947</v>
      </c>
      <c r="CH622">
        <v>50947</v>
      </c>
      <c r="CI622" s="21">
        <v>44999.670717592591</v>
      </c>
      <c r="CJ622" t="s">
        <v>7442</v>
      </c>
      <c r="CK622" t="s">
        <v>7442</v>
      </c>
      <c r="CL622" t="s">
        <v>7443</v>
      </c>
      <c r="CM622" t="s">
        <v>7443</v>
      </c>
      <c r="CS622" t="s">
        <v>7361</v>
      </c>
      <c r="CT622" t="s">
        <v>7362</v>
      </c>
      <c r="CU622" t="s">
        <v>7362</v>
      </c>
      <c r="CV622" t="s">
        <v>7362</v>
      </c>
      <c r="CW622" t="s">
        <v>7362</v>
      </c>
      <c r="CX622">
        <v>6854711</v>
      </c>
      <c r="DA622">
        <v>0</v>
      </c>
    </row>
    <row r="623" spans="1:106" x14ac:dyDescent="0.3">
      <c r="A623">
        <v>1362</v>
      </c>
      <c r="B623" t="s">
        <v>7371</v>
      </c>
      <c r="C623">
        <v>654</v>
      </c>
      <c r="D623" s="20">
        <v>44999</v>
      </c>
      <c r="E623" t="s">
        <v>7372</v>
      </c>
      <c r="F623" t="s">
        <v>4965</v>
      </c>
      <c r="G623" t="s">
        <v>7357</v>
      </c>
      <c r="H623">
        <v>1</v>
      </c>
      <c r="I623" t="s">
        <v>7358</v>
      </c>
      <c r="J623">
        <v>1</v>
      </c>
      <c r="K623" s="20">
        <v>44999</v>
      </c>
      <c r="L623" s="23">
        <v>1297058</v>
      </c>
      <c r="M623" t="s">
        <v>7359</v>
      </c>
      <c r="N623" t="s">
        <v>7360</v>
      </c>
      <c r="O623">
        <v>0</v>
      </c>
      <c r="P623">
        <v>13131</v>
      </c>
      <c r="Q623">
        <v>454011</v>
      </c>
      <c r="R623">
        <v>0</v>
      </c>
      <c r="S623">
        <v>20230314</v>
      </c>
      <c r="T623">
        <v>0</v>
      </c>
      <c r="U623" t="s">
        <v>7362</v>
      </c>
      <c r="V623" t="s">
        <v>7360</v>
      </c>
      <c r="W623" t="s">
        <v>7360</v>
      </c>
      <c r="X623" t="s">
        <v>7360</v>
      </c>
      <c r="Y623" t="s">
        <v>7360</v>
      </c>
      <c r="Z623" t="s">
        <v>7360</v>
      </c>
      <c r="AA623" t="s">
        <v>7362</v>
      </c>
      <c r="AB623" t="s">
        <v>7360</v>
      </c>
      <c r="AC623" t="s">
        <v>7360</v>
      </c>
      <c r="AD623" t="s">
        <v>7360</v>
      </c>
      <c r="AE623" t="s">
        <v>7360</v>
      </c>
      <c r="AF623" t="s">
        <v>1684</v>
      </c>
      <c r="AG623">
        <v>0</v>
      </c>
      <c r="AH623">
        <v>0</v>
      </c>
      <c r="AI623">
        <v>0</v>
      </c>
      <c r="AJ623">
        <v>0</v>
      </c>
      <c r="AK623">
        <v>0</v>
      </c>
      <c r="AL623" t="s">
        <v>7360</v>
      </c>
      <c r="AM623">
        <v>0</v>
      </c>
      <c r="AN623" s="20">
        <v>44999</v>
      </c>
      <c r="AO623" s="20">
        <v>44999</v>
      </c>
      <c r="AP623" s="20">
        <v>44999</v>
      </c>
      <c r="AQ623">
        <v>0</v>
      </c>
      <c r="AR623">
        <v>0</v>
      </c>
      <c r="AS623">
        <v>0</v>
      </c>
      <c r="AT623">
        <v>0</v>
      </c>
      <c r="AU623">
        <v>0</v>
      </c>
      <c r="AV623" t="s">
        <v>7360</v>
      </c>
      <c r="AW623">
        <v>0</v>
      </c>
      <c r="AX623" t="s">
        <v>7360</v>
      </c>
      <c r="AY623" t="s">
        <v>7362</v>
      </c>
      <c r="BA623">
        <v>0</v>
      </c>
      <c r="BB623" s="20">
        <v>44999</v>
      </c>
      <c r="BC623">
        <v>0</v>
      </c>
      <c r="BD623" t="s">
        <v>7360</v>
      </c>
      <c r="BF623" s="20">
        <v>44999</v>
      </c>
      <c r="BG623">
        <v>0</v>
      </c>
      <c r="BH623" t="s">
        <v>7363</v>
      </c>
      <c r="BJ623" t="s">
        <v>7362</v>
      </c>
      <c r="BK623">
        <v>169</v>
      </c>
      <c r="BL623">
        <v>11</v>
      </c>
      <c r="BM623">
        <v>1</v>
      </c>
      <c r="BN623" t="s">
        <v>7364</v>
      </c>
      <c r="BO623">
        <v>169</v>
      </c>
      <c r="BP623">
        <v>11</v>
      </c>
      <c r="BQ623">
        <v>1</v>
      </c>
      <c r="BR623" t="s">
        <v>7364</v>
      </c>
      <c r="BS623" t="s">
        <v>7400</v>
      </c>
      <c r="BT623" t="s">
        <v>7360</v>
      </c>
      <c r="BU623" t="s">
        <v>7360</v>
      </c>
      <c r="BV623" t="s">
        <v>7360</v>
      </c>
      <c r="BX623" t="s">
        <v>7391</v>
      </c>
      <c r="BY623">
        <v>74</v>
      </c>
      <c r="BZ623" t="s">
        <v>7360</v>
      </c>
      <c r="CA623" t="s">
        <v>7360</v>
      </c>
      <c r="CB623" t="s">
        <v>7360</v>
      </c>
      <c r="CC623" s="21">
        <v>44999.676469907405</v>
      </c>
      <c r="CE623" t="s">
        <v>7392</v>
      </c>
      <c r="CF623">
        <v>1100101</v>
      </c>
      <c r="CG623">
        <v>50947</v>
      </c>
      <c r="CH623">
        <v>50947</v>
      </c>
      <c r="CI623" s="21">
        <v>44999.678738425922</v>
      </c>
      <c r="CJ623" t="s">
        <v>7442</v>
      </c>
      <c r="CK623" t="s">
        <v>7442</v>
      </c>
      <c r="CL623" t="s">
        <v>7443</v>
      </c>
      <c r="CM623" t="s">
        <v>7443</v>
      </c>
      <c r="CS623" t="s">
        <v>7361</v>
      </c>
      <c r="CT623" t="s">
        <v>7362</v>
      </c>
      <c r="CU623" t="s">
        <v>7362</v>
      </c>
      <c r="CV623" t="s">
        <v>7362</v>
      </c>
      <c r="CW623" t="s">
        <v>7362</v>
      </c>
      <c r="CX623">
        <v>1297058</v>
      </c>
      <c r="DA623">
        <v>0</v>
      </c>
    </row>
    <row r="624" spans="1:106" x14ac:dyDescent="0.3">
      <c r="A624">
        <v>1362</v>
      </c>
      <c r="B624" t="s">
        <v>7371</v>
      </c>
      <c r="C624">
        <v>655</v>
      </c>
      <c r="D624" s="20">
        <v>44999</v>
      </c>
      <c r="E624" t="s">
        <v>7356</v>
      </c>
      <c r="F624" t="s">
        <v>4971</v>
      </c>
      <c r="G624" t="s">
        <v>7357</v>
      </c>
      <c r="H624">
        <v>1</v>
      </c>
      <c r="I624" t="s">
        <v>7358</v>
      </c>
      <c r="J624">
        <v>1</v>
      </c>
      <c r="K624" s="20">
        <v>44999</v>
      </c>
      <c r="L624" s="23">
        <v>1835480</v>
      </c>
      <c r="M624" t="s">
        <v>7359</v>
      </c>
      <c r="N624" t="s">
        <v>7360</v>
      </c>
      <c r="O624">
        <v>0</v>
      </c>
      <c r="P624">
        <v>13122</v>
      </c>
      <c r="Q624">
        <v>454002</v>
      </c>
      <c r="R624">
        <v>0</v>
      </c>
      <c r="S624">
        <v>20230314</v>
      </c>
      <c r="T624">
        <v>0</v>
      </c>
      <c r="U624" t="s">
        <v>7361</v>
      </c>
      <c r="V624" t="s">
        <v>7360</v>
      </c>
      <c r="W624" t="s">
        <v>7360</v>
      </c>
      <c r="X624" t="s">
        <v>7360</v>
      </c>
      <c r="Y624" t="s">
        <v>7360</v>
      </c>
      <c r="Z624" t="s">
        <v>7360</v>
      </c>
      <c r="AA624" t="s">
        <v>7362</v>
      </c>
      <c r="AB624" t="s">
        <v>7360</v>
      </c>
      <c r="AC624" t="s">
        <v>7360</v>
      </c>
      <c r="AD624" t="s">
        <v>7360</v>
      </c>
      <c r="AE624" t="s">
        <v>7360</v>
      </c>
      <c r="AF624" t="s">
        <v>1684</v>
      </c>
      <c r="AG624">
        <v>0</v>
      </c>
      <c r="AH624">
        <v>0</v>
      </c>
      <c r="AI624">
        <v>0</v>
      </c>
      <c r="AJ624">
        <v>0</v>
      </c>
      <c r="AK624">
        <v>0</v>
      </c>
      <c r="AL624" t="s">
        <v>7360</v>
      </c>
      <c r="AM624">
        <v>0</v>
      </c>
      <c r="AN624" s="20">
        <v>44999</v>
      </c>
      <c r="AO624" s="20">
        <v>44999</v>
      </c>
      <c r="AP624" s="20">
        <v>44999</v>
      </c>
      <c r="AQ624">
        <v>0</v>
      </c>
      <c r="AR624">
        <v>0</v>
      </c>
      <c r="AS624">
        <v>0</v>
      </c>
      <c r="AT624">
        <v>0</v>
      </c>
      <c r="AU624">
        <v>0</v>
      </c>
      <c r="AV624" t="s">
        <v>7360</v>
      </c>
      <c r="AW624">
        <v>0</v>
      </c>
      <c r="AX624" t="s">
        <v>7360</v>
      </c>
      <c r="AY624" t="s">
        <v>7363</v>
      </c>
      <c r="BA624">
        <v>0</v>
      </c>
      <c r="BB624" s="20">
        <v>44999</v>
      </c>
      <c r="BC624">
        <v>0</v>
      </c>
      <c r="BD624" t="s">
        <v>7360</v>
      </c>
      <c r="BF624" s="20">
        <v>44999</v>
      </c>
      <c r="BG624">
        <v>0</v>
      </c>
      <c r="BH624" t="s">
        <v>7363</v>
      </c>
      <c r="BJ624" t="s">
        <v>7362</v>
      </c>
      <c r="BK624">
        <v>169</v>
      </c>
      <c r="BL624">
        <v>11</v>
      </c>
      <c r="BM624">
        <v>1</v>
      </c>
      <c r="BN624" t="s">
        <v>7364</v>
      </c>
      <c r="BO624">
        <v>169</v>
      </c>
      <c r="BP624">
        <v>11</v>
      </c>
      <c r="BQ624">
        <v>1</v>
      </c>
      <c r="BR624" t="s">
        <v>7364</v>
      </c>
      <c r="BS624" t="s">
        <v>7400</v>
      </c>
      <c r="BT624" t="s">
        <v>7360</v>
      </c>
      <c r="BU624" t="s">
        <v>7360</v>
      </c>
      <c r="BV624" t="s">
        <v>7360</v>
      </c>
      <c r="BX624" t="s">
        <v>7391</v>
      </c>
      <c r="BY624">
        <v>74</v>
      </c>
      <c r="BZ624" t="s">
        <v>7360</v>
      </c>
      <c r="CA624" t="s">
        <v>7360</v>
      </c>
      <c r="CB624" t="s">
        <v>7360</v>
      </c>
      <c r="CC624" s="21">
        <v>44999.684641203705</v>
      </c>
      <c r="CE624" t="s">
        <v>7392</v>
      </c>
      <c r="CF624">
        <v>1100101</v>
      </c>
      <c r="CG624">
        <v>50947</v>
      </c>
      <c r="CH624">
        <v>50947</v>
      </c>
      <c r="CI624" s="21">
        <v>44999.690266203703</v>
      </c>
      <c r="CJ624" t="s">
        <v>7442</v>
      </c>
      <c r="CK624" t="s">
        <v>7442</v>
      </c>
      <c r="CL624" t="s">
        <v>7443</v>
      </c>
      <c r="CM624" t="s">
        <v>7443</v>
      </c>
      <c r="CS624" t="s">
        <v>7361</v>
      </c>
      <c r="CT624" t="s">
        <v>7362</v>
      </c>
      <c r="CU624" t="s">
        <v>7362</v>
      </c>
      <c r="CV624" t="s">
        <v>7362</v>
      </c>
      <c r="CW624" t="s">
        <v>7362</v>
      </c>
      <c r="CX624">
        <v>1835480</v>
      </c>
      <c r="DA624">
        <v>0</v>
      </c>
    </row>
    <row r="625" spans="1:106" x14ac:dyDescent="0.3">
      <c r="A625">
        <v>1357</v>
      </c>
      <c r="B625" t="s">
        <v>7405</v>
      </c>
      <c r="C625">
        <v>583</v>
      </c>
      <c r="D625" s="20">
        <v>44994</v>
      </c>
      <c r="E625" t="s">
        <v>7397</v>
      </c>
      <c r="F625" t="s">
        <v>4976</v>
      </c>
      <c r="G625" t="s">
        <v>7357</v>
      </c>
      <c r="H625">
        <v>1</v>
      </c>
      <c r="I625" t="s">
        <v>7358</v>
      </c>
      <c r="J625">
        <v>1</v>
      </c>
      <c r="K625" s="20">
        <v>44994</v>
      </c>
      <c r="L625" s="23">
        <v>27505626</v>
      </c>
      <c r="M625" t="s">
        <v>7359</v>
      </c>
      <c r="N625" t="s">
        <v>7360</v>
      </c>
      <c r="O625">
        <v>0</v>
      </c>
      <c r="P625">
        <v>12916</v>
      </c>
      <c r="Q625">
        <v>450066</v>
      </c>
      <c r="R625">
        <v>0</v>
      </c>
      <c r="S625">
        <v>20230309</v>
      </c>
      <c r="T625">
        <v>0</v>
      </c>
      <c r="U625" t="s">
        <v>7362</v>
      </c>
      <c r="V625" t="s">
        <v>7360</v>
      </c>
      <c r="W625" t="s">
        <v>7360</v>
      </c>
      <c r="X625" t="s">
        <v>7360</v>
      </c>
      <c r="Y625" t="s">
        <v>7360</v>
      </c>
      <c r="Z625" t="s">
        <v>7360</v>
      </c>
      <c r="AA625" t="s">
        <v>7362</v>
      </c>
      <c r="AB625" t="s">
        <v>7360</v>
      </c>
      <c r="AC625" t="s">
        <v>7360</v>
      </c>
      <c r="AD625" t="s">
        <v>7360</v>
      </c>
      <c r="AE625" t="s">
        <v>7360</v>
      </c>
      <c r="AF625" t="s">
        <v>1684</v>
      </c>
      <c r="AG625">
        <v>0</v>
      </c>
      <c r="AH625">
        <v>0</v>
      </c>
      <c r="AI625">
        <v>0</v>
      </c>
      <c r="AJ625">
        <v>0</v>
      </c>
      <c r="AK625">
        <v>0</v>
      </c>
      <c r="AL625" t="s">
        <v>7360</v>
      </c>
      <c r="AM625">
        <v>0</v>
      </c>
      <c r="AN625" s="20">
        <v>44994</v>
      </c>
      <c r="AO625" s="20">
        <v>44994</v>
      </c>
      <c r="AP625" s="20">
        <v>44994</v>
      </c>
      <c r="AQ625">
        <v>0</v>
      </c>
      <c r="AR625">
        <v>0</v>
      </c>
      <c r="AS625">
        <v>0</v>
      </c>
      <c r="AT625">
        <v>0</v>
      </c>
      <c r="AU625">
        <v>0</v>
      </c>
      <c r="AV625" t="s">
        <v>7360</v>
      </c>
      <c r="AW625">
        <v>0</v>
      </c>
      <c r="AX625" t="s">
        <v>7360</v>
      </c>
      <c r="AY625" t="s">
        <v>7362</v>
      </c>
      <c r="BA625">
        <v>0</v>
      </c>
      <c r="BB625" s="20">
        <v>44994</v>
      </c>
      <c r="BC625">
        <v>0</v>
      </c>
      <c r="BD625" t="s">
        <v>7360</v>
      </c>
      <c r="BF625" s="20">
        <v>44994</v>
      </c>
      <c r="BG625">
        <v>0</v>
      </c>
      <c r="BH625" t="s">
        <v>1684</v>
      </c>
      <c r="BJ625" t="s">
        <v>7362</v>
      </c>
      <c r="BK625">
        <v>169</v>
      </c>
      <c r="BL625">
        <v>11</v>
      </c>
      <c r="BM625">
        <v>1</v>
      </c>
      <c r="BN625" t="s">
        <v>7364</v>
      </c>
      <c r="BO625">
        <v>0</v>
      </c>
      <c r="BP625">
        <v>0</v>
      </c>
      <c r="BQ625">
        <v>0</v>
      </c>
      <c r="BR625">
        <v>0</v>
      </c>
      <c r="BS625" t="s">
        <v>132</v>
      </c>
      <c r="BT625" t="s">
        <v>7360</v>
      </c>
      <c r="BU625" t="s">
        <v>7360</v>
      </c>
      <c r="BV625" t="s">
        <v>7360</v>
      </c>
      <c r="BX625" t="s">
        <v>7391</v>
      </c>
      <c r="BY625">
        <v>74</v>
      </c>
      <c r="BZ625" t="s">
        <v>7360</v>
      </c>
      <c r="CA625" t="s">
        <v>7360</v>
      </c>
      <c r="CC625" s="21">
        <v>45000.333240740743</v>
      </c>
      <c r="CE625" t="s">
        <v>7392</v>
      </c>
      <c r="CF625">
        <v>1100101</v>
      </c>
      <c r="CG625">
        <v>53575</v>
      </c>
      <c r="CH625">
        <v>53575</v>
      </c>
      <c r="CI625" s="21">
        <v>45000.335081018522</v>
      </c>
      <c r="CJ625" t="s">
        <v>7393</v>
      </c>
      <c r="CK625" t="s">
        <v>7393</v>
      </c>
      <c r="CL625" t="s">
        <v>7394</v>
      </c>
      <c r="CM625" t="s">
        <v>7394</v>
      </c>
      <c r="CS625" t="s">
        <v>7361</v>
      </c>
      <c r="CT625" t="s">
        <v>7362</v>
      </c>
      <c r="CU625" t="s">
        <v>7362</v>
      </c>
      <c r="CV625" t="s">
        <v>7362</v>
      </c>
      <c r="CW625" t="s">
        <v>7362</v>
      </c>
      <c r="CX625">
        <v>30000000</v>
      </c>
      <c r="DA625">
        <v>0</v>
      </c>
      <c r="DB625">
        <v>138001</v>
      </c>
    </row>
    <row r="626" spans="1:106" x14ac:dyDescent="0.3">
      <c r="A626">
        <v>1364</v>
      </c>
      <c r="B626" t="s">
        <v>7355</v>
      </c>
      <c r="C626">
        <v>657</v>
      </c>
      <c r="D626" s="20">
        <v>45000</v>
      </c>
      <c r="E626" t="s">
        <v>7372</v>
      </c>
      <c r="F626" t="s">
        <v>4981</v>
      </c>
      <c r="G626" t="s">
        <v>7357</v>
      </c>
      <c r="H626">
        <v>1</v>
      </c>
      <c r="I626" t="s">
        <v>7358</v>
      </c>
      <c r="J626">
        <v>1</v>
      </c>
      <c r="K626" s="20">
        <v>45000</v>
      </c>
      <c r="L626" s="23">
        <v>1126025</v>
      </c>
      <c r="M626" t="s">
        <v>7359</v>
      </c>
      <c r="N626" t="s">
        <v>7360</v>
      </c>
      <c r="O626">
        <v>0</v>
      </c>
      <c r="P626">
        <v>12897</v>
      </c>
      <c r="Q626">
        <v>450054</v>
      </c>
      <c r="R626">
        <v>0</v>
      </c>
      <c r="S626">
        <v>20230315</v>
      </c>
      <c r="T626">
        <v>0</v>
      </c>
      <c r="U626" t="s">
        <v>7362</v>
      </c>
      <c r="V626" t="s">
        <v>7360</v>
      </c>
      <c r="W626" t="s">
        <v>7360</v>
      </c>
      <c r="X626" t="s">
        <v>7360</v>
      </c>
      <c r="Y626" t="s">
        <v>7360</v>
      </c>
      <c r="Z626" t="s">
        <v>7360</v>
      </c>
      <c r="AA626" t="s">
        <v>7362</v>
      </c>
      <c r="AB626" t="s">
        <v>7360</v>
      </c>
      <c r="AC626" t="s">
        <v>7360</v>
      </c>
      <c r="AD626" t="s">
        <v>7360</v>
      </c>
      <c r="AE626" t="s">
        <v>7360</v>
      </c>
      <c r="AF626" t="s">
        <v>1684</v>
      </c>
      <c r="AG626">
        <v>0</v>
      </c>
      <c r="AH626">
        <v>0</v>
      </c>
      <c r="AI626">
        <v>0</v>
      </c>
      <c r="AJ626">
        <v>0</v>
      </c>
      <c r="AK626">
        <v>0</v>
      </c>
      <c r="AL626" t="s">
        <v>7360</v>
      </c>
      <c r="AM626">
        <v>0</v>
      </c>
      <c r="AN626" s="20">
        <v>45000</v>
      </c>
      <c r="AO626" s="20">
        <v>45000</v>
      </c>
      <c r="AP626" s="20">
        <v>45000</v>
      </c>
      <c r="AQ626">
        <v>0</v>
      </c>
      <c r="AR626">
        <v>0</v>
      </c>
      <c r="AS626">
        <v>0</v>
      </c>
      <c r="AT626">
        <v>0</v>
      </c>
      <c r="AU626">
        <v>0</v>
      </c>
      <c r="AV626" t="s">
        <v>7360</v>
      </c>
      <c r="AW626">
        <v>0</v>
      </c>
      <c r="AX626" t="s">
        <v>7360</v>
      </c>
      <c r="AY626" t="s">
        <v>7362</v>
      </c>
      <c r="BA626">
        <v>0</v>
      </c>
      <c r="BB626" s="20">
        <v>45000</v>
      </c>
      <c r="BC626">
        <v>0</v>
      </c>
      <c r="BD626" t="s">
        <v>7360</v>
      </c>
      <c r="BF626" s="20">
        <v>45000</v>
      </c>
      <c r="BG626">
        <v>0</v>
      </c>
      <c r="BH626" t="s">
        <v>7363</v>
      </c>
      <c r="BJ626" t="s">
        <v>7362</v>
      </c>
      <c r="BK626">
        <v>169</v>
      </c>
      <c r="BL626">
        <v>11</v>
      </c>
      <c r="BM626">
        <v>1</v>
      </c>
      <c r="BN626" t="s">
        <v>7364</v>
      </c>
      <c r="BO626">
        <v>169</v>
      </c>
      <c r="BP626">
        <v>11</v>
      </c>
      <c r="BQ626">
        <v>1</v>
      </c>
      <c r="BR626" t="s">
        <v>7364</v>
      </c>
      <c r="BS626" t="s">
        <v>7365</v>
      </c>
      <c r="BT626" t="s">
        <v>7360</v>
      </c>
      <c r="BU626" t="s">
        <v>7360</v>
      </c>
      <c r="BV626" t="s">
        <v>7360</v>
      </c>
      <c r="BX626" t="s">
        <v>7391</v>
      </c>
      <c r="BY626">
        <v>74</v>
      </c>
      <c r="BZ626" t="s">
        <v>7360</v>
      </c>
      <c r="CA626" t="s">
        <v>7360</v>
      </c>
      <c r="CB626">
        <v>3380666</v>
      </c>
      <c r="CC626" s="21">
        <v>45000.355416666665</v>
      </c>
      <c r="CE626" t="s">
        <v>7392</v>
      </c>
      <c r="CF626">
        <v>1100101</v>
      </c>
      <c r="CG626">
        <v>51669</v>
      </c>
      <c r="CH626">
        <v>51669</v>
      </c>
      <c r="CI626" s="21">
        <v>45015.577789351853</v>
      </c>
      <c r="CJ626" t="s">
        <v>7406</v>
      </c>
      <c r="CK626" t="s">
        <v>7406</v>
      </c>
      <c r="CL626" t="s">
        <v>7407</v>
      </c>
      <c r="CM626" t="s">
        <v>7407</v>
      </c>
      <c r="CS626" t="s">
        <v>7361</v>
      </c>
      <c r="CT626" t="s">
        <v>7362</v>
      </c>
      <c r="CU626" t="s">
        <v>7362</v>
      </c>
      <c r="CV626" t="s">
        <v>7362</v>
      </c>
      <c r="CW626" t="s">
        <v>7362</v>
      </c>
      <c r="CX626">
        <v>1126025</v>
      </c>
      <c r="DA626">
        <v>0</v>
      </c>
    </row>
    <row r="627" spans="1:106" x14ac:dyDescent="0.3">
      <c r="A627">
        <v>1354</v>
      </c>
      <c r="B627" t="s">
        <v>7396</v>
      </c>
      <c r="C627">
        <v>658</v>
      </c>
      <c r="D627" s="20">
        <v>45000</v>
      </c>
      <c r="E627" t="s">
        <v>7372</v>
      </c>
      <c r="F627" t="s">
        <v>4987</v>
      </c>
      <c r="G627" t="s">
        <v>7370</v>
      </c>
      <c r="H627">
        <v>1</v>
      </c>
      <c r="I627" t="s">
        <v>7358</v>
      </c>
      <c r="J627">
        <v>1</v>
      </c>
      <c r="K627" s="20">
        <v>45000</v>
      </c>
      <c r="L627" s="23">
        <v>2000000</v>
      </c>
      <c r="M627" t="s">
        <v>7359</v>
      </c>
      <c r="N627" t="s">
        <v>7360</v>
      </c>
      <c r="O627">
        <v>0</v>
      </c>
      <c r="P627">
        <v>12606</v>
      </c>
      <c r="Q627">
        <v>440026</v>
      </c>
      <c r="R627">
        <v>0</v>
      </c>
      <c r="S627">
        <v>20230315</v>
      </c>
      <c r="T627">
        <v>0</v>
      </c>
      <c r="U627" t="s">
        <v>7362</v>
      </c>
      <c r="V627" t="s">
        <v>7360</v>
      </c>
      <c r="W627" t="s">
        <v>7360</v>
      </c>
      <c r="X627" t="s">
        <v>7360</v>
      </c>
      <c r="Y627" t="s">
        <v>7360</v>
      </c>
      <c r="Z627" t="s">
        <v>7360</v>
      </c>
      <c r="AA627" t="s">
        <v>7362</v>
      </c>
      <c r="AB627" t="s">
        <v>7360</v>
      </c>
      <c r="AC627" t="s">
        <v>7360</v>
      </c>
      <c r="AD627" t="s">
        <v>7360</v>
      </c>
      <c r="AE627" t="s">
        <v>7360</v>
      </c>
      <c r="AF627" t="s">
        <v>1684</v>
      </c>
      <c r="AG627">
        <v>0</v>
      </c>
      <c r="AH627">
        <v>0</v>
      </c>
      <c r="AI627">
        <v>0</v>
      </c>
      <c r="AJ627">
        <v>0</v>
      </c>
      <c r="AK627">
        <v>0</v>
      </c>
      <c r="AL627" t="s">
        <v>7360</v>
      </c>
      <c r="AM627">
        <v>0</v>
      </c>
      <c r="AN627" s="20">
        <v>45000</v>
      </c>
      <c r="AO627" s="20">
        <v>45000</v>
      </c>
      <c r="AP627" s="20">
        <v>45000</v>
      </c>
      <c r="AQ627">
        <v>0</v>
      </c>
      <c r="AR627">
        <v>0</v>
      </c>
      <c r="AS627">
        <v>0</v>
      </c>
      <c r="AT627">
        <v>0</v>
      </c>
      <c r="AU627">
        <v>0</v>
      </c>
      <c r="AV627" t="s">
        <v>7360</v>
      </c>
      <c r="AW627">
        <v>0</v>
      </c>
      <c r="AX627" t="s">
        <v>7360</v>
      </c>
      <c r="AY627" t="s">
        <v>7362</v>
      </c>
      <c r="BA627">
        <v>0</v>
      </c>
      <c r="BB627" s="20">
        <v>45000</v>
      </c>
      <c r="BC627">
        <v>0</v>
      </c>
      <c r="BD627" t="s">
        <v>7360</v>
      </c>
      <c r="BF627" s="20">
        <v>45000</v>
      </c>
      <c r="BG627">
        <v>0</v>
      </c>
      <c r="BH627" t="s">
        <v>7363</v>
      </c>
      <c r="BJ627" t="s">
        <v>7362</v>
      </c>
      <c r="BK627">
        <v>169</v>
      </c>
      <c r="BL627">
        <v>11</v>
      </c>
      <c r="BM627">
        <v>1</v>
      </c>
      <c r="BN627" t="s">
        <v>7364</v>
      </c>
      <c r="BO627">
        <v>0</v>
      </c>
      <c r="BP627">
        <v>0</v>
      </c>
      <c r="BQ627">
        <v>0</v>
      </c>
      <c r="BR627">
        <v>0</v>
      </c>
      <c r="BS627" t="s">
        <v>7427</v>
      </c>
      <c r="BT627" t="s">
        <v>7360</v>
      </c>
      <c r="BU627" t="s">
        <v>7360</v>
      </c>
      <c r="BV627" t="s">
        <v>7360</v>
      </c>
      <c r="BX627" t="s">
        <v>7391</v>
      </c>
      <c r="BY627">
        <v>74</v>
      </c>
      <c r="BZ627" t="s">
        <v>7360</v>
      </c>
      <c r="CA627" t="s">
        <v>7360</v>
      </c>
      <c r="CC627" s="21">
        <v>45000.330185185187</v>
      </c>
      <c r="CE627" t="s">
        <v>7392</v>
      </c>
      <c r="CF627">
        <v>1100101</v>
      </c>
      <c r="CG627">
        <v>53575</v>
      </c>
      <c r="CH627">
        <v>53575</v>
      </c>
      <c r="CI627" s="21">
        <v>45000.360879629632</v>
      </c>
      <c r="CJ627" t="s">
        <v>7393</v>
      </c>
      <c r="CK627" t="s">
        <v>7393</v>
      </c>
      <c r="CL627" t="s">
        <v>7394</v>
      </c>
      <c r="CM627" t="s">
        <v>7394</v>
      </c>
      <c r="CS627" t="s">
        <v>7361</v>
      </c>
      <c r="CT627" t="s">
        <v>7362</v>
      </c>
      <c r="CU627" t="s">
        <v>7362</v>
      </c>
      <c r="CV627" t="s">
        <v>7362</v>
      </c>
      <c r="CW627" t="s">
        <v>7362</v>
      </c>
      <c r="CX627">
        <v>2000000</v>
      </c>
      <c r="DA627">
        <v>0</v>
      </c>
    </row>
    <row r="628" spans="1:106" x14ac:dyDescent="0.3">
      <c r="A628">
        <v>1364</v>
      </c>
      <c r="B628" t="s">
        <v>7355</v>
      </c>
      <c r="C628">
        <v>659</v>
      </c>
      <c r="D628" s="20">
        <v>45000</v>
      </c>
      <c r="E628" t="s">
        <v>7372</v>
      </c>
      <c r="F628" t="s">
        <v>4992</v>
      </c>
      <c r="G628" t="s">
        <v>7357</v>
      </c>
      <c r="H628">
        <v>1</v>
      </c>
      <c r="I628" t="s">
        <v>7358</v>
      </c>
      <c r="J628">
        <v>1</v>
      </c>
      <c r="K628" s="20">
        <v>45000</v>
      </c>
      <c r="L628" s="23">
        <v>642600</v>
      </c>
      <c r="M628" t="s">
        <v>7359</v>
      </c>
      <c r="N628" t="s">
        <v>7360</v>
      </c>
      <c r="O628">
        <v>0</v>
      </c>
      <c r="P628">
        <v>12899</v>
      </c>
      <c r="Q628">
        <v>450055</v>
      </c>
      <c r="R628">
        <v>0</v>
      </c>
      <c r="S628">
        <v>20230315</v>
      </c>
      <c r="T628">
        <v>0</v>
      </c>
      <c r="U628" t="s">
        <v>7362</v>
      </c>
      <c r="V628" t="s">
        <v>7360</v>
      </c>
      <c r="W628" t="s">
        <v>7360</v>
      </c>
      <c r="X628" t="s">
        <v>7360</v>
      </c>
      <c r="Y628" t="s">
        <v>7360</v>
      </c>
      <c r="Z628" t="s">
        <v>7360</v>
      </c>
      <c r="AA628" t="s">
        <v>7362</v>
      </c>
      <c r="AB628" t="s">
        <v>7360</v>
      </c>
      <c r="AC628" t="s">
        <v>7360</v>
      </c>
      <c r="AD628" t="s">
        <v>7360</v>
      </c>
      <c r="AE628" t="s">
        <v>7360</v>
      </c>
      <c r="AF628" t="s">
        <v>1684</v>
      </c>
      <c r="AG628">
        <v>0</v>
      </c>
      <c r="AH628">
        <v>0</v>
      </c>
      <c r="AI628">
        <v>0</v>
      </c>
      <c r="AJ628">
        <v>0</v>
      </c>
      <c r="AK628">
        <v>0</v>
      </c>
      <c r="AL628" t="s">
        <v>7360</v>
      </c>
      <c r="AM628">
        <v>0</v>
      </c>
      <c r="AN628" s="20">
        <v>45000</v>
      </c>
      <c r="AO628" s="20">
        <v>45000</v>
      </c>
      <c r="AP628" s="20">
        <v>45000</v>
      </c>
      <c r="AQ628">
        <v>0</v>
      </c>
      <c r="AR628">
        <v>0</v>
      </c>
      <c r="AS628">
        <v>0</v>
      </c>
      <c r="AT628">
        <v>0</v>
      </c>
      <c r="AU628">
        <v>0</v>
      </c>
      <c r="AV628" t="s">
        <v>7360</v>
      </c>
      <c r="AW628">
        <v>0</v>
      </c>
      <c r="AX628" t="s">
        <v>7360</v>
      </c>
      <c r="AY628" t="s">
        <v>7362</v>
      </c>
      <c r="BA628">
        <v>0</v>
      </c>
      <c r="BB628" s="20">
        <v>45000</v>
      </c>
      <c r="BC628">
        <v>0</v>
      </c>
      <c r="BD628" t="s">
        <v>7360</v>
      </c>
      <c r="BF628" s="20">
        <v>45000</v>
      </c>
      <c r="BG628">
        <v>0</v>
      </c>
      <c r="BH628" t="s">
        <v>7363</v>
      </c>
      <c r="BJ628" t="s">
        <v>7362</v>
      </c>
      <c r="BK628">
        <v>169</v>
      </c>
      <c r="BL628">
        <v>11</v>
      </c>
      <c r="BM628">
        <v>1</v>
      </c>
      <c r="BN628" t="s">
        <v>7364</v>
      </c>
      <c r="BO628">
        <v>169</v>
      </c>
      <c r="BP628">
        <v>11</v>
      </c>
      <c r="BQ628">
        <v>1</v>
      </c>
      <c r="BR628" t="s">
        <v>7364</v>
      </c>
      <c r="BS628" t="s">
        <v>7365</v>
      </c>
      <c r="BT628" t="s">
        <v>7360</v>
      </c>
      <c r="BU628" t="s">
        <v>7360</v>
      </c>
      <c r="BV628" t="s">
        <v>7360</v>
      </c>
      <c r="BX628" t="s">
        <v>7391</v>
      </c>
      <c r="BY628">
        <v>74</v>
      </c>
      <c r="BZ628" t="s">
        <v>7360</v>
      </c>
      <c r="CA628" t="s">
        <v>7360</v>
      </c>
      <c r="CB628">
        <v>3380666</v>
      </c>
      <c r="CC628" s="21">
        <v>45000.363310185188</v>
      </c>
      <c r="CE628" t="s">
        <v>7392</v>
      </c>
      <c r="CF628">
        <v>1100101</v>
      </c>
      <c r="CG628">
        <v>51669</v>
      </c>
      <c r="CH628">
        <v>51669</v>
      </c>
      <c r="CI628" s="21">
        <v>45015.5780787037</v>
      </c>
      <c r="CJ628" t="s">
        <v>7406</v>
      </c>
      <c r="CK628" t="s">
        <v>7406</v>
      </c>
      <c r="CL628" t="s">
        <v>7407</v>
      </c>
      <c r="CM628" t="s">
        <v>7407</v>
      </c>
      <c r="CS628" t="s">
        <v>7361</v>
      </c>
      <c r="CT628" t="s">
        <v>7362</v>
      </c>
      <c r="CU628" t="s">
        <v>7362</v>
      </c>
      <c r="CV628" t="s">
        <v>7362</v>
      </c>
      <c r="CW628" t="s">
        <v>7362</v>
      </c>
      <c r="CX628">
        <v>642600</v>
      </c>
      <c r="DA628">
        <v>0</v>
      </c>
    </row>
    <row r="629" spans="1:106" x14ac:dyDescent="0.3">
      <c r="A629">
        <v>1352</v>
      </c>
      <c r="B629" t="s">
        <v>7416</v>
      </c>
      <c r="C629">
        <v>660</v>
      </c>
      <c r="D629" s="20">
        <v>45000</v>
      </c>
      <c r="E629" t="s">
        <v>7356</v>
      </c>
      <c r="F629" t="s">
        <v>4923</v>
      </c>
      <c r="G629" t="s">
        <v>7357</v>
      </c>
      <c r="H629">
        <v>1</v>
      </c>
      <c r="I629" t="s">
        <v>7358</v>
      </c>
      <c r="J629">
        <v>1</v>
      </c>
      <c r="K629" s="20">
        <v>45000</v>
      </c>
      <c r="L629" s="23">
        <v>389725</v>
      </c>
      <c r="M629" t="s">
        <v>7359</v>
      </c>
      <c r="N629" t="s">
        <v>7360</v>
      </c>
      <c r="O629">
        <v>0</v>
      </c>
      <c r="P629">
        <v>13132</v>
      </c>
      <c r="Q629">
        <v>454031</v>
      </c>
      <c r="R629">
        <v>0</v>
      </c>
      <c r="S629">
        <v>20230315</v>
      </c>
      <c r="T629">
        <v>0</v>
      </c>
      <c r="U629" t="s">
        <v>7361</v>
      </c>
      <c r="V629" t="s">
        <v>7360</v>
      </c>
      <c r="W629" t="s">
        <v>7360</v>
      </c>
      <c r="X629" t="s">
        <v>7360</v>
      </c>
      <c r="Y629" t="s">
        <v>7360</v>
      </c>
      <c r="Z629" t="s">
        <v>7360</v>
      </c>
      <c r="AA629" t="s">
        <v>7362</v>
      </c>
      <c r="AB629" t="s">
        <v>7360</v>
      </c>
      <c r="AC629" t="s">
        <v>7360</v>
      </c>
      <c r="AD629" t="s">
        <v>7360</v>
      </c>
      <c r="AE629" t="s">
        <v>7360</v>
      </c>
      <c r="AF629" t="s">
        <v>1684</v>
      </c>
      <c r="AG629">
        <v>0</v>
      </c>
      <c r="AH629">
        <v>0</v>
      </c>
      <c r="AI629">
        <v>0</v>
      </c>
      <c r="AJ629">
        <v>0</v>
      </c>
      <c r="AK629">
        <v>0</v>
      </c>
      <c r="AL629" t="s">
        <v>7360</v>
      </c>
      <c r="AM629">
        <v>0</v>
      </c>
      <c r="AN629" s="20">
        <v>45000</v>
      </c>
      <c r="AO629" s="20">
        <v>45000</v>
      </c>
      <c r="AP629" s="20">
        <v>45000</v>
      </c>
      <c r="AQ629">
        <v>0</v>
      </c>
      <c r="AR629">
        <v>0</v>
      </c>
      <c r="AS629">
        <v>0</v>
      </c>
      <c r="AT629">
        <v>0</v>
      </c>
      <c r="AU629">
        <v>0</v>
      </c>
      <c r="AV629" t="s">
        <v>7360</v>
      </c>
      <c r="AW629">
        <v>0</v>
      </c>
      <c r="AX629" t="s">
        <v>7360</v>
      </c>
      <c r="AY629" t="s">
        <v>7363</v>
      </c>
      <c r="BA629">
        <v>0</v>
      </c>
      <c r="BB629" s="20">
        <v>45000</v>
      </c>
      <c r="BC629">
        <v>0</v>
      </c>
      <c r="BD629" t="s">
        <v>7360</v>
      </c>
      <c r="BF629" s="20">
        <v>45000</v>
      </c>
      <c r="BG629">
        <v>0</v>
      </c>
      <c r="BH629" t="s">
        <v>7363</v>
      </c>
      <c r="BJ629" t="s">
        <v>7362</v>
      </c>
      <c r="BK629">
        <v>169</v>
      </c>
      <c r="BL629">
        <v>11</v>
      </c>
      <c r="BM629">
        <v>1</v>
      </c>
      <c r="BN629" t="s">
        <v>7364</v>
      </c>
      <c r="BO629">
        <v>0</v>
      </c>
      <c r="BP629">
        <v>0</v>
      </c>
      <c r="BQ629">
        <v>0</v>
      </c>
      <c r="BR629">
        <v>0</v>
      </c>
      <c r="BS629" t="s">
        <v>7462</v>
      </c>
      <c r="BT629" t="s">
        <v>7360</v>
      </c>
      <c r="BU629" t="s">
        <v>7360</v>
      </c>
      <c r="BV629" t="s">
        <v>7360</v>
      </c>
      <c r="BX629" t="s">
        <v>7391</v>
      </c>
      <c r="BY629">
        <v>74</v>
      </c>
      <c r="BZ629" t="s">
        <v>7360</v>
      </c>
      <c r="CA629" t="s">
        <v>7360</v>
      </c>
      <c r="CB629">
        <v>3156020026</v>
      </c>
      <c r="CC629" s="20">
        <v>45005</v>
      </c>
      <c r="CE629" t="s">
        <v>7392</v>
      </c>
      <c r="CF629">
        <v>1100101</v>
      </c>
      <c r="CG629">
        <v>53575</v>
      </c>
      <c r="CH629">
        <v>53575</v>
      </c>
      <c r="CI629" s="21">
        <v>45000.366886574076</v>
      </c>
      <c r="CJ629" t="s">
        <v>7393</v>
      </c>
      <c r="CK629" t="s">
        <v>7393</v>
      </c>
      <c r="CL629" t="s">
        <v>7394</v>
      </c>
      <c r="CM629" t="s">
        <v>7394</v>
      </c>
      <c r="CS629" t="s">
        <v>7361</v>
      </c>
      <c r="CT629" t="s">
        <v>7362</v>
      </c>
      <c r="CU629" t="s">
        <v>7362</v>
      </c>
      <c r="CV629" t="s">
        <v>7362</v>
      </c>
      <c r="CW629" t="s">
        <v>7362</v>
      </c>
      <c r="CX629">
        <v>389725</v>
      </c>
      <c r="DA629">
        <v>0</v>
      </c>
    </row>
    <row r="630" spans="1:106" x14ac:dyDescent="0.3">
      <c r="A630">
        <v>1364</v>
      </c>
      <c r="B630" t="s">
        <v>7355</v>
      </c>
      <c r="C630">
        <v>661</v>
      </c>
      <c r="D630" s="20">
        <v>45000</v>
      </c>
      <c r="E630" t="s">
        <v>7372</v>
      </c>
      <c r="F630" t="s">
        <v>4928</v>
      </c>
      <c r="G630" t="s">
        <v>7357</v>
      </c>
      <c r="H630">
        <v>1</v>
      </c>
      <c r="I630" t="s">
        <v>7358</v>
      </c>
      <c r="J630">
        <v>1</v>
      </c>
      <c r="K630" s="20">
        <v>45000</v>
      </c>
      <c r="L630" s="23">
        <v>1015525</v>
      </c>
      <c r="M630" t="s">
        <v>7359</v>
      </c>
      <c r="N630" t="s">
        <v>7360</v>
      </c>
      <c r="O630">
        <v>0</v>
      </c>
      <c r="P630">
        <v>12932</v>
      </c>
      <c r="Q630">
        <v>451004</v>
      </c>
      <c r="R630">
        <v>0</v>
      </c>
      <c r="S630">
        <v>20230315</v>
      </c>
      <c r="T630">
        <v>0</v>
      </c>
      <c r="U630" t="s">
        <v>7362</v>
      </c>
      <c r="V630" t="s">
        <v>7360</v>
      </c>
      <c r="W630" t="s">
        <v>7360</v>
      </c>
      <c r="X630" t="s">
        <v>7360</v>
      </c>
      <c r="Y630" t="s">
        <v>7360</v>
      </c>
      <c r="Z630" t="s">
        <v>7360</v>
      </c>
      <c r="AA630" t="s">
        <v>7362</v>
      </c>
      <c r="AB630" t="s">
        <v>7360</v>
      </c>
      <c r="AC630" t="s">
        <v>7360</v>
      </c>
      <c r="AD630" t="s">
        <v>7360</v>
      </c>
      <c r="AE630" t="s">
        <v>7360</v>
      </c>
      <c r="AF630" t="s">
        <v>1684</v>
      </c>
      <c r="AG630">
        <v>0</v>
      </c>
      <c r="AH630">
        <v>0</v>
      </c>
      <c r="AI630">
        <v>0</v>
      </c>
      <c r="AJ630">
        <v>0</v>
      </c>
      <c r="AK630">
        <v>0</v>
      </c>
      <c r="AL630" t="s">
        <v>7360</v>
      </c>
      <c r="AM630">
        <v>0</v>
      </c>
      <c r="AN630" s="20">
        <v>45000</v>
      </c>
      <c r="AO630" s="20">
        <v>45000</v>
      </c>
      <c r="AP630" s="20">
        <v>45000</v>
      </c>
      <c r="AQ630">
        <v>0</v>
      </c>
      <c r="AR630">
        <v>0</v>
      </c>
      <c r="AS630">
        <v>0</v>
      </c>
      <c r="AT630">
        <v>0</v>
      </c>
      <c r="AU630">
        <v>0</v>
      </c>
      <c r="AV630" t="s">
        <v>7360</v>
      </c>
      <c r="AW630">
        <v>0</v>
      </c>
      <c r="AX630" t="s">
        <v>7360</v>
      </c>
      <c r="AY630" t="s">
        <v>7362</v>
      </c>
      <c r="BA630">
        <v>0</v>
      </c>
      <c r="BB630" s="20">
        <v>45000</v>
      </c>
      <c r="BC630">
        <v>0</v>
      </c>
      <c r="BD630" t="s">
        <v>7360</v>
      </c>
      <c r="BF630" s="20">
        <v>45000</v>
      </c>
      <c r="BG630">
        <v>0</v>
      </c>
      <c r="BH630" t="s">
        <v>7363</v>
      </c>
      <c r="BJ630" t="s">
        <v>7362</v>
      </c>
      <c r="BK630">
        <v>169</v>
      </c>
      <c r="BL630">
        <v>11</v>
      </c>
      <c r="BM630">
        <v>1</v>
      </c>
      <c r="BN630" t="s">
        <v>7364</v>
      </c>
      <c r="BO630">
        <v>169</v>
      </c>
      <c r="BP630">
        <v>11</v>
      </c>
      <c r="BQ630">
        <v>1</v>
      </c>
      <c r="BR630" t="s">
        <v>7364</v>
      </c>
      <c r="BS630" t="s">
        <v>7365</v>
      </c>
      <c r="BT630" t="s">
        <v>7360</v>
      </c>
      <c r="BU630" t="s">
        <v>7360</v>
      </c>
      <c r="BV630" t="s">
        <v>7360</v>
      </c>
      <c r="BX630" t="s">
        <v>7391</v>
      </c>
      <c r="BY630">
        <v>74</v>
      </c>
      <c r="BZ630" t="s">
        <v>7360</v>
      </c>
      <c r="CA630" t="s">
        <v>7360</v>
      </c>
      <c r="CB630">
        <v>3380666</v>
      </c>
      <c r="CC630" s="21">
        <v>45000.372013888889</v>
      </c>
      <c r="CE630" t="s">
        <v>7392</v>
      </c>
      <c r="CF630">
        <v>1100101</v>
      </c>
      <c r="CG630">
        <v>51669</v>
      </c>
      <c r="CH630">
        <v>51669</v>
      </c>
      <c r="CI630" s="21">
        <v>45015.578368055554</v>
      </c>
      <c r="CJ630" t="s">
        <v>7406</v>
      </c>
      <c r="CK630" t="s">
        <v>7406</v>
      </c>
      <c r="CL630" t="s">
        <v>7407</v>
      </c>
      <c r="CM630" t="s">
        <v>7407</v>
      </c>
      <c r="CS630" t="s">
        <v>7361</v>
      </c>
      <c r="CT630" t="s">
        <v>7362</v>
      </c>
      <c r="CU630" t="s">
        <v>7362</v>
      </c>
      <c r="CV630" t="s">
        <v>7362</v>
      </c>
      <c r="CW630" t="s">
        <v>7362</v>
      </c>
      <c r="CX630">
        <v>1015525</v>
      </c>
      <c r="DA630">
        <v>0</v>
      </c>
    </row>
    <row r="631" spans="1:106" x14ac:dyDescent="0.3">
      <c r="A631">
        <v>1364</v>
      </c>
      <c r="B631" t="s">
        <v>7355</v>
      </c>
      <c r="C631">
        <v>662</v>
      </c>
      <c r="D631" s="20">
        <v>45000</v>
      </c>
      <c r="E631" t="s">
        <v>7372</v>
      </c>
      <c r="F631" t="s">
        <v>4933</v>
      </c>
      <c r="G631" t="s">
        <v>7357</v>
      </c>
      <c r="H631">
        <v>1</v>
      </c>
      <c r="I631" t="s">
        <v>7358</v>
      </c>
      <c r="J631">
        <v>1</v>
      </c>
      <c r="K631" s="20">
        <v>45000</v>
      </c>
      <c r="L631" s="23">
        <v>648550</v>
      </c>
      <c r="M631" t="s">
        <v>7359</v>
      </c>
      <c r="N631" t="s">
        <v>7360</v>
      </c>
      <c r="O631">
        <v>0</v>
      </c>
      <c r="P631">
        <v>12934</v>
      </c>
      <c r="Q631">
        <v>451006</v>
      </c>
      <c r="R631">
        <v>0</v>
      </c>
      <c r="S631">
        <v>20230315</v>
      </c>
      <c r="T631">
        <v>0</v>
      </c>
      <c r="U631" t="s">
        <v>7362</v>
      </c>
      <c r="V631" t="s">
        <v>7360</v>
      </c>
      <c r="W631" t="s">
        <v>7360</v>
      </c>
      <c r="X631" t="s">
        <v>7360</v>
      </c>
      <c r="Y631" t="s">
        <v>7360</v>
      </c>
      <c r="Z631" t="s">
        <v>7360</v>
      </c>
      <c r="AA631" t="s">
        <v>7362</v>
      </c>
      <c r="AB631" t="s">
        <v>7360</v>
      </c>
      <c r="AC631" t="s">
        <v>7360</v>
      </c>
      <c r="AD631" t="s">
        <v>7360</v>
      </c>
      <c r="AE631" t="s">
        <v>7360</v>
      </c>
      <c r="AF631" t="s">
        <v>1684</v>
      </c>
      <c r="AG631">
        <v>0</v>
      </c>
      <c r="AH631">
        <v>0</v>
      </c>
      <c r="AI631">
        <v>0</v>
      </c>
      <c r="AJ631">
        <v>0</v>
      </c>
      <c r="AK631">
        <v>0</v>
      </c>
      <c r="AL631" t="s">
        <v>7360</v>
      </c>
      <c r="AM631">
        <v>0</v>
      </c>
      <c r="AN631" s="20">
        <v>45000</v>
      </c>
      <c r="AO631" s="20">
        <v>45000</v>
      </c>
      <c r="AP631" s="20">
        <v>45000</v>
      </c>
      <c r="AQ631">
        <v>0</v>
      </c>
      <c r="AR631">
        <v>0</v>
      </c>
      <c r="AS631">
        <v>0</v>
      </c>
      <c r="AT631">
        <v>0</v>
      </c>
      <c r="AU631">
        <v>0</v>
      </c>
      <c r="AV631" t="s">
        <v>7360</v>
      </c>
      <c r="AW631">
        <v>0</v>
      </c>
      <c r="AX631" t="s">
        <v>7360</v>
      </c>
      <c r="AY631" t="s">
        <v>7362</v>
      </c>
      <c r="BA631">
        <v>0</v>
      </c>
      <c r="BB631" s="20">
        <v>45000</v>
      </c>
      <c r="BC631">
        <v>0</v>
      </c>
      <c r="BD631" t="s">
        <v>7360</v>
      </c>
      <c r="BF631" s="20">
        <v>45000</v>
      </c>
      <c r="BG631">
        <v>0</v>
      </c>
      <c r="BH631" t="s">
        <v>7363</v>
      </c>
      <c r="BJ631" t="s">
        <v>7362</v>
      </c>
      <c r="BK631">
        <v>169</v>
      </c>
      <c r="BL631">
        <v>11</v>
      </c>
      <c r="BM631">
        <v>1</v>
      </c>
      <c r="BN631" t="s">
        <v>7364</v>
      </c>
      <c r="BO631">
        <v>169</v>
      </c>
      <c r="BP631">
        <v>11</v>
      </c>
      <c r="BQ631">
        <v>1</v>
      </c>
      <c r="BR631" t="s">
        <v>7364</v>
      </c>
      <c r="BS631" t="s">
        <v>7365</v>
      </c>
      <c r="BT631" t="s">
        <v>7360</v>
      </c>
      <c r="BU631" t="s">
        <v>7360</v>
      </c>
      <c r="BV631" t="s">
        <v>7360</v>
      </c>
      <c r="BX631" t="s">
        <v>7391</v>
      </c>
      <c r="BY631">
        <v>74</v>
      </c>
      <c r="BZ631" t="s">
        <v>7360</v>
      </c>
      <c r="CA631" t="s">
        <v>7360</v>
      </c>
      <c r="CB631">
        <v>3380666</v>
      </c>
      <c r="CC631" s="21">
        <v>45000.436400462961</v>
      </c>
      <c r="CE631" t="s">
        <v>7392</v>
      </c>
      <c r="CF631">
        <v>1100101</v>
      </c>
      <c r="CG631">
        <v>51669</v>
      </c>
      <c r="CH631">
        <v>51669</v>
      </c>
      <c r="CI631" s="21">
        <v>45015.578668981485</v>
      </c>
      <c r="CJ631" t="s">
        <v>7406</v>
      </c>
      <c r="CK631" t="s">
        <v>7406</v>
      </c>
      <c r="CL631" t="s">
        <v>7407</v>
      </c>
      <c r="CM631" t="s">
        <v>7407</v>
      </c>
      <c r="CS631" t="s">
        <v>7361</v>
      </c>
      <c r="CT631" t="s">
        <v>7362</v>
      </c>
      <c r="CU631" t="s">
        <v>7362</v>
      </c>
      <c r="CV631" t="s">
        <v>7362</v>
      </c>
      <c r="CW631" t="s">
        <v>7362</v>
      </c>
      <c r="CX631">
        <v>648550</v>
      </c>
      <c r="DA631">
        <v>0</v>
      </c>
    </row>
    <row r="632" spans="1:106" x14ac:dyDescent="0.3">
      <c r="A632">
        <v>1366</v>
      </c>
      <c r="B632" t="s">
        <v>7380</v>
      </c>
      <c r="C632">
        <v>663</v>
      </c>
      <c r="D632" s="20">
        <v>45000</v>
      </c>
      <c r="E632" t="s">
        <v>7372</v>
      </c>
      <c r="F632" t="s">
        <v>4939</v>
      </c>
      <c r="G632" t="s">
        <v>7381</v>
      </c>
      <c r="H632">
        <v>1</v>
      </c>
      <c r="I632" t="s">
        <v>7358</v>
      </c>
      <c r="J632">
        <v>1</v>
      </c>
      <c r="K632" s="20">
        <v>45000</v>
      </c>
      <c r="L632" s="23">
        <v>1394190</v>
      </c>
      <c r="M632" t="s">
        <v>7359</v>
      </c>
      <c r="N632" t="s">
        <v>7360</v>
      </c>
      <c r="O632">
        <v>0</v>
      </c>
      <c r="P632">
        <v>12946</v>
      </c>
      <c r="Q632">
        <v>451014</v>
      </c>
      <c r="R632">
        <v>0</v>
      </c>
      <c r="S632">
        <v>20230315</v>
      </c>
      <c r="T632">
        <v>0</v>
      </c>
      <c r="U632" t="s">
        <v>7362</v>
      </c>
      <c r="V632" t="s">
        <v>7360</v>
      </c>
      <c r="W632" t="s">
        <v>7360</v>
      </c>
      <c r="X632" t="s">
        <v>7360</v>
      </c>
      <c r="Y632" t="s">
        <v>7360</v>
      </c>
      <c r="Z632" t="s">
        <v>7360</v>
      </c>
      <c r="AA632" t="s">
        <v>7362</v>
      </c>
      <c r="AB632" t="s">
        <v>7360</v>
      </c>
      <c r="AC632" t="s">
        <v>7360</v>
      </c>
      <c r="AD632" t="s">
        <v>7360</v>
      </c>
      <c r="AE632" t="s">
        <v>7360</v>
      </c>
      <c r="AF632" t="s">
        <v>1684</v>
      </c>
      <c r="AG632">
        <v>0</v>
      </c>
      <c r="AH632">
        <v>0</v>
      </c>
      <c r="AI632">
        <v>0</v>
      </c>
      <c r="AJ632">
        <v>0</v>
      </c>
      <c r="AK632">
        <v>0</v>
      </c>
      <c r="AL632" t="s">
        <v>7360</v>
      </c>
      <c r="AM632">
        <v>0</v>
      </c>
      <c r="AN632" s="20">
        <v>45000</v>
      </c>
      <c r="AO632" s="20">
        <v>45000</v>
      </c>
      <c r="AP632" s="20">
        <v>45000</v>
      </c>
      <c r="AQ632">
        <v>0</v>
      </c>
      <c r="AR632">
        <v>0</v>
      </c>
      <c r="AS632">
        <v>0</v>
      </c>
      <c r="AT632">
        <v>0</v>
      </c>
      <c r="AU632">
        <v>0</v>
      </c>
      <c r="AV632" t="s">
        <v>7360</v>
      </c>
      <c r="AW632">
        <v>0</v>
      </c>
      <c r="AX632" t="s">
        <v>7360</v>
      </c>
      <c r="AY632" t="s">
        <v>7362</v>
      </c>
      <c r="BA632">
        <v>0</v>
      </c>
      <c r="BB632" s="20">
        <v>45000</v>
      </c>
      <c r="BC632">
        <v>0</v>
      </c>
      <c r="BD632" t="s">
        <v>7360</v>
      </c>
      <c r="BF632" s="20">
        <v>45000</v>
      </c>
      <c r="BG632">
        <v>0</v>
      </c>
      <c r="BH632" t="s">
        <v>7363</v>
      </c>
      <c r="BJ632" t="s">
        <v>7362</v>
      </c>
      <c r="BK632">
        <v>169</v>
      </c>
      <c r="BL632">
        <v>11</v>
      </c>
      <c r="BM632">
        <v>1</v>
      </c>
      <c r="BN632" t="s">
        <v>7364</v>
      </c>
      <c r="BO632">
        <v>169</v>
      </c>
      <c r="BP632">
        <v>11</v>
      </c>
      <c r="BQ632">
        <v>1</v>
      </c>
      <c r="BR632" t="s">
        <v>7364</v>
      </c>
      <c r="BS632" t="s">
        <v>7365</v>
      </c>
      <c r="BT632" t="s">
        <v>7360</v>
      </c>
      <c r="BU632" t="s">
        <v>7360</v>
      </c>
      <c r="BV632" t="s">
        <v>7360</v>
      </c>
      <c r="BX632" t="s">
        <v>7391</v>
      </c>
      <c r="BY632">
        <v>74</v>
      </c>
      <c r="BZ632" t="s">
        <v>7360</v>
      </c>
      <c r="CA632" t="s">
        <v>7360</v>
      </c>
      <c r="CB632">
        <v>3380666</v>
      </c>
      <c r="CC632" s="21">
        <v>45000.443935185183</v>
      </c>
      <c r="CE632" t="s">
        <v>7392</v>
      </c>
      <c r="CF632">
        <v>1100101</v>
      </c>
      <c r="CG632">
        <v>51669</v>
      </c>
      <c r="CH632">
        <v>702002</v>
      </c>
      <c r="CI632" s="21">
        <v>45008.661712962959</v>
      </c>
      <c r="CJ632" t="s">
        <v>7406</v>
      </c>
      <c r="CK632" t="s">
        <v>7367</v>
      </c>
      <c r="CL632" t="s">
        <v>7407</v>
      </c>
      <c r="CM632" t="s">
        <v>7368</v>
      </c>
      <c r="CS632" t="s">
        <v>7361</v>
      </c>
      <c r="CT632" t="s">
        <v>7362</v>
      </c>
      <c r="CU632" t="s">
        <v>7362</v>
      </c>
      <c r="CV632" t="s">
        <v>7362</v>
      </c>
      <c r="CW632" t="s">
        <v>7362</v>
      </c>
      <c r="CX632">
        <v>1394190</v>
      </c>
      <c r="DA632">
        <v>0</v>
      </c>
    </row>
    <row r="633" spans="1:106" x14ac:dyDescent="0.3">
      <c r="A633">
        <v>1372</v>
      </c>
      <c r="B633" t="s">
        <v>7369</v>
      </c>
      <c r="C633">
        <v>664</v>
      </c>
      <c r="D633" s="20">
        <v>45000</v>
      </c>
      <c r="E633" t="s">
        <v>7356</v>
      </c>
      <c r="F633" t="s">
        <v>4944</v>
      </c>
      <c r="G633" t="s">
        <v>7357</v>
      </c>
      <c r="H633">
        <v>1</v>
      </c>
      <c r="I633" t="s">
        <v>7358</v>
      </c>
      <c r="J633">
        <v>1</v>
      </c>
      <c r="K633" s="20">
        <v>45000</v>
      </c>
      <c r="L633" s="23">
        <v>2319108</v>
      </c>
      <c r="M633" t="s">
        <v>7359</v>
      </c>
      <c r="N633" t="s">
        <v>7360</v>
      </c>
      <c r="O633">
        <v>0</v>
      </c>
      <c r="P633">
        <v>12997</v>
      </c>
      <c r="Q633">
        <v>453031</v>
      </c>
      <c r="R633">
        <v>0</v>
      </c>
      <c r="S633">
        <v>20230315</v>
      </c>
      <c r="T633">
        <v>0</v>
      </c>
      <c r="U633" t="s">
        <v>7361</v>
      </c>
      <c r="V633" t="s">
        <v>7360</v>
      </c>
      <c r="W633" t="s">
        <v>7360</v>
      </c>
      <c r="X633" t="s">
        <v>7360</v>
      </c>
      <c r="Y633" t="s">
        <v>7360</v>
      </c>
      <c r="Z633" t="s">
        <v>7360</v>
      </c>
      <c r="AA633" t="s">
        <v>7362</v>
      </c>
      <c r="AB633" t="s">
        <v>7360</v>
      </c>
      <c r="AC633" t="s">
        <v>7360</v>
      </c>
      <c r="AD633" t="s">
        <v>7360</v>
      </c>
      <c r="AE633" t="s">
        <v>7360</v>
      </c>
      <c r="AF633" t="s">
        <v>1684</v>
      </c>
      <c r="AG633">
        <v>0</v>
      </c>
      <c r="AH633">
        <v>0</v>
      </c>
      <c r="AI633">
        <v>0</v>
      </c>
      <c r="AJ633">
        <v>0</v>
      </c>
      <c r="AK633">
        <v>0</v>
      </c>
      <c r="AL633" t="s">
        <v>7360</v>
      </c>
      <c r="AM633">
        <v>0</v>
      </c>
      <c r="AN633" s="20">
        <v>45000</v>
      </c>
      <c r="AO633" s="20">
        <v>45000</v>
      </c>
      <c r="AP633" s="20">
        <v>45000</v>
      </c>
      <c r="AQ633">
        <v>0</v>
      </c>
      <c r="AR633">
        <v>0</v>
      </c>
      <c r="AS633">
        <v>0</v>
      </c>
      <c r="AT633">
        <v>0</v>
      </c>
      <c r="AU633">
        <v>0</v>
      </c>
      <c r="AV633" t="s">
        <v>7360</v>
      </c>
      <c r="AW633">
        <v>0</v>
      </c>
      <c r="AX633" t="s">
        <v>7360</v>
      </c>
      <c r="AY633" t="s">
        <v>7363</v>
      </c>
      <c r="BA633">
        <v>0</v>
      </c>
      <c r="BB633" s="20">
        <v>45000</v>
      </c>
      <c r="BC633">
        <v>0</v>
      </c>
      <c r="BD633" t="s">
        <v>7360</v>
      </c>
      <c r="BF633" s="20">
        <v>45000</v>
      </c>
      <c r="BG633">
        <v>0</v>
      </c>
      <c r="BH633" t="s">
        <v>7363</v>
      </c>
      <c r="BJ633" t="s">
        <v>7362</v>
      </c>
      <c r="BK633">
        <v>169</v>
      </c>
      <c r="BL633">
        <v>11</v>
      </c>
      <c r="BM633">
        <v>1</v>
      </c>
      <c r="BN633" t="s">
        <v>7364</v>
      </c>
      <c r="BO633">
        <v>169</v>
      </c>
      <c r="BP633">
        <v>11</v>
      </c>
      <c r="BQ633">
        <v>1</v>
      </c>
      <c r="BR633" t="s">
        <v>7364</v>
      </c>
      <c r="BS633" t="s">
        <v>7365</v>
      </c>
      <c r="BT633" t="s">
        <v>7360</v>
      </c>
      <c r="BU633" t="s">
        <v>7360</v>
      </c>
      <c r="BV633" t="s">
        <v>7360</v>
      </c>
      <c r="BX633" t="s">
        <v>7391</v>
      </c>
      <c r="BY633">
        <v>74</v>
      </c>
      <c r="BZ633" t="s">
        <v>7360</v>
      </c>
      <c r="CA633" t="s">
        <v>7360</v>
      </c>
      <c r="CB633">
        <v>3380666</v>
      </c>
      <c r="CC633" s="21">
        <v>45000.455150462964</v>
      </c>
      <c r="CE633" t="s">
        <v>7392</v>
      </c>
      <c r="CF633">
        <v>1100101</v>
      </c>
      <c r="CG633">
        <v>51669</v>
      </c>
      <c r="CH633">
        <v>51669</v>
      </c>
      <c r="CI633" s="21">
        <v>45000.459861111114</v>
      </c>
      <c r="CJ633" t="s">
        <v>7406</v>
      </c>
      <c r="CK633" t="s">
        <v>7406</v>
      </c>
      <c r="CL633" t="s">
        <v>7407</v>
      </c>
      <c r="CM633" t="s">
        <v>7407</v>
      </c>
      <c r="CS633" t="s">
        <v>7361</v>
      </c>
      <c r="CT633" t="s">
        <v>7362</v>
      </c>
      <c r="CU633" t="s">
        <v>7362</v>
      </c>
      <c r="CV633" t="s">
        <v>7362</v>
      </c>
      <c r="CW633" t="s">
        <v>7362</v>
      </c>
      <c r="CX633">
        <v>2319108</v>
      </c>
      <c r="DA633">
        <v>0</v>
      </c>
    </row>
    <row r="634" spans="1:106" x14ac:dyDescent="0.3">
      <c r="A634">
        <v>1354</v>
      </c>
      <c r="B634" t="s">
        <v>7396</v>
      </c>
      <c r="C634">
        <v>746</v>
      </c>
      <c r="D634" s="20">
        <v>45009</v>
      </c>
      <c r="E634" t="s">
        <v>7372</v>
      </c>
      <c r="F634" t="s">
        <v>4949</v>
      </c>
      <c r="G634" t="s">
        <v>7370</v>
      </c>
      <c r="H634">
        <v>1</v>
      </c>
      <c r="I634" t="s">
        <v>7358</v>
      </c>
      <c r="J634">
        <v>1</v>
      </c>
      <c r="K634" s="20">
        <v>45009</v>
      </c>
      <c r="L634" s="23">
        <v>30000000</v>
      </c>
      <c r="M634" t="s">
        <v>7403</v>
      </c>
      <c r="N634" t="s">
        <v>7360</v>
      </c>
      <c r="O634">
        <v>0</v>
      </c>
      <c r="P634">
        <v>13327</v>
      </c>
      <c r="Q634">
        <v>141005</v>
      </c>
      <c r="R634">
        <v>0</v>
      </c>
      <c r="S634">
        <v>20230324</v>
      </c>
      <c r="T634">
        <v>0</v>
      </c>
      <c r="U634" t="s">
        <v>7362</v>
      </c>
      <c r="V634" t="s">
        <v>7360</v>
      </c>
      <c r="W634" t="s">
        <v>7360</v>
      </c>
      <c r="X634" t="s">
        <v>7360</v>
      </c>
      <c r="Y634" t="s">
        <v>7360</v>
      </c>
      <c r="Z634" t="s">
        <v>7360</v>
      </c>
      <c r="AA634" t="s">
        <v>7362</v>
      </c>
      <c r="AB634" t="s">
        <v>7360</v>
      </c>
      <c r="AC634" t="s">
        <v>7360</v>
      </c>
      <c r="AD634" t="s">
        <v>7360</v>
      </c>
      <c r="AE634" t="s">
        <v>7360</v>
      </c>
      <c r="AF634" t="s">
        <v>1684</v>
      </c>
      <c r="AG634">
        <v>0</v>
      </c>
      <c r="AH634">
        <v>0</v>
      </c>
      <c r="AI634">
        <v>0</v>
      </c>
      <c r="AJ634">
        <v>0</v>
      </c>
      <c r="AK634">
        <v>0</v>
      </c>
      <c r="AL634" t="s">
        <v>7360</v>
      </c>
      <c r="AM634">
        <v>0</v>
      </c>
      <c r="AN634" s="20">
        <v>45009</v>
      </c>
      <c r="AO634" s="20">
        <v>45009</v>
      </c>
      <c r="AP634" s="20">
        <v>45009</v>
      </c>
      <c r="AQ634">
        <v>0</v>
      </c>
      <c r="AR634">
        <v>0</v>
      </c>
      <c r="AS634">
        <v>0</v>
      </c>
      <c r="AT634">
        <v>0</v>
      </c>
      <c r="AU634">
        <v>0</v>
      </c>
      <c r="AV634" t="s">
        <v>7360</v>
      </c>
      <c r="AW634">
        <v>0</v>
      </c>
      <c r="AX634" t="s">
        <v>7360</v>
      </c>
      <c r="AY634" t="s">
        <v>7362</v>
      </c>
      <c r="BA634">
        <v>0</v>
      </c>
      <c r="BB634" s="20">
        <v>45009</v>
      </c>
      <c r="BC634">
        <v>0</v>
      </c>
      <c r="BD634" t="s">
        <v>7360</v>
      </c>
      <c r="BE634">
        <v>253</v>
      </c>
      <c r="BF634" s="20">
        <v>45009</v>
      </c>
      <c r="BG634">
        <v>0</v>
      </c>
      <c r="BH634" t="s">
        <v>7363</v>
      </c>
      <c r="BJ634" t="s">
        <v>7362</v>
      </c>
      <c r="BK634">
        <v>169</v>
      </c>
      <c r="BL634">
        <v>11</v>
      </c>
      <c r="BM634">
        <v>1</v>
      </c>
      <c r="BN634" t="s">
        <v>7364</v>
      </c>
      <c r="BO634">
        <v>0</v>
      </c>
      <c r="BP634">
        <v>0</v>
      </c>
      <c r="BQ634">
        <v>0</v>
      </c>
      <c r="BR634">
        <v>0</v>
      </c>
      <c r="BS634" t="s">
        <v>132</v>
      </c>
      <c r="BT634" t="s">
        <v>7360</v>
      </c>
      <c r="BU634" t="s">
        <v>7360</v>
      </c>
      <c r="BV634" t="s">
        <v>7360</v>
      </c>
      <c r="BX634" t="s">
        <v>7391</v>
      </c>
      <c r="BY634">
        <v>74</v>
      </c>
      <c r="BZ634" t="s">
        <v>7360</v>
      </c>
      <c r="CA634" t="s">
        <v>7360</v>
      </c>
      <c r="CB634">
        <v>5558210</v>
      </c>
      <c r="CC634" s="21">
        <v>45014.377071759256</v>
      </c>
      <c r="CD634" t="s">
        <v>7463</v>
      </c>
      <c r="CE634" t="s">
        <v>7392</v>
      </c>
      <c r="CF634">
        <v>1100101</v>
      </c>
      <c r="CG634">
        <v>53575</v>
      </c>
      <c r="CH634">
        <v>53575</v>
      </c>
      <c r="CI634" s="21">
        <v>45014.379108796296</v>
      </c>
      <c r="CJ634" t="s">
        <v>7393</v>
      </c>
      <c r="CK634" t="s">
        <v>7393</v>
      </c>
      <c r="CL634" t="s">
        <v>7394</v>
      </c>
      <c r="CM634" t="s">
        <v>7394</v>
      </c>
      <c r="CS634" t="s">
        <v>7361</v>
      </c>
      <c r="CT634" t="s">
        <v>7362</v>
      </c>
      <c r="CU634" t="s">
        <v>7362</v>
      </c>
      <c r="CV634" t="s">
        <v>7362</v>
      </c>
      <c r="CW634" t="s">
        <v>7362</v>
      </c>
      <c r="CX634">
        <v>30000000</v>
      </c>
      <c r="DA634">
        <v>0</v>
      </c>
      <c r="DB634">
        <v>142001</v>
      </c>
    </row>
    <row r="635" spans="1:106" x14ac:dyDescent="0.3">
      <c r="A635">
        <v>1354</v>
      </c>
      <c r="B635" t="s">
        <v>7396</v>
      </c>
      <c r="C635">
        <v>667</v>
      </c>
      <c r="D635" s="20">
        <v>45000</v>
      </c>
      <c r="E635" t="s">
        <v>7372</v>
      </c>
      <c r="F635" t="s">
        <v>4955</v>
      </c>
      <c r="G635" t="s">
        <v>7370</v>
      </c>
      <c r="H635">
        <v>1</v>
      </c>
      <c r="I635" t="s">
        <v>7358</v>
      </c>
      <c r="J635">
        <v>1</v>
      </c>
      <c r="K635" s="20">
        <v>45000</v>
      </c>
      <c r="L635" s="23">
        <v>3000000</v>
      </c>
      <c r="M635" t="s">
        <v>7359</v>
      </c>
      <c r="N635" t="s">
        <v>7360</v>
      </c>
      <c r="O635">
        <v>0</v>
      </c>
      <c r="P635">
        <v>13095</v>
      </c>
      <c r="Q635">
        <v>453085</v>
      </c>
      <c r="R635">
        <v>0</v>
      </c>
      <c r="S635">
        <v>20230315</v>
      </c>
      <c r="T635">
        <v>0</v>
      </c>
      <c r="U635" t="s">
        <v>7362</v>
      </c>
      <c r="V635" t="s">
        <v>7360</v>
      </c>
      <c r="W635" t="s">
        <v>7360</v>
      </c>
      <c r="X635" t="s">
        <v>7360</v>
      </c>
      <c r="Y635" t="s">
        <v>7360</v>
      </c>
      <c r="Z635" t="s">
        <v>7360</v>
      </c>
      <c r="AA635" t="s">
        <v>7362</v>
      </c>
      <c r="AB635" t="s">
        <v>7360</v>
      </c>
      <c r="AC635" t="s">
        <v>7360</v>
      </c>
      <c r="AD635" t="s">
        <v>7360</v>
      </c>
      <c r="AE635" t="s">
        <v>7360</v>
      </c>
      <c r="AF635" t="s">
        <v>1684</v>
      </c>
      <c r="AG635">
        <v>0</v>
      </c>
      <c r="AH635">
        <v>0</v>
      </c>
      <c r="AI635">
        <v>0</v>
      </c>
      <c r="AJ635">
        <v>0</v>
      </c>
      <c r="AK635">
        <v>0</v>
      </c>
      <c r="AL635" t="s">
        <v>7360</v>
      </c>
      <c r="AM635">
        <v>0</v>
      </c>
      <c r="AN635" s="20">
        <v>45000</v>
      </c>
      <c r="AO635" s="20">
        <v>45000</v>
      </c>
      <c r="AP635" s="20">
        <v>45000</v>
      </c>
      <c r="AQ635">
        <v>0</v>
      </c>
      <c r="AR635">
        <v>0</v>
      </c>
      <c r="AS635">
        <v>0</v>
      </c>
      <c r="AT635">
        <v>0</v>
      </c>
      <c r="AU635">
        <v>0</v>
      </c>
      <c r="AV635" t="s">
        <v>7360</v>
      </c>
      <c r="AW635">
        <v>0</v>
      </c>
      <c r="AX635" t="s">
        <v>7360</v>
      </c>
      <c r="AY635" t="s">
        <v>7362</v>
      </c>
      <c r="BA635">
        <v>0</v>
      </c>
      <c r="BB635" s="20">
        <v>45000</v>
      </c>
      <c r="BC635">
        <v>0</v>
      </c>
      <c r="BD635" t="s">
        <v>7360</v>
      </c>
      <c r="BF635" s="20">
        <v>45000</v>
      </c>
      <c r="BG635">
        <v>0</v>
      </c>
      <c r="BH635" t="s">
        <v>7363</v>
      </c>
      <c r="BJ635" t="s">
        <v>7362</v>
      </c>
      <c r="BK635">
        <v>169</v>
      </c>
      <c r="BL635">
        <v>11</v>
      </c>
      <c r="BM635">
        <v>1</v>
      </c>
      <c r="BN635" t="s">
        <v>7364</v>
      </c>
      <c r="BO635">
        <v>169</v>
      </c>
      <c r="BP635">
        <v>11</v>
      </c>
      <c r="BQ635">
        <v>1</v>
      </c>
      <c r="BR635" t="s">
        <v>7364</v>
      </c>
      <c r="BS635" t="s">
        <v>7365</v>
      </c>
      <c r="BT635" t="s">
        <v>7360</v>
      </c>
      <c r="BU635" t="s">
        <v>7360</v>
      </c>
      <c r="BV635" t="s">
        <v>7360</v>
      </c>
      <c r="BX635" t="s">
        <v>7391</v>
      </c>
      <c r="BY635">
        <v>74</v>
      </c>
      <c r="BZ635" t="s">
        <v>7360</v>
      </c>
      <c r="CA635" t="s">
        <v>7360</v>
      </c>
      <c r="CB635">
        <v>3380666</v>
      </c>
      <c r="CC635" s="21">
        <v>45000.497337962966</v>
      </c>
      <c r="CE635" t="s">
        <v>7392</v>
      </c>
      <c r="CF635">
        <v>1100101</v>
      </c>
      <c r="CG635">
        <v>51669</v>
      </c>
      <c r="CH635">
        <v>51669</v>
      </c>
      <c r="CI635" s="21">
        <v>45000.498101851852</v>
      </c>
      <c r="CJ635" t="s">
        <v>7406</v>
      </c>
      <c r="CK635" t="s">
        <v>7406</v>
      </c>
      <c r="CL635" t="s">
        <v>7407</v>
      </c>
      <c r="CM635" t="s">
        <v>7407</v>
      </c>
      <c r="CS635" t="s">
        <v>7361</v>
      </c>
      <c r="CT635" t="s">
        <v>7362</v>
      </c>
      <c r="CU635" t="s">
        <v>7362</v>
      </c>
      <c r="CV635" t="s">
        <v>7362</v>
      </c>
      <c r="CW635" t="s">
        <v>7362</v>
      </c>
      <c r="CX635">
        <v>3000000</v>
      </c>
      <c r="DA635">
        <v>0</v>
      </c>
    </row>
    <row r="636" spans="1:106" x14ac:dyDescent="0.3">
      <c r="A636">
        <v>1354</v>
      </c>
      <c r="B636" t="s">
        <v>7396</v>
      </c>
      <c r="C636">
        <v>668</v>
      </c>
      <c r="D636" s="20">
        <v>45000</v>
      </c>
      <c r="E636" t="s">
        <v>7372</v>
      </c>
      <c r="F636" t="s">
        <v>4960</v>
      </c>
      <c r="G636" t="s">
        <v>7370</v>
      </c>
      <c r="H636">
        <v>1</v>
      </c>
      <c r="I636" t="s">
        <v>7358</v>
      </c>
      <c r="J636">
        <v>1</v>
      </c>
      <c r="K636" s="20">
        <v>45000</v>
      </c>
      <c r="L636" s="23">
        <v>4068000</v>
      </c>
      <c r="M636" t="s">
        <v>7359</v>
      </c>
      <c r="N636" t="s">
        <v>7360</v>
      </c>
      <c r="O636">
        <v>0</v>
      </c>
      <c r="P636">
        <v>13145</v>
      </c>
      <c r="Q636">
        <v>454017</v>
      </c>
      <c r="R636">
        <v>0</v>
      </c>
      <c r="S636">
        <v>20230315</v>
      </c>
      <c r="T636">
        <v>0</v>
      </c>
      <c r="U636" t="s">
        <v>7362</v>
      </c>
      <c r="V636" t="s">
        <v>7360</v>
      </c>
      <c r="W636" t="s">
        <v>7360</v>
      </c>
      <c r="X636" t="s">
        <v>7360</v>
      </c>
      <c r="Y636" t="s">
        <v>7360</v>
      </c>
      <c r="Z636" t="s">
        <v>7360</v>
      </c>
      <c r="AA636" t="s">
        <v>7362</v>
      </c>
      <c r="AB636" t="s">
        <v>7360</v>
      </c>
      <c r="AC636" t="s">
        <v>7360</v>
      </c>
      <c r="AD636" t="s">
        <v>7360</v>
      </c>
      <c r="AE636" t="s">
        <v>7360</v>
      </c>
      <c r="AF636" t="s">
        <v>1684</v>
      </c>
      <c r="AG636">
        <v>0</v>
      </c>
      <c r="AH636">
        <v>0</v>
      </c>
      <c r="AI636">
        <v>0</v>
      </c>
      <c r="AJ636">
        <v>0</v>
      </c>
      <c r="AK636">
        <v>0</v>
      </c>
      <c r="AL636" t="s">
        <v>7360</v>
      </c>
      <c r="AM636">
        <v>0</v>
      </c>
      <c r="AN636" s="20">
        <v>45000</v>
      </c>
      <c r="AO636" s="20">
        <v>45000</v>
      </c>
      <c r="AP636" s="20">
        <v>45000</v>
      </c>
      <c r="AQ636">
        <v>0</v>
      </c>
      <c r="AR636">
        <v>0</v>
      </c>
      <c r="AS636">
        <v>0</v>
      </c>
      <c r="AT636">
        <v>0</v>
      </c>
      <c r="AU636">
        <v>0</v>
      </c>
      <c r="AV636" t="s">
        <v>7360</v>
      </c>
      <c r="AW636">
        <v>0</v>
      </c>
      <c r="AX636" t="s">
        <v>7360</v>
      </c>
      <c r="AY636" t="s">
        <v>7362</v>
      </c>
      <c r="BA636">
        <v>0</v>
      </c>
      <c r="BB636" s="20">
        <v>45000</v>
      </c>
      <c r="BC636">
        <v>0</v>
      </c>
      <c r="BD636" t="s">
        <v>7360</v>
      </c>
      <c r="BF636" s="20">
        <v>45000</v>
      </c>
      <c r="BG636">
        <v>0</v>
      </c>
      <c r="BH636" t="s">
        <v>7363</v>
      </c>
      <c r="BJ636" t="s">
        <v>7362</v>
      </c>
      <c r="BK636">
        <v>169</v>
      </c>
      <c r="BL636">
        <v>11</v>
      </c>
      <c r="BM636">
        <v>1</v>
      </c>
      <c r="BN636" t="s">
        <v>7364</v>
      </c>
      <c r="BO636">
        <v>169</v>
      </c>
      <c r="BP636">
        <v>11</v>
      </c>
      <c r="BQ636">
        <v>1</v>
      </c>
      <c r="BR636" t="s">
        <v>7364</v>
      </c>
      <c r="BS636" t="s">
        <v>7365</v>
      </c>
      <c r="BT636" t="s">
        <v>7360</v>
      </c>
      <c r="BU636" t="s">
        <v>7360</v>
      </c>
      <c r="BV636" t="s">
        <v>7360</v>
      </c>
      <c r="BX636" t="s">
        <v>7391</v>
      </c>
      <c r="BY636">
        <v>74</v>
      </c>
      <c r="BZ636" t="s">
        <v>7360</v>
      </c>
      <c r="CA636" t="s">
        <v>7360</v>
      </c>
      <c r="CB636">
        <v>3380666</v>
      </c>
      <c r="CC636" s="21">
        <v>45000.510011574072</v>
      </c>
      <c r="CE636" t="s">
        <v>7392</v>
      </c>
      <c r="CF636">
        <v>1100101</v>
      </c>
      <c r="CG636">
        <v>51669</v>
      </c>
      <c r="CH636">
        <v>51669</v>
      </c>
      <c r="CI636" s="21">
        <v>45000.511377314811</v>
      </c>
      <c r="CJ636" t="s">
        <v>7406</v>
      </c>
      <c r="CK636" t="s">
        <v>7406</v>
      </c>
      <c r="CL636" t="s">
        <v>7407</v>
      </c>
      <c r="CM636" t="s">
        <v>7407</v>
      </c>
      <c r="CS636" t="s">
        <v>7361</v>
      </c>
      <c r="CT636" t="s">
        <v>7362</v>
      </c>
      <c r="CU636" t="s">
        <v>7362</v>
      </c>
      <c r="CV636" t="s">
        <v>7362</v>
      </c>
      <c r="CW636" t="s">
        <v>7362</v>
      </c>
      <c r="CX636">
        <v>4068000</v>
      </c>
      <c r="DA636">
        <v>0</v>
      </c>
    </row>
    <row r="637" spans="1:106" x14ac:dyDescent="0.3">
      <c r="A637">
        <v>1351</v>
      </c>
      <c r="B637" t="s">
        <v>7420</v>
      </c>
      <c r="C637">
        <v>669</v>
      </c>
      <c r="D637" s="20">
        <v>45000</v>
      </c>
      <c r="E637" t="s">
        <v>7372</v>
      </c>
      <c r="F637" t="s">
        <v>4965</v>
      </c>
      <c r="G637" t="s">
        <v>7381</v>
      </c>
      <c r="H637">
        <v>2</v>
      </c>
      <c r="I637" t="s">
        <v>7428</v>
      </c>
      <c r="J637" t="s">
        <v>7464</v>
      </c>
      <c r="K637" s="20">
        <v>45000</v>
      </c>
      <c r="L637" s="23">
        <f>700*4736.03</f>
        <v>3315221</v>
      </c>
      <c r="M637" t="s">
        <v>7359</v>
      </c>
      <c r="N637" t="s">
        <v>7360</v>
      </c>
      <c r="O637">
        <v>0</v>
      </c>
      <c r="P637">
        <v>13237</v>
      </c>
      <c r="Q637">
        <v>455029</v>
      </c>
      <c r="R637">
        <v>0</v>
      </c>
      <c r="S637">
        <v>20230315</v>
      </c>
      <c r="T637">
        <v>0</v>
      </c>
      <c r="U637" t="s">
        <v>7362</v>
      </c>
      <c r="V637" t="s">
        <v>7360</v>
      </c>
      <c r="W637" t="s">
        <v>7360</v>
      </c>
      <c r="X637" t="s">
        <v>7360</v>
      </c>
      <c r="Y637" t="s">
        <v>7360</v>
      </c>
      <c r="Z637" t="s">
        <v>7360</v>
      </c>
      <c r="AA637" t="s">
        <v>7362</v>
      </c>
      <c r="AB637" t="s">
        <v>7360</v>
      </c>
      <c r="AC637" t="s">
        <v>7360</v>
      </c>
      <c r="AD637" t="s">
        <v>7360</v>
      </c>
      <c r="AE637" t="s">
        <v>7360</v>
      </c>
      <c r="AF637" t="s">
        <v>1684</v>
      </c>
      <c r="AG637">
        <v>0</v>
      </c>
      <c r="AH637">
        <v>0</v>
      </c>
      <c r="AI637">
        <v>0</v>
      </c>
      <c r="AJ637">
        <v>0</v>
      </c>
      <c r="AK637">
        <v>0</v>
      </c>
      <c r="AL637" t="s">
        <v>7360</v>
      </c>
      <c r="AM637">
        <v>0</v>
      </c>
      <c r="AN637" s="20">
        <v>45000</v>
      </c>
      <c r="AO637" s="20">
        <v>45000</v>
      </c>
      <c r="AP637" s="20">
        <v>45000</v>
      </c>
      <c r="AQ637">
        <v>0</v>
      </c>
      <c r="AR637">
        <v>0</v>
      </c>
      <c r="AS637">
        <v>0</v>
      </c>
      <c r="AT637">
        <v>0</v>
      </c>
      <c r="AU637">
        <v>0</v>
      </c>
      <c r="AV637" t="s">
        <v>7360</v>
      </c>
      <c r="AW637">
        <v>0</v>
      </c>
      <c r="AX637" t="s">
        <v>7360</v>
      </c>
      <c r="AY637" t="s">
        <v>7362</v>
      </c>
      <c r="BA637">
        <v>0</v>
      </c>
      <c r="BB637" s="20">
        <v>45000</v>
      </c>
      <c r="BC637">
        <v>0</v>
      </c>
      <c r="BD637" t="s">
        <v>7360</v>
      </c>
      <c r="BF637" s="20">
        <v>45000</v>
      </c>
      <c r="BG637">
        <v>0</v>
      </c>
      <c r="BH637" t="s">
        <v>1729</v>
      </c>
      <c r="BJ637" t="s">
        <v>7362</v>
      </c>
      <c r="BK637">
        <v>0</v>
      </c>
      <c r="BL637">
        <v>0</v>
      </c>
      <c r="BM637">
        <v>0</v>
      </c>
      <c r="BN637">
        <v>0</v>
      </c>
      <c r="BO637">
        <v>169</v>
      </c>
      <c r="BP637">
        <v>11</v>
      </c>
      <c r="BQ637">
        <v>1</v>
      </c>
      <c r="BR637" t="s">
        <v>7364</v>
      </c>
      <c r="BS637" t="s">
        <v>7365</v>
      </c>
      <c r="BT637" t="s">
        <v>7360</v>
      </c>
      <c r="BU637" t="s">
        <v>7360</v>
      </c>
      <c r="BV637" t="s">
        <v>7360</v>
      </c>
      <c r="BX637">
        <v>0</v>
      </c>
      <c r="BY637">
        <v>0</v>
      </c>
      <c r="BZ637" t="s">
        <v>7360</v>
      </c>
      <c r="CA637" t="s">
        <v>7360</v>
      </c>
      <c r="CB637">
        <v>3380666</v>
      </c>
      <c r="CC637" s="21">
        <v>45000.510138888887</v>
      </c>
      <c r="CE637" t="s">
        <v>7366</v>
      </c>
      <c r="CF637">
        <v>0</v>
      </c>
      <c r="CG637">
        <v>702002</v>
      </c>
      <c r="CH637">
        <v>702002</v>
      </c>
      <c r="CI637" s="21">
        <v>45000.613310185188</v>
      </c>
      <c r="CJ637" t="s">
        <v>7367</v>
      </c>
      <c r="CK637" t="s">
        <v>7367</v>
      </c>
      <c r="CL637" t="s">
        <v>7368</v>
      </c>
      <c r="CM637" t="s">
        <v>7368</v>
      </c>
      <c r="CS637" t="s">
        <v>7361</v>
      </c>
      <c r="CT637" t="s">
        <v>7362</v>
      </c>
      <c r="CU637" t="s">
        <v>7362</v>
      </c>
      <c r="CV637" t="s">
        <v>7362</v>
      </c>
      <c r="CW637" t="s">
        <v>7362</v>
      </c>
      <c r="CX637">
        <v>700</v>
      </c>
      <c r="DA637">
        <v>0</v>
      </c>
    </row>
    <row r="638" spans="1:106" x14ac:dyDescent="0.3">
      <c r="A638">
        <v>1354</v>
      </c>
      <c r="B638" t="s">
        <v>7396</v>
      </c>
      <c r="C638">
        <v>670</v>
      </c>
      <c r="D638" s="20">
        <v>45000</v>
      </c>
      <c r="E638" t="s">
        <v>7372</v>
      </c>
      <c r="F638" t="s">
        <v>4971</v>
      </c>
      <c r="G638" t="s">
        <v>7370</v>
      </c>
      <c r="H638">
        <v>1</v>
      </c>
      <c r="I638" t="s">
        <v>7358</v>
      </c>
      <c r="J638">
        <v>1</v>
      </c>
      <c r="K638" s="20">
        <v>45000</v>
      </c>
      <c r="L638" s="23">
        <v>4068000</v>
      </c>
      <c r="M638" t="s">
        <v>7359</v>
      </c>
      <c r="N638" t="s">
        <v>7360</v>
      </c>
      <c r="O638">
        <v>0</v>
      </c>
      <c r="P638">
        <v>13146</v>
      </c>
      <c r="Q638">
        <v>454019</v>
      </c>
      <c r="R638">
        <v>0</v>
      </c>
      <c r="S638">
        <v>20230315</v>
      </c>
      <c r="T638">
        <v>0</v>
      </c>
      <c r="U638" t="s">
        <v>7362</v>
      </c>
      <c r="V638" t="s">
        <v>7360</v>
      </c>
      <c r="W638" t="s">
        <v>7360</v>
      </c>
      <c r="X638" t="s">
        <v>7360</v>
      </c>
      <c r="Y638" t="s">
        <v>7360</v>
      </c>
      <c r="Z638" t="s">
        <v>7360</v>
      </c>
      <c r="AA638" t="s">
        <v>7362</v>
      </c>
      <c r="AB638" t="s">
        <v>7360</v>
      </c>
      <c r="AC638" t="s">
        <v>7360</v>
      </c>
      <c r="AD638" t="s">
        <v>7360</v>
      </c>
      <c r="AE638" t="s">
        <v>7360</v>
      </c>
      <c r="AF638" t="s">
        <v>1684</v>
      </c>
      <c r="AG638">
        <v>0</v>
      </c>
      <c r="AH638">
        <v>0</v>
      </c>
      <c r="AI638">
        <v>0</v>
      </c>
      <c r="AJ638">
        <v>0</v>
      </c>
      <c r="AK638">
        <v>0</v>
      </c>
      <c r="AL638" t="s">
        <v>7360</v>
      </c>
      <c r="AM638">
        <v>0</v>
      </c>
      <c r="AN638" s="20">
        <v>45000</v>
      </c>
      <c r="AO638" s="20">
        <v>45000</v>
      </c>
      <c r="AP638" s="20">
        <v>45000</v>
      </c>
      <c r="AQ638">
        <v>0</v>
      </c>
      <c r="AR638">
        <v>0</v>
      </c>
      <c r="AS638">
        <v>0</v>
      </c>
      <c r="AT638">
        <v>0</v>
      </c>
      <c r="AU638">
        <v>0</v>
      </c>
      <c r="AV638" t="s">
        <v>7360</v>
      </c>
      <c r="AW638">
        <v>0</v>
      </c>
      <c r="AX638" t="s">
        <v>7360</v>
      </c>
      <c r="AY638" t="s">
        <v>7362</v>
      </c>
      <c r="BA638">
        <v>0</v>
      </c>
      <c r="BB638" s="20">
        <v>45000</v>
      </c>
      <c r="BC638">
        <v>0</v>
      </c>
      <c r="BD638" t="s">
        <v>7360</v>
      </c>
      <c r="BF638" s="20">
        <v>45000</v>
      </c>
      <c r="BG638">
        <v>0</v>
      </c>
      <c r="BH638" t="s">
        <v>7363</v>
      </c>
      <c r="BJ638" t="s">
        <v>7362</v>
      </c>
      <c r="BK638">
        <v>169</v>
      </c>
      <c r="BL638">
        <v>11</v>
      </c>
      <c r="BM638">
        <v>1</v>
      </c>
      <c r="BN638" t="s">
        <v>7364</v>
      </c>
      <c r="BO638">
        <v>169</v>
      </c>
      <c r="BP638">
        <v>11</v>
      </c>
      <c r="BQ638">
        <v>1</v>
      </c>
      <c r="BR638" t="s">
        <v>7364</v>
      </c>
      <c r="BS638" t="s">
        <v>7365</v>
      </c>
      <c r="BT638" t="s">
        <v>7360</v>
      </c>
      <c r="BU638" t="s">
        <v>7360</v>
      </c>
      <c r="BV638" t="s">
        <v>7360</v>
      </c>
      <c r="BX638" t="s">
        <v>7391</v>
      </c>
      <c r="BY638">
        <v>74</v>
      </c>
      <c r="BZ638" t="s">
        <v>7360</v>
      </c>
      <c r="CA638" t="s">
        <v>7360</v>
      </c>
      <c r="CB638">
        <v>3380666</v>
      </c>
      <c r="CC638" s="21">
        <v>45000.530543981484</v>
      </c>
      <c r="CE638" t="s">
        <v>7392</v>
      </c>
      <c r="CF638">
        <v>1100101</v>
      </c>
      <c r="CG638">
        <v>51669</v>
      </c>
      <c r="CH638">
        <v>51669</v>
      </c>
      <c r="CI638" s="21">
        <v>45000.531307870369</v>
      </c>
      <c r="CJ638" t="s">
        <v>7406</v>
      </c>
      <c r="CK638" t="s">
        <v>7406</v>
      </c>
      <c r="CL638" t="s">
        <v>7407</v>
      </c>
      <c r="CM638" t="s">
        <v>7407</v>
      </c>
      <c r="CS638" t="s">
        <v>7361</v>
      </c>
      <c r="CT638" t="s">
        <v>7362</v>
      </c>
      <c r="CU638" t="s">
        <v>7362</v>
      </c>
      <c r="CV638" t="s">
        <v>7362</v>
      </c>
      <c r="CW638" t="s">
        <v>7362</v>
      </c>
      <c r="CX638">
        <v>4068000</v>
      </c>
      <c r="DA638">
        <v>0</v>
      </c>
    </row>
    <row r="639" spans="1:106" x14ac:dyDescent="0.3">
      <c r="A639">
        <v>1354</v>
      </c>
      <c r="B639" t="s">
        <v>7396</v>
      </c>
      <c r="C639">
        <v>671</v>
      </c>
      <c r="D639" s="20">
        <v>45000</v>
      </c>
      <c r="E639" t="s">
        <v>7372</v>
      </c>
      <c r="F639" t="s">
        <v>4976</v>
      </c>
      <c r="G639" t="s">
        <v>7465</v>
      </c>
      <c r="H639">
        <v>1</v>
      </c>
      <c r="I639" t="s">
        <v>7358</v>
      </c>
      <c r="J639">
        <v>1</v>
      </c>
      <c r="K639" s="20">
        <v>45000</v>
      </c>
      <c r="L639" s="23">
        <v>2712000</v>
      </c>
      <c r="M639" t="s">
        <v>7359</v>
      </c>
      <c r="N639" t="s">
        <v>7360</v>
      </c>
      <c r="O639">
        <v>0</v>
      </c>
      <c r="P639">
        <v>13147</v>
      </c>
      <c r="Q639">
        <v>454020</v>
      </c>
      <c r="R639">
        <v>0</v>
      </c>
      <c r="S639">
        <v>20230315</v>
      </c>
      <c r="T639">
        <v>0</v>
      </c>
      <c r="U639" t="s">
        <v>7362</v>
      </c>
      <c r="V639" t="s">
        <v>7360</v>
      </c>
      <c r="W639" t="s">
        <v>7360</v>
      </c>
      <c r="X639" t="s">
        <v>7360</v>
      </c>
      <c r="Y639" t="s">
        <v>7360</v>
      </c>
      <c r="Z639" t="s">
        <v>7360</v>
      </c>
      <c r="AA639" t="s">
        <v>7362</v>
      </c>
      <c r="AB639" t="s">
        <v>7360</v>
      </c>
      <c r="AC639" t="s">
        <v>7360</v>
      </c>
      <c r="AD639" t="s">
        <v>7360</v>
      </c>
      <c r="AE639" t="s">
        <v>7360</v>
      </c>
      <c r="AF639" t="s">
        <v>1684</v>
      </c>
      <c r="AG639">
        <v>0</v>
      </c>
      <c r="AH639">
        <v>0</v>
      </c>
      <c r="AI639">
        <v>0</v>
      </c>
      <c r="AJ639">
        <v>0</v>
      </c>
      <c r="AK639">
        <v>0</v>
      </c>
      <c r="AL639" t="s">
        <v>7360</v>
      </c>
      <c r="AM639">
        <v>0</v>
      </c>
      <c r="AN639" s="20">
        <v>45000</v>
      </c>
      <c r="AO639" s="20">
        <v>45000</v>
      </c>
      <c r="AP639" s="20">
        <v>45000</v>
      </c>
      <c r="AQ639">
        <v>0</v>
      </c>
      <c r="AR639">
        <v>0</v>
      </c>
      <c r="AS639">
        <v>0</v>
      </c>
      <c r="AT639">
        <v>0</v>
      </c>
      <c r="AU639">
        <v>0</v>
      </c>
      <c r="AV639" t="s">
        <v>7360</v>
      </c>
      <c r="AW639">
        <v>0</v>
      </c>
      <c r="AX639" t="s">
        <v>7360</v>
      </c>
      <c r="AY639" t="s">
        <v>7362</v>
      </c>
      <c r="BA639">
        <v>0</v>
      </c>
      <c r="BB639" s="20">
        <v>45000</v>
      </c>
      <c r="BC639">
        <v>0</v>
      </c>
      <c r="BD639" t="s">
        <v>7360</v>
      </c>
      <c r="BF639" s="20">
        <v>45000</v>
      </c>
      <c r="BG639">
        <v>0</v>
      </c>
      <c r="BH639" t="s">
        <v>7363</v>
      </c>
      <c r="BJ639" t="s">
        <v>7362</v>
      </c>
      <c r="BK639">
        <v>169</v>
      </c>
      <c r="BL639">
        <v>11</v>
      </c>
      <c r="BM639">
        <v>1</v>
      </c>
      <c r="BN639" t="s">
        <v>7364</v>
      </c>
      <c r="BO639">
        <v>169</v>
      </c>
      <c r="BP639">
        <v>11</v>
      </c>
      <c r="BQ639">
        <v>1</v>
      </c>
      <c r="BR639" t="s">
        <v>7364</v>
      </c>
      <c r="BS639" t="s">
        <v>7365</v>
      </c>
      <c r="BT639" t="s">
        <v>7360</v>
      </c>
      <c r="BU639" t="s">
        <v>7360</v>
      </c>
      <c r="BV639" t="s">
        <v>7360</v>
      </c>
      <c r="BX639" t="s">
        <v>7391</v>
      </c>
      <c r="BY639">
        <v>74</v>
      </c>
      <c r="BZ639" t="s">
        <v>7360</v>
      </c>
      <c r="CA639" t="s">
        <v>7360</v>
      </c>
      <c r="CB639">
        <v>3380666</v>
      </c>
      <c r="CC639" s="21">
        <v>45000.592812499999</v>
      </c>
      <c r="CE639" t="s">
        <v>7392</v>
      </c>
      <c r="CF639">
        <v>1100101</v>
      </c>
      <c r="CG639">
        <v>51669</v>
      </c>
      <c r="CH639">
        <v>51669</v>
      </c>
      <c r="CI639" s="21">
        <v>45000.603784722225</v>
      </c>
      <c r="CJ639" t="s">
        <v>7406</v>
      </c>
      <c r="CK639" t="s">
        <v>7406</v>
      </c>
      <c r="CL639" t="s">
        <v>7407</v>
      </c>
      <c r="CM639" t="s">
        <v>7407</v>
      </c>
      <c r="CS639" t="s">
        <v>7361</v>
      </c>
      <c r="CT639" t="s">
        <v>7362</v>
      </c>
      <c r="CU639" t="s">
        <v>7362</v>
      </c>
      <c r="CV639" t="s">
        <v>7362</v>
      </c>
      <c r="CW639" t="s">
        <v>7362</v>
      </c>
      <c r="CX639">
        <v>2712000</v>
      </c>
      <c r="DA639">
        <v>0</v>
      </c>
    </row>
    <row r="640" spans="1:106" x14ac:dyDescent="0.3">
      <c r="A640">
        <v>1354</v>
      </c>
      <c r="B640" t="s">
        <v>7396</v>
      </c>
      <c r="C640">
        <v>672</v>
      </c>
      <c r="D640" s="20">
        <v>45000</v>
      </c>
      <c r="E640" t="s">
        <v>7372</v>
      </c>
      <c r="F640" t="s">
        <v>4981</v>
      </c>
      <c r="G640" t="s">
        <v>7465</v>
      </c>
      <c r="H640">
        <v>1</v>
      </c>
      <c r="I640" t="s">
        <v>7358</v>
      </c>
      <c r="J640">
        <v>1</v>
      </c>
      <c r="K640" s="20">
        <v>45000</v>
      </c>
      <c r="L640" s="23">
        <v>2712000</v>
      </c>
      <c r="M640" t="s">
        <v>7359</v>
      </c>
      <c r="N640" t="s">
        <v>7360</v>
      </c>
      <c r="O640">
        <v>0</v>
      </c>
      <c r="P640">
        <v>13148</v>
      </c>
      <c r="Q640">
        <v>454021</v>
      </c>
      <c r="R640">
        <v>0</v>
      </c>
      <c r="S640">
        <v>20230315</v>
      </c>
      <c r="T640">
        <v>0</v>
      </c>
      <c r="U640" t="s">
        <v>7362</v>
      </c>
      <c r="V640" t="s">
        <v>7360</v>
      </c>
      <c r="W640" t="s">
        <v>7360</v>
      </c>
      <c r="X640" t="s">
        <v>7360</v>
      </c>
      <c r="Y640" t="s">
        <v>7360</v>
      </c>
      <c r="Z640" t="s">
        <v>7360</v>
      </c>
      <c r="AA640" t="s">
        <v>7362</v>
      </c>
      <c r="AB640" t="s">
        <v>7360</v>
      </c>
      <c r="AC640" t="s">
        <v>7360</v>
      </c>
      <c r="AD640" t="s">
        <v>7360</v>
      </c>
      <c r="AE640" t="s">
        <v>7360</v>
      </c>
      <c r="AF640" t="s">
        <v>1684</v>
      </c>
      <c r="AG640">
        <v>0</v>
      </c>
      <c r="AH640">
        <v>0</v>
      </c>
      <c r="AI640">
        <v>0</v>
      </c>
      <c r="AJ640">
        <v>0</v>
      </c>
      <c r="AK640">
        <v>0</v>
      </c>
      <c r="AL640" t="s">
        <v>7360</v>
      </c>
      <c r="AM640">
        <v>0</v>
      </c>
      <c r="AN640" s="20">
        <v>45000</v>
      </c>
      <c r="AO640" s="20">
        <v>45000</v>
      </c>
      <c r="AP640" s="20">
        <v>45000</v>
      </c>
      <c r="AQ640">
        <v>0</v>
      </c>
      <c r="AR640">
        <v>0</v>
      </c>
      <c r="AS640">
        <v>0</v>
      </c>
      <c r="AT640">
        <v>0</v>
      </c>
      <c r="AU640">
        <v>0</v>
      </c>
      <c r="AV640" t="s">
        <v>7360</v>
      </c>
      <c r="AW640">
        <v>0</v>
      </c>
      <c r="AX640" t="s">
        <v>7360</v>
      </c>
      <c r="AY640" t="s">
        <v>7362</v>
      </c>
      <c r="BA640">
        <v>0</v>
      </c>
      <c r="BB640" s="20">
        <v>45000</v>
      </c>
      <c r="BC640">
        <v>0</v>
      </c>
      <c r="BD640" t="s">
        <v>7360</v>
      </c>
      <c r="BF640" s="20">
        <v>45000</v>
      </c>
      <c r="BG640">
        <v>0</v>
      </c>
      <c r="BH640" t="s">
        <v>7363</v>
      </c>
      <c r="BJ640" t="s">
        <v>7362</v>
      </c>
      <c r="BK640">
        <v>169</v>
      </c>
      <c r="BL640">
        <v>11</v>
      </c>
      <c r="BM640">
        <v>1</v>
      </c>
      <c r="BN640" t="s">
        <v>7364</v>
      </c>
      <c r="BO640">
        <v>169</v>
      </c>
      <c r="BP640">
        <v>11</v>
      </c>
      <c r="BQ640">
        <v>1</v>
      </c>
      <c r="BR640" t="s">
        <v>7364</v>
      </c>
      <c r="BS640" t="s">
        <v>7365</v>
      </c>
      <c r="BT640" t="s">
        <v>7360</v>
      </c>
      <c r="BU640" t="s">
        <v>7360</v>
      </c>
      <c r="BV640" t="s">
        <v>7360</v>
      </c>
      <c r="BX640" t="s">
        <v>7391</v>
      </c>
      <c r="BY640">
        <v>74</v>
      </c>
      <c r="BZ640" t="s">
        <v>7360</v>
      </c>
      <c r="CA640" t="s">
        <v>7360</v>
      </c>
      <c r="CB640">
        <v>3380666</v>
      </c>
      <c r="CC640" s="21">
        <v>45000.598611111112</v>
      </c>
      <c r="CE640" t="s">
        <v>7392</v>
      </c>
      <c r="CF640">
        <v>1100101</v>
      </c>
      <c r="CG640">
        <v>51669</v>
      </c>
      <c r="CH640">
        <v>51669</v>
      </c>
      <c r="CI640" s="21">
        <v>45000.599814814814</v>
      </c>
      <c r="CJ640" t="s">
        <v>7406</v>
      </c>
      <c r="CK640" t="s">
        <v>7406</v>
      </c>
      <c r="CL640" t="s">
        <v>7407</v>
      </c>
      <c r="CM640" t="s">
        <v>7407</v>
      </c>
      <c r="CS640" t="s">
        <v>7361</v>
      </c>
      <c r="CT640" t="s">
        <v>7362</v>
      </c>
      <c r="CU640" t="s">
        <v>7362</v>
      </c>
      <c r="CV640" t="s">
        <v>7362</v>
      </c>
      <c r="CW640" t="s">
        <v>7362</v>
      </c>
      <c r="CX640">
        <v>2712000</v>
      </c>
      <c r="DA640">
        <v>0</v>
      </c>
    </row>
    <row r="641" spans="1:105" x14ac:dyDescent="0.3">
      <c r="A641">
        <v>1354</v>
      </c>
      <c r="B641" t="s">
        <v>7396</v>
      </c>
      <c r="C641">
        <v>673</v>
      </c>
      <c r="D641" s="20">
        <v>45000</v>
      </c>
      <c r="E641" t="s">
        <v>7372</v>
      </c>
      <c r="F641" t="s">
        <v>4987</v>
      </c>
      <c r="G641" t="s">
        <v>7465</v>
      </c>
      <c r="H641">
        <v>1</v>
      </c>
      <c r="I641" t="s">
        <v>7358</v>
      </c>
      <c r="J641">
        <v>1</v>
      </c>
      <c r="K641" s="20">
        <v>45000</v>
      </c>
      <c r="L641" s="23">
        <v>2712000</v>
      </c>
      <c r="M641" t="s">
        <v>7359</v>
      </c>
      <c r="N641" t="s">
        <v>7360</v>
      </c>
      <c r="O641">
        <v>0</v>
      </c>
      <c r="P641">
        <v>13149</v>
      </c>
      <c r="Q641">
        <v>454022</v>
      </c>
      <c r="R641">
        <v>0</v>
      </c>
      <c r="S641">
        <v>20230315</v>
      </c>
      <c r="T641">
        <v>0</v>
      </c>
      <c r="U641" t="s">
        <v>7362</v>
      </c>
      <c r="V641" t="s">
        <v>7360</v>
      </c>
      <c r="W641" t="s">
        <v>7360</v>
      </c>
      <c r="X641" t="s">
        <v>7360</v>
      </c>
      <c r="Y641" t="s">
        <v>7360</v>
      </c>
      <c r="Z641" t="s">
        <v>7360</v>
      </c>
      <c r="AA641" t="s">
        <v>7362</v>
      </c>
      <c r="AB641" t="s">
        <v>7360</v>
      </c>
      <c r="AC641" t="s">
        <v>7360</v>
      </c>
      <c r="AD641" t="s">
        <v>7360</v>
      </c>
      <c r="AE641" t="s">
        <v>7360</v>
      </c>
      <c r="AF641" t="s">
        <v>1684</v>
      </c>
      <c r="AG641">
        <v>0</v>
      </c>
      <c r="AH641">
        <v>0</v>
      </c>
      <c r="AI641">
        <v>0</v>
      </c>
      <c r="AJ641">
        <v>0</v>
      </c>
      <c r="AK641">
        <v>0</v>
      </c>
      <c r="AL641" t="s">
        <v>7360</v>
      </c>
      <c r="AM641">
        <v>0</v>
      </c>
      <c r="AN641" s="20">
        <v>45000</v>
      </c>
      <c r="AO641" s="20">
        <v>45000</v>
      </c>
      <c r="AP641" s="20">
        <v>45000</v>
      </c>
      <c r="AQ641">
        <v>0</v>
      </c>
      <c r="AR641">
        <v>0</v>
      </c>
      <c r="AS641">
        <v>0</v>
      </c>
      <c r="AT641">
        <v>0</v>
      </c>
      <c r="AU641">
        <v>0</v>
      </c>
      <c r="AV641" t="s">
        <v>7360</v>
      </c>
      <c r="AW641">
        <v>0</v>
      </c>
      <c r="AX641" t="s">
        <v>7360</v>
      </c>
      <c r="AY641" t="s">
        <v>7362</v>
      </c>
      <c r="BA641">
        <v>0</v>
      </c>
      <c r="BB641" s="20">
        <v>45000</v>
      </c>
      <c r="BC641">
        <v>0</v>
      </c>
      <c r="BD641" t="s">
        <v>7360</v>
      </c>
      <c r="BF641" s="20">
        <v>45000</v>
      </c>
      <c r="BG641">
        <v>0</v>
      </c>
      <c r="BH641" t="s">
        <v>7363</v>
      </c>
      <c r="BJ641" t="s">
        <v>7362</v>
      </c>
      <c r="BK641">
        <v>169</v>
      </c>
      <c r="BL641">
        <v>11</v>
      </c>
      <c r="BM641">
        <v>1</v>
      </c>
      <c r="BN641" t="s">
        <v>7364</v>
      </c>
      <c r="BO641">
        <v>169</v>
      </c>
      <c r="BP641">
        <v>11</v>
      </c>
      <c r="BQ641">
        <v>1</v>
      </c>
      <c r="BR641" t="s">
        <v>7364</v>
      </c>
      <c r="BS641" t="s">
        <v>7365</v>
      </c>
      <c r="BT641" t="s">
        <v>7360</v>
      </c>
      <c r="BU641" t="s">
        <v>7360</v>
      </c>
      <c r="BV641" t="s">
        <v>7360</v>
      </c>
      <c r="BX641" t="s">
        <v>7391</v>
      </c>
      <c r="BY641">
        <v>74</v>
      </c>
      <c r="BZ641" t="s">
        <v>7360</v>
      </c>
      <c r="CA641" t="s">
        <v>7360</v>
      </c>
      <c r="CB641">
        <v>3380666</v>
      </c>
      <c r="CC641" s="21">
        <v>45000.608240740738</v>
      </c>
      <c r="CE641" t="s">
        <v>7392</v>
      </c>
      <c r="CF641">
        <v>1100101</v>
      </c>
      <c r="CG641">
        <v>51669</v>
      </c>
      <c r="CH641">
        <v>51669</v>
      </c>
      <c r="CI641" s="21">
        <v>45000.608923611115</v>
      </c>
      <c r="CJ641" t="s">
        <v>7406</v>
      </c>
      <c r="CK641" t="s">
        <v>7406</v>
      </c>
      <c r="CL641" t="s">
        <v>7407</v>
      </c>
      <c r="CM641" t="s">
        <v>7407</v>
      </c>
      <c r="CS641" t="s">
        <v>7361</v>
      </c>
      <c r="CT641" t="s">
        <v>7362</v>
      </c>
      <c r="CU641" t="s">
        <v>7362</v>
      </c>
      <c r="CV641" t="s">
        <v>7362</v>
      </c>
      <c r="CW641" t="s">
        <v>7362</v>
      </c>
      <c r="CX641">
        <v>2712000</v>
      </c>
      <c r="DA641">
        <v>0</v>
      </c>
    </row>
    <row r="642" spans="1:105" x14ac:dyDescent="0.3">
      <c r="A642">
        <v>1354</v>
      </c>
      <c r="B642" t="s">
        <v>7396</v>
      </c>
      <c r="C642">
        <v>674</v>
      </c>
      <c r="D642" s="20">
        <v>45000</v>
      </c>
      <c r="E642" t="s">
        <v>7372</v>
      </c>
      <c r="F642" t="s">
        <v>4992</v>
      </c>
      <c r="G642" t="s">
        <v>7370</v>
      </c>
      <c r="H642">
        <v>1</v>
      </c>
      <c r="I642" t="s">
        <v>7358</v>
      </c>
      <c r="J642">
        <v>1</v>
      </c>
      <c r="K642" s="20">
        <v>45000</v>
      </c>
      <c r="L642" s="23">
        <v>2712000</v>
      </c>
      <c r="M642" t="s">
        <v>7359</v>
      </c>
      <c r="N642" t="s">
        <v>7360</v>
      </c>
      <c r="O642">
        <v>0</v>
      </c>
      <c r="P642">
        <v>13151</v>
      </c>
      <c r="Q642">
        <v>454023</v>
      </c>
      <c r="R642">
        <v>0</v>
      </c>
      <c r="S642">
        <v>20230315</v>
      </c>
      <c r="T642">
        <v>0</v>
      </c>
      <c r="U642" t="s">
        <v>7362</v>
      </c>
      <c r="V642" t="s">
        <v>7360</v>
      </c>
      <c r="W642" t="s">
        <v>7360</v>
      </c>
      <c r="X642" t="s">
        <v>7360</v>
      </c>
      <c r="Y642" t="s">
        <v>7360</v>
      </c>
      <c r="Z642" t="s">
        <v>7360</v>
      </c>
      <c r="AA642" t="s">
        <v>7362</v>
      </c>
      <c r="AB642" t="s">
        <v>7360</v>
      </c>
      <c r="AC642" t="s">
        <v>7360</v>
      </c>
      <c r="AD642" t="s">
        <v>7360</v>
      </c>
      <c r="AE642" t="s">
        <v>7360</v>
      </c>
      <c r="AF642" t="s">
        <v>1684</v>
      </c>
      <c r="AG642">
        <v>0</v>
      </c>
      <c r="AH642">
        <v>0</v>
      </c>
      <c r="AI642">
        <v>0</v>
      </c>
      <c r="AJ642">
        <v>0</v>
      </c>
      <c r="AK642">
        <v>0</v>
      </c>
      <c r="AL642" t="s">
        <v>7360</v>
      </c>
      <c r="AM642">
        <v>0</v>
      </c>
      <c r="AN642" s="20">
        <v>45000</v>
      </c>
      <c r="AO642" s="20">
        <v>45000</v>
      </c>
      <c r="AP642" s="20">
        <v>45000</v>
      </c>
      <c r="AQ642">
        <v>0</v>
      </c>
      <c r="AR642">
        <v>0</v>
      </c>
      <c r="AS642">
        <v>0</v>
      </c>
      <c r="AT642">
        <v>0</v>
      </c>
      <c r="AU642">
        <v>0</v>
      </c>
      <c r="AV642" t="s">
        <v>7360</v>
      </c>
      <c r="AW642">
        <v>0</v>
      </c>
      <c r="AX642" t="s">
        <v>7360</v>
      </c>
      <c r="AY642" t="s">
        <v>7362</v>
      </c>
      <c r="BA642">
        <v>0</v>
      </c>
      <c r="BB642" s="20">
        <v>45000</v>
      </c>
      <c r="BC642">
        <v>0</v>
      </c>
      <c r="BD642" t="s">
        <v>7360</v>
      </c>
      <c r="BF642" s="20">
        <v>45000</v>
      </c>
      <c r="BG642">
        <v>0</v>
      </c>
      <c r="BH642" t="s">
        <v>7363</v>
      </c>
      <c r="BJ642" t="s">
        <v>7362</v>
      </c>
      <c r="BK642">
        <v>169</v>
      </c>
      <c r="BL642">
        <v>11</v>
      </c>
      <c r="BM642">
        <v>1</v>
      </c>
      <c r="BN642" t="s">
        <v>7364</v>
      </c>
      <c r="BO642">
        <v>169</v>
      </c>
      <c r="BP642">
        <v>11</v>
      </c>
      <c r="BQ642">
        <v>1</v>
      </c>
      <c r="BR642" t="s">
        <v>7364</v>
      </c>
      <c r="BS642" t="s">
        <v>7365</v>
      </c>
      <c r="BT642" t="s">
        <v>7360</v>
      </c>
      <c r="BU642" t="s">
        <v>7360</v>
      </c>
      <c r="BV642" t="s">
        <v>7360</v>
      </c>
      <c r="BX642" t="s">
        <v>7391</v>
      </c>
      <c r="BY642">
        <v>74</v>
      </c>
      <c r="BZ642" t="s">
        <v>7360</v>
      </c>
      <c r="CA642" t="s">
        <v>7360</v>
      </c>
      <c r="CB642">
        <v>3380666</v>
      </c>
      <c r="CC642" s="21">
        <v>45000.613854166666</v>
      </c>
      <c r="CE642" t="s">
        <v>7392</v>
      </c>
      <c r="CF642">
        <v>1100101</v>
      </c>
      <c r="CG642">
        <v>51669</v>
      </c>
      <c r="CH642">
        <v>51669</v>
      </c>
      <c r="CI642" s="21">
        <v>45000.614548611113</v>
      </c>
      <c r="CJ642" t="s">
        <v>7406</v>
      </c>
      <c r="CK642" t="s">
        <v>7406</v>
      </c>
      <c r="CL642" t="s">
        <v>7407</v>
      </c>
      <c r="CM642" t="s">
        <v>7407</v>
      </c>
      <c r="CS642" t="s">
        <v>7361</v>
      </c>
      <c r="CT642" t="s">
        <v>7362</v>
      </c>
      <c r="CU642" t="s">
        <v>7362</v>
      </c>
      <c r="CV642" t="s">
        <v>7362</v>
      </c>
      <c r="CW642" t="s">
        <v>7362</v>
      </c>
      <c r="CX642">
        <v>2712000</v>
      </c>
      <c r="DA642">
        <v>0</v>
      </c>
    </row>
    <row r="643" spans="1:105" x14ac:dyDescent="0.3">
      <c r="A643">
        <v>1354</v>
      </c>
      <c r="B643" t="s">
        <v>7396</v>
      </c>
      <c r="C643">
        <v>675</v>
      </c>
      <c r="D643" s="20">
        <v>45000</v>
      </c>
      <c r="E643" t="s">
        <v>7372</v>
      </c>
      <c r="F643" t="s">
        <v>4923</v>
      </c>
      <c r="G643" t="s">
        <v>7370</v>
      </c>
      <c r="H643">
        <v>1</v>
      </c>
      <c r="I643" t="s">
        <v>7358</v>
      </c>
      <c r="J643">
        <v>1</v>
      </c>
      <c r="K643" s="20">
        <v>45000</v>
      </c>
      <c r="L643" s="23">
        <v>2712000</v>
      </c>
      <c r="M643" t="s">
        <v>7359</v>
      </c>
      <c r="N643" t="s">
        <v>7360</v>
      </c>
      <c r="O643">
        <v>0</v>
      </c>
      <c r="P643">
        <v>13153</v>
      </c>
      <c r="Q643">
        <v>454025</v>
      </c>
      <c r="R643">
        <v>0</v>
      </c>
      <c r="S643">
        <v>20230315</v>
      </c>
      <c r="T643">
        <v>0</v>
      </c>
      <c r="U643" t="s">
        <v>7362</v>
      </c>
      <c r="V643" t="s">
        <v>7360</v>
      </c>
      <c r="W643" t="s">
        <v>7360</v>
      </c>
      <c r="X643" t="s">
        <v>7360</v>
      </c>
      <c r="Y643" t="s">
        <v>7360</v>
      </c>
      <c r="Z643" t="s">
        <v>7360</v>
      </c>
      <c r="AA643" t="s">
        <v>7362</v>
      </c>
      <c r="AB643" t="s">
        <v>7360</v>
      </c>
      <c r="AC643" t="s">
        <v>7360</v>
      </c>
      <c r="AD643" t="s">
        <v>7360</v>
      </c>
      <c r="AE643" t="s">
        <v>7360</v>
      </c>
      <c r="AF643" t="s">
        <v>1684</v>
      </c>
      <c r="AG643">
        <v>0</v>
      </c>
      <c r="AH643">
        <v>0</v>
      </c>
      <c r="AI643">
        <v>0</v>
      </c>
      <c r="AJ643">
        <v>0</v>
      </c>
      <c r="AK643">
        <v>0</v>
      </c>
      <c r="AL643" t="s">
        <v>7360</v>
      </c>
      <c r="AM643">
        <v>0</v>
      </c>
      <c r="AN643" s="20">
        <v>45000</v>
      </c>
      <c r="AO643" s="20">
        <v>45000</v>
      </c>
      <c r="AP643" s="20">
        <v>45000</v>
      </c>
      <c r="AQ643">
        <v>0</v>
      </c>
      <c r="AR643">
        <v>0</v>
      </c>
      <c r="AS643">
        <v>0</v>
      </c>
      <c r="AT643">
        <v>0</v>
      </c>
      <c r="AU643">
        <v>0</v>
      </c>
      <c r="AV643" t="s">
        <v>7360</v>
      </c>
      <c r="AW643">
        <v>0</v>
      </c>
      <c r="AX643" t="s">
        <v>7360</v>
      </c>
      <c r="AY643" t="s">
        <v>7362</v>
      </c>
      <c r="BA643">
        <v>0</v>
      </c>
      <c r="BB643" s="20">
        <v>45000</v>
      </c>
      <c r="BC643">
        <v>0</v>
      </c>
      <c r="BD643" t="s">
        <v>7360</v>
      </c>
      <c r="BF643" s="20">
        <v>45000</v>
      </c>
      <c r="BG643">
        <v>0</v>
      </c>
      <c r="BH643" t="s">
        <v>7363</v>
      </c>
      <c r="BJ643" t="s">
        <v>7362</v>
      </c>
      <c r="BK643">
        <v>169</v>
      </c>
      <c r="BL643">
        <v>11</v>
      </c>
      <c r="BM643">
        <v>1</v>
      </c>
      <c r="BN643" t="s">
        <v>7364</v>
      </c>
      <c r="BO643">
        <v>169</v>
      </c>
      <c r="BP643">
        <v>11</v>
      </c>
      <c r="BQ643">
        <v>1</v>
      </c>
      <c r="BR643" t="s">
        <v>7364</v>
      </c>
      <c r="BS643" t="s">
        <v>7365</v>
      </c>
      <c r="BT643" t="s">
        <v>7360</v>
      </c>
      <c r="BU643" t="s">
        <v>7360</v>
      </c>
      <c r="BV643" t="s">
        <v>7360</v>
      </c>
      <c r="BX643" t="s">
        <v>7391</v>
      </c>
      <c r="BY643">
        <v>74</v>
      </c>
      <c r="BZ643" t="s">
        <v>7360</v>
      </c>
      <c r="CA643" t="s">
        <v>7360</v>
      </c>
      <c r="CB643">
        <v>3380666</v>
      </c>
      <c r="CC643" s="21">
        <v>45000.618449074071</v>
      </c>
      <c r="CE643" t="s">
        <v>7392</v>
      </c>
      <c r="CF643">
        <v>1100101</v>
      </c>
      <c r="CG643">
        <v>51669</v>
      </c>
      <c r="CH643">
        <v>51669</v>
      </c>
      <c r="CI643" s="21">
        <v>45000.619305555556</v>
      </c>
      <c r="CJ643" t="s">
        <v>7406</v>
      </c>
      <c r="CK643" t="s">
        <v>7406</v>
      </c>
      <c r="CL643" t="s">
        <v>7407</v>
      </c>
      <c r="CM643" t="s">
        <v>7407</v>
      </c>
      <c r="CS643" t="s">
        <v>7361</v>
      </c>
      <c r="CT643" t="s">
        <v>7362</v>
      </c>
      <c r="CU643" t="s">
        <v>7362</v>
      </c>
      <c r="CV643" t="s">
        <v>7362</v>
      </c>
      <c r="CW643" t="s">
        <v>7362</v>
      </c>
      <c r="CX643">
        <v>2712000</v>
      </c>
      <c r="DA643">
        <v>0</v>
      </c>
    </row>
    <row r="644" spans="1:105" x14ac:dyDescent="0.3">
      <c r="A644">
        <v>1372</v>
      </c>
      <c r="B644" t="s">
        <v>7369</v>
      </c>
      <c r="C644">
        <v>676</v>
      </c>
      <c r="D644" s="20">
        <v>45000</v>
      </c>
      <c r="E644" t="s">
        <v>7356</v>
      </c>
      <c r="F644" t="s">
        <v>4928</v>
      </c>
      <c r="G644" t="s">
        <v>7357</v>
      </c>
      <c r="H644">
        <v>1</v>
      </c>
      <c r="I644" t="s">
        <v>7358</v>
      </c>
      <c r="J644">
        <v>1</v>
      </c>
      <c r="K644" s="20">
        <v>45000</v>
      </c>
      <c r="L644" s="23">
        <v>2490000</v>
      </c>
      <c r="M644" t="s">
        <v>7359</v>
      </c>
      <c r="N644" t="s">
        <v>7360</v>
      </c>
      <c r="O644">
        <v>0</v>
      </c>
      <c r="P644">
        <v>13157</v>
      </c>
      <c r="Q644">
        <v>454028</v>
      </c>
      <c r="R644">
        <v>0</v>
      </c>
      <c r="S644">
        <v>20230315</v>
      </c>
      <c r="T644">
        <v>0</v>
      </c>
      <c r="U644" t="s">
        <v>7361</v>
      </c>
      <c r="V644" t="s">
        <v>7360</v>
      </c>
      <c r="W644" t="s">
        <v>7360</v>
      </c>
      <c r="X644" t="s">
        <v>7360</v>
      </c>
      <c r="Y644" t="s">
        <v>7360</v>
      </c>
      <c r="Z644" t="s">
        <v>7360</v>
      </c>
      <c r="AA644" t="s">
        <v>7362</v>
      </c>
      <c r="AB644" t="s">
        <v>7360</v>
      </c>
      <c r="AC644" t="s">
        <v>7360</v>
      </c>
      <c r="AD644" t="s">
        <v>7360</v>
      </c>
      <c r="AE644" t="s">
        <v>7360</v>
      </c>
      <c r="AF644" t="s">
        <v>1684</v>
      </c>
      <c r="AG644">
        <v>0</v>
      </c>
      <c r="AH644">
        <v>0</v>
      </c>
      <c r="AI644">
        <v>0</v>
      </c>
      <c r="AJ644">
        <v>0</v>
      </c>
      <c r="AK644">
        <v>0</v>
      </c>
      <c r="AL644" t="s">
        <v>7360</v>
      </c>
      <c r="AM644">
        <v>0</v>
      </c>
      <c r="AN644" s="20">
        <v>45000</v>
      </c>
      <c r="AO644" s="20">
        <v>45000</v>
      </c>
      <c r="AP644" s="20">
        <v>45000</v>
      </c>
      <c r="AQ644">
        <v>0</v>
      </c>
      <c r="AR644">
        <v>0</v>
      </c>
      <c r="AS644">
        <v>0</v>
      </c>
      <c r="AT644">
        <v>0</v>
      </c>
      <c r="AU644">
        <v>0</v>
      </c>
      <c r="AV644" t="s">
        <v>7360</v>
      </c>
      <c r="AW644">
        <v>0</v>
      </c>
      <c r="AX644" t="s">
        <v>7360</v>
      </c>
      <c r="AY644" t="s">
        <v>7363</v>
      </c>
      <c r="BA644">
        <v>0</v>
      </c>
      <c r="BB644" s="20">
        <v>45000</v>
      </c>
      <c r="BC644">
        <v>0</v>
      </c>
      <c r="BD644" t="s">
        <v>7360</v>
      </c>
      <c r="BF644" s="20">
        <v>45000</v>
      </c>
      <c r="BG644">
        <v>0</v>
      </c>
      <c r="BH644" t="s">
        <v>7363</v>
      </c>
      <c r="BJ644" t="s">
        <v>7362</v>
      </c>
      <c r="BK644">
        <v>169</v>
      </c>
      <c r="BL644">
        <v>11</v>
      </c>
      <c r="BM644">
        <v>1</v>
      </c>
      <c r="BN644" t="s">
        <v>7364</v>
      </c>
      <c r="BO644">
        <v>169</v>
      </c>
      <c r="BP644">
        <v>11</v>
      </c>
      <c r="BQ644">
        <v>1</v>
      </c>
      <c r="BR644" t="s">
        <v>7364</v>
      </c>
      <c r="BS644" t="s">
        <v>7365</v>
      </c>
      <c r="BT644" t="s">
        <v>7360</v>
      </c>
      <c r="BU644" t="s">
        <v>7360</v>
      </c>
      <c r="BV644" t="s">
        <v>7360</v>
      </c>
      <c r="BX644" t="s">
        <v>7391</v>
      </c>
      <c r="BY644">
        <v>74</v>
      </c>
      <c r="BZ644" t="s">
        <v>7360</v>
      </c>
      <c r="CA644" t="s">
        <v>7360</v>
      </c>
      <c r="CB644">
        <v>3380666</v>
      </c>
      <c r="CC644" s="21">
        <v>45000.638692129629</v>
      </c>
      <c r="CE644" t="s">
        <v>7392</v>
      </c>
      <c r="CF644">
        <v>1100101</v>
      </c>
      <c r="CG644">
        <v>51669</v>
      </c>
      <c r="CH644">
        <v>51669</v>
      </c>
      <c r="CI644" s="21">
        <v>45000.639606481483</v>
      </c>
      <c r="CJ644" t="s">
        <v>7406</v>
      </c>
      <c r="CK644" t="s">
        <v>7406</v>
      </c>
      <c r="CL644" t="s">
        <v>7407</v>
      </c>
      <c r="CM644" t="s">
        <v>7407</v>
      </c>
      <c r="CS644" t="s">
        <v>7361</v>
      </c>
      <c r="CT644" t="s">
        <v>7362</v>
      </c>
      <c r="CU644" t="s">
        <v>7362</v>
      </c>
      <c r="CV644" t="s">
        <v>7362</v>
      </c>
      <c r="CW644" t="s">
        <v>7362</v>
      </c>
      <c r="CX644">
        <v>2490000</v>
      </c>
      <c r="DA644">
        <v>0</v>
      </c>
    </row>
    <row r="645" spans="1:105" x14ac:dyDescent="0.3">
      <c r="A645">
        <v>1372</v>
      </c>
      <c r="B645" t="s">
        <v>7369</v>
      </c>
      <c r="C645">
        <v>677</v>
      </c>
      <c r="D645" s="20">
        <v>45000</v>
      </c>
      <c r="E645" t="s">
        <v>7372</v>
      </c>
      <c r="F645" t="s">
        <v>4933</v>
      </c>
      <c r="G645" t="s">
        <v>7357</v>
      </c>
      <c r="H645">
        <v>1</v>
      </c>
      <c r="I645" t="s">
        <v>7358</v>
      </c>
      <c r="J645">
        <v>1</v>
      </c>
      <c r="K645" s="20">
        <v>45000</v>
      </c>
      <c r="L645" s="23">
        <v>8660350</v>
      </c>
      <c r="M645" t="s">
        <v>7359</v>
      </c>
      <c r="N645" t="s">
        <v>7360</v>
      </c>
      <c r="O645">
        <v>0</v>
      </c>
      <c r="P645">
        <v>13059</v>
      </c>
      <c r="Q645">
        <v>453067</v>
      </c>
      <c r="R645">
        <v>0</v>
      </c>
      <c r="S645">
        <v>20230315</v>
      </c>
      <c r="T645">
        <v>0</v>
      </c>
      <c r="U645" t="s">
        <v>7362</v>
      </c>
      <c r="V645" t="s">
        <v>7360</v>
      </c>
      <c r="W645" t="s">
        <v>7360</v>
      </c>
      <c r="X645" t="s">
        <v>7360</v>
      </c>
      <c r="Y645" t="s">
        <v>7360</v>
      </c>
      <c r="Z645" t="s">
        <v>7360</v>
      </c>
      <c r="AA645" t="s">
        <v>7362</v>
      </c>
      <c r="AB645" t="s">
        <v>7360</v>
      </c>
      <c r="AC645" t="s">
        <v>7360</v>
      </c>
      <c r="AD645" t="s">
        <v>7360</v>
      </c>
      <c r="AE645" t="s">
        <v>7360</v>
      </c>
      <c r="AF645" t="s">
        <v>1684</v>
      </c>
      <c r="AG645">
        <v>0</v>
      </c>
      <c r="AH645">
        <v>0</v>
      </c>
      <c r="AI645">
        <v>0</v>
      </c>
      <c r="AJ645">
        <v>0</v>
      </c>
      <c r="AK645">
        <v>0</v>
      </c>
      <c r="AL645" t="s">
        <v>7360</v>
      </c>
      <c r="AM645">
        <v>0</v>
      </c>
      <c r="AN645" s="20">
        <v>45000</v>
      </c>
      <c r="AO645" s="20">
        <v>45000</v>
      </c>
      <c r="AP645" s="20">
        <v>45000</v>
      </c>
      <c r="AQ645">
        <v>0</v>
      </c>
      <c r="AR645">
        <v>0</v>
      </c>
      <c r="AS645">
        <v>0</v>
      </c>
      <c r="AT645">
        <v>0</v>
      </c>
      <c r="AU645">
        <v>0</v>
      </c>
      <c r="AV645" t="s">
        <v>7360</v>
      </c>
      <c r="AW645">
        <v>0</v>
      </c>
      <c r="AX645" t="s">
        <v>7360</v>
      </c>
      <c r="AY645" t="s">
        <v>7362</v>
      </c>
      <c r="BA645">
        <v>0</v>
      </c>
      <c r="BB645" s="20">
        <v>45000</v>
      </c>
      <c r="BC645">
        <v>0</v>
      </c>
      <c r="BD645" t="s">
        <v>7360</v>
      </c>
      <c r="BF645" s="20">
        <v>45000</v>
      </c>
      <c r="BG645">
        <v>0</v>
      </c>
      <c r="BH645" t="s">
        <v>7363</v>
      </c>
      <c r="BJ645" t="s">
        <v>7362</v>
      </c>
      <c r="BK645">
        <v>0</v>
      </c>
      <c r="BL645">
        <v>0</v>
      </c>
      <c r="BM645">
        <v>0</v>
      </c>
      <c r="BN645">
        <v>0</v>
      </c>
      <c r="BO645">
        <v>169</v>
      </c>
      <c r="BP645">
        <v>11</v>
      </c>
      <c r="BQ645">
        <v>1</v>
      </c>
      <c r="BR645" t="s">
        <v>7364</v>
      </c>
      <c r="BS645" t="s">
        <v>7365</v>
      </c>
      <c r="BT645" t="s">
        <v>7360</v>
      </c>
      <c r="BU645" t="s">
        <v>7360</v>
      </c>
      <c r="BV645" t="s">
        <v>7360</v>
      </c>
      <c r="BX645">
        <v>0</v>
      </c>
      <c r="BY645">
        <v>0</v>
      </c>
      <c r="BZ645" t="s">
        <v>7360</v>
      </c>
      <c r="CA645" t="s">
        <v>7360</v>
      </c>
      <c r="CB645">
        <v>3380666</v>
      </c>
      <c r="CC645" s="21">
        <v>45000.652303240742</v>
      </c>
      <c r="CE645" t="s">
        <v>7366</v>
      </c>
      <c r="CF645">
        <v>0</v>
      </c>
      <c r="CG645">
        <v>702002</v>
      </c>
      <c r="CH645">
        <v>702002</v>
      </c>
      <c r="CI645" s="21">
        <v>45000.657175925924</v>
      </c>
      <c r="CJ645" t="s">
        <v>7367</v>
      </c>
      <c r="CK645" t="s">
        <v>7367</v>
      </c>
      <c r="CL645" t="s">
        <v>7368</v>
      </c>
      <c r="CM645" t="s">
        <v>7368</v>
      </c>
      <c r="CS645" t="s">
        <v>7361</v>
      </c>
      <c r="CT645" t="s">
        <v>7362</v>
      </c>
      <c r="CU645" t="s">
        <v>7362</v>
      </c>
      <c r="CV645" t="s">
        <v>7362</v>
      </c>
      <c r="CW645" t="s">
        <v>7362</v>
      </c>
      <c r="CX645">
        <v>8660350</v>
      </c>
      <c r="DA645">
        <v>0</v>
      </c>
    </row>
    <row r="646" spans="1:105" x14ac:dyDescent="0.3">
      <c r="A646">
        <v>1366</v>
      </c>
      <c r="B646" t="s">
        <v>7380</v>
      </c>
      <c r="C646">
        <v>678</v>
      </c>
      <c r="D646" s="20">
        <v>45000</v>
      </c>
      <c r="E646" t="s">
        <v>7372</v>
      </c>
      <c r="F646" t="s">
        <v>4939</v>
      </c>
      <c r="G646" t="s">
        <v>7381</v>
      </c>
      <c r="H646">
        <v>1</v>
      </c>
      <c r="I646" t="s">
        <v>7358</v>
      </c>
      <c r="J646">
        <v>1</v>
      </c>
      <c r="K646" s="20">
        <v>45000</v>
      </c>
      <c r="L646" s="23">
        <v>653047</v>
      </c>
      <c r="M646" t="s">
        <v>7359</v>
      </c>
      <c r="N646" t="s">
        <v>7360</v>
      </c>
      <c r="O646">
        <v>0</v>
      </c>
      <c r="P646">
        <v>13202</v>
      </c>
      <c r="Q646">
        <v>455003</v>
      </c>
      <c r="R646">
        <v>0</v>
      </c>
      <c r="S646">
        <v>20230315</v>
      </c>
      <c r="T646">
        <v>0</v>
      </c>
      <c r="U646" t="s">
        <v>7362</v>
      </c>
      <c r="V646" t="s">
        <v>7360</v>
      </c>
      <c r="W646" t="s">
        <v>7360</v>
      </c>
      <c r="X646" t="s">
        <v>7360</v>
      </c>
      <c r="Y646" t="s">
        <v>7360</v>
      </c>
      <c r="Z646" t="s">
        <v>7360</v>
      </c>
      <c r="AA646" t="s">
        <v>7362</v>
      </c>
      <c r="AB646" t="s">
        <v>7360</v>
      </c>
      <c r="AC646" t="s">
        <v>7360</v>
      </c>
      <c r="AD646" t="s">
        <v>7360</v>
      </c>
      <c r="AE646" t="s">
        <v>7360</v>
      </c>
      <c r="AF646" t="s">
        <v>1684</v>
      </c>
      <c r="AG646">
        <v>0</v>
      </c>
      <c r="AH646">
        <v>0</v>
      </c>
      <c r="AI646">
        <v>0</v>
      </c>
      <c r="AJ646">
        <v>0</v>
      </c>
      <c r="AK646">
        <v>0</v>
      </c>
      <c r="AL646" t="s">
        <v>7360</v>
      </c>
      <c r="AM646">
        <v>0</v>
      </c>
      <c r="AN646" s="20">
        <v>45000</v>
      </c>
      <c r="AO646" s="20">
        <v>45000</v>
      </c>
      <c r="AP646" s="20">
        <v>45000</v>
      </c>
      <c r="AQ646">
        <v>0</v>
      </c>
      <c r="AR646">
        <v>0</v>
      </c>
      <c r="AS646">
        <v>0</v>
      </c>
      <c r="AT646">
        <v>0</v>
      </c>
      <c r="AU646">
        <v>0</v>
      </c>
      <c r="AV646" t="s">
        <v>7360</v>
      </c>
      <c r="AW646">
        <v>0</v>
      </c>
      <c r="AX646" t="s">
        <v>7360</v>
      </c>
      <c r="AY646" t="s">
        <v>7362</v>
      </c>
      <c r="BA646">
        <v>0</v>
      </c>
      <c r="BB646" s="20">
        <v>45000</v>
      </c>
      <c r="BC646">
        <v>0</v>
      </c>
      <c r="BD646" t="s">
        <v>7360</v>
      </c>
      <c r="BF646" s="20">
        <v>45000</v>
      </c>
      <c r="BG646">
        <v>0</v>
      </c>
      <c r="BH646" t="s">
        <v>7363</v>
      </c>
      <c r="BJ646" t="s">
        <v>7362</v>
      </c>
      <c r="BK646">
        <v>169</v>
      </c>
      <c r="BL646">
        <v>11</v>
      </c>
      <c r="BM646">
        <v>1</v>
      </c>
      <c r="BN646" t="s">
        <v>7364</v>
      </c>
      <c r="BO646">
        <v>169</v>
      </c>
      <c r="BP646">
        <v>11</v>
      </c>
      <c r="BQ646">
        <v>1</v>
      </c>
      <c r="BR646" t="s">
        <v>7364</v>
      </c>
      <c r="BS646" t="s">
        <v>7365</v>
      </c>
      <c r="BT646" t="s">
        <v>7360</v>
      </c>
      <c r="BU646" t="s">
        <v>7360</v>
      </c>
      <c r="BV646" t="s">
        <v>7360</v>
      </c>
      <c r="BX646" t="s">
        <v>7391</v>
      </c>
      <c r="BY646">
        <v>74</v>
      </c>
      <c r="BZ646" t="s">
        <v>7360</v>
      </c>
      <c r="CA646" t="s">
        <v>7360</v>
      </c>
      <c r="CB646">
        <v>3380666</v>
      </c>
      <c r="CC646" s="21">
        <v>45000.674756944441</v>
      </c>
      <c r="CE646" t="s">
        <v>7392</v>
      </c>
      <c r="CF646">
        <v>1100101</v>
      </c>
      <c r="CG646">
        <v>51669</v>
      </c>
      <c r="CH646">
        <v>51669</v>
      </c>
      <c r="CI646" s="21">
        <v>45000.675787037035</v>
      </c>
      <c r="CJ646" t="s">
        <v>7406</v>
      </c>
      <c r="CK646" t="s">
        <v>7406</v>
      </c>
      <c r="CL646" t="s">
        <v>7407</v>
      </c>
      <c r="CM646" t="s">
        <v>7407</v>
      </c>
      <c r="CS646" t="s">
        <v>7361</v>
      </c>
      <c r="CT646" t="s">
        <v>7362</v>
      </c>
      <c r="CU646" t="s">
        <v>7362</v>
      </c>
      <c r="CV646" t="s">
        <v>7362</v>
      </c>
      <c r="CW646" t="s">
        <v>7362</v>
      </c>
      <c r="CX646">
        <v>653047</v>
      </c>
      <c r="DA646">
        <v>0</v>
      </c>
    </row>
    <row r="647" spans="1:105" x14ac:dyDescent="0.3">
      <c r="A647">
        <v>1354</v>
      </c>
      <c r="B647" t="s">
        <v>7396</v>
      </c>
      <c r="C647">
        <v>679</v>
      </c>
      <c r="D647" s="20">
        <v>45000</v>
      </c>
      <c r="E647" t="s">
        <v>7372</v>
      </c>
      <c r="F647" t="s">
        <v>4944</v>
      </c>
      <c r="G647" t="s">
        <v>7370</v>
      </c>
      <c r="H647">
        <v>1</v>
      </c>
      <c r="I647" t="s">
        <v>7358</v>
      </c>
      <c r="J647">
        <v>1</v>
      </c>
      <c r="K647" s="20">
        <v>45000</v>
      </c>
      <c r="L647" s="23">
        <v>3240000</v>
      </c>
      <c r="M647" t="s">
        <v>7359</v>
      </c>
      <c r="N647" t="s">
        <v>7360</v>
      </c>
      <c r="O647">
        <v>0</v>
      </c>
      <c r="P647">
        <v>13235</v>
      </c>
      <c r="Q647">
        <v>455027</v>
      </c>
      <c r="R647">
        <v>0</v>
      </c>
      <c r="S647">
        <v>20230315</v>
      </c>
      <c r="T647">
        <v>0</v>
      </c>
      <c r="U647" t="s">
        <v>7362</v>
      </c>
      <c r="V647" t="s">
        <v>7360</v>
      </c>
      <c r="W647" t="s">
        <v>7360</v>
      </c>
      <c r="X647" t="s">
        <v>7360</v>
      </c>
      <c r="Y647" t="s">
        <v>7360</v>
      </c>
      <c r="Z647" t="s">
        <v>7360</v>
      </c>
      <c r="AA647" t="s">
        <v>7362</v>
      </c>
      <c r="AB647" t="s">
        <v>7360</v>
      </c>
      <c r="AC647" t="s">
        <v>7360</v>
      </c>
      <c r="AD647" t="s">
        <v>7360</v>
      </c>
      <c r="AE647" t="s">
        <v>7360</v>
      </c>
      <c r="AF647" t="s">
        <v>1684</v>
      </c>
      <c r="AG647">
        <v>0</v>
      </c>
      <c r="AH647">
        <v>0</v>
      </c>
      <c r="AI647">
        <v>0</v>
      </c>
      <c r="AJ647">
        <v>0</v>
      </c>
      <c r="AK647">
        <v>0</v>
      </c>
      <c r="AL647" t="s">
        <v>7360</v>
      </c>
      <c r="AM647">
        <v>0</v>
      </c>
      <c r="AN647" s="20">
        <v>45000</v>
      </c>
      <c r="AO647" s="20">
        <v>45000</v>
      </c>
      <c r="AP647" s="20">
        <v>45000</v>
      </c>
      <c r="AQ647">
        <v>0</v>
      </c>
      <c r="AR647">
        <v>0</v>
      </c>
      <c r="AS647">
        <v>0</v>
      </c>
      <c r="AT647">
        <v>0</v>
      </c>
      <c r="AU647">
        <v>0</v>
      </c>
      <c r="AV647" t="s">
        <v>7360</v>
      </c>
      <c r="AW647">
        <v>0</v>
      </c>
      <c r="AX647" t="s">
        <v>7360</v>
      </c>
      <c r="AY647" t="s">
        <v>7362</v>
      </c>
      <c r="BA647">
        <v>0</v>
      </c>
      <c r="BB647" s="20">
        <v>45000</v>
      </c>
      <c r="BC647">
        <v>0</v>
      </c>
      <c r="BD647" t="s">
        <v>7360</v>
      </c>
      <c r="BF647" s="20">
        <v>45000</v>
      </c>
      <c r="BG647">
        <v>0</v>
      </c>
      <c r="BH647" t="s">
        <v>7363</v>
      </c>
      <c r="BJ647" t="s">
        <v>7362</v>
      </c>
      <c r="BK647">
        <v>169</v>
      </c>
      <c r="BL647">
        <v>11</v>
      </c>
      <c r="BM647">
        <v>1</v>
      </c>
      <c r="BN647" t="s">
        <v>7364</v>
      </c>
      <c r="BO647">
        <v>169</v>
      </c>
      <c r="BP647">
        <v>11</v>
      </c>
      <c r="BQ647">
        <v>1</v>
      </c>
      <c r="BR647" t="s">
        <v>7364</v>
      </c>
      <c r="BS647" t="s">
        <v>7411</v>
      </c>
      <c r="BT647" t="s">
        <v>7360</v>
      </c>
      <c r="BU647" t="s">
        <v>7360</v>
      </c>
      <c r="BV647" t="s">
        <v>7360</v>
      </c>
      <c r="BX647" t="s">
        <v>7391</v>
      </c>
      <c r="BY647">
        <v>74</v>
      </c>
      <c r="BZ647" t="s">
        <v>7360</v>
      </c>
      <c r="CA647" t="s">
        <v>7360</v>
      </c>
      <c r="CB647" t="s">
        <v>7360</v>
      </c>
      <c r="CC647" s="21">
        <v>45000.693506944444</v>
      </c>
      <c r="CE647" t="s">
        <v>7392</v>
      </c>
      <c r="CF647">
        <v>1100101</v>
      </c>
      <c r="CG647">
        <v>50947</v>
      </c>
      <c r="CH647">
        <v>50947</v>
      </c>
      <c r="CI647" s="21">
        <v>45001.357847222222</v>
      </c>
      <c r="CJ647" t="s">
        <v>7442</v>
      </c>
      <c r="CK647" t="s">
        <v>7442</v>
      </c>
      <c r="CL647" t="s">
        <v>7443</v>
      </c>
      <c r="CM647" t="s">
        <v>7443</v>
      </c>
      <c r="CS647" t="s">
        <v>7361</v>
      </c>
      <c r="CT647" t="s">
        <v>7362</v>
      </c>
      <c r="CU647" t="s">
        <v>7362</v>
      </c>
      <c r="CV647" t="s">
        <v>7362</v>
      </c>
      <c r="CW647" t="s">
        <v>7362</v>
      </c>
      <c r="CX647">
        <v>3240000</v>
      </c>
      <c r="DA647">
        <v>0</v>
      </c>
    </row>
    <row r="648" spans="1:105" x14ac:dyDescent="0.3">
      <c r="A648">
        <v>1366</v>
      </c>
      <c r="B648" t="s">
        <v>7380</v>
      </c>
      <c r="C648">
        <v>680</v>
      </c>
      <c r="D648" s="20">
        <v>45000</v>
      </c>
      <c r="E648" t="s">
        <v>7356</v>
      </c>
      <c r="F648" t="s">
        <v>4949</v>
      </c>
      <c r="G648" t="s">
        <v>7357</v>
      </c>
      <c r="H648">
        <v>1</v>
      </c>
      <c r="I648" t="s">
        <v>7358</v>
      </c>
      <c r="J648">
        <v>1</v>
      </c>
      <c r="K648" s="20">
        <v>45000</v>
      </c>
      <c r="L648" s="23">
        <v>1945650</v>
      </c>
      <c r="M648" t="s">
        <v>7359</v>
      </c>
      <c r="N648" t="s">
        <v>7360</v>
      </c>
      <c r="O648">
        <v>0</v>
      </c>
      <c r="P648">
        <v>13093</v>
      </c>
      <c r="Q648">
        <v>453084</v>
      </c>
      <c r="R648">
        <v>0</v>
      </c>
      <c r="S648">
        <v>20230315</v>
      </c>
      <c r="T648">
        <v>0</v>
      </c>
      <c r="U648" t="s">
        <v>7361</v>
      </c>
      <c r="V648" t="s">
        <v>7360</v>
      </c>
      <c r="W648" t="s">
        <v>7360</v>
      </c>
      <c r="X648" t="s">
        <v>7360</v>
      </c>
      <c r="Y648" t="s">
        <v>7360</v>
      </c>
      <c r="Z648" t="s">
        <v>7360</v>
      </c>
      <c r="AA648" t="s">
        <v>7362</v>
      </c>
      <c r="AB648" t="s">
        <v>7360</v>
      </c>
      <c r="AC648" t="s">
        <v>7360</v>
      </c>
      <c r="AD648" t="s">
        <v>7360</v>
      </c>
      <c r="AE648" t="s">
        <v>7360</v>
      </c>
      <c r="AF648" t="s">
        <v>1684</v>
      </c>
      <c r="AG648">
        <v>0</v>
      </c>
      <c r="AH648">
        <v>0</v>
      </c>
      <c r="AI648">
        <v>0</v>
      </c>
      <c r="AJ648">
        <v>0</v>
      </c>
      <c r="AK648">
        <v>0</v>
      </c>
      <c r="AL648" t="s">
        <v>7360</v>
      </c>
      <c r="AM648">
        <v>0</v>
      </c>
      <c r="AN648" s="20">
        <v>45000</v>
      </c>
      <c r="AO648" s="20">
        <v>45000</v>
      </c>
      <c r="AP648" s="20">
        <v>45000</v>
      </c>
      <c r="AQ648">
        <v>0</v>
      </c>
      <c r="AR648">
        <v>0</v>
      </c>
      <c r="AS648">
        <v>0</v>
      </c>
      <c r="AT648">
        <v>0</v>
      </c>
      <c r="AU648">
        <v>0</v>
      </c>
      <c r="AV648" t="s">
        <v>7360</v>
      </c>
      <c r="AW648">
        <v>0</v>
      </c>
      <c r="AX648" t="s">
        <v>7360</v>
      </c>
      <c r="AY648" t="s">
        <v>7363</v>
      </c>
      <c r="BA648">
        <v>0</v>
      </c>
      <c r="BB648" s="20">
        <v>45000</v>
      </c>
      <c r="BC648">
        <v>0</v>
      </c>
      <c r="BD648" t="s">
        <v>7360</v>
      </c>
      <c r="BF648" s="20">
        <v>45000</v>
      </c>
      <c r="BG648">
        <v>0</v>
      </c>
      <c r="BH648" t="s">
        <v>7363</v>
      </c>
      <c r="BJ648" t="s">
        <v>7362</v>
      </c>
      <c r="BK648">
        <v>0</v>
      </c>
      <c r="BL648">
        <v>0</v>
      </c>
      <c r="BM648">
        <v>0</v>
      </c>
      <c r="BN648">
        <v>0</v>
      </c>
      <c r="BO648">
        <v>169</v>
      </c>
      <c r="BP648">
        <v>11</v>
      </c>
      <c r="BQ648">
        <v>1</v>
      </c>
      <c r="BR648" t="s">
        <v>7364</v>
      </c>
      <c r="BS648" t="s">
        <v>7454</v>
      </c>
      <c r="BT648" t="s">
        <v>7360</v>
      </c>
      <c r="BU648" t="s">
        <v>7360</v>
      </c>
      <c r="BV648" t="s">
        <v>7360</v>
      </c>
      <c r="BX648">
        <v>0</v>
      </c>
      <c r="BY648">
        <v>0</v>
      </c>
      <c r="BZ648" t="s">
        <v>7360</v>
      </c>
      <c r="CA648" t="s">
        <v>7360</v>
      </c>
      <c r="CB648">
        <v>3023214831</v>
      </c>
      <c r="CC648" s="21">
        <v>45000.677199074074</v>
      </c>
      <c r="CE648" t="s">
        <v>7366</v>
      </c>
      <c r="CF648">
        <v>0</v>
      </c>
      <c r="CG648">
        <v>702002</v>
      </c>
      <c r="CH648">
        <v>702002</v>
      </c>
      <c r="CI648" s="21">
        <v>45000.701550925929</v>
      </c>
      <c r="CJ648" t="s">
        <v>7367</v>
      </c>
      <c r="CK648" t="s">
        <v>7367</v>
      </c>
      <c r="CL648" t="s">
        <v>7368</v>
      </c>
      <c r="CM648" t="s">
        <v>7368</v>
      </c>
      <c r="CS648" t="s">
        <v>7361</v>
      </c>
      <c r="CT648" t="s">
        <v>7362</v>
      </c>
      <c r="CU648" t="s">
        <v>7362</v>
      </c>
      <c r="CV648" t="s">
        <v>7362</v>
      </c>
      <c r="CW648" t="s">
        <v>7362</v>
      </c>
      <c r="CX648">
        <v>1945650</v>
      </c>
      <c r="DA648">
        <v>0</v>
      </c>
    </row>
    <row r="649" spans="1:105" x14ac:dyDescent="0.3">
      <c r="A649">
        <v>1357</v>
      </c>
      <c r="B649" t="s">
        <v>7405</v>
      </c>
      <c r="C649">
        <v>681</v>
      </c>
      <c r="D649" s="20">
        <v>45000</v>
      </c>
      <c r="E649" t="s">
        <v>7372</v>
      </c>
      <c r="F649" t="s">
        <v>4955</v>
      </c>
      <c r="G649" t="s">
        <v>7357</v>
      </c>
      <c r="H649">
        <v>1</v>
      </c>
      <c r="I649" t="s">
        <v>7358</v>
      </c>
      <c r="J649">
        <v>1</v>
      </c>
      <c r="K649" s="20">
        <v>45000</v>
      </c>
      <c r="L649" s="23">
        <v>1000000</v>
      </c>
      <c r="M649" t="s">
        <v>7359</v>
      </c>
      <c r="N649" t="s">
        <v>7360</v>
      </c>
      <c r="O649">
        <v>0</v>
      </c>
      <c r="P649">
        <v>13107</v>
      </c>
      <c r="Q649">
        <v>453094</v>
      </c>
      <c r="R649">
        <v>0</v>
      </c>
      <c r="S649">
        <v>20230315</v>
      </c>
      <c r="T649">
        <v>0</v>
      </c>
      <c r="U649" t="s">
        <v>7362</v>
      </c>
      <c r="V649" t="s">
        <v>7360</v>
      </c>
      <c r="W649" t="s">
        <v>7360</v>
      </c>
      <c r="X649" t="s">
        <v>7360</v>
      </c>
      <c r="Y649" t="s">
        <v>7360</v>
      </c>
      <c r="Z649" t="s">
        <v>7360</v>
      </c>
      <c r="AA649" t="s">
        <v>7362</v>
      </c>
      <c r="AB649" t="s">
        <v>7360</v>
      </c>
      <c r="AC649" t="s">
        <v>7360</v>
      </c>
      <c r="AD649" t="s">
        <v>7360</v>
      </c>
      <c r="AE649" t="s">
        <v>7360</v>
      </c>
      <c r="AF649" t="s">
        <v>1684</v>
      </c>
      <c r="AG649">
        <v>0</v>
      </c>
      <c r="AH649">
        <v>0</v>
      </c>
      <c r="AI649">
        <v>0</v>
      </c>
      <c r="AJ649">
        <v>0</v>
      </c>
      <c r="AK649">
        <v>0</v>
      </c>
      <c r="AL649" t="s">
        <v>7360</v>
      </c>
      <c r="AM649">
        <v>0</v>
      </c>
      <c r="AN649" s="20">
        <v>45000</v>
      </c>
      <c r="AO649" s="20">
        <v>45000</v>
      </c>
      <c r="AP649" s="20">
        <v>45000</v>
      </c>
      <c r="AQ649">
        <v>0</v>
      </c>
      <c r="AR649">
        <v>0</v>
      </c>
      <c r="AS649">
        <v>0</v>
      </c>
      <c r="AT649">
        <v>0</v>
      </c>
      <c r="AU649">
        <v>0</v>
      </c>
      <c r="AV649" t="s">
        <v>7360</v>
      </c>
      <c r="AW649">
        <v>0</v>
      </c>
      <c r="AX649" t="s">
        <v>7360</v>
      </c>
      <c r="AY649" t="s">
        <v>7362</v>
      </c>
      <c r="BA649">
        <v>0</v>
      </c>
      <c r="BB649" s="20">
        <v>45000</v>
      </c>
      <c r="BC649">
        <v>0</v>
      </c>
      <c r="BD649" t="s">
        <v>7360</v>
      </c>
      <c r="BF649" s="20">
        <v>45000</v>
      </c>
      <c r="BG649">
        <v>0</v>
      </c>
      <c r="BH649" t="s">
        <v>1684</v>
      </c>
      <c r="BJ649" t="s">
        <v>7362</v>
      </c>
      <c r="BK649">
        <v>169</v>
      </c>
      <c r="BL649">
        <v>11</v>
      </c>
      <c r="BM649">
        <v>1</v>
      </c>
      <c r="BN649" t="s">
        <v>7364</v>
      </c>
      <c r="BO649">
        <v>169</v>
      </c>
      <c r="BP649">
        <v>11</v>
      </c>
      <c r="BQ649">
        <v>1</v>
      </c>
      <c r="BR649" t="s">
        <v>7364</v>
      </c>
      <c r="BS649" t="s">
        <v>7382</v>
      </c>
      <c r="BT649" t="s">
        <v>7360</v>
      </c>
      <c r="BU649" t="s">
        <v>7360</v>
      </c>
      <c r="BV649" t="s">
        <v>7360</v>
      </c>
      <c r="BX649" t="s">
        <v>7391</v>
      </c>
      <c r="BY649">
        <v>74</v>
      </c>
      <c r="BZ649" t="s">
        <v>7360</v>
      </c>
      <c r="CA649" t="s">
        <v>7360</v>
      </c>
      <c r="CB649" t="s">
        <v>7360</v>
      </c>
      <c r="CC649" s="21">
        <v>45000.723090277781</v>
      </c>
      <c r="CE649" t="s">
        <v>7392</v>
      </c>
      <c r="CF649">
        <v>1100101</v>
      </c>
      <c r="CG649">
        <v>50947</v>
      </c>
      <c r="CH649">
        <v>50947</v>
      </c>
      <c r="CI649" s="21">
        <v>45000.725474537037</v>
      </c>
      <c r="CJ649" t="s">
        <v>7442</v>
      </c>
      <c r="CK649" t="s">
        <v>7442</v>
      </c>
      <c r="CL649" t="s">
        <v>7443</v>
      </c>
      <c r="CM649" t="s">
        <v>7443</v>
      </c>
      <c r="CS649" t="s">
        <v>7361</v>
      </c>
      <c r="CT649" t="s">
        <v>7362</v>
      </c>
      <c r="CU649" t="s">
        <v>7362</v>
      </c>
      <c r="CV649" t="s">
        <v>7362</v>
      </c>
      <c r="CW649" t="s">
        <v>7362</v>
      </c>
      <c r="CX649">
        <v>1000000</v>
      </c>
      <c r="DA649">
        <v>0</v>
      </c>
    </row>
    <row r="650" spans="1:105" x14ac:dyDescent="0.3">
      <c r="A650">
        <v>1354</v>
      </c>
      <c r="B650" t="s">
        <v>7396</v>
      </c>
      <c r="C650">
        <v>682</v>
      </c>
      <c r="D650" s="20">
        <v>45001</v>
      </c>
      <c r="E650" t="s">
        <v>7372</v>
      </c>
      <c r="F650" t="s">
        <v>4960</v>
      </c>
      <c r="G650" t="s">
        <v>7370</v>
      </c>
      <c r="H650">
        <v>1</v>
      </c>
      <c r="I650" t="s">
        <v>7358</v>
      </c>
      <c r="J650">
        <v>1</v>
      </c>
      <c r="K650" s="20">
        <v>45001</v>
      </c>
      <c r="L650" s="23">
        <v>3000000</v>
      </c>
      <c r="M650" t="s">
        <v>7359</v>
      </c>
      <c r="N650" t="s">
        <v>7360</v>
      </c>
      <c r="O650">
        <v>0</v>
      </c>
      <c r="P650">
        <v>13227</v>
      </c>
      <c r="Q650">
        <v>455023</v>
      </c>
      <c r="R650">
        <v>0</v>
      </c>
      <c r="S650">
        <v>20230316</v>
      </c>
      <c r="T650">
        <v>0</v>
      </c>
      <c r="U650" t="s">
        <v>7362</v>
      </c>
      <c r="V650" t="s">
        <v>7360</v>
      </c>
      <c r="W650" t="s">
        <v>7360</v>
      </c>
      <c r="X650" t="s">
        <v>7360</v>
      </c>
      <c r="Y650" t="s">
        <v>7360</v>
      </c>
      <c r="Z650" t="s">
        <v>7360</v>
      </c>
      <c r="AA650" t="s">
        <v>7362</v>
      </c>
      <c r="AB650" t="s">
        <v>7360</v>
      </c>
      <c r="AC650" t="s">
        <v>7360</v>
      </c>
      <c r="AD650" t="s">
        <v>7360</v>
      </c>
      <c r="AE650" t="s">
        <v>7360</v>
      </c>
      <c r="AF650" t="s">
        <v>1684</v>
      </c>
      <c r="AG650">
        <v>0</v>
      </c>
      <c r="AH650">
        <v>0</v>
      </c>
      <c r="AI650">
        <v>0</v>
      </c>
      <c r="AJ650">
        <v>0</v>
      </c>
      <c r="AK650">
        <v>0</v>
      </c>
      <c r="AL650" t="s">
        <v>7360</v>
      </c>
      <c r="AM650">
        <v>0</v>
      </c>
      <c r="AN650" s="20">
        <v>45001</v>
      </c>
      <c r="AO650" s="20">
        <v>45001</v>
      </c>
      <c r="AP650" s="20">
        <v>45001</v>
      </c>
      <c r="AQ650">
        <v>0</v>
      </c>
      <c r="AR650">
        <v>0</v>
      </c>
      <c r="AS650">
        <v>0</v>
      </c>
      <c r="AT650">
        <v>0</v>
      </c>
      <c r="AU650">
        <v>0</v>
      </c>
      <c r="AV650" t="s">
        <v>7360</v>
      </c>
      <c r="AW650">
        <v>0</v>
      </c>
      <c r="AX650" t="s">
        <v>7360</v>
      </c>
      <c r="AY650" t="s">
        <v>7362</v>
      </c>
      <c r="BA650">
        <v>0</v>
      </c>
      <c r="BB650" s="20">
        <v>45001</v>
      </c>
      <c r="BC650">
        <v>0</v>
      </c>
      <c r="BD650" t="s">
        <v>7360</v>
      </c>
      <c r="BF650" s="20">
        <v>45001</v>
      </c>
      <c r="BG650">
        <v>0</v>
      </c>
      <c r="BH650" t="s">
        <v>7363</v>
      </c>
      <c r="BJ650" t="s">
        <v>7362</v>
      </c>
      <c r="BK650">
        <v>169</v>
      </c>
      <c r="BL650">
        <v>11</v>
      </c>
      <c r="BM650">
        <v>1</v>
      </c>
      <c r="BN650" t="s">
        <v>7364</v>
      </c>
      <c r="BO650">
        <v>169</v>
      </c>
      <c r="BP650">
        <v>11</v>
      </c>
      <c r="BQ650">
        <v>1</v>
      </c>
      <c r="BR650" t="s">
        <v>7364</v>
      </c>
      <c r="BS650" t="s">
        <v>7411</v>
      </c>
      <c r="BT650" t="s">
        <v>7360</v>
      </c>
      <c r="BU650" t="s">
        <v>7360</v>
      </c>
      <c r="BV650" t="s">
        <v>7360</v>
      </c>
      <c r="BX650" t="s">
        <v>7391</v>
      </c>
      <c r="BY650">
        <v>74</v>
      </c>
      <c r="BZ650" t="s">
        <v>7360</v>
      </c>
      <c r="CA650" t="s">
        <v>7360</v>
      </c>
      <c r="CB650" t="s">
        <v>7360</v>
      </c>
      <c r="CC650" s="21">
        <v>45001.343356481484</v>
      </c>
      <c r="CE650" t="s">
        <v>7392</v>
      </c>
      <c r="CF650">
        <v>1100101</v>
      </c>
      <c r="CG650">
        <v>50947</v>
      </c>
      <c r="CH650">
        <v>50947</v>
      </c>
      <c r="CI650" s="21">
        <v>45001.349664351852</v>
      </c>
      <c r="CJ650" t="s">
        <v>7442</v>
      </c>
      <c r="CK650" t="s">
        <v>7442</v>
      </c>
      <c r="CL650" t="s">
        <v>7443</v>
      </c>
      <c r="CM650" t="s">
        <v>7443</v>
      </c>
      <c r="CS650" t="s">
        <v>7361</v>
      </c>
      <c r="CT650" t="s">
        <v>7362</v>
      </c>
      <c r="CU650" t="s">
        <v>7362</v>
      </c>
      <c r="CV650" t="s">
        <v>7362</v>
      </c>
      <c r="CW650" t="s">
        <v>7362</v>
      </c>
      <c r="CX650">
        <v>3000000</v>
      </c>
      <c r="DA650">
        <v>0</v>
      </c>
    </row>
    <row r="651" spans="1:105" x14ac:dyDescent="0.3">
      <c r="A651">
        <v>1354</v>
      </c>
      <c r="B651" t="s">
        <v>7396</v>
      </c>
      <c r="C651">
        <v>683</v>
      </c>
      <c r="D651" s="20">
        <v>45001</v>
      </c>
      <c r="E651" t="s">
        <v>7372</v>
      </c>
      <c r="F651" t="s">
        <v>4965</v>
      </c>
      <c r="G651" t="s">
        <v>7370</v>
      </c>
      <c r="H651">
        <v>1</v>
      </c>
      <c r="I651" t="s">
        <v>7358</v>
      </c>
      <c r="J651">
        <v>1</v>
      </c>
      <c r="K651" s="20">
        <v>45001</v>
      </c>
      <c r="L651" s="23">
        <v>3240000</v>
      </c>
      <c r="M651" t="s">
        <v>7359</v>
      </c>
      <c r="N651" t="s">
        <v>7360</v>
      </c>
      <c r="O651">
        <v>0</v>
      </c>
      <c r="P651">
        <v>13236</v>
      </c>
      <c r="Q651">
        <v>455028</v>
      </c>
      <c r="R651">
        <v>0</v>
      </c>
      <c r="S651">
        <v>20230316</v>
      </c>
      <c r="T651">
        <v>0</v>
      </c>
      <c r="U651" t="s">
        <v>7362</v>
      </c>
      <c r="V651" t="s">
        <v>7360</v>
      </c>
      <c r="W651" t="s">
        <v>7360</v>
      </c>
      <c r="X651" t="s">
        <v>7360</v>
      </c>
      <c r="Y651" t="s">
        <v>7360</v>
      </c>
      <c r="Z651" t="s">
        <v>7360</v>
      </c>
      <c r="AA651" t="s">
        <v>7362</v>
      </c>
      <c r="AB651" t="s">
        <v>7360</v>
      </c>
      <c r="AC651" t="s">
        <v>7360</v>
      </c>
      <c r="AD651" t="s">
        <v>7360</v>
      </c>
      <c r="AE651" t="s">
        <v>7360</v>
      </c>
      <c r="AF651" t="s">
        <v>1684</v>
      </c>
      <c r="AG651">
        <v>0</v>
      </c>
      <c r="AH651">
        <v>0</v>
      </c>
      <c r="AI651">
        <v>0</v>
      </c>
      <c r="AJ651">
        <v>0</v>
      </c>
      <c r="AK651">
        <v>0</v>
      </c>
      <c r="AL651" t="s">
        <v>7360</v>
      </c>
      <c r="AM651">
        <v>0</v>
      </c>
      <c r="AN651" s="20">
        <v>45001</v>
      </c>
      <c r="AO651" s="20">
        <v>45001</v>
      </c>
      <c r="AP651" s="20">
        <v>45001</v>
      </c>
      <c r="AQ651">
        <v>0</v>
      </c>
      <c r="AR651">
        <v>0</v>
      </c>
      <c r="AS651">
        <v>0</v>
      </c>
      <c r="AT651">
        <v>0</v>
      </c>
      <c r="AU651">
        <v>0</v>
      </c>
      <c r="AV651" t="s">
        <v>7360</v>
      </c>
      <c r="AW651">
        <v>0</v>
      </c>
      <c r="AX651" t="s">
        <v>7360</v>
      </c>
      <c r="AY651" t="s">
        <v>7362</v>
      </c>
      <c r="BA651">
        <v>0</v>
      </c>
      <c r="BB651" s="20">
        <v>45001</v>
      </c>
      <c r="BC651">
        <v>0</v>
      </c>
      <c r="BD651" t="s">
        <v>7360</v>
      </c>
      <c r="BF651" s="20">
        <v>45001</v>
      </c>
      <c r="BG651">
        <v>0</v>
      </c>
      <c r="BH651" t="s">
        <v>7363</v>
      </c>
      <c r="BJ651" t="s">
        <v>7362</v>
      </c>
      <c r="BK651">
        <v>169</v>
      </c>
      <c r="BL651">
        <v>11</v>
      </c>
      <c r="BM651">
        <v>1</v>
      </c>
      <c r="BN651" t="s">
        <v>7364</v>
      </c>
      <c r="BO651">
        <v>169</v>
      </c>
      <c r="BP651">
        <v>11</v>
      </c>
      <c r="BQ651">
        <v>1</v>
      </c>
      <c r="BR651" t="s">
        <v>7364</v>
      </c>
      <c r="BS651" t="s">
        <v>7411</v>
      </c>
      <c r="BT651" t="s">
        <v>7360</v>
      </c>
      <c r="BU651" t="s">
        <v>7360</v>
      </c>
      <c r="BV651" t="s">
        <v>7360</v>
      </c>
      <c r="BX651" t="s">
        <v>7391</v>
      </c>
      <c r="BY651">
        <v>74</v>
      </c>
      <c r="BZ651" t="s">
        <v>7360</v>
      </c>
      <c r="CA651" t="s">
        <v>7360</v>
      </c>
      <c r="CB651" t="s">
        <v>7360</v>
      </c>
      <c r="CC651" s="21">
        <v>45001.360694444447</v>
      </c>
      <c r="CE651" t="s">
        <v>7392</v>
      </c>
      <c r="CF651">
        <v>1100101</v>
      </c>
      <c r="CG651">
        <v>50947</v>
      </c>
      <c r="CH651">
        <v>50947</v>
      </c>
      <c r="CI651" s="21">
        <v>45001.362384259257</v>
      </c>
      <c r="CJ651" t="s">
        <v>7442</v>
      </c>
      <c r="CK651" t="s">
        <v>7442</v>
      </c>
      <c r="CL651" t="s">
        <v>7443</v>
      </c>
      <c r="CM651" t="s">
        <v>7443</v>
      </c>
      <c r="CS651" t="s">
        <v>7361</v>
      </c>
      <c r="CT651" t="s">
        <v>7362</v>
      </c>
      <c r="CU651" t="s">
        <v>7362</v>
      </c>
      <c r="CV651" t="s">
        <v>7362</v>
      </c>
      <c r="CW651" t="s">
        <v>7362</v>
      </c>
      <c r="CX651">
        <v>3240000</v>
      </c>
      <c r="DA651">
        <v>0</v>
      </c>
    </row>
    <row r="652" spans="1:105" x14ac:dyDescent="0.3">
      <c r="A652">
        <v>1357</v>
      </c>
      <c r="B652" t="s">
        <v>7405</v>
      </c>
      <c r="C652">
        <v>684</v>
      </c>
      <c r="D652" s="20">
        <v>45001</v>
      </c>
      <c r="E652" t="s">
        <v>7372</v>
      </c>
      <c r="F652" t="s">
        <v>4971</v>
      </c>
      <c r="G652" t="s">
        <v>7357</v>
      </c>
      <c r="H652">
        <v>1</v>
      </c>
      <c r="I652" t="s">
        <v>7358</v>
      </c>
      <c r="J652">
        <v>1</v>
      </c>
      <c r="K652" s="20">
        <v>45001</v>
      </c>
      <c r="L652" s="23">
        <v>4928195</v>
      </c>
      <c r="M652" t="s">
        <v>7359</v>
      </c>
      <c r="N652" t="s">
        <v>7360</v>
      </c>
      <c r="O652">
        <v>0</v>
      </c>
      <c r="P652">
        <v>12999</v>
      </c>
      <c r="Q652">
        <v>453033</v>
      </c>
      <c r="R652">
        <v>0</v>
      </c>
      <c r="S652">
        <v>20230316</v>
      </c>
      <c r="T652">
        <v>0</v>
      </c>
      <c r="U652" t="s">
        <v>7362</v>
      </c>
      <c r="V652" t="s">
        <v>7360</v>
      </c>
      <c r="W652" t="s">
        <v>7360</v>
      </c>
      <c r="X652" t="s">
        <v>7360</v>
      </c>
      <c r="Y652" t="s">
        <v>7360</v>
      </c>
      <c r="Z652" t="s">
        <v>7360</v>
      </c>
      <c r="AA652" t="s">
        <v>7362</v>
      </c>
      <c r="AB652" t="s">
        <v>7360</v>
      </c>
      <c r="AC652" t="s">
        <v>7360</v>
      </c>
      <c r="AD652" t="s">
        <v>7360</v>
      </c>
      <c r="AE652" t="s">
        <v>7360</v>
      </c>
      <c r="AF652" t="s">
        <v>1684</v>
      </c>
      <c r="AG652">
        <v>0</v>
      </c>
      <c r="AH652">
        <v>0</v>
      </c>
      <c r="AI652">
        <v>0</v>
      </c>
      <c r="AJ652">
        <v>0</v>
      </c>
      <c r="AK652">
        <v>0</v>
      </c>
      <c r="AL652" t="s">
        <v>7360</v>
      </c>
      <c r="AM652">
        <v>0</v>
      </c>
      <c r="AN652" s="20">
        <v>45001</v>
      </c>
      <c r="AO652" s="20">
        <v>45001</v>
      </c>
      <c r="AP652" s="20">
        <v>45001</v>
      </c>
      <c r="AQ652">
        <v>0</v>
      </c>
      <c r="AR652">
        <v>0</v>
      </c>
      <c r="AS652">
        <v>0</v>
      </c>
      <c r="AT652">
        <v>0</v>
      </c>
      <c r="AU652">
        <v>0</v>
      </c>
      <c r="AV652" t="s">
        <v>7360</v>
      </c>
      <c r="AW652">
        <v>0</v>
      </c>
      <c r="AX652" t="s">
        <v>7360</v>
      </c>
      <c r="AY652" t="s">
        <v>7373</v>
      </c>
      <c r="BA652">
        <v>0</v>
      </c>
      <c r="BB652" s="20">
        <v>45001</v>
      </c>
      <c r="BC652">
        <v>0</v>
      </c>
      <c r="BD652" t="s">
        <v>7360</v>
      </c>
      <c r="BF652" s="20">
        <v>45001</v>
      </c>
      <c r="BG652">
        <v>0</v>
      </c>
      <c r="BH652" t="s">
        <v>1684</v>
      </c>
      <c r="BJ652" t="s">
        <v>7362</v>
      </c>
      <c r="BK652">
        <v>169</v>
      </c>
      <c r="BL652">
        <v>11</v>
      </c>
      <c r="BM652">
        <v>1</v>
      </c>
      <c r="BN652" t="s">
        <v>7364</v>
      </c>
      <c r="BO652">
        <v>169</v>
      </c>
      <c r="BP652">
        <v>11</v>
      </c>
      <c r="BQ652">
        <v>1</v>
      </c>
      <c r="BR652" t="s">
        <v>7364</v>
      </c>
      <c r="BS652" t="s">
        <v>7454</v>
      </c>
      <c r="BT652" t="s">
        <v>7360</v>
      </c>
      <c r="BU652" t="s">
        <v>7360</v>
      </c>
      <c r="BV652" t="s">
        <v>7360</v>
      </c>
      <c r="BX652" t="s">
        <v>7391</v>
      </c>
      <c r="BY652">
        <v>74</v>
      </c>
      <c r="BZ652" t="s">
        <v>7360</v>
      </c>
      <c r="CA652" t="s">
        <v>7360</v>
      </c>
      <c r="CB652">
        <v>3156020026</v>
      </c>
      <c r="CC652" s="21">
        <v>45001.36824074074</v>
      </c>
      <c r="CE652" t="s">
        <v>7392</v>
      </c>
      <c r="CF652">
        <v>1100101</v>
      </c>
      <c r="CG652">
        <v>50947</v>
      </c>
      <c r="CH652">
        <v>50947</v>
      </c>
      <c r="CI652" s="21">
        <v>45007.611956018518</v>
      </c>
      <c r="CJ652" t="s">
        <v>7442</v>
      </c>
      <c r="CK652" t="s">
        <v>7442</v>
      </c>
      <c r="CL652" t="s">
        <v>7443</v>
      </c>
      <c r="CM652" t="s">
        <v>7443</v>
      </c>
      <c r="CS652" t="s">
        <v>7361</v>
      </c>
      <c r="CT652" t="s">
        <v>7362</v>
      </c>
      <c r="CU652" t="s">
        <v>7362</v>
      </c>
      <c r="CV652" t="s">
        <v>7362</v>
      </c>
      <c r="CW652" t="s">
        <v>7362</v>
      </c>
      <c r="CX652">
        <v>4928195</v>
      </c>
      <c r="DA652">
        <v>0</v>
      </c>
    </row>
    <row r="653" spans="1:105" x14ac:dyDescent="0.3">
      <c r="A653">
        <v>1357</v>
      </c>
      <c r="B653" t="s">
        <v>7405</v>
      </c>
      <c r="C653">
        <v>685</v>
      </c>
      <c r="D653" s="20">
        <v>45001</v>
      </c>
      <c r="E653" t="s">
        <v>7372</v>
      </c>
      <c r="F653" t="s">
        <v>4976</v>
      </c>
      <c r="G653" t="s">
        <v>7357</v>
      </c>
      <c r="H653">
        <v>1</v>
      </c>
      <c r="I653" t="s">
        <v>7358</v>
      </c>
      <c r="J653">
        <v>1</v>
      </c>
      <c r="K653" s="20">
        <v>45001</v>
      </c>
      <c r="L653" s="23">
        <v>1481074</v>
      </c>
      <c r="M653" t="s">
        <v>7359</v>
      </c>
      <c r="N653" t="s">
        <v>7360</v>
      </c>
      <c r="O653">
        <v>0</v>
      </c>
      <c r="P653">
        <v>13253</v>
      </c>
      <c r="Q653">
        <v>455035</v>
      </c>
      <c r="R653">
        <v>0</v>
      </c>
      <c r="S653">
        <v>20230316</v>
      </c>
      <c r="T653">
        <v>0</v>
      </c>
      <c r="U653" t="s">
        <v>7362</v>
      </c>
      <c r="V653" t="s">
        <v>7360</v>
      </c>
      <c r="W653" t="s">
        <v>7360</v>
      </c>
      <c r="X653" t="s">
        <v>7360</v>
      </c>
      <c r="Y653" t="s">
        <v>7360</v>
      </c>
      <c r="Z653" t="s">
        <v>7360</v>
      </c>
      <c r="AA653" t="s">
        <v>7362</v>
      </c>
      <c r="AB653" t="s">
        <v>7360</v>
      </c>
      <c r="AC653" t="s">
        <v>7360</v>
      </c>
      <c r="AD653" t="s">
        <v>7360</v>
      </c>
      <c r="AE653" t="s">
        <v>7360</v>
      </c>
      <c r="AF653" t="s">
        <v>1684</v>
      </c>
      <c r="AG653">
        <v>0</v>
      </c>
      <c r="AH653">
        <v>0</v>
      </c>
      <c r="AI653">
        <v>0</v>
      </c>
      <c r="AJ653">
        <v>0</v>
      </c>
      <c r="AK653">
        <v>0</v>
      </c>
      <c r="AL653" t="s">
        <v>7360</v>
      </c>
      <c r="AM653">
        <v>0</v>
      </c>
      <c r="AN653" s="20">
        <v>45001</v>
      </c>
      <c r="AO653" s="20">
        <v>45001</v>
      </c>
      <c r="AP653" s="20">
        <v>45001</v>
      </c>
      <c r="AQ653">
        <v>0</v>
      </c>
      <c r="AR653">
        <v>0</v>
      </c>
      <c r="AS653">
        <v>0</v>
      </c>
      <c r="AT653">
        <v>0</v>
      </c>
      <c r="AU653">
        <v>0</v>
      </c>
      <c r="AV653" t="s">
        <v>7360</v>
      </c>
      <c r="AW653">
        <v>0</v>
      </c>
      <c r="AX653" t="s">
        <v>7360</v>
      </c>
      <c r="AY653" t="s">
        <v>7373</v>
      </c>
      <c r="BA653">
        <v>0</v>
      </c>
      <c r="BB653" s="20">
        <v>45001</v>
      </c>
      <c r="BC653">
        <v>0</v>
      </c>
      <c r="BD653" t="s">
        <v>7360</v>
      </c>
      <c r="BF653" s="20">
        <v>45001</v>
      </c>
      <c r="BG653">
        <v>0</v>
      </c>
      <c r="BH653" t="s">
        <v>1684</v>
      </c>
      <c r="BJ653" t="s">
        <v>7362</v>
      </c>
      <c r="BK653">
        <v>169</v>
      </c>
      <c r="BL653">
        <v>11</v>
      </c>
      <c r="BM653">
        <v>1</v>
      </c>
      <c r="BN653" t="s">
        <v>7364</v>
      </c>
      <c r="BO653">
        <v>169</v>
      </c>
      <c r="BP653">
        <v>11</v>
      </c>
      <c r="BQ653">
        <v>1</v>
      </c>
      <c r="BR653" t="s">
        <v>7364</v>
      </c>
      <c r="BS653" t="s">
        <v>7454</v>
      </c>
      <c r="BT653" t="s">
        <v>7360</v>
      </c>
      <c r="BU653" t="s">
        <v>7360</v>
      </c>
      <c r="BV653" t="s">
        <v>7360</v>
      </c>
      <c r="BX653" t="s">
        <v>7391</v>
      </c>
      <c r="BY653">
        <v>74</v>
      </c>
      <c r="BZ653" t="s">
        <v>7360</v>
      </c>
      <c r="CA653" t="s">
        <v>7360</v>
      </c>
      <c r="CB653" t="s">
        <v>7360</v>
      </c>
      <c r="CC653" s="21">
        <v>45001.38208333333</v>
      </c>
      <c r="CE653" t="s">
        <v>7392</v>
      </c>
      <c r="CF653">
        <v>1100101</v>
      </c>
      <c r="CG653">
        <v>50947</v>
      </c>
      <c r="CH653">
        <v>50947</v>
      </c>
      <c r="CI653" s="21">
        <v>45001.384895833333</v>
      </c>
      <c r="CJ653" t="s">
        <v>7442</v>
      </c>
      <c r="CK653" t="s">
        <v>7442</v>
      </c>
      <c r="CL653" t="s">
        <v>7443</v>
      </c>
      <c r="CM653" t="s">
        <v>7443</v>
      </c>
      <c r="CS653" t="s">
        <v>7361</v>
      </c>
      <c r="CT653" t="s">
        <v>7362</v>
      </c>
      <c r="CU653" t="s">
        <v>7362</v>
      </c>
      <c r="CV653" t="s">
        <v>7362</v>
      </c>
      <c r="CW653" t="s">
        <v>7362</v>
      </c>
      <c r="CX653">
        <v>1481074</v>
      </c>
      <c r="DA653">
        <v>0</v>
      </c>
    </row>
    <row r="654" spans="1:105" x14ac:dyDescent="0.3">
      <c r="A654">
        <v>1357</v>
      </c>
      <c r="B654" t="s">
        <v>7405</v>
      </c>
      <c r="C654">
        <v>686</v>
      </c>
      <c r="D654" s="20">
        <v>45001</v>
      </c>
      <c r="E654" t="s">
        <v>7372</v>
      </c>
      <c r="F654" t="s">
        <v>4981</v>
      </c>
      <c r="G654" t="s">
        <v>7357</v>
      </c>
      <c r="H654">
        <v>1</v>
      </c>
      <c r="I654" t="s">
        <v>7358</v>
      </c>
      <c r="J654">
        <v>1</v>
      </c>
      <c r="K654" s="20">
        <v>45001</v>
      </c>
      <c r="L654" s="23">
        <v>2282017.2000000002</v>
      </c>
      <c r="M654" t="s">
        <v>7359</v>
      </c>
      <c r="N654" t="s">
        <v>7360</v>
      </c>
      <c r="O654">
        <v>0</v>
      </c>
      <c r="P654">
        <v>13254</v>
      </c>
      <c r="Q654">
        <v>455034</v>
      </c>
      <c r="R654">
        <v>0</v>
      </c>
      <c r="S654">
        <v>20230316</v>
      </c>
      <c r="T654">
        <v>0</v>
      </c>
      <c r="U654" t="s">
        <v>7362</v>
      </c>
      <c r="V654" t="s">
        <v>7360</v>
      </c>
      <c r="W654" t="s">
        <v>7360</v>
      </c>
      <c r="X654" t="s">
        <v>7360</v>
      </c>
      <c r="Y654" t="s">
        <v>7360</v>
      </c>
      <c r="Z654" t="s">
        <v>7360</v>
      </c>
      <c r="AA654" t="s">
        <v>7362</v>
      </c>
      <c r="AB654" t="s">
        <v>7360</v>
      </c>
      <c r="AC654" t="s">
        <v>7360</v>
      </c>
      <c r="AD654" t="s">
        <v>7360</v>
      </c>
      <c r="AE654" t="s">
        <v>7360</v>
      </c>
      <c r="AF654" t="s">
        <v>1684</v>
      </c>
      <c r="AG654">
        <v>0</v>
      </c>
      <c r="AH654">
        <v>0</v>
      </c>
      <c r="AI654">
        <v>0</v>
      </c>
      <c r="AJ654">
        <v>0</v>
      </c>
      <c r="AK654">
        <v>0</v>
      </c>
      <c r="AL654" t="s">
        <v>7360</v>
      </c>
      <c r="AM654">
        <v>0</v>
      </c>
      <c r="AN654" s="20">
        <v>45001</v>
      </c>
      <c r="AO654" s="20">
        <v>45001</v>
      </c>
      <c r="AP654" s="20">
        <v>45001</v>
      </c>
      <c r="AQ654">
        <v>0</v>
      </c>
      <c r="AR654">
        <v>0</v>
      </c>
      <c r="AS654">
        <v>0</v>
      </c>
      <c r="AT654">
        <v>0</v>
      </c>
      <c r="AU654">
        <v>0</v>
      </c>
      <c r="AV654" t="s">
        <v>7360</v>
      </c>
      <c r="AW654">
        <v>0</v>
      </c>
      <c r="AX654" t="s">
        <v>7360</v>
      </c>
      <c r="AY654" t="s">
        <v>7362</v>
      </c>
      <c r="BA654">
        <v>0</v>
      </c>
      <c r="BB654" s="20">
        <v>45001</v>
      </c>
      <c r="BC654">
        <v>0</v>
      </c>
      <c r="BD654" t="s">
        <v>7360</v>
      </c>
      <c r="BF654" s="20">
        <v>45001</v>
      </c>
      <c r="BG654">
        <v>0</v>
      </c>
      <c r="BH654" t="s">
        <v>1684</v>
      </c>
      <c r="BJ654" t="s">
        <v>7362</v>
      </c>
      <c r="BK654">
        <v>169</v>
      </c>
      <c r="BL654">
        <v>11</v>
      </c>
      <c r="BM654">
        <v>1</v>
      </c>
      <c r="BN654" t="s">
        <v>7364</v>
      </c>
      <c r="BO654">
        <v>169</v>
      </c>
      <c r="BP654">
        <v>11</v>
      </c>
      <c r="BQ654">
        <v>1</v>
      </c>
      <c r="BR654" t="s">
        <v>7364</v>
      </c>
      <c r="BS654" t="s">
        <v>7454</v>
      </c>
      <c r="BT654" t="s">
        <v>7360</v>
      </c>
      <c r="BU654" t="s">
        <v>7360</v>
      </c>
      <c r="BV654" t="s">
        <v>7360</v>
      </c>
      <c r="BX654" t="s">
        <v>7391</v>
      </c>
      <c r="BY654">
        <v>74</v>
      </c>
      <c r="BZ654" t="s">
        <v>7360</v>
      </c>
      <c r="CA654" t="s">
        <v>7360</v>
      </c>
      <c r="CB654">
        <v>3156020026</v>
      </c>
      <c r="CC654" s="21">
        <v>45001.388888888891</v>
      </c>
      <c r="CE654" t="s">
        <v>7392</v>
      </c>
      <c r="CF654">
        <v>1100101</v>
      </c>
      <c r="CG654">
        <v>50947</v>
      </c>
      <c r="CH654">
        <v>53575</v>
      </c>
      <c r="CI654" s="21">
        <v>45002.343310185184</v>
      </c>
      <c r="CJ654" t="s">
        <v>7442</v>
      </c>
      <c r="CK654" t="s">
        <v>7393</v>
      </c>
      <c r="CL654" t="s">
        <v>7443</v>
      </c>
      <c r="CM654" t="s">
        <v>7394</v>
      </c>
      <c r="CS654" t="s">
        <v>7361</v>
      </c>
      <c r="CT654" t="s">
        <v>7362</v>
      </c>
      <c r="CU654" t="s">
        <v>7362</v>
      </c>
      <c r="CV654" t="s">
        <v>7362</v>
      </c>
      <c r="CW654" t="s">
        <v>7362</v>
      </c>
      <c r="CX654" t="s">
        <v>7466</v>
      </c>
      <c r="DA654">
        <v>0</v>
      </c>
    </row>
    <row r="655" spans="1:105" x14ac:dyDescent="0.3">
      <c r="A655">
        <v>1365</v>
      </c>
      <c r="B655" t="s">
        <v>7384</v>
      </c>
      <c r="C655">
        <v>687</v>
      </c>
      <c r="D655" s="20">
        <v>45001</v>
      </c>
      <c r="E655" t="s">
        <v>7356</v>
      </c>
      <c r="F655" t="s">
        <v>4987</v>
      </c>
      <c r="G655" t="s">
        <v>7357</v>
      </c>
      <c r="H655">
        <v>1</v>
      </c>
      <c r="I655" t="s">
        <v>7358</v>
      </c>
      <c r="J655">
        <v>1</v>
      </c>
      <c r="K655" s="20">
        <v>45001</v>
      </c>
      <c r="L655" s="23">
        <v>1306620</v>
      </c>
      <c r="M655" t="s">
        <v>7359</v>
      </c>
      <c r="N655" t="s">
        <v>7360</v>
      </c>
      <c r="O655">
        <v>0</v>
      </c>
      <c r="P655">
        <v>13263</v>
      </c>
      <c r="Q655">
        <v>455038</v>
      </c>
      <c r="R655">
        <v>0</v>
      </c>
      <c r="S655">
        <v>20230316</v>
      </c>
      <c r="T655">
        <v>0</v>
      </c>
      <c r="U655" t="s">
        <v>7361</v>
      </c>
      <c r="V655" t="s">
        <v>7360</v>
      </c>
      <c r="W655" t="s">
        <v>7360</v>
      </c>
      <c r="X655" t="s">
        <v>7360</v>
      </c>
      <c r="Y655" t="s">
        <v>7360</v>
      </c>
      <c r="Z655" t="s">
        <v>7360</v>
      </c>
      <c r="AA655" t="s">
        <v>7362</v>
      </c>
      <c r="AB655" t="s">
        <v>7360</v>
      </c>
      <c r="AC655" t="s">
        <v>7360</v>
      </c>
      <c r="AD655" t="s">
        <v>7360</v>
      </c>
      <c r="AE655" t="s">
        <v>7360</v>
      </c>
      <c r="AF655" t="s">
        <v>1684</v>
      </c>
      <c r="AG655">
        <v>0</v>
      </c>
      <c r="AH655">
        <v>0</v>
      </c>
      <c r="AI655">
        <v>0</v>
      </c>
      <c r="AJ655">
        <v>0</v>
      </c>
      <c r="AK655">
        <v>0</v>
      </c>
      <c r="AL655" t="s">
        <v>7360</v>
      </c>
      <c r="AM655">
        <v>0</v>
      </c>
      <c r="AN655" s="20">
        <v>45001</v>
      </c>
      <c r="AO655" s="20">
        <v>45001</v>
      </c>
      <c r="AP655" s="20">
        <v>45001</v>
      </c>
      <c r="AQ655">
        <v>0</v>
      </c>
      <c r="AR655">
        <v>0</v>
      </c>
      <c r="AS655">
        <v>0</v>
      </c>
      <c r="AT655">
        <v>0</v>
      </c>
      <c r="AU655">
        <v>0</v>
      </c>
      <c r="AV655" t="s">
        <v>7360</v>
      </c>
      <c r="AW655">
        <v>0</v>
      </c>
      <c r="AX655" t="s">
        <v>7360</v>
      </c>
      <c r="AY655" t="s">
        <v>7363</v>
      </c>
      <c r="BA655">
        <v>0</v>
      </c>
      <c r="BB655" s="20">
        <v>45001</v>
      </c>
      <c r="BC655">
        <v>0</v>
      </c>
      <c r="BD655" t="s">
        <v>7360</v>
      </c>
      <c r="BF655" s="20">
        <v>45001</v>
      </c>
      <c r="BG655">
        <v>0</v>
      </c>
      <c r="BH655" t="s">
        <v>7363</v>
      </c>
      <c r="BJ655" t="s">
        <v>7362</v>
      </c>
      <c r="BK655">
        <v>169</v>
      </c>
      <c r="BL655">
        <v>11</v>
      </c>
      <c r="BM655">
        <v>1</v>
      </c>
      <c r="BN655" t="s">
        <v>7364</v>
      </c>
      <c r="BO655">
        <v>0</v>
      </c>
      <c r="BP655">
        <v>0</v>
      </c>
      <c r="BQ655">
        <v>0</v>
      </c>
      <c r="BR655">
        <v>0</v>
      </c>
      <c r="BS655" t="s">
        <v>7462</v>
      </c>
      <c r="BT655" t="s">
        <v>7360</v>
      </c>
      <c r="BU655" t="s">
        <v>7360</v>
      </c>
      <c r="BV655" t="s">
        <v>7360</v>
      </c>
      <c r="BX655" t="s">
        <v>7391</v>
      </c>
      <c r="BY655">
        <v>74</v>
      </c>
      <c r="BZ655" t="s">
        <v>7360</v>
      </c>
      <c r="CA655" t="s">
        <v>7360</v>
      </c>
      <c r="CB655">
        <v>3156020026</v>
      </c>
      <c r="CC655" s="20">
        <v>45002</v>
      </c>
      <c r="CE655" t="s">
        <v>7392</v>
      </c>
      <c r="CF655">
        <v>1100101</v>
      </c>
      <c r="CG655">
        <v>53575</v>
      </c>
      <c r="CH655">
        <v>53575</v>
      </c>
      <c r="CI655" s="21">
        <v>45001.491516203707</v>
      </c>
      <c r="CJ655" t="s">
        <v>7393</v>
      </c>
      <c r="CK655" t="s">
        <v>7393</v>
      </c>
      <c r="CL655" t="s">
        <v>7394</v>
      </c>
      <c r="CM655" t="s">
        <v>7394</v>
      </c>
      <c r="CS655" t="s">
        <v>7361</v>
      </c>
      <c r="CT655" t="s">
        <v>7362</v>
      </c>
      <c r="CU655" t="s">
        <v>7362</v>
      </c>
      <c r="CV655" t="s">
        <v>7362</v>
      </c>
      <c r="CW655" t="s">
        <v>7362</v>
      </c>
      <c r="CX655">
        <v>1306620</v>
      </c>
      <c r="DA655">
        <v>0</v>
      </c>
    </row>
    <row r="656" spans="1:105" x14ac:dyDescent="0.3">
      <c r="A656">
        <v>1366</v>
      </c>
      <c r="B656" t="s">
        <v>7380</v>
      </c>
      <c r="C656">
        <v>688</v>
      </c>
      <c r="D656" s="20">
        <v>45001</v>
      </c>
      <c r="E656" t="s">
        <v>7372</v>
      </c>
      <c r="F656" t="s">
        <v>4992</v>
      </c>
      <c r="G656" t="s">
        <v>7357</v>
      </c>
      <c r="H656">
        <v>1</v>
      </c>
      <c r="I656" t="s">
        <v>7358</v>
      </c>
      <c r="J656">
        <v>1</v>
      </c>
      <c r="K656" s="20">
        <v>45001</v>
      </c>
      <c r="L656" s="23">
        <v>987600</v>
      </c>
      <c r="M656" t="s">
        <v>7359</v>
      </c>
      <c r="N656" t="s">
        <v>7360</v>
      </c>
      <c r="O656">
        <v>0</v>
      </c>
      <c r="P656">
        <v>13163</v>
      </c>
      <c r="Q656">
        <v>454030</v>
      </c>
      <c r="R656">
        <v>0</v>
      </c>
      <c r="S656">
        <v>20230316</v>
      </c>
      <c r="T656">
        <v>0</v>
      </c>
      <c r="U656" t="s">
        <v>7362</v>
      </c>
      <c r="V656" t="s">
        <v>7360</v>
      </c>
      <c r="W656" t="s">
        <v>7360</v>
      </c>
      <c r="X656" t="s">
        <v>7360</v>
      </c>
      <c r="Y656" t="s">
        <v>7360</v>
      </c>
      <c r="Z656" t="s">
        <v>7360</v>
      </c>
      <c r="AA656" t="s">
        <v>7362</v>
      </c>
      <c r="AB656" t="s">
        <v>7360</v>
      </c>
      <c r="AC656" t="s">
        <v>7360</v>
      </c>
      <c r="AD656" t="s">
        <v>7360</v>
      </c>
      <c r="AE656" t="s">
        <v>7360</v>
      </c>
      <c r="AF656" t="s">
        <v>1684</v>
      </c>
      <c r="AG656">
        <v>0</v>
      </c>
      <c r="AH656">
        <v>0</v>
      </c>
      <c r="AI656">
        <v>0</v>
      </c>
      <c r="AJ656">
        <v>0</v>
      </c>
      <c r="AK656">
        <v>0</v>
      </c>
      <c r="AL656" t="s">
        <v>7360</v>
      </c>
      <c r="AM656">
        <v>0</v>
      </c>
      <c r="AN656" s="20">
        <v>45001</v>
      </c>
      <c r="AO656" s="20">
        <v>45001</v>
      </c>
      <c r="AP656" s="20">
        <v>45001</v>
      </c>
      <c r="AQ656">
        <v>0</v>
      </c>
      <c r="AR656">
        <v>0</v>
      </c>
      <c r="AS656">
        <v>0</v>
      </c>
      <c r="AT656">
        <v>0</v>
      </c>
      <c r="AU656">
        <v>0</v>
      </c>
      <c r="AV656" t="s">
        <v>7360</v>
      </c>
      <c r="AW656">
        <v>0</v>
      </c>
      <c r="AX656" t="s">
        <v>7360</v>
      </c>
      <c r="AY656" t="s">
        <v>7362</v>
      </c>
      <c r="BA656">
        <v>0</v>
      </c>
      <c r="BB656" s="20">
        <v>45001</v>
      </c>
      <c r="BC656">
        <v>0</v>
      </c>
      <c r="BD656" t="s">
        <v>7360</v>
      </c>
      <c r="BF656" s="20">
        <v>45001</v>
      </c>
      <c r="BG656">
        <v>0</v>
      </c>
      <c r="BH656" t="s">
        <v>7363</v>
      </c>
      <c r="BJ656" t="s">
        <v>7362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 t="s">
        <v>7360</v>
      </c>
      <c r="BT656" t="s">
        <v>7360</v>
      </c>
      <c r="BU656" t="s">
        <v>7360</v>
      </c>
      <c r="BV656" t="s">
        <v>7360</v>
      </c>
      <c r="BX656">
        <v>0</v>
      </c>
      <c r="BY656">
        <v>0</v>
      </c>
      <c r="BZ656" t="s">
        <v>7360</v>
      </c>
      <c r="CA656" t="s">
        <v>7360</v>
      </c>
      <c r="CB656" t="s">
        <v>7360</v>
      </c>
      <c r="CC656" s="21">
        <v>45001.513460648152</v>
      </c>
      <c r="CE656" t="s">
        <v>7366</v>
      </c>
      <c r="CF656">
        <v>0</v>
      </c>
      <c r="CG656">
        <v>50947</v>
      </c>
      <c r="CH656">
        <v>50947</v>
      </c>
      <c r="CI656" s="21">
        <v>45001.535486111112</v>
      </c>
      <c r="CJ656" t="s">
        <v>7442</v>
      </c>
      <c r="CK656" t="s">
        <v>7442</v>
      </c>
      <c r="CL656" t="s">
        <v>7443</v>
      </c>
      <c r="CM656" t="s">
        <v>7443</v>
      </c>
      <c r="CS656" t="s">
        <v>7361</v>
      </c>
      <c r="CT656" t="s">
        <v>7362</v>
      </c>
      <c r="CU656" t="s">
        <v>7362</v>
      </c>
      <c r="CV656" t="s">
        <v>7362</v>
      </c>
      <c r="CW656" t="s">
        <v>7362</v>
      </c>
      <c r="CX656">
        <v>987600</v>
      </c>
      <c r="DA656">
        <v>0</v>
      </c>
    </row>
    <row r="657" spans="1:106" x14ac:dyDescent="0.3">
      <c r="A657">
        <v>1354</v>
      </c>
      <c r="B657" t="s">
        <v>7396</v>
      </c>
      <c r="C657">
        <v>689</v>
      </c>
      <c r="D657" s="20">
        <v>45001</v>
      </c>
      <c r="E657" t="s">
        <v>7372</v>
      </c>
      <c r="F657" t="s">
        <v>4923</v>
      </c>
      <c r="G657" t="s">
        <v>7370</v>
      </c>
      <c r="H657">
        <v>1</v>
      </c>
      <c r="I657" t="s">
        <v>7358</v>
      </c>
      <c r="J657">
        <v>1</v>
      </c>
      <c r="K657" s="20">
        <v>45001</v>
      </c>
      <c r="L657" s="23">
        <v>4500000</v>
      </c>
      <c r="M657" t="s">
        <v>7359</v>
      </c>
      <c r="N657" t="s">
        <v>7360</v>
      </c>
      <c r="O657">
        <v>0</v>
      </c>
      <c r="P657">
        <v>13031</v>
      </c>
      <c r="Q657">
        <v>453057</v>
      </c>
      <c r="R657">
        <v>0</v>
      </c>
      <c r="S657">
        <v>20230316</v>
      </c>
      <c r="T657">
        <v>0</v>
      </c>
      <c r="U657" t="s">
        <v>7362</v>
      </c>
      <c r="V657" t="s">
        <v>7360</v>
      </c>
      <c r="W657" t="s">
        <v>7360</v>
      </c>
      <c r="X657" t="s">
        <v>7360</v>
      </c>
      <c r="Y657" t="s">
        <v>7360</v>
      </c>
      <c r="Z657" t="s">
        <v>7360</v>
      </c>
      <c r="AA657" t="s">
        <v>7362</v>
      </c>
      <c r="AB657" t="s">
        <v>7360</v>
      </c>
      <c r="AC657" t="s">
        <v>7360</v>
      </c>
      <c r="AD657" t="s">
        <v>7360</v>
      </c>
      <c r="AE657" t="s">
        <v>7360</v>
      </c>
      <c r="AF657" t="s">
        <v>1684</v>
      </c>
      <c r="AG657">
        <v>0</v>
      </c>
      <c r="AH657">
        <v>0</v>
      </c>
      <c r="AI657">
        <v>0</v>
      </c>
      <c r="AJ657">
        <v>0</v>
      </c>
      <c r="AK657">
        <v>0</v>
      </c>
      <c r="AL657" t="s">
        <v>7360</v>
      </c>
      <c r="AM657">
        <v>0</v>
      </c>
      <c r="AN657" s="20">
        <v>45001</v>
      </c>
      <c r="AO657" s="20">
        <v>45001</v>
      </c>
      <c r="AP657" s="20">
        <v>45001</v>
      </c>
      <c r="AQ657">
        <v>0</v>
      </c>
      <c r="AR657">
        <v>0</v>
      </c>
      <c r="AS657">
        <v>0</v>
      </c>
      <c r="AT657">
        <v>0</v>
      </c>
      <c r="AU657">
        <v>0</v>
      </c>
      <c r="AV657" t="s">
        <v>7360</v>
      </c>
      <c r="AW657">
        <v>0</v>
      </c>
      <c r="AX657" t="s">
        <v>7360</v>
      </c>
      <c r="AY657" t="s">
        <v>7362</v>
      </c>
      <c r="BA657">
        <v>0</v>
      </c>
      <c r="BB657" s="20">
        <v>45001</v>
      </c>
      <c r="BC657">
        <v>0</v>
      </c>
      <c r="BD657" t="s">
        <v>7360</v>
      </c>
      <c r="BF657" s="20">
        <v>45001</v>
      </c>
      <c r="BG657">
        <v>0</v>
      </c>
      <c r="BH657" t="s">
        <v>7363</v>
      </c>
      <c r="BJ657" t="s">
        <v>7362</v>
      </c>
      <c r="BK657">
        <v>169</v>
      </c>
      <c r="BL657">
        <v>11</v>
      </c>
      <c r="BM657">
        <v>1</v>
      </c>
      <c r="BN657" t="s">
        <v>7364</v>
      </c>
      <c r="BO657">
        <v>169</v>
      </c>
      <c r="BP657">
        <v>11</v>
      </c>
      <c r="BQ657">
        <v>1</v>
      </c>
      <c r="BR657" t="s">
        <v>7364</v>
      </c>
      <c r="BS657" t="s">
        <v>7378</v>
      </c>
      <c r="BT657" t="s">
        <v>7360</v>
      </c>
      <c r="BU657" t="s">
        <v>7360</v>
      </c>
      <c r="BV657" t="s">
        <v>7360</v>
      </c>
      <c r="BX657" t="s">
        <v>7391</v>
      </c>
      <c r="BY657">
        <v>74</v>
      </c>
      <c r="BZ657" t="s">
        <v>7360</v>
      </c>
      <c r="CA657" t="s">
        <v>7360</v>
      </c>
      <c r="CB657" t="s">
        <v>7360</v>
      </c>
      <c r="CC657" s="21">
        <v>45001.60533564815</v>
      </c>
      <c r="CE657" t="s">
        <v>7392</v>
      </c>
      <c r="CF657">
        <v>1100101</v>
      </c>
      <c r="CG657">
        <v>50947</v>
      </c>
      <c r="CH657">
        <v>50947</v>
      </c>
      <c r="CI657" s="21">
        <v>45001.606574074074</v>
      </c>
      <c r="CJ657" t="s">
        <v>7442</v>
      </c>
      <c r="CK657" t="s">
        <v>7442</v>
      </c>
      <c r="CL657" t="s">
        <v>7443</v>
      </c>
      <c r="CM657" t="s">
        <v>7443</v>
      </c>
      <c r="CS657" t="s">
        <v>7361</v>
      </c>
      <c r="CT657" t="s">
        <v>7362</v>
      </c>
      <c r="CU657" t="s">
        <v>7362</v>
      </c>
      <c r="CV657" t="s">
        <v>7362</v>
      </c>
      <c r="CW657" t="s">
        <v>7362</v>
      </c>
      <c r="CX657">
        <v>4500000</v>
      </c>
      <c r="DA657">
        <v>0</v>
      </c>
    </row>
    <row r="658" spans="1:106" x14ac:dyDescent="0.3">
      <c r="A658">
        <v>1354</v>
      </c>
      <c r="B658" t="s">
        <v>7396</v>
      </c>
      <c r="C658">
        <v>690</v>
      </c>
      <c r="D658" s="20">
        <v>45001</v>
      </c>
      <c r="E658" t="s">
        <v>7372</v>
      </c>
      <c r="F658" t="s">
        <v>4928</v>
      </c>
      <c r="G658" t="s">
        <v>7370</v>
      </c>
      <c r="H658">
        <v>1</v>
      </c>
      <c r="I658" t="s">
        <v>7358</v>
      </c>
      <c r="J658">
        <v>1</v>
      </c>
      <c r="K658" s="20">
        <v>45001</v>
      </c>
      <c r="L658" s="23">
        <v>1920000</v>
      </c>
      <c r="M658" t="s">
        <v>7359</v>
      </c>
      <c r="N658" t="s">
        <v>7360</v>
      </c>
      <c r="O658">
        <v>0</v>
      </c>
      <c r="P658">
        <v>13221</v>
      </c>
      <c r="Q658">
        <v>455020</v>
      </c>
      <c r="R658">
        <v>0</v>
      </c>
      <c r="S658">
        <v>20230316</v>
      </c>
      <c r="T658">
        <v>0</v>
      </c>
      <c r="U658" t="s">
        <v>7362</v>
      </c>
      <c r="V658" t="s">
        <v>7360</v>
      </c>
      <c r="W658" t="s">
        <v>7360</v>
      </c>
      <c r="X658" t="s">
        <v>7360</v>
      </c>
      <c r="Y658" t="s">
        <v>7360</v>
      </c>
      <c r="Z658" t="s">
        <v>7360</v>
      </c>
      <c r="AA658" t="s">
        <v>7362</v>
      </c>
      <c r="AB658" t="s">
        <v>7360</v>
      </c>
      <c r="AC658" t="s">
        <v>7360</v>
      </c>
      <c r="AD658" t="s">
        <v>7360</v>
      </c>
      <c r="AE658" t="s">
        <v>7360</v>
      </c>
      <c r="AF658" t="s">
        <v>1684</v>
      </c>
      <c r="AG658">
        <v>0</v>
      </c>
      <c r="AH658">
        <v>0</v>
      </c>
      <c r="AI658">
        <v>0</v>
      </c>
      <c r="AJ658">
        <v>0</v>
      </c>
      <c r="AK658">
        <v>0</v>
      </c>
      <c r="AL658" t="s">
        <v>7360</v>
      </c>
      <c r="AM658">
        <v>0</v>
      </c>
      <c r="AN658" s="20">
        <v>45001</v>
      </c>
      <c r="AO658" s="20">
        <v>45001</v>
      </c>
      <c r="AP658" s="20">
        <v>45001</v>
      </c>
      <c r="AQ658">
        <v>0</v>
      </c>
      <c r="AR658">
        <v>0</v>
      </c>
      <c r="AS658">
        <v>0</v>
      </c>
      <c r="AT658">
        <v>0</v>
      </c>
      <c r="AU658">
        <v>0</v>
      </c>
      <c r="AV658" t="s">
        <v>7360</v>
      </c>
      <c r="AW658">
        <v>0</v>
      </c>
      <c r="AX658" t="s">
        <v>7360</v>
      </c>
      <c r="AY658" t="s">
        <v>7362</v>
      </c>
      <c r="BA658">
        <v>0</v>
      </c>
      <c r="BB658" s="20">
        <v>45001</v>
      </c>
      <c r="BC658">
        <v>0</v>
      </c>
      <c r="BD658" t="s">
        <v>7360</v>
      </c>
      <c r="BF658" s="20">
        <v>45001</v>
      </c>
      <c r="BG658">
        <v>0</v>
      </c>
      <c r="BH658" t="s">
        <v>7363</v>
      </c>
      <c r="BJ658" t="s">
        <v>7362</v>
      </c>
      <c r="BK658">
        <v>169</v>
      </c>
      <c r="BL658">
        <v>11</v>
      </c>
      <c r="BM658">
        <v>1</v>
      </c>
      <c r="BN658" t="s">
        <v>7364</v>
      </c>
      <c r="BO658">
        <v>169</v>
      </c>
      <c r="BP658">
        <v>11</v>
      </c>
      <c r="BQ658">
        <v>1</v>
      </c>
      <c r="BR658" t="s">
        <v>7364</v>
      </c>
      <c r="BS658" t="s">
        <v>7427</v>
      </c>
      <c r="BT658" t="s">
        <v>7360</v>
      </c>
      <c r="BU658" t="s">
        <v>7360</v>
      </c>
      <c r="BV658" t="s">
        <v>7360</v>
      </c>
      <c r="BX658" t="s">
        <v>7391</v>
      </c>
      <c r="BY658">
        <v>74</v>
      </c>
      <c r="BZ658" t="s">
        <v>7360</v>
      </c>
      <c r="CA658" t="s">
        <v>7360</v>
      </c>
      <c r="CB658" t="s">
        <v>7360</v>
      </c>
      <c r="CC658" s="21">
        <v>45001.617430555554</v>
      </c>
      <c r="CE658" t="s">
        <v>7392</v>
      </c>
      <c r="CF658">
        <v>1100101</v>
      </c>
      <c r="CG658">
        <v>50947</v>
      </c>
      <c r="CH658">
        <v>50947</v>
      </c>
      <c r="CI658" s="21">
        <v>45001.618344907409</v>
      </c>
      <c r="CJ658" t="s">
        <v>7442</v>
      </c>
      <c r="CK658" t="s">
        <v>7442</v>
      </c>
      <c r="CL658" t="s">
        <v>7443</v>
      </c>
      <c r="CM658" t="s">
        <v>7443</v>
      </c>
      <c r="CS658" t="s">
        <v>7361</v>
      </c>
      <c r="CT658" t="s">
        <v>7362</v>
      </c>
      <c r="CU658" t="s">
        <v>7362</v>
      </c>
      <c r="CV658" t="s">
        <v>7362</v>
      </c>
      <c r="CW658" t="s">
        <v>7362</v>
      </c>
      <c r="CX658">
        <v>1920000</v>
      </c>
      <c r="DA658">
        <v>0</v>
      </c>
    </row>
    <row r="659" spans="1:106" x14ac:dyDescent="0.3">
      <c r="A659">
        <v>1354</v>
      </c>
      <c r="B659" t="s">
        <v>7396</v>
      </c>
      <c r="C659">
        <v>691</v>
      </c>
      <c r="D659" s="20">
        <v>45001</v>
      </c>
      <c r="E659" t="s">
        <v>7356</v>
      </c>
      <c r="F659" t="s">
        <v>4933</v>
      </c>
      <c r="G659" t="s">
        <v>7370</v>
      </c>
      <c r="H659">
        <v>1</v>
      </c>
      <c r="I659" t="s">
        <v>7358</v>
      </c>
      <c r="J659">
        <v>1</v>
      </c>
      <c r="K659" s="20">
        <v>45001</v>
      </c>
      <c r="L659" s="23">
        <v>640000</v>
      </c>
      <c r="M659" t="s">
        <v>7359</v>
      </c>
      <c r="N659" t="s">
        <v>7360</v>
      </c>
      <c r="O659">
        <v>0</v>
      </c>
      <c r="P659">
        <v>13218</v>
      </c>
      <c r="Q659">
        <v>455018</v>
      </c>
      <c r="R659">
        <v>0</v>
      </c>
      <c r="S659">
        <v>20230316</v>
      </c>
      <c r="T659">
        <v>0</v>
      </c>
      <c r="U659" t="s">
        <v>7361</v>
      </c>
      <c r="V659" t="s">
        <v>7360</v>
      </c>
      <c r="W659" t="s">
        <v>7360</v>
      </c>
      <c r="X659" t="s">
        <v>7360</v>
      </c>
      <c r="Y659" t="s">
        <v>7360</v>
      </c>
      <c r="Z659" t="s">
        <v>7360</v>
      </c>
      <c r="AA659" t="s">
        <v>7362</v>
      </c>
      <c r="AB659" t="s">
        <v>7360</v>
      </c>
      <c r="AC659" t="s">
        <v>7360</v>
      </c>
      <c r="AD659" t="s">
        <v>7360</v>
      </c>
      <c r="AE659" t="s">
        <v>7360</v>
      </c>
      <c r="AF659" t="s">
        <v>1684</v>
      </c>
      <c r="AG659">
        <v>0</v>
      </c>
      <c r="AH659">
        <v>0</v>
      </c>
      <c r="AI659">
        <v>0</v>
      </c>
      <c r="AJ659">
        <v>0</v>
      </c>
      <c r="AK659">
        <v>0</v>
      </c>
      <c r="AL659" t="s">
        <v>7360</v>
      </c>
      <c r="AM659">
        <v>0</v>
      </c>
      <c r="AN659" s="20">
        <v>45001</v>
      </c>
      <c r="AO659" s="20">
        <v>45001</v>
      </c>
      <c r="AP659" s="20">
        <v>45001</v>
      </c>
      <c r="AQ659">
        <v>0</v>
      </c>
      <c r="AR659">
        <v>0</v>
      </c>
      <c r="AS659">
        <v>0</v>
      </c>
      <c r="AT659">
        <v>0</v>
      </c>
      <c r="AU659">
        <v>0</v>
      </c>
      <c r="AV659" t="s">
        <v>7360</v>
      </c>
      <c r="AW659">
        <v>0</v>
      </c>
      <c r="AX659" t="s">
        <v>7360</v>
      </c>
      <c r="AY659" t="s">
        <v>7363</v>
      </c>
      <c r="BA659">
        <v>0</v>
      </c>
      <c r="BB659" s="20">
        <v>45001</v>
      </c>
      <c r="BC659">
        <v>0</v>
      </c>
      <c r="BD659" t="s">
        <v>7360</v>
      </c>
      <c r="BF659" s="20">
        <v>45001</v>
      </c>
      <c r="BG659">
        <v>0</v>
      </c>
      <c r="BH659" t="s">
        <v>7363</v>
      </c>
      <c r="BJ659" t="s">
        <v>7362</v>
      </c>
      <c r="BK659">
        <v>169</v>
      </c>
      <c r="BL659">
        <v>11</v>
      </c>
      <c r="BM659">
        <v>1</v>
      </c>
      <c r="BN659" t="s">
        <v>7364</v>
      </c>
      <c r="BO659">
        <v>169</v>
      </c>
      <c r="BP659">
        <v>11</v>
      </c>
      <c r="BQ659">
        <v>1</v>
      </c>
      <c r="BR659" t="s">
        <v>7364</v>
      </c>
      <c r="BS659" t="s">
        <v>7427</v>
      </c>
      <c r="BT659" t="s">
        <v>7360</v>
      </c>
      <c r="BU659" t="s">
        <v>7360</v>
      </c>
      <c r="BV659" t="s">
        <v>7360</v>
      </c>
      <c r="BX659" t="s">
        <v>7391</v>
      </c>
      <c r="BY659">
        <v>74</v>
      </c>
      <c r="BZ659" t="s">
        <v>7360</v>
      </c>
      <c r="CA659" t="s">
        <v>7360</v>
      </c>
      <c r="CB659" t="s">
        <v>7360</v>
      </c>
      <c r="CC659" s="21">
        <v>45001.621782407405</v>
      </c>
      <c r="CE659" t="s">
        <v>7392</v>
      </c>
      <c r="CF659">
        <v>1100101</v>
      </c>
      <c r="CG659">
        <v>50947</v>
      </c>
      <c r="CH659">
        <v>50947</v>
      </c>
      <c r="CI659" s="21">
        <v>45001.62263888889</v>
      </c>
      <c r="CJ659" t="s">
        <v>7442</v>
      </c>
      <c r="CK659" t="s">
        <v>7442</v>
      </c>
      <c r="CL659" t="s">
        <v>7443</v>
      </c>
      <c r="CM659" t="s">
        <v>7443</v>
      </c>
      <c r="CS659" t="s">
        <v>7361</v>
      </c>
      <c r="CT659" t="s">
        <v>7362</v>
      </c>
      <c r="CU659" t="s">
        <v>7362</v>
      </c>
      <c r="CV659" t="s">
        <v>7362</v>
      </c>
      <c r="CW659" t="s">
        <v>7362</v>
      </c>
      <c r="CX659">
        <v>640000</v>
      </c>
      <c r="DA659">
        <v>0</v>
      </c>
    </row>
    <row r="660" spans="1:106" x14ac:dyDescent="0.3">
      <c r="A660">
        <v>1354</v>
      </c>
      <c r="B660" t="s">
        <v>7396</v>
      </c>
      <c r="C660">
        <v>748</v>
      </c>
      <c r="D660" s="20">
        <v>45009</v>
      </c>
      <c r="E660" t="s">
        <v>7372</v>
      </c>
      <c r="F660" t="s">
        <v>4939</v>
      </c>
      <c r="G660" t="s">
        <v>7370</v>
      </c>
      <c r="H660">
        <v>1</v>
      </c>
      <c r="I660" t="s">
        <v>7358</v>
      </c>
      <c r="J660">
        <v>1</v>
      </c>
      <c r="K660" s="20">
        <v>45009</v>
      </c>
      <c r="L660" s="23">
        <v>30000000</v>
      </c>
      <c r="M660" t="s">
        <v>7403</v>
      </c>
      <c r="N660" t="s">
        <v>7360</v>
      </c>
      <c r="O660">
        <v>0</v>
      </c>
      <c r="P660">
        <v>12419</v>
      </c>
      <c r="Q660">
        <v>141002</v>
      </c>
      <c r="R660">
        <v>0</v>
      </c>
      <c r="S660">
        <v>20230324</v>
      </c>
      <c r="T660">
        <v>0</v>
      </c>
      <c r="U660" t="s">
        <v>7362</v>
      </c>
      <c r="V660" t="s">
        <v>7360</v>
      </c>
      <c r="W660" t="s">
        <v>7360</v>
      </c>
      <c r="X660" t="s">
        <v>7360</v>
      </c>
      <c r="Y660" t="s">
        <v>7360</v>
      </c>
      <c r="Z660" t="s">
        <v>7360</v>
      </c>
      <c r="AA660" t="s">
        <v>7362</v>
      </c>
      <c r="AB660" t="s">
        <v>7360</v>
      </c>
      <c r="AC660" t="s">
        <v>7360</v>
      </c>
      <c r="AD660" t="s">
        <v>7360</v>
      </c>
      <c r="AE660" t="s">
        <v>7360</v>
      </c>
      <c r="AF660" t="s">
        <v>1684</v>
      </c>
      <c r="AG660">
        <v>0</v>
      </c>
      <c r="AH660">
        <v>0</v>
      </c>
      <c r="AI660">
        <v>0</v>
      </c>
      <c r="AJ660">
        <v>0</v>
      </c>
      <c r="AK660">
        <v>0</v>
      </c>
      <c r="AL660" t="s">
        <v>7360</v>
      </c>
      <c r="AM660">
        <v>0</v>
      </c>
      <c r="AN660" s="20">
        <v>45009</v>
      </c>
      <c r="AO660" s="20">
        <v>45009</v>
      </c>
      <c r="AP660" s="20">
        <v>45009</v>
      </c>
      <c r="AQ660">
        <v>0</v>
      </c>
      <c r="AR660">
        <v>0</v>
      </c>
      <c r="AS660">
        <v>0</v>
      </c>
      <c r="AT660">
        <v>0</v>
      </c>
      <c r="AU660">
        <v>0</v>
      </c>
      <c r="AV660" t="s">
        <v>7360</v>
      </c>
      <c r="AW660">
        <v>0</v>
      </c>
      <c r="AX660" t="s">
        <v>7360</v>
      </c>
      <c r="AY660" t="s">
        <v>7362</v>
      </c>
      <c r="BA660">
        <v>0</v>
      </c>
      <c r="BB660" s="20">
        <v>45009</v>
      </c>
      <c r="BC660">
        <v>0</v>
      </c>
      <c r="BD660" t="s">
        <v>7360</v>
      </c>
      <c r="BE660">
        <v>251</v>
      </c>
      <c r="BF660" s="20">
        <v>45009</v>
      </c>
      <c r="BG660">
        <v>0</v>
      </c>
      <c r="BH660" t="s">
        <v>7363</v>
      </c>
      <c r="BJ660" t="s">
        <v>7362</v>
      </c>
      <c r="BK660">
        <v>169</v>
      </c>
      <c r="BL660">
        <v>11</v>
      </c>
      <c r="BM660">
        <v>1</v>
      </c>
      <c r="BN660" t="s">
        <v>7364</v>
      </c>
      <c r="BO660">
        <v>0</v>
      </c>
      <c r="BP660">
        <v>0</v>
      </c>
      <c r="BQ660">
        <v>0</v>
      </c>
      <c r="BR660">
        <v>0</v>
      </c>
      <c r="BS660" t="s">
        <v>132</v>
      </c>
      <c r="BT660" t="s">
        <v>7360</v>
      </c>
      <c r="BU660" t="s">
        <v>7360</v>
      </c>
      <c r="BV660" t="s">
        <v>7360</v>
      </c>
      <c r="BX660" t="s">
        <v>7391</v>
      </c>
      <c r="BY660">
        <v>74</v>
      </c>
      <c r="BZ660" t="s">
        <v>7360</v>
      </c>
      <c r="CA660" t="s">
        <v>7360</v>
      </c>
      <c r="CB660">
        <v>5558210</v>
      </c>
      <c r="CC660" s="21">
        <v>45014.382488425923</v>
      </c>
      <c r="CD660" t="s">
        <v>7467</v>
      </c>
      <c r="CE660" t="s">
        <v>7392</v>
      </c>
      <c r="CF660">
        <v>1100101</v>
      </c>
      <c r="CG660">
        <v>53575</v>
      </c>
      <c r="CH660">
        <v>53575</v>
      </c>
      <c r="CI660" s="21">
        <v>45014.384039351855</v>
      </c>
      <c r="CJ660" t="s">
        <v>7393</v>
      </c>
      <c r="CK660" t="s">
        <v>7393</v>
      </c>
      <c r="CL660" t="s">
        <v>7394</v>
      </c>
      <c r="CM660" t="s">
        <v>7394</v>
      </c>
      <c r="CS660" t="s">
        <v>7361</v>
      </c>
      <c r="CT660" t="s">
        <v>7362</v>
      </c>
      <c r="CU660" t="s">
        <v>7362</v>
      </c>
      <c r="CV660" t="s">
        <v>7362</v>
      </c>
      <c r="CW660" t="s">
        <v>7362</v>
      </c>
      <c r="CX660">
        <v>30000000</v>
      </c>
      <c r="DA660">
        <v>0</v>
      </c>
      <c r="DB660">
        <v>141004</v>
      </c>
    </row>
    <row r="661" spans="1:106" x14ac:dyDescent="0.3">
      <c r="A661">
        <v>1375</v>
      </c>
      <c r="B661" t="s">
        <v>7399</v>
      </c>
      <c r="C661">
        <v>693</v>
      </c>
      <c r="D661" s="20">
        <v>45001</v>
      </c>
      <c r="E661" t="s">
        <v>7356</v>
      </c>
      <c r="F661" t="s">
        <v>4944</v>
      </c>
      <c r="G661" t="s">
        <v>7357</v>
      </c>
      <c r="H661">
        <v>1</v>
      </c>
      <c r="I661" t="s">
        <v>7358</v>
      </c>
      <c r="J661">
        <v>1</v>
      </c>
      <c r="K661" s="20">
        <v>45001</v>
      </c>
      <c r="L661" s="23">
        <v>585000</v>
      </c>
      <c r="M661" t="s">
        <v>7359</v>
      </c>
      <c r="N661" t="s">
        <v>7360</v>
      </c>
      <c r="O661">
        <v>0</v>
      </c>
      <c r="P661">
        <v>12889</v>
      </c>
      <c r="Q661">
        <v>450044</v>
      </c>
      <c r="R661">
        <v>0</v>
      </c>
      <c r="S661">
        <v>20230316</v>
      </c>
      <c r="T661">
        <v>0</v>
      </c>
      <c r="U661" t="s">
        <v>7361</v>
      </c>
      <c r="V661" t="s">
        <v>7360</v>
      </c>
      <c r="W661" t="s">
        <v>7360</v>
      </c>
      <c r="X661" t="s">
        <v>7360</v>
      </c>
      <c r="Y661" t="s">
        <v>7360</v>
      </c>
      <c r="Z661" t="s">
        <v>7360</v>
      </c>
      <c r="AA661" t="s">
        <v>7362</v>
      </c>
      <c r="AB661" t="s">
        <v>7360</v>
      </c>
      <c r="AC661" t="s">
        <v>7360</v>
      </c>
      <c r="AD661" t="s">
        <v>7360</v>
      </c>
      <c r="AE661" t="s">
        <v>7360</v>
      </c>
      <c r="AF661" t="s">
        <v>1684</v>
      </c>
      <c r="AG661">
        <v>0</v>
      </c>
      <c r="AH661">
        <v>0</v>
      </c>
      <c r="AI661">
        <v>0</v>
      </c>
      <c r="AJ661">
        <v>0</v>
      </c>
      <c r="AK661">
        <v>0</v>
      </c>
      <c r="AL661" t="s">
        <v>7360</v>
      </c>
      <c r="AM661">
        <v>0</v>
      </c>
      <c r="AN661" s="20">
        <v>45001</v>
      </c>
      <c r="AO661" s="20">
        <v>45001</v>
      </c>
      <c r="AP661" s="20">
        <v>45001</v>
      </c>
      <c r="AQ661">
        <v>0</v>
      </c>
      <c r="AR661">
        <v>0</v>
      </c>
      <c r="AS661">
        <v>0</v>
      </c>
      <c r="AT661">
        <v>0</v>
      </c>
      <c r="AU661">
        <v>0</v>
      </c>
      <c r="AV661" t="s">
        <v>7360</v>
      </c>
      <c r="AW661">
        <v>0</v>
      </c>
      <c r="AX661" t="s">
        <v>7360</v>
      </c>
      <c r="AY661" t="s">
        <v>7363</v>
      </c>
      <c r="BA661">
        <v>0</v>
      </c>
      <c r="BB661" s="20">
        <v>45001</v>
      </c>
      <c r="BC661">
        <v>0</v>
      </c>
      <c r="BD661" t="s">
        <v>7360</v>
      </c>
      <c r="BF661" s="20">
        <v>45001</v>
      </c>
      <c r="BG661">
        <v>0</v>
      </c>
      <c r="BH661" t="s">
        <v>7363</v>
      </c>
      <c r="BJ661" t="s">
        <v>7362</v>
      </c>
      <c r="BK661">
        <v>169</v>
      </c>
      <c r="BL661">
        <v>11</v>
      </c>
      <c r="BM661">
        <v>1</v>
      </c>
      <c r="BN661" t="s">
        <v>7364</v>
      </c>
      <c r="BO661">
        <v>0</v>
      </c>
      <c r="BP661">
        <v>0</v>
      </c>
      <c r="BQ661">
        <v>0</v>
      </c>
      <c r="BR661">
        <v>0</v>
      </c>
      <c r="BS661" t="s">
        <v>7430</v>
      </c>
      <c r="BT661" t="s">
        <v>7360</v>
      </c>
      <c r="BU661" t="s">
        <v>7360</v>
      </c>
      <c r="BV661" t="s">
        <v>7360</v>
      </c>
      <c r="BX661" t="s">
        <v>7391</v>
      </c>
      <c r="BY661">
        <v>74</v>
      </c>
      <c r="BZ661" t="s">
        <v>7360</v>
      </c>
      <c r="CA661" t="s">
        <v>7360</v>
      </c>
      <c r="CB661">
        <v>5558210</v>
      </c>
      <c r="CC661" s="21">
        <v>45001.657592592594</v>
      </c>
      <c r="CE661" t="s">
        <v>7392</v>
      </c>
      <c r="CF661">
        <v>1100101</v>
      </c>
      <c r="CG661">
        <v>53575</v>
      </c>
      <c r="CH661">
        <v>53575</v>
      </c>
      <c r="CI661" s="21">
        <v>45001.660300925927</v>
      </c>
      <c r="CJ661" t="s">
        <v>7393</v>
      </c>
      <c r="CK661" t="s">
        <v>7393</v>
      </c>
      <c r="CL661" t="s">
        <v>7394</v>
      </c>
      <c r="CM661" t="s">
        <v>7394</v>
      </c>
      <c r="CS661" t="s">
        <v>7361</v>
      </c>
      <c r="CT661" t="s">
        <v>7362</v>
      </c>
      <c r="CU661" t="s">
        <v>7362</v>
      </c>
      <c r="CV661" t="s">
        <v>7362</v>
      </c>
      <c r="CW661" t="s">
        <v>7362</v>
      </c>
      <c r="CX661">
        <v>585000</v>
      </c>
      <c r="DA661">
        <v>0</v>
      </c>
    </row>
    <row r="662" spans="1:106" x14ac:dyDescent="0.3">
      <c r="A662">
        <v>1372</v>
      </c>
      <c r="B662" t="s">
        <v>7369</v>
      </c>
      <c r="C662">
        <v>694</v>
      </c>
      <c r="D662" s="20">
        <v>45001</v>
      </c>
      <c r="E662" t="s">
        <v>7372</v>
      </c>
      <c r="F662" t="s">
        <v>4949</v>
      </c>
      <c r="G662" t="s">
        <v>7357</v>
      </c>
      <c r="H662">
        <v>1</v>
      </c>
      <c r="I662" t="s">
        <v>7358</v>
      </c>
      <c r="J662">
        <v>1</v>
      </c>
      <c r="K662" s="20">
        <v>45001</v>
      </c>
      <c r="L662" s="23">
        <v>2200000</v>
      </c>
      <c r="M662" t="s">
        <v>7359</v>
      </c>
      <c r="N662" t="s">
        <v>7360</v>
      </c>
      <c r="O662">
        <v>0</v>
      </c>
      <c r="P662">
        <v>13279</v>
      </c>
      <c r="Q662">
        <v>455044</v>
      </c>
      <c r="R662">
        <v>0</v>
      </c>
      <c r="S662">
        <v>20230316</v>
      </c>
      <c r="T662">
        <v>0</v>
      </c>
      <c r="U662" t="s">
        <v>7362</v>
      </c>
      <c r="V662" t="s">
        <v>7360</v>
      </c>
      <c r="W662" t="s">
        <v>7360</v>
      </c>
      <c r="X662" t="s">
        <v>7360</v>
      </c>
      <c r="Y662" t="s">
        <v>7360</v>
      </c>
      <c r="Z662" t="s">
        <v>7360</v>
      </c>
      <c r="AA662" t="s">
        <v>7362</v>
      </c>
      <c r="AB662" t="s">
        <v>7360</v>
      </c>
      <c r="AC662" t="s">
        <v>7360</v>
      </c>
      <c r="AD662" t="s">
        <v>7360</v>
      </c>
      <c r="AE662" t="s">
        <v>7360</v>
      </c>
      <c r="AF662" t="s">
        <v>1684</v>
      </c>
      <c r="AG662">
        <v>0</v>
      </c>
      <c r="AH662">
        <v>0</v>
      </c>
      <c r="AI662">
        <v>0</v>
      </c>
      <c r="AJ662">
        <v>0</v>
      </c>
      <c r="AK662">
        <v>0</v>
      </c>
      <c r="AL662" t="s">
        <v>7360</v>
      </c>
      <c r="AM662">
        <v>0</v>
      </c>
      <c r="AN662" s="20">
        <v>45001</v>
      </c>
      <c r="AO662" s="20">
        <v>45001</v>
      </c>
      <c r="AP662" s="20">
        <v>45001</v>
      </c>
      <c r="AQ662">
        <v>0</v>
      </c>
      <c r="AR662">
        <v>0</v>
      </c>
      <c r="AS662">
        <v>0</v>
      </c>
      <c r="AT662">
        <v>0</v>
      </c>
      <c r="AU662">
        <v>0</v>
      </c>
      <c r="AV662" t="s">
        <v>7360</v>
      </c>
      <c r="AW662">
        <v>0</v>
      </c>
      <c r="AX662" t="s">
        <v>7360</v>
      </c>
      <c r="AY662" t="s">
        <v>7362</v>
      </c>
      <c r="BA662">
        <v>0</v>
      </c>
      <c r="BB662" s="20">
        <v>45001</v>
      </c>
      <c r="BC662">
        <v>0</v>
      </c>
      <c r="BD662" t="s">
        <v>7360</v>
      </c>
      <c r="BF662" s="20">
        <v>45001</v>
      </c>
      <c r="BG662">
        <v>0</v>
      </c>
      <c r="BH662" t="s">
        <v>7363</v>
      </c>
      <c r="BJ662" t="s">
        <v>7362</v>
      </c>
      <c r="BK662">
        <v>169</v>
      </c>
      <c r="BL662">
        <v>11</v>
      </c>
      <c r="BM662">
        <v>1</v>
      </c>
      <c r="BN662" t="s">
        <v>7364</v>
      </c>
      <c r="BO662">
        <v>169</v>
      </c>
      <c r="BP662">
        <v>11</v>
      </c>
      <c r="BQ662">
        <v>1</v>
      </c>
      <c r="BR662" t="s">
        <v>7364</v>
      </c>
      <c r="BS662" t="s">
        <v>61</v>
      </c>
      <c r="BT662" t="s">
        <v>7360</v>
      </c>
      <c r="BU662" t="s">
        <v>7360</v>
      </c>
      <c r="BV662" t="s">
        <v>7360</v>
      </c>
      <c r="BX662" t="s">
        <v>7391</v>
      </c>
      <c r="BY662">
        <v>74</v>
      </c>
      <c r="BZ662" t="s">
        <v>7360</v>
      </c>
      <c r="CA662" t="s">
        <v>7360</v>
      </c>
      <c r="CB662">
        <v>3380666</v>
      </c>
      <c r="CC662" s="21">
        <v>45001.667708333334</v>
      </c>
      <c r="CE662" t="s">
        <v>7392</v>
      </c>
      <c r="CF662">
        <v>1100101</v>
      </c>
      <c r="CG662">
        <v>51669</v>
      </c>
      <c r="CH662">
        <v>51669</v>
      </c>
      <c r="CI662" s="21">
        <v>45001.67491898148</v>
      </c>
      <c r="CJ662" t="s">
        <v>7406</v>
      </c>
      <c r="CK662" t="s">
        <v>7406</v>
      </c>
      <c r="CL662" t="s">
        <v>7407</v>
      </c>
      <c r="CM662" t="s">
        <v>7407</v>
      </c>
      <c r="CS662" t="s">
        <v>7361</v>
      </c>
      <c r="CT662" t="s">
        <v>7362</v>
      </c>
      <c r="CU662" t="s">
        <v>7362</v>
      </c>
      <c r="CV662" t="s">
        <v>7362</v>
      </c>
      <c r="CW662" t="s">
        <v>7362</v>
      </c>
      <c r="CX662">
        <v>2200000</v>
      </c>
      <c r="DA662">
        <v>0</v>
      </c>
    </row>
    <row r="663" spans="1:106" x14ac:dyDescent="0.3">
      <c r="A663">
        <v>1366</v>
      </c>
      <c r="B663" t="s">
        <v>7380</v>
      </c>
      <c r="C663">
        <v>695</v>
      </c>
      <c r="D663" s="20">
        <v>45001</v>
      </c>
      <c r="E663" t="s">
        <v>7372</v>
      </c>
      <c r="F663" t="s">
        <v>4955</v>
      </c>
      <c r="G663" t="s">
        <v>7357</v>
      </c>
      <c r="H663">
        <v>1</v>
      </c>
      <c r="I663" t="s">
        <v>7358</v>
      </c>
      <c r="J663">
        <v>1</v>
      </c>
      <c r="K663" s="20">
        <v>45001</v>
      </c>
      <c r="L663" s="23">
        <v>2200000</v>
      </c>
      <c r="M663" t="s">
        <v>7359</v>
      </c>
      <c r="N663" t="s">
        <v>7360</v>
      </c>
      <c r="O663">
        <v>0</v>
      </c>
      <c r="P663">
        <v>13283</v>
      </c>
      <c r="Q663">
        <v>455047</v>
      </c>
      <c r="R663">
        <v>0</v>
      </c>
      <c r="S663">
        <v>20230316</v>
      </c>
      <c r="T663">
        <v>0</v>
      </c>
      <c r="U663" t="s">
        <v>7362</v>
      </c>
      <c r="V663" t="s">
        <v>7360</v>
      </c>
      <c r="W663" t="s">
        <v>7360</v>
      </c>
      <c r="X663" t="s">
        <v>7360</v>
      </c>
      <c r="Y663" t="s">
        <v>7360</v>
      </c>
      <c r="Z663" t="s">
        <v>7360</v>
      </c>
      <c r="AA663" t="s">
        <v>7362</v>
      </c>
      <c r="AB663" t="s">
        <v>7360</v>
      </c>
      <c r="AC663" t="s">
        <v>7360</v>
      </c>
      <c r="AD663" t="s">
        <v>7360</v>
      </c>
      <c r="AE663" t="s">
        <v>7360</v>
      </c>
      <c r="AF663" t="s">
        <v>1684</v>
      </c>
      <c r="AG663">
        <v>0</v>
      </c>
      <c r="AH663">
        <v>0</v>
      </c>
      <c r="AI663">
        <v>0</v>
      </c>
      <c r="AJ663">
        <v>0</v>
      </c>
      <c r="AK663">
        <v>0</v>
      </c>
      <c r="AL663" t="s">
        <v>7360</v>
      </c>
      <c r="AM663">
        <v>0</v>
      </c>
      <c r="AN663" s="20">
        <v>45001</v>
      </c>
      <c r="AO663" s="20">
        <v>45001</v>
      </c>
      <c r="AP663" s="20">
        <v>45001</v>
      </c>
      <c r="AQ663">
        <v>0</v>
      </c>
      <c r="AR663">
        <v>0</v>
      </c>
      <c r="AS663">
        <v>0</v>
      </c>
      <c r="AT663">
        <v>0</v>
      </c>
      <c r="AU663">
        <v>0</v>
      </c>
      <c r="AV663" t="s">
        <v>7360</v>
      </c>
      <c r="AW663">
        <v>0</v>
      </c>
      <c r="AX663" t="s">
        <v>7360</v>
      </c>
      <c r="AY663" t="s">
        <v>7362</v>
      </c>
      <c r="BA663">
        <v>0</v>
      </c>
      <c r="BB663" s="20">
        <v>45001</v>
      </c>
      <c r="BC663">
        <v>0</v>
      </c>
      <c r="BD663" t="s">
        <v>7360</v>
      </c>
      <c r="BF663" s="20">
        <v>45001</v>
      </c>
      <c r="BG663">
        <v>0</v>
      </c>
      <c r="BH663" t="s">
        <v>7363</v>
      </c>
      <c r="BJ663" t="s">
        <v>7362</v>
      </c>
      <c r="BK663">
        <v>169</v>
      </c>
      <c r="BL663">
        <v>11</v>
      </c>
      <c r="BM663">
        <v>1</v>
      </c>
      <c r="BN663" t="s">
        <v>7364</v>
      </c>
      <c r="BO663">
        <v>169</v>
      </c>
      <c r="BP663">
        <v>11</v>
      </c>
      <c r="BQ663">
        <v>1</v>
      </c>
      <c r="BR663" t="s">
        <v>7364</v>
      </c>
      <c r="BS663" t="s">
        <v>7387</v>
      </c>
      <c r="BT663" t="s">
        <v>7360</v>
      </c>
      <c r="BU663" t="s">
        <v>7360</v>
      </c>
      <c r="BV663" t="s">
        <v>7360</v>
      </c>
      <c r="BX663" t="s">
        <v>7391</v>
      </c>
      <c r="BY663">
        <v>74</v>
      </c>
      <c r="BZ663" t="s">
        <v>7360</v>
      </c>
      <c r="CA663" t="s">
        <v>7360</v>
      </c>
      <c r="CB663">
        <v>3380666</v>
      </c>
      <c r="CC663" s="21">
        <v>45001.680347222224</v>
      </c>
      <c r="CE663" t="s">
        <v>7392</v>
      </c>
      <c r="CF663">
        <v>1100101</v>
      </c>
      <c r="CG663">
        <v>51669</v>
      </c>
      <c r="CH663">
        <v>51669</v>
      </c>
      <c r="CI663" s="21">
        <v>45001.681192129632</v>
      </c>
      <c r="CJ663" t="s">
        <v>7406</v>
      </c>
      <c r="CK663" t="s">
        <v>7406</v>
      </c>
      <c r="CL663" t="s">
        <v>7407</v>
      </c>
      <c r="CM663" t="s">
        <v>7407</v>
      </c>
      <c r="CS663" t="s">
        <v>7361</v>
      </c>
      <c r="CT663" t="s">
        <v>7362</v>
      </c>
      <c r="CU663" t="s">
        <v>7362</v>
      </c>
      <c r="CV663" t="s">
        <v>7362</v>
      </c>
      <c r="CW663" t="s">
        <v>7362</v>
      </c>
      <c r="CX663">
        <v>2200000</v>
      </c>
      <c r="DA663">
        <v>0</v>
      </c>
    </row>
    <row r="664" spans="1:106" x14ac:dyDescent="0.3">
      <c r="A664">
        <v>1354</v>
      </c>
      <c r="B664" t="s">
        <v>7396</v>
      </c>
      <c r="C664">
        <v>821</v>
      </c>
      <c r="D664" s="20">
        <v>45014</v>
      </c>
      <c r="E664" t="s">
        <v>7372</v>
      </c>
      <c r="F664" t="s">
        <v>4960</v>
      </c>
      <c r="G664" t="s">
        <v>7370</v>
      </c>
      <c r="H664">
        <v>1</v>
      </c>
      <c r="I664" t="s">
        <v>7358</v>
      </c>
      <c r="J664">
        <v>1</v>
      </c>
      <c r="K664" s="20">
        <v>45014</v>
      </c>
      <c r="L664" s="23">
        <v>30000000</v>
      </c>
      <c r="M664" t="s">
        <v>7403</v>
      </c>
      <c r="N664" t="s">
        <v>7360</v>
      </c>
      <c r="O664">
        <v>0</v>
      </c>
      <c r="P664">
        <v>12438</v>
      </c>
      <c r="Q664">
        <v>142001</v>
      </c>
      <c r="R664">
        <v>0</v>
      </c>
      <c r="S664">
        <v>20230329</v>
      </c>
      <c r="T664">
        <v>0</v>
      </c>
      <c r="U664" t="s">
        <v>7362</v>
      </c>
      <c r="V664" t="s">
        <v>7360</v>
      </c>
      <c r="W664" t="s">
        <v>7360</v>
      </c>
      <c r="X664" t="s">
        <v>7360</v>
      </c>
      <c r="Y664" t="s">
        <v>7360</v>
      </c>
      <c r="Z664" t="s">
        <v>7360</v>
      </c>
      <c r="AA664" t="s">
        <v>7362</v>
      </c>
      <c r="AB664" t="s">
        <v>7360</v>
      </c>
      <c r="AC664" t="s">
        <v>7360</v>
      </c>
      <c r="AD664" t="s">
        <v>7360</v>
      </c>
      <c r="AE664" t="s">
        <v>7360</v>
      </c>
      <c r="AF664" t="s">
        <v>1684</v>
      </c>
      <c r="AG664">
        <v>0</v>
      </c>
      <c r="AH664">
        <v>0</v>
      </c>
      <c r="AI664">
        <v>0</v>
      </c>
      <c r="AJ664">
        <v>0</v>
      </c>
      <c r="AK664">
        <v>0</v>
      </c>
      <c r="AL664" t="s">
        <v>7360</v>
      </c>
      <c r="AM664">
        <v>0</v>
      </c>
      <c r="AN664" s="20">
        <v>45014</v>
      </c>
      <c r="AO664" s="20">
        <v>45014</v>
      </c>
      <c r="AP664" s="20">
        <v>45014</v>
      </c>
      <c r="AQ664">
        <v>0</v>
      </c>
      <c r="AR664">
        <v>0</v>
      </c>
      <c r="AS664">
        <v>0</v>
      </c>
      <c r="AT664">
        <v>0</v>
      </c>
      <c r="AU664">
        <v>0</v>
      </c>
      <c r="AV664" t="s">
        <v>7360</v>
      </c>
      <c r="AW664">
        <v>0</v>
      </c>
      <c r="AX664" t="s">
        <v>7360</v>
      </c>
      <c r="AY664" t="s">
        <v>7362</v>
      </c>
      <c r="BA664">
        <v>0</v>
      </c>
      <c r="BB664" s="20">
        <v>45014</v>
      </c>
      <c r="BC664">
        <v>0</v>
      </c>
      <c r="BD664" t="s">
        <v>7360</v>
      </c>
      <c r="BE664">
        <v>255</v>
      </c>
      <c r="BF664" s="20">
        <v>45014</v>
      </c>
      <c r="BG664">
        <v>0</v>
      </c>
      <c r="BH664" t="s">
        <v>7363</v>
      </c>
      <c r="BJ664" t="s">
        <v>7362</v>
      </c>
      <c r="BK664">
        <v>169</v>
      </c>
      <c r="BL664">
        <v>11</v>
      </c>
      <c r="BM664">
        <v>1</v>
      </c>
      <c r="BN664" t="s">
        <v>7364</v>
      </c>
      <c r="BO664">
        <v>0</v>
      </c>
      <c r="BP664">
        <v>0</v>
      </c>
      <c r="BQ664">
        <v>0</v>
      </c>
      <c r="BR664">
        <v>0</v>
      </c>
      <c r="BS664" t="s">
        <v>132</v>
      </c>
      <c r="BT664" t="s">
        <v>7360</v>
      </c>
      <c r="BU664" t="s">
        <v>7360</v>
      </c>
      <c r="BV664" t="s">
        <v>7360</v>
      </c>
      <c r="BX664" t="s">
        <v>7391</v>
      </c>
      <c r="BY664">
        <v>74</v>
      </c>
      <c r="BZ664" t="s">
        <v>7360</v>
      </c>
      <c r="CA664" t="s">
        <v>7360</v>
      </c>
      <c r="CB664">
        <v>5558210</v>
      </c>
      <c r="CC664" s="21">
        <v>45014.421122685184</v>
      </c>
      <c r="CD664" t="s">
        <v>7467</v>
      </c>
      <c r="CE664" t="s">
        <v>7392</v>
      </c>
      <c r="CF664">
        <v>1100101</v>
      </c>
      <c r="CG664">
        <v>53575</v>
      </c>
      <c r="CH664">
        <v>53575</v>
      </c>
      <c r="CI664" s="21">
        <v>45014.427997685183</v>
      </c>
      <c r="CJ664" t="s">
        <v>7393</v>
      </c>
      <c r="CK664" t="s">
        <v>7393</v>
      </c>
      <c r="CL664" t="s">
        <v>7394</v>
      </c>
      <c r="CM664" t="s">
        <v>7394</v>
      </c>
      <c r="CS664" t="s">
        <v>7361</v>
      </c>
      <c r="CT664" t="s">
        <v>7362</v>
      </c>
      <c r="CU664" t="s">
        <v>7362</v>
      </c>
      <c r="CV664" t="s">
        <v>7362</v>
      </c>
      <c r="CW664" t="s">
        <v>7362</v>
      </c>
      <c r="CX664">
        <v>30000000</v>
      </c>
      <c r="DA664">
        <v>0</v>
      </c>
      <c r="DB664">
        <v>141001</v>
      </c>
    </row>
    <row r="665" spans="1:106" x14ac:dyDescent="0.3">
      <c r="A665">
        <v>1354</v>
      </c>
      <c r="B665" t="s">
        <v>7396</v>
      </c>
      <c r="C665">
        <v>697</v>
      </c>
      <c r="D665" s="20">
        <v>45002</v>
      </c>
      <c r="E665" t="s">
        <v>7372</v>
      </c>
      <c r="F665" t="s">
        <v>4965</v>
      </c>
      <c r="G665" t="s">
        <v>7370</v>
      </c>
      <c r="H665">
        <v>1</v>
      </c>
      <c r="I665" t="s">
        <v>7358</v>
      </c>
      <c r="J665">
        <v>1</v>
      </c>
      <c r="K665" s="20">
        <v>45002</v>
      </c>
      <c r="L665" s="23">
        <v>2100000</v>
      </c>
      <c r="M665" t="s">
        <v>7359</v>
      </c>
      <c r="N665" t="s">
        <v>7360</v>
      </c>
      <c r="O665">
        <v>0</v>
      </c>
      <c r="P665">
        <v>13222</v>
      </c>
      <c r="Q665">
        <v>455021</v>
      </c>
      <c r="R665">
        <v>0</v>
      </c>
      <c r="S665">
        <v>20230317</v>
      </c>
      <c r="T665">
        <v>0</v>
      </c>
      <c r="U665" t="s">
        <v>7362</v>
      </c>
      <c r="V665" t="s">
        <v>7360</v>
      </c>
      <c r="W665" t="s">
        <v>7360</v>
      </c>
      <c r="X665" t="s">
        <v>7360</v>
      </c>
      <c r="Y665" t="s">
        <v>7360</v>
      </c>
      <c r="Z665" t="s">
        <v>7360</v>
      </c>
      <c r="AA665" t="s">
        <v>7362</v>
      </c>
      <c r="AB665" t="s">
        <v>7360</v>
      </c>
      <c r="AC665" t="s">
        <v>7360</v>
      </c>
      <c r="AD665" t="s">
        <v>7360</v>
      </c>
      <c r="AE665" t="s">
        <v>7360</v>
      </c>
      <c r="AF665" t="s">
        <v>1684</v>
      </c>
      <c r="AG665">
        <v>0</v>
      </c>
      <c r="AH665">
        <v>0</v>
      </c>
      <c r="AI665">
        <v>0</v>
      </c>
      <c r="AJ665">
        <v>0</v>
      </c>
      <c r="AK665">
        <v>0</v>
      </c>
      <c r="AL665" t="s">
        <v>7360</v>
      </c>
      <c r="AM665">
        <v>0</v>
      </c>
      <c r="AN665" s="20">
        <v>45002</v>
      </c>
      <c r="AO665" s="20">
        <v>45002</v>
      </c>
      <c r="AP665" s="20">
        <v>45002</v>
      </c>
      <c r="AQ665">
        <v>0</v>
      </c>
      <c r="AR665">
        <v>0</v>
      </c>
      <c r="AS665">
        <v>0</v>
      </c>
      <c r="AT665">
        <v>0</v>
      </c>
      <c r="AU665">
        <v>0</v>
      </c>
      <c r="AV665" t="s">
        <v>7360</v>
      </c>
      <c r="AW665">
        <v>0</v>
      </c>
      <c r="AX665" t="s">
        <v>7360</v>
      </c>
      <c r="AY665" t="s">
        <v>7362</v>
      </c>
      <c r="BA665">
        <v>0</v>
      </c>
      <c r="BB665" s="20">
        <v>45002</v>
      </c>
      <c r="BC665">
        <v>0</v>
      </c>
      <c r="BD665" t="s">
        <v>7360</v>
      </c>
      <c r="BF665" s="20">
        <v>45002</v>
      </c>
      <c r="BG665">
        <v>0</v>
      </c>
      <c r="BH665" t="s">
        <v>7363</v>
      </c>
      <c r="BJ665" t="s">
        <v>7362</v>
      </c>
      <c r="BK665">
        <v>169</v>
      </c>
      <c r="BL665">
        <v>11</v>
      </c>
      <c r="BM665">
        <v>1</v>
      </c>
      <c r="BN665" t="s">
        <v>7364</v>
      </c>
      <c r="BO665">
        <v>0</v>
      </c>
      <c r="BP665">
        <v>0</v>
      </c>
      <c r="BQ665">
        <v>0</v>
      </c>
      <c r="BR665">
        <v>0</v>
      </c>
      <c r="BS665" t="s">
        <v>7427</v>
      </c>
      <c r="BT665" t="s">
        <v>7360</v>
      </c>
      <c r="BU665" t="s">
        <v>7360</v>
      </c>
      <c r="BV665" t="s">
        <v>7360</v>
      </c>
      <c r="BX665" t="s">
        <v>7391</v>
      </c>
      <c r="BY665">
        <v>74</v>
      </c>
      <c r="BZ665" t="s">
        <v>7360</v>
      </c>
      <c r="CA665" t="s">
        <v>7360</v>
      </c>
      <c r="CB665">
        <v>5558210</v>
      </c>
      <c r="CC665" s="21">
        <v>45002.44127314815</v>
      </c>
      <c r="CE665" t="s">
        <v>7392</v>
      </c>
      <c r="CF665">
        <v>1100101</v>
      </c>
      <c r="CG665">
        <v>53575</v>
      </c>
      <c r="CH665">
        <v>53575</v>
      </c>
      <c r="CI665" s="21">
        <v>45002.442280092589</v>
      </c>
      <c r="CJ665" t="s">
        <v>7393</v>
      </c>
      <c r="CK665" t="s">
        <v>7393</v>
      </c>
      <c r="CL665" t="s">
        <v>7394</v>
      </c>
      <c r="CM665" t="s">
        <v>7394</v>
      </c>
      <c r="CS665" t="s">
        <v>7361</v>
      </c>
      <c r="CT665" t="s">
        <v>7362</v>
      </c>
      <c r="CU665" t="s">
        <v>7362</v>
      </c>
      <c r="CV665" t="s">
        <v>7362</v>
      </c>
      <c r="CW665" t="s">
        <v>7362</v>
      </c>
      <c r="CX665">
        <v>2100000</v>
      </c>
      <c r="DA665">
        <v>0</v>
      </c>
    </row>
    <row r="666" spans="1:106" x14ac:dyDescent="0.3">
      <c r="A666">
        <v>1372</v>
      </c>
      <c r="B666" t="s">
        <v>7369</v>
      </c>
      <c r="C666">
        <v>698</v>
      </c>
      <c r="D666" s="20">
        <v>45002</v>
      </c>
      <c r="E666" t="s">
        <v>7372</v>
      </c>
      <c r="F666" t="s">
        <v>4971</v>
      </c>
      <c r="G666" t="s">
        <v>7357</v>
      </c>
      <c r="H666">
        <v>1</v>
      </c>
      <c r="I666" t="s">
        <v>7358</v>
      </c>
      <c r="J666">
        <v>1</v>
      </c>
      <c r="K666" s="20">
        <v>45002</v>
      </c>
      <c r="L666" s="23">
        <v>316183</v>
      </c>
      <c r="M666" t="s">
        <v>7359</v>
      </c>
      <c r="N666" t="s">
        <v>7360</v>
      </c>
      <c r="O666">
        <v>0</v>
      </c>
      <c r="P666">
        <v>13223</v>
      </c>
      <c r="Q666">
        <v>455022</v>
      </c>
      <c r="R666">
        <v>0</v>
      </c>
      <c r="S666">
        <v>20230317</v>
      </c>
      <c r="T666">
        <v>0</v>
      </c>
      <c r="U666" t="s">
        <v>7362</v>
      </c>
      <c r="V666" t="s">
        <v>7360</v>
      </c>
      <c r="W666" t="s">
        <v>7360</v>
      </c>
      <c r="X666" t="s">
        <v>7360</v>
      </c>
      <c r="Y666" t="s">
        <v>7360</v>
      </c>
      <c r="Z666" t="s">
        <v>7360</v>
      </c>
      <c r="AA666" t="s">
        <v>7362</v>
      </c>
      <c r="AB666" t="s">
        <v>7360</v>
      </c>
      <c r="AC666" t="s">
        <v>7360</v>
      </c>
      <c r="AD666" t="s">
        <v>7360</v>
      </c>
      <c r="AE666" t="s">
        <v>7360</v>
      </c>
      <c r="AF666" t="s">
        <v>1684</v>
      </c>
      <c r="AG666">
        <v>0</v>
      </c>
      <c r="AH666">
        <v>0</v>
      </c>
      <c r="AI666">
        <v>0</v>
      </c>
      <c r="AJ666">
        <v>0</v>
      </c>
      <c r="AK666">
        <v>0</v>
      </c>
      <c r="AL666" t="s">
        <v>7360</v>
      </c>
      <c r="AM666">
        <v>0</v>
      </c>
      <c r="AN666" s="20">
        <v>45002</v>
      </c>
      <c r="AO666" s="20">
        <v>45002</v>
      </c>
      <c r="AP666" s="20">
        <v>45002</v>
      </c>
      <c r="AQ666">
        <v>0</v>
      </c>
      <c r="AR666">
        <v>0</v>
      </c>
      <c r="AS666">
        <v>0</v>
      </c>
      <c r="AT666">
        <v>0</v>
      </c>
      <c r="AU666">
        <v>0</v>
      </c>
      <c r="AV666" t="s">
        <v>7360</v>
      </c>
      <c r="AW666">
        <v>0</v>
      </c>
      <c r="AX666" t="s">
        <v>7360</v>
      </c>
      <c r="AY666" t="s">
        <v>7362</v>
      </c>
      <c r="BA666">
        <v>0</v>
      </c>
      <c r="BB666" s="20">
        <v>45002</v>
      </c>
      <c r="BC666">
        <v>0</v>
      </c>
      <c r="BD666" t="s">
        <v>7360</v>
      </c>
      <c r="BF666" s="20">
        <v>45002</v>
      </c>
      <c r="BG666">
        <v>0</v>
      </c>
      <c r="BH666" t="s">
        <v>7363</v>
      </c>
      <c r="BJ666" t="s">
        <v>7362</v>
      </c>
      <c r="BK666">
        <v>169</v>
      </c>
      <c r="BL666">
        <v>11</v>
      </c>
      <c r="BM666">
        <v>1</v>
      </c>
      <c r="BN666" t="s">
        <v>7364</v>
      </c>
      <c r="BO666">
        <v>0</v>
      </c>
      <c r="BP666">
        <v>0</v>
      </c>
      <c r="BQ666">
        <v>0</v>
      </c>
      <c r="BR666">
        <v>0</v>
      </c>
      <c r="BS666" t="s">
        <v>7427</v>
      </c>
      <c r="BT666" t="s">
        <v>7360</v>
      </c>
      <c r="BU666" t="s">
        <v>7360</v>
      </c>
      <c r="BV666" t="s">
        <v>7360</v>
      </c>
      <c r="BX666" t="s">
        <v>7391</v>
      </c>
      <c r="BY666">
        <v>74</v>
      </c>
      <c r="BZ666" t="s">
        <v>7360</v>
      </c>
      <c r="CA666" t="s">
        <v>7360</v>
      </c>
      <c r="CB666">
        <v>5558210</v>
      </c>
      <c r="CC666" s="21">
        <v>45002.446979166663</v>
      </c>
      <c r="CE666" t="s">
        <v>7392</v>
      </c>
      <c r="CF666">
        <v>1100101</v>
      </c>
      <c r="CG666">
        <v>53575</v>
      </c>
      <c r="CH666">
        <v>53575</v>
      </c>
      <c r="CI666" s="21">
        <v>45002.508460648147</v>
      </c>
      <c r="CJ666" t="s">
        <v>7393</v>
      </c>
      <c r="CK666" t="s">
        <v>7393</v>
      </c>
      <c r="CL666" t="s">
        <v>7394</v>
      </c>
      <c r="CM666" t="s">
        <v>7394</v>
      </c>
      <c r="CS666" t="s">
        <v>7361</v>
      </c>
      <c r="CT666" t="s">
        <v>7362</v>
      </c>
      <c r="CU666" t="s">
        <v>7362</v>
      </c>
      <c r="CV666" t="s">
        <v>7362</v>
      </c>
      <c r="CW666" t="s">
        <v>7362</v>
      </c>
      <c r="CX666">
        <v>316183</v>
      </c>
      <c r="DA666">
        <v>0</v>
      </c>
    </row>
    <row r="667" spans="1:106" x14ac:dyDescent="0.3">
      <c r="A667">
        <v>1354</v>
      </c>
      <c r="B667" t="s">
        <v>7396</v>
      </c>
      <c r="C667">
        <v>822</v>
      </c>
      <c r="D667" s="20">
        <v>45014</v>
      </c>
      <c r="E667" t="s">
        <v>7372</v>
      </c>
      <c r="F667" t="s">
        <v>4976</v>
      </c>
      <c r="G667" t="s">
        <v>7370</v>
      </c>
      <c r="H667">
        <v>1</v>
      </c>
      <c r="I667" t="s">
        <v>7358</v>
      </c>
      <c r="J667">
        <v>1</v>
      </c>
      <c r="K667" s="20">
        <v>45014</v>
      </c>
      <c r="L667" s="23">
        <v>30000000</v>
      </c>
      <c r="M667" t="s">
        <v>7403</v>
      </c>
      <c r="N667" t="s">
        <v>7360</v>
      </c>
      <c r="O667">
        <v>0</v>
      </c>
      <c r="P667">
        <v>13328</v>
      </c>
      <c r="Q667">
        <v>141004</v>
      </c>
      <c r="R667">
        <v>0</v>
      </c>
      <c r="S667">
        <v>20230329</v>
      </c>
      <c r="T667">
        <v>0</v>
      </c>
      <c r="U667" t="s">
        <v>7362</v>
      </c>
      <c r="V667" t="s">
        <v>7360</v>
      </c>
      <c r="W667" t="s">
        <v>7360</v>
      </c>
      <c r="X667" t="s">
        <v>7360</v>
      </c>
      <c r="Y667" t="s">
        <v>7360</v>
      </c>
      <c r="Z667" t="s">
        <v>7360</v>
      </c>
      <c r="AA667" t="s">
        <v>7362</v>
      </c>
      <c r="AB667" t="s">
        <v>7360</v>
      </c>
      <c r="AC667" t="s">
        <v>7360</v>
      </c>
      <c r="AD667" t="s">
        <v>7360</v>
      </c>
      <c r="AE667" t="s">
        <v>7360</v>
      </c>
      <c r="AF667" t="s">
        <v>1684</v>
      </c>
      <c r="AG667">
        <v>0</v>
      </c>
      <c r="AH667">
        <v>0</v>
      </c>
      <c r="AI667">
        <v>0</v>
      </c>
      <c r="AJ667">
        <v>0</v>
      </c>
      <c r="AK667">
        <v>0</v>
      </c>
      <c r="AL667" t="s">
        <v>7360</v>
      </c>
      <c r="AM667">
        <v>0</v>
      </c>
      <c r="AN667" s="20">
        <v>45014</v>
      </c>
      <c r="AO667" s="20">
        <v>45014</v>
      </c>
      <c r="AP667" s="20">
        <v>45014</v>
      </c>
      <c r="AQ667">
        <v>0</v>
      </c>
      <c r="AR667">
        <v>0</v>
      </c>
      <c r="AS667">
        <v>0</v>
      </c>
      <c r="AT667">
        <v>0</v>
      </c>
      <c r="AU667">
        <v>0</v>
      </c>
      <c r="AV667" t="s">
        <v>7360</v>
      </c>
      <c r="AW667">
        <v>0</v>
      </c>
      <c r="AX667" t="s">
        <v>7360</v>
      </c>
      <c r="AY667" t="s">
        <v>7362</v>
      </c>
      <c r="BA667">
        <v>0</v>
      </c>
      <c r="BB667" s="20">
        <v>45014</v>
      </c>
      <c r="BC667">
        <v>0</v>
      </c>
      <c r="BD667" t="s">
        <v>7360</v>
      </c>
      <c r="BE667">
        <v>252</v>
      </c>
      <c r="BF667" s="20">
        <v>45014</v>
      </c>
      <c r="BG667">
        <v>0</v>
      </c>
      <c r="BH667" t="s">
        <v>7363</v>
      </c>
      <c r="BJ667" t="s">
        <v>7362</v>
      </c>
      <c r="BK667">
        <v>169</v>
      </c>
      <c r="BL667">
        <v>11</v>
      </c>
      <c r="BM667">
        <v>1</v>
      </c>
      <c r="BN667" t="s">
        <v>7364</v>
      </c>
      <c r="BO667">
        <v>169</v>
      </c>
      <c r="BP667">
        <v>11</v>
      </c>
      <c r="BQ667">
        <v>1</v>
      </c>
      <c r="BR667" t="s">
        <v>7364</v>
      </c>
      <c r="BS667" t="s">
        <v>7454</v>
      </c>
      <c r="BT667" t="s">
        <v>7360</v>
      </c>
      <c r="BU667" t="s">
        <v>7360</v>
      </c>
      <c r="BV667" t="s">
        <v>7360</v>
      </c>
      <c r="BX667" t="s">
        <v>7391</v>
      </c>
      <c r="BY667">
        <v>74</v>
      </c>
      <c r="BZ667" t="s">
        <v>7360</v>
      </c>
      <c r="CA667" t="s">
        <v>7360</v>
      </c>
      <c r="CB667">
        <v>3156020026</v>
      </c>
      <c r="CC667" s="21">
        <v>45014.471631944441</v>
      </c>
      <c r="CE667" t="s">
        <v>7392</v>
      </c>
      <c r="CF667">
        <v>1100101</v>
      </c>
      <c r="CG667">
        <v>50947</v>
      </c>
      <c r="CH667">
        <v>50947</v>
      </c>
      <c r="CI667" s="21">
        <v>45014.473020833335</v>
      </c>
      <c r="CJ667" t="s">
        <v>7442</v>
      </c>
      <c r="CK667" t="s">
        <v>7442</v>
      </c>
      <c r="CL667" t="s">
        <v>7443</v>
      </c>
      <c r="CM667" t="s">
        <v>7443</v>
      </c>
      <c r="CS667" t="s">
        <v>7361</v>
      </c>
      <c r="CT667" t="s">
        <v>7362</v>
      </c>
      <c r="CU667" t="s">
        <v>7362</v>
      </c>
      <c r="CV667" t="s">
        <v>7362</v>
      </c>
      <c r="CW667" t="s">
        <v>7362</v>
      </c>
      <c r="CX667">
        <v>15803200</v>
      </c>
      <c r="DA667">
        <v>0</v>
      </c>
    </row>
    <row r="668" spans="1:106" x14ac:dyDescent="0.3">
      <c r="A668">
        <v>1354</v>
      </c>
      <c r="B668" t="s">
        <v>7396</v>
      </c>
      <c r="C668">
        <v>700</v>
      </c>
      <c r="D668" s="20">
        <v>45002</v>
      </c>
      <c r="E668" t="s">
        <v>7356</v>
      </c>
      <c r="F668" t="s">
        <v>4981</v>
      </c>
      <c r="G668" t="s">
        <v>7370</v>
      </c>
      <c r="H668">
        <v>1</v>
      </c>
      <c r="I668" t="s">
        <v>7358</v>
      </c>
      <c r="J668">
        <v>1</v>
      </c>
      <c r="K668" s="20">
        <v>45002</v>
      </c>
      <c r="L668" s="23">
        <v>3420000</v>
      </c>
      <c r="M668" t="s">
        <v>7359</v>
      </c>
      <c r="N668" t="s">
        <v>7360</v>
      </c>
      <c r="O668">
        <v>0</v>
      </c>
      <c r="P668">
        <v>12635</v>
      </c>
      <c r="Q668">
        <v>449006</v>
      </c>
      <c r="R668">
        <v>0</v>
      </c>
      <c r="S668">
        <v>20230317</v>
      </c>
      <c r="T668">
        <v>0</v>
      </c>
      <c r="U668" t="s">
        <v>7361</v>
      </c>
      <c r="V668" t="s">
        <v>7360</v>
      </c>
      <c r="W668" t="s">
        <v>7360</v>
      </c>
      <c r="X668" t="s">
        <v>7360</v>
      </c>
      <c r="Y668" t="s">
        <v>7360</v>
      </c>
      <c r="Z668" t="s">
        <v>7360</v>
      </c>
      <c r="AA668" t="s">
        <v>7362</v>
      </c>
      <c r="AB668" t="s">
        <v>7360</v>
      </c>
      <c r="AC668" t="s">
        <v>7360</v>
      </c>
      <c r="AD668" t="s">
        <v>7360</v>
      </c>
      <c r="AE668" t="s">
        <v>7360</v>
      </c>
      <c r="AF668" t="s">
        <v>1684</v>
      </c>
      <c r="AG668">
        <v>0</v>
      </c>
      <c r="AH668">
        <v>0</v>
      </c>
      <c r="AI668">
        <v>0</v>
      </c>
      <c r="AJ668">
        <v>0</v>
      </c>
      <c r="AK668">
        <v>0</v>
      </c>
      <c r="AL668" t="s">
        <v>7360</v>
      </c>
      <c r="AM668">
        <v>0</v>
      </c>
      <c r="AN668" s="20">
        <v>45002</v>
      </c>
      <c r="AO668" s="20">
        <v>45002</v>
      </c>
      <c r="AP668" s="20">
        <v>45002</v>
      </c>
      <c r="AQ668">
        <v>0</v>
      </c>
      <c r="AR668">
        <v>0</v>
      </c>
      <c r="AS668">
        <v>0</v>
      </c>
      <c r="AT668">
        <v>0</v>
      </c>
      <c r="AU668">
        <v>0</v>
      </c>
      <c r="AV668" t="s">
        <v>7360</v>
      </c>
      <c r="AW668">
        <v>0</v>
      </c>
      <c r="AX668" t="s">
        <v>7360</v>
      </c>
      <c r="AY668" t="s">
        <v>7363</v>
      </c>
      <c r="BA668">
        <v>0</v>
      </c>
      <c r="BB668" s="20">
        <v>45002</v>
      </c>
      <c r="BC668">
        <v>0</v>
      </c>
      <c r="BD668" t="s">
        <v>7360</v>
      </c>
      <c r="BF668" s="20">
        <v>45002</v>
      </c>
      <c r="BG668">
        <v>0</v>
      </c>
      <c r="BH668" t="s">
        <v>7363</v>
      </c>
      <c r="BJ668" t="s">
        <v>7362</v>
      </c>
      <c r="BK668">
        <v>169</v>
      </c>
      <c r="BL668">
        <v>11</v>
      </c>
      <c r="BM668">
        <v>1</v>
      </c>
      <c r="BN668" t="s">
        <v>7364</v>
      </c>
      <c r="BO668">
        <v>169</v>
      </c>
      <c r="BP668">
        <v>11</v>
      </c>
      <c r="BQ668">
        <v>1</v>
      </c>
      <c r="BR668" t="s">
        <v>7364</v>
      </c>
      <c r="BS668" t="s">
        <v>7365</v>
      </c>
      <c r="BT668" t="s">
        <v>7360</v>
      </c>
      <c r="BU668" t="s">
        <v>7360</v>
      </c>
      <c r="BV668" t="s">
        <v>7360</v>
      </c>
      <c r="BX668" t="s">
        <v>7391</v>
      </c>
      <c r="BY668">
        <v>74</v>
      </c>
      <c r="BZ668" t="s">
        <v>7360</v>
      </c>
      <c r="CA668" t="s">
        <v>7360</v>
      </c>
      <c r="CB668">
        <v>3380666</v>
      </c>
      <c r="CC668" s="21">
        <v>45002.587858796294</v>
      </c>
      <c r="CE668" t="s">
        <v>7392</v>
      </c>
      <c r="CF668">
        <v>1100101</v>
      </c>
      <c r="CG668">
        <v>51669</v>
      </c>
      <c r="CH668">
        <v>51669</v>
      </c>
      <c r="CI668" s="21">
        <v>45002.593321759261</v>
      </c>
      <c r="CJ668" t="s">
        <v>7406</v>
      </c>
      <c r="CK668" t="s">
        <v>7406</v>
      </c>
      <c r="CL668" t="s">
        <v>7407</v>
      </c>
      <c r="CM668" t="s">
        <v>7407</v>
      </c>
      <c r="CS668" t="s">
        <v>7361</v>
      </c>
      <c r="CT668" t="s">
        <v>7362</v>
      </c>
      <c r="CU668" t="s">
        <v>7362</v>
      </c>
      <c r="CV668" t="s">
        <v>7362</v>
      </c>
      <c r="CW668" t="s">
        <v>7362</v>
      </c>
      <c r="CX668">
        <v>3420000</v>
      </c>
      <c r="DA668">
        <v>0</v>
      </c>
    </row>
    <row r="669" spans="1:106" x14ac:dyDescent="0.3">
      <c r="A669">
        <v>1357</v>
      </c>
      <c r="B669" t="s">
        <v>7405</v>
      </c>
      <c r="C669">
        <v>701</v>
      </c>
      <c r="D669" s="20">
        <v>45002</v>
      </c>
      <c r="E669" t="s">
        <v>7372</v>
      </c>
      <c r="F669" t="s">
        <v>4987</v>
      </c>
      <c r="G669" t="s">
        <v>7357</v>
      </c>
      <c r="H669">
        <v>1</v>
      </c>
      <c r="I669" t="s">
        <v>7358</v>
      </c>
      <c r="J669">
        <v>1</v>
      </c>
      <c r="K669" s="20">
        <v>45002</v>
      </c>
      <c r="L669" s="23">
        <v>708000</v>
      </c>
      <c r="M669" t="s">
        <v>7359</v>
      </c>
      <c r="N669" t="s">
        <v>7360</v>
      </c>
      <c r="O669">
        <v>0</v>
      </c>
      <c r="P669">
        <v>13105</v>
      </c>
      <c r="Q669">
        <v>453092</v>
      </c>
      <c r="R669">
        <v>0</v>
      </c>
      <c r="S669">
        <v>20230317</v>
      </c>
      <c r="T669">
        <v>0</v>
      </c>
      <c r="U669" t="s">
        <v>7362</v>
      </c>
      <c r="V669" t="s">
        <v>7360</v>
      </c>
      <c r="W669" t="s">
        <v>7360</v>
      </c>
      <c r="X669" t="s">
        <v>7360</v>
      </c>
      <c r="Y669" t="s">
        <v>7360</v>
      </c>
      <c r="Z669" t="s">
        <v>7360</v>
      </c>
      <c r="AA669" t="s">
        <v>7362</v>
      </c>
      <c r="AB669" t="s">
        <v>7360</v>
      </c>
      <c r="AC669" t="s">
        <v>7360</v>
      </c>
      <c r="AD669" t="s">
        <v>7360</v>
      </c>
      <c r="AE669" t="s">
        <v>7360</v>
      </c>
      <c r="AF669" t="s">
        <v>1684</v>
      </c>
      <c r="AG669">
        <v>0</v>
      </c>
      <c r="AH669">
        <v>0</v>
      </c>
      <c r="AI669">
        <v>0</v>
      </c>
      <c r="AJ669">
        <v>0</v>
      </c>
      <c r="AK669">
        <v>0</v>
      </c>
      <c r="AL669" t="s">
        <v>7360</v>
      </c>
      <c r="AM669">
        <v>0</v>
      </c>
      <c r="AN669" s="20">
        <v>45002</v>
      </c>
      <c r="AO669" s="20">
        <v>45002</v>
      </c>
      <c r="AP669" s="20">
        <v>45002</v>
      </c>
      <c r="AQ669">
        <v>0</v>
      </c>
      <c r="AR669">
        <v>0</v>
      </c>
      <c r="AS669">
        <v>0</v>
      </c>
      <c r="AT669">
        <v>0</v>
      </c>
      <c r="AU669">
        <v>0</v>
      </c>
      <c r="AV669" t="s">
        <v>7360</v>
      </c>
      <c r="AW669">
        <v>0</v>
      </c>
      <c r="AX669" t="s">
        <v>7360</v>
      </c>
      <c r="AY669" t="s">
        <v>7362</v>
      </c>
      <c r="BA669">
        <v>0</v>
      </c>
      <c r="BB669" s="20">
        <v>45002</v>
      </c>
      <c r="BC669">
        <v>0</v>
      </c>
      <c r="BD669" t="s">
        <v>7360</v>
      </c>
      <c r="BF669" s="20">
        <v>45002</v>
      </c>
      <c r="BG669">
        <v>0</v>
      </c>
      <c r="BH669" t="s">
        <v>1684</v>
      </c>
      <c r="BJ669" t="s">
        <v>7362</v>
      </c>
      <c r="BK669">
        <v>169</v>
      </c>
      <c r="BL669">
        <v>11</v>
      </c>
      <c r="BM669">
        <v>1</v>
      </c>
      <c r="BN669" t="s">
        <v>7364</v>
      </c>
      <c r="BO669">
        <v>169</v>
      </c>
      <c r="BP669">
        <v>11</v>
      </c>
      <c r="BQ669">
        <v>1</v>
      </c>
      <c r="BR669" t="s">
        <v>7364</v>
      </c>
      <c r="BS669" t="s">
        <v>7382</v>
      </c>
      <c r="BT669" t="s">
        <v>7360</v>
      </c>
      <c r="BU669" t="s">
        <v>7360</v>
      </c>
      <c r="BV669" t="s">
        <v>7360</v>
      </c>
      <c r="BX669" t="s">
        <v>7391</v>
      </c>
      <c r="BY669">
        <v>74</v>
      </c>
      <c r="BZ669" t="s">
        <v>7360</v>
      </c>
      <c r="CA669" t="s">
        <v>7360</v>
      </c>
      <c r="CB669">
        <v>3380666</v>
      </c>
      <c r="CC669" s="21">
        <v>45002.600208333337</v>
      </c>
      <c r="CE669" t="s">
        <v>7392</v>
      </c>
      <c r="CF669">
        <v>1100101</v>
      </c>
      <c r="CG669">
        <v>51669</v>
      </c>
      <c r="CH669">
        <v>51669</v>
      </c>
      <c r="CI669" s="21">
        <v>45015.578958333332</v>
      </c>
      <c r="CJ669" t="s">
        <v>7406</v>
      </c>
      <c r="CK669" t="s">
        <v>7406</v>
      </c>
      <c r="CL669" t="s">
        <v>7407</v>
      </c>
      <c r="CM669" t="s">
        <v>7407</v>
      </c>
      <c r="CS669" t="s">
        <v>7361</v>
      </c>
      <c r="CT669" t="s">
        <v>7362</v>
      </c>
      <c r="CU669" t="s">
        <v>7362</v>
      </c>
      <c r="CV669" t="s">
        <v>7362</v>
      </c>
      <c r="CW669" t="s">
        <v>7362</v>
      </c>
      <c r="CX669">
        <v>708000</v>
      </c>
      <c r="DA669">
        <v>0</v>
      </c>
    </row>
    <row r="670" spans="1:106" x14ac:dyDescent="0.3">
      <c r="A670">
        <v>1354</v>
      </c>
      <c r="B670" t="s">
        <v>7396</v>
      </c>
      <c r="C670">
        <v>702</v>
      </c>
      <c r="D670" s="20">
        <v>45002</v>
      </c>
      <c r="E670" t="s">
        <v>7372</v>
      </c>
      <c r="F670" t="s">
        <v>4992</v>
      </c>
      <c r="G670" t="s">
        <v>7370</v>
      </c>
      <c r="H670">
        <v>1</v>
      </c>
      <c r="I670" t="s">
        <v>7358</v>
      </c>
      <c r="J670">
        <v>1</v>
      </c>
      <c r="K670" s="20">
        <v>45002</v>
      </c>
      <c r="L670" s="23">
        <v>2940000</v>
      </c>
      <c r="M670" t="s">
        <v>7359</v>
      </c>
      <c r="N670" t="s">
        <v>7360</v>
      </c>
      <c r="O670">
        <v>0</v>
      </c>
      <c r="P670">
        <v>13234</v>
      </c>
      <c r="Q670">
        <v>455026</v>
      </c>
      <c r="R670">
        <v>0</v>
      </c>
      <c r="S670">
        <v>20230317</v>
      </c>
      <c r="T670">
        <v>0</v>
      </c>
      <c r="U670" t="s">
        <v>7362</v>
      </c>
      <c r="V670" t="s">
        <v>7360</v>
      </c>
      <c r="W670" t="s">
        <v>7360</v>
      </c>
      <c r="X670" t="s">
        <v>7360</v>
      </c>
      <c r="Y670" t="s">
        <v>7360</v>
      </c>
      <c r="Z670" t="s">
        <v>7360</v>
      </c>
      <c r="AA670" t="s">
        <v>7362</v>
      </c>
      <c r="AB670" t="s">
        <v>7360</v>
      </c>
      <c r="AC670" t="s">
        <v>7360</v>
      </c>
      <c r="AD670" t="s">
        <v>7360</v>
      </c>
      <c r="AE670" t="s">
        <v>7360</v>
      </c>
      <c r="AF670" t="s">
        <v>1684</v>
      </c>
      <c r="AG670">
        <v>0</v>
      </c>
      <c r="AH670">
        <v>0</v>
      </c>
      <c r="AI670">
        <v>0</v>
      </c>
      <c r="AJ670">
        <v>0</v>
      </c>
      <c r="AK670">
        <v>0</v>
      </c>
      <c r="AL670" t="s">
        <v>7360</v>
      </c>
      <c r="AM670">
        <v>0</v>
      </c>
      <c r="AN670" s="20">
        <v>45002</v>
      </c>
      <c r="AO670" s="20">
        <v>45002</v>
      </c>
      <c r="AP670" s="20">
        <v>45002</v>
      </c>
      <c r="AQ670">
        <v>0</v>
      </c>
      <c r="AR670">
        <v>0</v>
      </c>
      <c r="AS670">
        <v>0</v>
      </c>
      <c r="AT670">
        <v>0</v>
      </c>
      <c r="AU670">
        <v>0</v>
      </c>
      <c r="AV670" t="s">
        <v>7360</v>
      </c>
      <c r="AW670">
        <v>0</v>
      </c>
      <c r="AX670" t="s">
        <v>7360</v>
      </c>
      <c r="AY670" t="s">
        <v>7362</v>
      </c>
      <c r="BA670">
        <v>0</v>
      </c>
      <c r="BB670" s="20">
        <v>45002</v>
      </c>
      <c r="BC670">
        <v>0</v>
      </c>
      <c r="BD670" t="s">
        <v>7360</v>
      </c>
      <c r="BF670" s="20">
        <v>45002</v>
      </c>
      <c r="BG670">
        <v>0</v>
      </c>
      <c r="BH670" t="s">
        <v>7363</v>
      </c>
      <c r="BJ670" t="s">
        <v>7362</v>
      </c>
      <c r="BK670">
        <v>169</v>
      </c>
      <c r="BL670">
        <v>11</v>
      </c>
      <c r="BM670">
        <v>1</v>
      </c>
      <c r="BN670" t="s">
        <v>7364</v>
      </c>
      <c r="BO670">
        <v>0</v>
      </c>
      <c r="BP670">
        <v>0</v>
      </c>
      <c r="BQ670">
        <v>0</v>
      </c>
      <c r="BR670">
        <v>0</v>
      </c>
      <c r="BS670" t="s">
        <v>7411</v>
      </c>
      <c r="BT670" t="s">
        <v>7360</v>
      </c>
      <c r="BU670" t="s">
        <v>7360</v>
      </c>
      <c r="BV670" t="s">
        <v>7360</v>
      </c>
      <c r="BX670" t="s">
        <v>7391</v>
      </c>
      <c r="BY670">
        <v>74</v>
      </c>
      <c r="BZ670" t="s">
        <v>7360</v>
      </c>
      <c r="CA670" t="s">
        <v>7360</v>
      </c>
      <c r="CB670">
        <v>5558210</v>
      </c>
      <c r="CC670" s="21">
        <v>45002.624201388891</v>
      </c>
      <c r="CE670" t="s">
        <v>7392</v>
      </c>
      <c r="CF670">
        <v>1100101</v>
      </c>
      <c r="CG670">
        <v>53575</v>
      </c>
      <c r="CH670">
        <v>53575</v>
      </c>
      <c r="CI670" s="21">
        <v>45002.625590277778</v>
      </c>
      <c r="CJ670" t="s">
        <v>7393</v>
      </c>
      <c r="CK670" t="s">
        <v>7393</v>
      </c>
      <c r="CL670" t="s">
        <v>7394</v>
      </c>
      <c r="CM670" t="s">
        <v>7394</v>
      </c>
      <c r="CS670" t="s">
        <v>7361</v>
      </c>
      <c r="CT670" t="s">
        <v>7362</v>
      </c>
      <c r="CU670" t="s">
        <v>7362</v>
      </c>
      <c r="CV670" t="s">
        <v>7362</v>
      </c>
      <c r="CW670" t="s">
        <v>7362</v>
      </c>
      <c r="CX670">
        <v>2940000</v>
      </c>
      <c r="DA670">
        <v>0</v>
      </c>
    </row>
    <row r="671" spans="1:106" x14ac:dyDescent="0.3">
      <c r="A671">
        <v>1362</v>
      </c>
      <c r="B671" t="s">
        <v>7371</v>
      </c>
      <c r="C671">
        <v>703</v>
      </c>
      <c r="D671" s="20">
        <v>45002</v>
      </c>
      <c r="E671" t="s">
        <v>7356</v>
      </c>
      <c r="F671" t="s">
        <v>4923</v>
      </c>
      <c r="G671" t="s">
        <v>7357</v>
      </c>
      <c r="H671">
        <v>1</v>
      </c>
      <c r="I671" t="s">
        <v>7358</v>
      </c>
      <c r="J671">
        <v>1</v>
      </c>
      <c r="K671" s="20">
        <v>45002</v>
      </c>
      <c r="L671" s="23">
        <v>1973568</v>
      </c>
      <c r="M671" t="s">
        <v>7359</v>
      </c>
      <c r="N671" t="s">
        <v>7360</v>
      </c>
      <c r="O671">
        <v>0</v>
      </c>
      <c r="P671">
        <v>12944</v>
      </c>
      <c r="Q671">
        <v>454032</v>
      </c>
      <c r="R671">
        <v>0</v>
      </c>
      <c r="S671">
        <v>20230317</v>
      </c>
      <c r="T671">
        <v>0</v>
      </c>
      <c r="U671" t="s">
        <v>7361</v>
      </c>
      <c r="V671" t="s">
        <v>7360</v>
      </c>
      <c r="W671" t="s">
        <v>7360</v>
      </c>
      <c r="X671" t="s">
        <v>7360</v>
      </c>
      <c r="Y671" t="s">
        <v>7360</v>
      </c>
      <c r="Z671" t="s">
        <v>7360</v>
      </c>
      <c r="AA671" t="s">
        <v>7362</v>
      </c>
      <c r="AB671" t="s">
        <v>7360</v>
      </c>
      <c r="AC671" t="s">
        <v>7360</v>
      </c>
      <c r="AD671" t="s">
        <v>7360</v>
      </c>
      <c r="AE671" t="s">
        <v>7360</v>
      </c>
      <c r="AF671" t="s">
        <v>1684</v>
      </c>
      <c r="AG671">
        <v>0</v>
      </c>
      <c r="AH671">
        <v>0</v>
      </c>
      <c r="AI671">
        <v>0</v>
      </c>
      <c r="AJ671">
        <v>0</v>
      </c>
      <c r="AK671">
        <v>0</v>
      </c>
      <c r="AL671" t="s">
        <v>7360</v>
      </c>
      <c r="AM671">
        <v>0</v>
      </c>
      <c r="AN671" s="20">
        <v>45002</v>
      </c>
      <c r="AO671" s="20">
        <v>45002</v>
      </c>
      <c r="AP671" s="20">
        <v>45002</v>
      </c>
      <c r="AQ671">
        <v>0</v>
      </c>
      <c r="AR671">
        <v>0</v>
      </c>
      <c r="AS671">
        <v>0</v>
      </c>
      <c r="AT671">
        <v>0</v>
      </c>
      <c r="AU671">
        <v>0</v>
      </c>
      <c r="AV671" t="s">
        <v>7360</v>
      </c>
      <c r="AW671">
        <v>0</v>
      </c>
      <c r="AX671" t="s">
        <v>7360</v>
      </c>
      <c r="AY671" t="s">
        <v>7363</v>
      </c>
      <c r="BA671">
        <v>0</v>
      </c>
      <c r="BB671" s="20">
        <v>45002</v>
      </c>
      <c r="BC671">
        <v>0</v>
      </c>
      <c r="BD671" t="s">
        <v>7360</v>
      </c>
      <c r="BF671" s="20">
        <v>45002</v>
      </c>
      <c r="BG671">
        <v>0</v>
      </c>
      <c r="BH671" t="s">
        <v>7363</v>
      </c>
      <c r="BJ671" t="s">
        <v>7362</v>
      </c>
      <c r="BK671">
        <v>169</v>
      </c>
      <c r="BL671">
        <v>11</v>
      </c>
      <c r="BM671">
        <v>1</v>
      </c>
      <c r="BN671" t="s">
        <v>7364</v>
      </c>
      <c r="BO671">
        <v>169</v>
      </c>
      <c r="BP671">
        <v>11</v>
      </c>
      <c r="BQ671">
        <v>1</v>
      </c>
      <c r="BR671" t="s">
        <v>7364</v>
      </c>
      <c r="BS671" t="s">
        <v>7374</v>
      </c>
      <c r="BT671" t="s">
        <v>7360</v>
      </c>
      <c r="BU671" t="s">
        <v>7360</v>
      </c>
      <c r="BV671" t="s">
        <v>7360</v>
      </c>
      <c r="BX671" t="s">
        <v>7391</v>
      </c>
      <c r="BY671">
        <v>74</v>
      </c>
      <c r="BZ671" t="s">
        <v>7360</v>
      </c>
      <c r="CA671" t="s">
        <v>7360</v>
      </c>
      <c r="CB671">
        <v>3380666</v>
      </c>
      <c r="CC671" s="21">
        <v>45002.640752314815</v>
      </c>
      <c r="CE671" t="s">
        <v>7392</v>
      </c>
      <c r="CF671">
        <v>1100101</v>
      </c>
      <c r="CG671">
        <v>51669</v>
      </c>
      <c r="CH671">
        <v>51669</v>
      </c>
      <c r="CI671" s="21">
        <v>45002.642905092594</v>
      </c>
      <c r="CJ671" t="s">
        <v>7406</v>
      </c>
      <c r="CK671" t="s">
        <v>7406</v>
      </c>
      <c r="CL671" t="s">
        <v>7407</v>
      </c>
      <c r="CM671" t="s">
        <v>7407</v>
      </c>
      <c r="CS671" t="s">
        <v>7361</v>
      </c>
      <c r="CT671" t="s">
        <v>7362</v>
      </c>
      <c r="CU671" t="s">
        <v>7362</v>
      </c>
      <c r="CV671" t="s">
        <v>7362</v>
      </c>
      <c r="CW671" t="s">
        <v>7362</v>
      </c>
      <c r="CX671">
        <v>1973568</v>
      </c>
      <c r="DA671">
        <v>0</v>
      </c>
    </row>
    <row r="672" spans="1:106" x14ac:dyDescent="0.3">
      <c r="A672">
        <v>1366</v>
      </c>
      <c r="B672" t="s">
        <v>7380</v>
      </c>
      <c r="C672">
        <v>704</v>
      </c>
      <c r="D672" s="20">
        <v>45002</v>
      </c>
      <c r="E672" t="s">
        <v>7372</v>
      </c>
      <c r="F672" t="s">
        <v>4928</v>
      </c>
      <c r="G672" t="s">
        <v>7357</v>
      </c>
      <c r="H672">
        <v>1</v>
      </c>
      <c r="I672" t="s">
        <v>7358</v>
      </c>
      <c r="J672">
        <v>1</v>
      </c>
      <c r="K672" s="20">
        <v>45002</v>
      </c>
      <c r="L672" s="23">
        <v>3213000</v>
      </c>
      <c r="M672" t="s">
        <v>7359</v>
      </c>
      <c r="N672" t="s">
        <v>7360</v>
      </c>
      <c r="O672">
        <v>0</v>
      </c>
      <c r="P672">
        <v>13084</v>
      </c>
      <c r="Q672">
        <v>453077</v>
      </c>
      <c r="R672">
        <v>0</v>
      </c>
      <c r="S672">
        <v>20230317</v>
      </c>
      <c r="T672">
        <v>0</v>
      </c>
      <c r="U672" t="s">
        <v>7362</v>
      </c>
      <c r="V672" t="s">
        <v>7360</v>
      </c>
      <c r="W672" t="s">
        <v>7360</v>
      </c>
      <c r="X672" t="s">
        <v>7360</v>
      </c>
      <c r="Y672" t="s">
        <v>7360</v>
      </c>
      <c r="Z672" t="s">
        <v>7360</v>
      </c>
      <c r="AA672" t="s">
        <v>7362</v>
      </c>
      <c r="AB672" t="s">
        <v>7360</v>
      </c>
      <c r="AC672" t="s">
        <v>7360</v>
      </c>
      <c r="AD672" t="s">
        <v>7360</v>
      </c>
      <c r="AE672" t="s">
        <v>7360</v>
      </c>
      <c r="AF672" t="s">
        <v>1684</v>
      </c>
      <c r="AG672">
        <v>0</v>
      </c>
      <c r="AH672">
        <v>0</v>
      </c>
      <c r="AI672">
        <v>0</v>
      </c>
      <c r="AJ672">
        <v>0</v>
      </c>
      <c r="AK672">
        <v>0</v>
      </c>
      <c r="AL672" t="s">
        <v>7360</v>
      </c>
      <c r="AM672">
        <v>0</v>
      </c>
      <c r="AN672" s="20">
        <v>45002</v>
      </c>
      <c r="AO672" s="20">
        <v>45002</v>
      </c>
      <c r="AP672" s="20">
        <v>45002</v>
      </c>
      <c r="AQ672">
        <v>0</v>
      </c>
      <c r="AR672">
        <v>0</v>
      </c>
      <c r="AS672">
        <v>0</v>
      </c>
      <c r="AT672">
        <v>0</v>
      </c>
      <c r="AU672">
        <v>0</v>
      </c>
      <c r="AV672" t="s">
        <v>7360</v>
      </c>
      <c r="AW672">
        <v>0</v>
      </c>
      <c r="AX672" t="s">
        <v>7360</v>
      </c>
      <c r="AY672" t="s">
        <v>7362</v>
      </c>
      <c r="BA672">
        <v>0</v>
      </c>
      <c r="BB672" s="20">
        <v>45002</v>
      </c>
      <c r="BC672">
        <v>0</v>
      </c>
      <c r="BD672" t="s">
        <v>7360</v>
      </c>
      <c r="BF672" s="20">
        <v>45002</v>
      </c>
      <c r="BG672">
        <v>0</v>
      </c>
      <c r="BH672" t="s">
        <v>7363</v>
      </c>
      <c r="BJ672" t="s">
        <v>7362</v>
      </c>
      <c r="BK672">
        <v>169</v>
      </c>
      <c r="BL672">
        <v>11</v>
      </c>
      <c r="BM672">
        <v>1</v>
      </c>
      <c r="BN672" t="s">
        <v>7364</v>
      </c>
      <c r="BO672">
        <v>0</v>
      </c>
      <c r="BP672">
        <v>0</v>
      </c>
      <c r="BQ672">
        <v>0</v>
      </c>
      <c r="BR672">
        <v>0</v>
      </c>
      <c r="BS672" t="s">
        <v>7404</v>
      </c>
      <c r="BT672" t="s">
        <v>7360</v>
      </c>
      <c r="BU672" t="s">
        <v>7360</v>
      </c>
      <c r="BV672" t="s">
        <v>7360</v>
      </c>
      <c r="BX672" t="s">
        <v>7391</v>
      </c>
      <c r="BY672">
        <v>74</v>
      </c>
      <c r="BZ672" t="s">
        <v>7360</v>
      </c>
      <c r="CA672" t="s">
        <v>7360</v>
      </c>
      <c r="CB672">
        <v>5558210</v>
      </c>
      <c r="CC672" s="21">
        <v>45002.643587962964</v>
      </c>
      <c r="CE672" t="s">
        <v>7392</v>
      </c>
      <c r="CF672">
        <v>1100101</v>
      </c>
      <c r="CG672">
        <v>53575</v>
      </c>
      <c r="CH672">
        <v>53575</v>
      </c>
      <c r="CI672" s="21">
        <v>45015.58085648148</v>
      </c>
      <c r="CJ672" t="s">
        <v>7393</v>
      </c>
      <c r="CK672" t="s">
        <v>7393</v>
      </c>
      <c r="CL672" t="s">
        <v>7394</v>
      </c>
      <c r="CM672" t="s">
        <v>7394</v>
      </c>
      <c r="CS672" t="s">
        <v>7361</v>
      </c>
      <c r="CT672" t="s">
        <v>7362</v>
      </c>
      <c r="CU672" t="s">
        <v>7362</v>
      </c>
      <c r="CV672" t="s">
        <v>7362</v>
      </c>
      <c r="CW672" t="s">
        <v>7362</v>
      </c>
      <c r="CX672">
        <v>3213000</v>
      </c>
      <c r="DA672">
        <v>0</v>
      </c>
    </row>
    <row r="673" spans="1:110" x14ac:dyDescent="0.3">
      <c r="A673">
        <v>1364</v>
      </c>
      <c r="B673" t="s">
        <v>7355</v>
      </c>
      <c r="C673">
        <v>705</v>
      </c>
      <c r="D673" s="20">
        <v>45002</v>
      </c>
      <c r="E673" t="s">
        <v>7372</v>
      </c>
      <c r="F673" t="s">
        <v>4933</v>
      </c>
      <c r="G673" t="s">
        <v>7357</v>
      </c>
      <c r="H673">
        <v>1</v>
      </c>
      <c r="I673" t="s">
        <v>7358</v>
      </c>
      <c r="J673">
        <v>1</v>
      </c>
      <c r="K673" s="20">
        <v>45002</v>
      </c>
      <c r="L673" s="23">
        <v>4124769</v>
      </c>
      <c r="M673" t="s">
        <v>7359</v>
      </c>
      <c r="N673" t="s">
        <v>7360</v>
      </c>
      <c r="O673">
        <v>0</v>
      </c>
      <c r="P673">
        <v>13065</v>
      </c>
      <c r="Q673">
        <v>453071</v>
      </c>
      <c r="R673">
        <v>0</v>
      </c>
      <c r="S673">
        <v>20230317</v>
      </c>
      <c r="T673">
        <v>0</v>
      </c>
      <c r="U673" t="s">
        <v>7362</v>
      </c>
      <c r="V673" t="s">
        <v>7360</v>
      </c>
      <c r="W673" t="s">
        <v>7360</v>
      </c>
      <c r="X673" t="s">
        <v>7360</v>
      </c>
      <c r="Y673" t="s">
        <v>7360</v>
      </c>
      <c r="Z673" t="s">
        <v>7360</v>
      </c>
      <c r="AA673" t="s">
        <v>7362</v>
      </c>
      <c r="AB673" t="s">
        <v>7360</v>
      </c>
      <c r="AC673" t="s">
        <v>7360</v>
      </c>
      <c r="AD673" t="s">
        <v>7360</v>
      </c>
      <c r="AE673" t="s">
        <v>7360</v>
      </c>
      <c r="AF673" t="s">
        <v>1684</v>
      </c>
      <c r="AG673">
        <v>0</v>
      </c>
      <c r="AH673">
        <v>0</v>
      </c>
      <c r="AI673">
        <v>0</v>
      </c>
      <c r="AJ673">
        <v>0</v>
      </c>
      <c r="AK673">
        <v>0</v>
      </c>
      <c r="AL673" t="s">
        <v>7360</v>
      </c>
      <c r="AM673">
        <v>0</v>
      </c>
      <c r="AN673" s="20">
        <v>45002</v>
      </c>
      <c r="AO673" s="20">
        <v>45002</v>
      </c>
      <c r="AP673" s="20">
        <v>45002</v>
      </c>
      <c r="AQ673">
        <v>0</v>
      </c>
      <c r="AR673">
        <v>0</v>
      </c>
      <c r="AS673">
        <v>0</v>
      </c>
      <c r="AT673">
        <v>0</v>
      </c>
      <c r="AU673">
        <v>0</v>
      </c>
      <c r="AV673" t="s">
        <v>7360</v>
      </c>
      <c r="AW673">
        <v>0</v>
      </c>
      <c r="AX673" t="s">
        <v>7360</v>
      </c>
      <c r="AY673" t="s">
        <v>7362</v>
      </c>
      <c r="BA673">
        <v>0</v>
      </c>
      <c r="BB673" s="20">
        <v>45002</v>
      </c>
      <c r="BC673">
        <v>0</v>
      </c>
      <c r="BD673" t="s">
        <v>7360</v>
      </c>
      <c r="BF673" s="20">
        <v>45002</v>
      </c>
      <c r="BG673">
        <v>0</v>
      </c>
      <c r="BH673" t="s">
        <v>7363</v>
      </c>
      <c r="BJ673" t="s">
        <v>7362</v>
      </c>
      <c r="BK673">
        <v>169</v>
      </c>
      <c r="BL673">
        <v>11</v>
      </c>
      <c r="BM673">
        <v>1</v>
      </c>
      <c r="BN673" t="s">
        <v>7364</v>
      </c>
      <c r="BO673">
        <v>169</v>
      </c>
      <c r="BP673">
        <v>11</v>
      </c>
      <c r="BQ673">
        <v>1</v>
      </c>
      <c r="BR673" t="s">
        <v>7364</v>
      </c>
      <c r="BS673" t="s">
        <v>7365</v>
      </c>
      <c r="BT673" t="s">
        <v>7360</v>
      </c>
      <c r="BU673" t="s">
        <v>7360</v>
      </c>
      <c r="BV673" t="s">
        <v>7360</v>
      </c>
      <c r="BX673" t="s">
        <v>7391</v>
      </c>
      <c r="BY673">
        <v>74</v>
      </c>
      <c r="BZ673" t="s">
        <v>7360</v>
      </c>
      <c r="CA673" t="s">
        <v>7360</v>
      </c>
      <c r="CB673" t="s">
        <v>7360</v>
      </c>
      <c r="CC673" s="21">
        <v>45002.644490740742</v>
      </c>
      <c r="CE673" t="s">
        <v>7392</v>
      </c>
      <c r="CF673">
        <v>1100101</v>
      </c>
      <c r="CG673">
        <v>50947</v>
      </c>
      <c r="CH673">
        <v>50947</v>
      </c>
      <c r="CI673" s="21">
        <v>45002.647164351853</v>
      </c>
      <c r="CJ673" t="s">
        <v>7442</v>
      </c>
      <c r="CK673" t="s">
        <v>7442</v>
      </c>
      <c r="CL673" t="s">
        <v>7443</v>
      </c>
      <c r="CM673" t="s">
        <v>7443</v>
      </c>
      <c r="CS673" t="s">
        <v>7361</v>
      </c>
      <c r="CT673" t="s">
        <v>7362</v>
      </c>
      <c r="CU673" t="s">
        <v>7362</v>
      </c>
      <c r="CV673" t="s">
        <v>7362</v>
      </c>
      <c r="CW673" t="s">
        <v>7362</v>
      </c>
      <c r="CX673">
        <v>4124769</v>
      </c>
      <c r="DA673">
        <v>0</v>
      </c>
    </row>
    <row r="674" spans="1:110" x14ac:dyDescent="0.3">
      <c r="A674">
        <v>1354</v>
      </c>
      <c r="B674" t="s">
        <v>7396</v>
      </c>
      <c r="C674">
        <v>706</v>
      </c>
      <c r="D674" s="20">
        <v>45002</v>
      </c>
      <c r="E674" t="s">
        <v>7372</v>
      </c>
      <c r="F674" t="s">
        <v>4939</v>
      </c>
      <c r="G674" t="s">
        <v>7370</v>
      </c>
      <c r="H674">
        <v>1</v>
      </c>
      <c r="I674" t="s">
        <v>7358</v>
      </c>
      <c r="J674">
        <v>1</v>
      </c>
      <c r="K674" s="20">
        <v>45002</v>
      </c>
      <c r="L674" s="23">
        <v>2520000</v>
      </c>
      <c r="M674" t="s">
        <v>7359</v>
      </c>
      <c r="N674" t="s">
        <v>7360</v>
      </c>
      <c r="O674">
        <v>0</v>
      </c>
      <c r="P674">
        <v>13261</v>
      </c>
      <c r="Q674">
        <v>455037</v>
      </c>
      <c r="R674">
        <v>0</v>
      </c>
      <c r="S674">
        <v>20230317</v>
      </c>
      <c r="T674">
        <v>0</v>
      </c>
      <c r="U674" t="s">
        <v>7362</v>
      </c>
      <c r="V674" t="s">
        <v>7360</v>
      </c>
      <c r="W674" t="s">
        <v>7360</v>
      </c>
      <c r="X674" t="s">
        <v>7360</v>
      </c>
      <c r="Y674" t="s">
        <v>7360</v>
      </c>
      <c r="Z674" t="s">
        <v>7360</v>
      </c>
      <c r="AA674" t="s">
        <v>7362</v>
      </c>
      <c r="AB674" t="s">
        <v>7360</v>
      </c>
      <c r="AC674" t="s">
        <v>7360</v>
      </c>
      <c r="AD674" t="s">
        <v>7360</v>
      </c>
      <c r="AE674" t="s">
        <v>7360</v>
      </c>
      <c r="AF674" t="s">
        <v>1684</v>
      </c>
      <c r="AG674">
        <v>0</v>
      </c>
      <c r="AH674">
        <v>0</v>
      </c>
      <c r="AI674">
        <v>0</v>
      </c>
      <c r="AJ674">
        <v>0</v>
      </c>
      <c r="AK674">
        <v>0</v>
      </c>
      <c r="AL674" t="s">
        <v>7360</v>
      </c>
      <c r="AM674">
        <v>0</v>
      </c>
      <c r="AN674" s="20">
        <v>45002</v>
      </c>
      <c r="AO674" s="20">
        <v>45002</v>
      </c>
      <c r="AP674" s="20">
        <v>45002</v>
      </c>
      <c r="AQ674">
        <v>0</v>
      </c>
      <c r="AR674">
        <v>0</v>
      </c>
      <c r="AS674">
        <v>0</v>
      </c>
      <c r="AT674">
        <v>0</v>
      </c>
      <c r="AU674">
        <v>0</v>
      </c>
      <c r="AV674" t="s">
        <v>7360</v>
      </c>
      <c r="AW674">
        <v>0</v>
      </c>
      <c r="AX674" t="s">
        <v>7360</v>
      </c>
      <c r="AY674" t="s">
        <v>7362</v>
      </c>
      <c r="BA674">
        <v>0</v>
      </c>
      <c r="BB674" s="20">
        <v>45002</v>
      </c>
      <c r="BC674">
        <v>0</v>
      </c>
      <c r="BD674" t="s">
        <v>7360</v>
      </c>
      <c r="BF674" s="20">
        <v>45002</v>
      </c>
      <c r="BG674">
        <v>0</v>
      </c>
      <c r="BH674" t="s">
        <v>7363</v>
      </c>
      <c r="BJ674" t="s">
        <v>7362</v>
      </c>
      <c r="BK674">
        <v>169</v>
      </c>
      <c r="BL674">
        <v>11</v>
      </c>
      <c r="BM674">
        <v>1</v>
      </c>
      <c r="BN674" t="s">
        <v>7364</v>
      </c>
      <c r="BO674">
        <v>0</v>
      </c>
      <c r="BP674">
        <v>0</v>
      </c>
      <c r="BQ674">
        <v>0</v>
      </c>
      <c r="BR674">
        <v>0</v>
      </c>
      <c r="BS674" t="s">
        <v>7411</v>
      </c>
      <c r="BT674" t="s">
        <v>7360</v>
      </c>
      <c r="BU674" t="s">
        <v>7360</v>
      </c>
      <c r="BV674" t="s">
        <v>7360</v>
      </c>
      <c r="BX674" t="s">
        <v>7391</v>
      </c>
      <c r="BY674">
        <v>74</v>
      </c>
      <c r="BZ674" t="s">
        <v>7360</v>
      </c>
      <c r="CA674" t="s">
        <v>7360</v>
      </c>
      <c r="CB674">
        <v>5558210</v>
      </c>
      <c r="CC674" s="21">
        <v>45002.64702546296</v>
      </c>
      <c r="CE674" t="s">
        <v>7392</v>
      </c>
      <c r="CF674">
        <v>1100101</v>
      </c>
      <c r="CG674">
        <v>53575</v>
      </c>
      <c r="CH674">
        <v>53575</v>
      </c>
      <c r="CI674" s="21">
        <v>45002.647962962961</v>
      </c>
      <c r="CJ674" t="s">
        <v>7393</v>
      </c>
      <c r="CK674" t="s">
        <v>7393</v>
      </c>
      <c r="CL674" t="s">
        <v>7394</v>
      </c>
      <c r="CM674" t="s">
        <v>7394</v>
      </c>
      <c r="CS674" t="s">
        <v>7361</v>
      </c>
      <c r="CT674" t="s">
        <v>7362</v>
      </c>
      <c r="CU674" t="s">
        <v>7362</v>
      </c>
      <c r="CV674" t="s">
        <v>7362</v>
      </c>
      <c r="CW674" t="s">
        <v>7362</v>
      </c>
      <c r="CX674">
        <v>2520000</v>
      </c>
      <c r="DA674">
        <v>0</v>
      </c>
    </row>
    <row r="675" spans="1:110" x14ac:dyDescent="0.3">
      <c r="A675">
        <v>1354</v>
      </c>
      <c r="B675" t="s">
        <v>7396</v>
      </c>
      <c r="C675">
        <v>707</v>
      </c>
      <c r="D675" s="20">
        <v>45002</v>
      </c>
      <c r="E675" t="s">
        <v>7356</v>
      </c>
      <c r="F675" t="s">
        <v>4944</v>
      </c>
      <c r="G675" t="s">
        <v>7370</v>
      </c>
      <c r="H675">
        <v>1</v>
      </c>
      <c r="I675" t="s">
        <v>7358</v>
      </c>
      <c r="J675">
        <v>1</v>
      </c>
      <c r="K675" s="20">
        <v>45002</v>
      </c>
      <c r="L675" s="23">
        <v>1610000</v>
      </c>
      <c r="M675" t="s">
        <v>7359</v>
      </c>
      <c r="N675" t="s">
        <v>7360</v>
      </c>
      <c r="O675">
        <v>0</v>
      </c>
      <c r="P675">
        <v>13088</v>
      </c>
      <c r="Q675">
        <v>453080</v>
      </c>
      <c r="R675">
        <v>0</v>
      </c>
      <c r="S675">
        <v>20230317</v>
      </c>
      <c r="T675">
        <v>0</v>
      </c>
      <c r="U675" t="s">
        <v>7361</v>
      </c>
      <c r="V675" t="s">
        <v>7360</v>
      </c>
      <c r="W675" t="s">
        <v>7360</v>
      </c>
      <c r="X675" t="s">
        <v>7360</v>
      </c>
      <c r="Y675" t="s">
        <v>7360</v>
      </c>
      <c r="Z675" t="s">
        <v>7360</v>
      </c>
      <c r="AA675" t="s">
        <v>7362</v>
      </c>
      <c r="AB675" t="s">
        <v>7360</v>
      </c>
      <c r="AC675" t="s">
        <v>7360</v>
      </c>
      <c r="AD675" t="s">
        <v>7360</v>
      </c>
      <c r="AE675" t="s">
        <v>7360</v>
      </c>
      <c r="AF675" t="s">
        <v>1684</v>
      </c>
      <c r="AG675">
        <v>0</v>
      </c>
      <c r="AH675">
        <v>0</v>
      </c>
      <c r="AI675">
        <v>0</v>
      </c>
      <c r="AJ675">
        <v>0</v>
      </c>
      <c r="AK675">
        <v>0</v>
      </c>
      <c r="AL675" t="s">
        <v>7360</v>
      </c>
      <c r="AM675">
        <v>0</v>
      </c>
      <c r="AN675" s="20">
        <v>45002</v>
      </c>
      <c r="AO675" s="20">
        <v>45002</v>
      </c>
      <c r="AP675" s="20">
        <v>45002</v>
      </c>
      <c r="AQ675">
        <v>0</v>
      </c>
      <c r="AR675">
        <v>0</v>
      </c>
      <c r="AS675">
        <v>0</v>
      </c>
      <c r="AT675">
        <v>0</v>
      </c>
      <c r="AU675">
        <v>0</v>
      </c>
      <c r="AV675" t="s">
        <v>7360</v>
      </c>
      <c r="AW675">
        <v>0</v>
      </c>
      <c r="AX675" t="s">
        <v>7360</v>
      </c>
      <c r="AY675" t="s">
        <v>7363</v>
      </c>
      <c r="BA675">
        <v>0</v>
      </c>
      <c r="BB675" s="20">
        <v>45002</v>
      </c>
      <c r="BC675">
        <v>0</v>
      </c>
      <c r="BD675" t="s">
        <v>7360</v>
      </c>
      <c r="BF675" s="20">
        <v>45002</v>
      </c>
      <c r="BG675">
        <v>0</v>
      </c>
      <c r="BH675" t="s">
        <v>7363</v>
      </c>
      <c r="BJ675" t="s">
        <v>7362</v>
      </c>
      <c r="BK675">
        <v>169</v>
      </c>
      <c r="BL675">
        <v>11</v>
      </c>
      <c r="BM675">
        <v>1</v>
      </c>
      <c r="BN675" t="s">
        <v>7364</v>
      </c>
      <c r="BO675">
        <v>169</v>
      </c>
      <c r="BP675">
        <v>11</v>
      </c>
      <c r="BQ675">
        <v>1</v>
      </c>
      <c r="BR675" t="s">
        <v>7364</v>
      </c>
      <c r="BS675" t="s">
        <v>7365</v>
      </c>
      <c r="BT675" t="s">
        <v>7360</v>
      </c>
      <c r="BU675" t="s">
        <v>7360</v>
      </c>
      <c r="BV675" t="s">
        <v>7360</v>
      </c>
      <c r="BX675" t="s">
        <v>7391</v>
      </c>
      <c r="BY675">
        <v>74</v>
      </c>
      <c r="BZ675" t="s">
        <v>7360</v>
      </c>
      <c r="CA675" t="s">
        <v>7360</v>
      </c>
      <c r="CB675" t="s">
        <v>7360</v>
      </c>
      <c r="CC675" s="21">
        <v>45002.656145833331</v>
      </c>
      <c r="CE675" t="s">
        <v>7392</v>
      </c>
      <c r="CF675">
        <v>1100101</v>
      </c>
      <c r="CG675">
        <v>50947</v>
      </c>
      <c r="CH675">
        <v>50947</v>
      </c>
      <c r="CI675" s="21">
        <v>45002.659259259257</v>
      </c>
      <c r="CJ675" t="s">
        <v>7442</v>
      </c>
      <c r="CK675" t="s">
        <v>7442</v>
      </c>
      <c r="CL675" t="s">
        <v>7443</v>
      </c>
      <c r="CM675" t="s">
        <v>7443</v>
      </c>
      <c r="CS675" t="s">
        <v>7361</v>
      </c>
      <c r="CT675" t="s">
        <v>7362</v>
      </c>
      <c r="CU675" t="s">
        <v>7362</v>
      </c>
      <c r="CV675" t="s">
        <v>7362</v>
      </c>
      <c r="CW675" t="s">
        <v>7362</v>
      </c>
      <c r="CX675">
        <v>1610000</v>
      </c>
      <c r="DA675">
        <v>0</v>
      </c>
    </row>
    <row r="676" spans="1:110" x14ac:dyDescent="0.3">
      <c r="A676">
        <v>1373</v>
      </c>
      <c r="B676" t="s">
        <v>7383</v>
      </c>
      <c r="C676">
        <v>709</v>
      </c>
      <c r="D676" s="20">
        <v>45006</v>
      </c>
      <c r="E676" t="s">
        <v>7372</v>
      </c>
      <c r="F676" t="s">
        <v>4949</v>
      </c>
      <c r="G676" t="s">
        <v>7357</v>
      </c>
      <c r="H676">
        <v>1</v>
      </c>
      <c r="I676" t="s">
        <v>7358</v>
      </c>
      <c r="J676">
        <v>1</v>
      </c>
      <c r="K676" s="20">
        <v>45006</v>
      </c>
      <c r="L676" s="23">
        <v>417852</v>
      </c>
      <c r="M676" t="s">
        <v>7359</v>
      </c>
      <c r="N676" t="s">
        <v>7360</v>
      </c>
      <c r="O676">
        <v>0</v>
      </c>
      <c r="P676">
        <v>13049</v>
      </c>
      <c r="Q676">
        <v>453062</v>
      </c>
      <c r="R676">
        <v>0</v>
      </c>
      <c r="S676">
        <v>20230321</v>
      </c>
      <c r="T676">
        <v>0</v>
      </c>
      <c r="U676" t="s">
        <v>7362</v>
      </c>
      <c r="V676" t="s">
        <v>7360</v>
      </c>
      <c r="W676" t="s">
        <v>7360</v>
      </c>
      <c r="X676" t="s">
        <v>7360</v>
      </c>
      <c r="Y676" t="s">
        <v>7360</v>
      </c>
      <c r="Z676" t="s">
        <v>7360</v>
      </c>
      <c r="AA676" t="s">
        <v>7362</v>
      </c>
      <c r="AB676" t="s">
        <v>7360</v>
      </c>
      <c r="AC676" t="s">
        <v>7360</v>
      </c>
      <c r="AD676" t="s">
        <v>7360</v>
      </c>
      <c r="AE676" t="s">
        <v>7360</v>
      </c>
      <c r="AF676" t="s">
        <v>1684</v>
      </c>
      <c r="AG676">
        <v>0</v>
      </c>
      <c r="AH676">
        <v>0</v>
      </c>
      <c r="AI676">
        <v>0</v>
      </c>
      <c r="AJ676">
        <v>0</v>
      </c>
      <c r="AK676">
        <v>0</v>
      </c>
      <c r="AL676" t="s">
        <v>7360</v>
      </c>
      <c r="AM676">
        <v>0</v>
      </c>
      <c r="AN676" s="20">
        <v>45006</v>
      </c>
      <c r="AO676" s="20">
        <v>45006</v>
      </c>
      <c r="AP676" s="20">
        <v>45006</v>
      </c>
      <c r="AQ676">
        <v>0</v>
      </c>
      <c r="AR676">
        <v>0</v>
      </c>
      <c r="AS676">
        <v>0</v>
      </c>
      <c r="AT676">
        <v>0</v>
      </c>
      <c r="AU676">
        <v>0</v>
      </c>
      <c r="AV676" t="s">
        <v>7360</v>
      </c>
      <c r="AW676">
        <v>0</v>
      </c>
      <c r="AX676" t="s">
        <v>7360</v>
      </c>
      <c r="AY676" t="s">
        <v>7362</v>
      </c>
      <c r="BA676">
        <v>0</v>
      </c>
      <c r="BB676" s="20">
        <v>45006</v>
      </c>
      <c r="BC676">
        <v>0</v>
      </c>
      <c r="BD676" t="s">
        <v>7360</v>
      </c>
      <c r="BF676" s="20">
        <v>45006</v>
      </c>
      <c r="BG676">
        <v>0</v>
      </c>
      <c r="BH676" t="s">
        <v>7363</v>
      </c>
      <c r="BJ676" t="s">
        <v>7362</v>
      </c>
      <c r="BK676">
        <v>0</v>
      </c>
      <c r="BL676">
        <v>0</v>
      </c>
      <c r="BM676">
        <v>0</v>
      </c>
      <c r="BN676">
        <v>0</v>
      </c>
      <c r="BO676">
        <v>169</v>
      </c>
      <c r="BP676">
        <v>11</v>
      </c>
      <c r="BQ676">
        <v>1</v>
      </c>
      <c r="BR676" t="s">
        <v>7364</v>
      </c>
      <c r="BS676" t="s">
        <v>7375</v>
      </c>
      <c r="BT676" t="s">
        <v>7360</v>
      </c>
      <c r="BU676" t="s">
        <v>7360</v>
      </c>
      <c r="BV676" t="s">
        <v>7360</v>
      </c>
      <c r="BX676">
        <v>0</v>
      </c>
      <c r="BY676">
        <v>0</v>
      </c>
      <c r="BZ676" t="s">
        <v>7360</v>
      </c>
      <c r="CA676" t="s">
        <v>7360</v>
      </c>
      <c r="CB676">
        <v>3380666</v>
      </c>
      <c r="CC676" s="21">
        <v>45006.49082175926</v>
      </c>
      <c r="CE676" t="s">
        <v>7366</v>
      </c>
      <c r="CF676">
        <v>0</v>
      </c>
      <c r="CG676">
        <v>702002</v>
      </c>
      <c r="CH676">
        <v>702002</v>
      </c>
      <c r="CI676" s="21">
        <v>45006.505937499998</v>
      </c>
      <c r="CJ676" t="s">
        <v>7367</v>
      </c>
      <c r="CK676" t="s">
        <v>7367</v>
      </c>
      <c r="CL676" t="s">
        <v>7368</v>
      </c>
      <c r="CM676" t="s">
        <v>7368</v>
      </c>
      <c r="CS676" t="s">
        <v>7361</v>
      </c>
      <c r="CT676" t="s">
        <v>7362</v>
      </c>
      <c r="CU676" t="s">
        <v>7362</v>
      </c>
      <c r="CV676" t="s">
        <v>7362</v>
      </c>
      <c r="CW676" t="s">
        <v>7362</v>
      </c>
      <c r="CX676">
        <v>417852</v>
      </c>
      <c r="DA676">
        <v>0</v>
      </c>
    </row>
    <row r="677" spans="1:110" x14ac:dyDescent="0.3">
      <c r="A677">
        <v>1361</v>
      </c>
      <c r="B677" t="s">
        <v>7376</v>
      </c>
      <c r="C677">
        <v>710</v>
      </c>
      <c r="D677" s="20">
        <v>45006</v>
      </c>
      <c r="E677" t="s">
        <v>7372</v>
      </c>
      <c r="F677" t="s">
        <v>4955</v>
      </c>
      <c r="G677" t="s">
        <v>7357</v>
      </c>
      <c r="H677">
        <v>1</v>
      </c>
      <c r="I677" t="s">
        <v>7358</v>
      </c>
      <c r="J677">
        <v>1</v>
      </c>
      <c r="K677" s="20">
        <v>45006</v>
      </c>
      <c r="L677" s="23">
        <v>686000</v>
      </c>
      <c r="M677" t="s">
        <v>7359</v>
      </c>
      <c r="N677" t="s">
        <v>7360</v>
      </c>
      <c r="O677">
        <v>0</v>
      </c>
      <c r="P677">
        <v>13343</v>
      </c>
      <c r="Q677">
        <v>458016</v>
      </c>
      <c r="R677">
        <v>0</v>
      </c>
      <c r="S677">
        <v>20230321</v>
      </c>
      <c r="T677">
        <v>0</v>
      </c>
      <c r="U677" t="s">
        <v>7362</v>
      </c>
      <c r="V677" t="s">
        <v>7360</v>
      </c>
      <c r="W677" t="s">
        <v>7360</v>
      </c>
      <c r="X677" t="s">
        <v>7360</v>
      </c>
      <c r="Y677" t="s">
        <v>7360</v>
      </c>
      <c r="Z677" t="s">
        <v>7360</v>
      </c>
      <c r="AA677" t="s">
        <v>7362</v>
      </c>
      <c r="AB677" t="s">
        <v>7360</v>
      </c>
      <c r="AC677" t="s">
        <v>7360</v>
      </c>
      <c r="AD677" t="s">
        <v>7360</v>
      </c>
      <c r="AE677" t="s">
        <v>7360</v>
      </c>
      <c r="AF677" t="s">
        <v>1684</v>
      </c>
      <c r="AG677">
        <v>0</v>
      </c>
      <c r="AH677">
        <v>0</v>
      </c>
      <c r="AI677">
        <v>0</v>
      </c>
      <c r="AJ677">
        <v>0</v>
      </c>
      <c r="AK677">
        <v>0</v>
      </c>
      <c r="AL677" t="s">
        <v>7360</v>
      </c>
      <c r="AM677">
        <v>0</v>
      </c>
      <c r="AN677" s="20">
        <v>45006</v>
      </c>
      <c r="AO677" s="20">
        <v>45006</v>
      </c>
      <c r="AP677" s="20">
        <v>45006</v>
      </c>
      <c r="AQ677">
        <v>0</v>
      </c>
      <c r="AR677">
        <v>0</v>
      </c>
      <c r="AS677">
        <v>0</v>
      </c>
      <c r="AT677">
        <v>0</v>
      </c>
      <c r="AU677">
        <v>0</v>
      </c>
      <c r="AV677" t="s">
        <v>7360</v>
      </c>
      <c r="AW677">
        <v>0</v>
      </c>
      <c r="AX677" t="s">
        <v>7360</v>
      </c>
      <c r="AY677" t="s">
        <v>7362</v>
      </c>
      <c r="BA677">
        <v>0</v>
      </c>
      <c r="BB677" s="20">
        <v>45006</v>
      </c>
      <c r="BC677">
        <v>0</v>
      </c>
      <c r="BD677" t="s">
        <v>7360</v>
      </c>
      <c r="BF677" s="20">
        <v>45006</v>
      </c>
      <c r="BG677">
        <v>0</v>
      </c>
      <c r="BH677" t="s">
        <v>7363</v>
      </c>
      <c r="BJ677" t="s">
        <v>7362</v>
      </c>
      <c r="BK677">
        <v>169</v>
      </c>
      <c r="BL677">
        <v>11</v>
      </c>
      <c r="BM677">
        <v>1</v>
      </c>
      <c r="BN677" t="s">
        <v>7364</v>
      </c>
      <c r="BO677">
        <v>0</v>
      </c>
      <c r="BP677">
        <v>0</v>
      </c>
      <c r="BQ677">
        <v>0</v>
      </c>
      <c r="BR677">
        <v>0</v>
      </c>
      <c r="BS677" t="s">
        <v>7427</v>
      </c>
      <c r="BT677" t="s">
        <v>7360</v>
      </c>
      <c r="BU677" t="s">
        <v>7360</v>
      </c>
      <c r="BV677" t="s">
        <v>7360</v>
      </c>
      <c r="BX677" t="s">
        <v>7391</v>
      </c>
      <c r="BY677">
        <v>74</v>
      </c>
      <c r="BZ677" t="s">
        <v>7360</v>
      </c>
      <c r="CA677" t="s">
        <v>7360</v>
      </c>
      <c r="CC677" s="21">
        <v>45006.595810185187</v>
      </c>
      <c r="CE677" t="s">
        <v>7392</v>
      </c>
      <c r="CF677">
        <v>1100101</v>
      </c>
      <c r="CG677">
        <v>53575</v>
      </c>
      <c r="CH677">
        <v>53575</v>
      </c>
      <c r="CI677" s="21">
        <v>45006.598043981481</v>
      </c>
      <c r="CJ677" t="s">
        <v>7393</v>
      </c>
      <c r="CK677" t="s">
        <v>7393</v>
      </c>
      <c r="CL677" t="s">
        <v>7394</v>
      </c>
      <c r="CM677" t="s">
        <v>7394</v>
      </c>
      <c r="CS677" t="s">
        <v>7361</v>
      </c>
      <c r="CT677" t="s">
        <v>7362</v>
      </c>
      <c r="CU677" t="s">
        <v>7362</v>
      </c>
      <c r="CV677" t="s">
        <v>7362</v>
      </c>
      <c r="CW677" t="s">
        <v>7362</v>
      </c>
      <c r="CX677">
        <v>686000</v>
      </c>
      <c r="DA677">
        <v>0</v>
      </c>
    </row>
    <row r="678" spans="1:110" x14ac:dyDescent="0.3">
      <c r="A678">
        <v>1361</v>
      </c>
      <c r="B678" t="s">
        <v>7376</v>
      </c>
      <c r="C678">
        <v>711</v>
      </c>
      <c r="D678" s="20">
        <v>45006</v>
      </c>
      <c r="E678" t="s">
        <v>7372</v>
      </c>
      <c r="F678" t="s">
        <v>4960</v>
      </c>
      <c r="G678" t="s">
        <v>7357</v>
      </c>
      <c r="H678">
        <v>1</v>
      </c>
      <c r="I678" t="s">
        <v>7358</v>
      </c>
      <c r="J678">
        <v>1</v>
      </c>
      <c r="K678" s="20">
        <v>45006</v>
      </c>
      <c r="L678" s="23">
        <v>62000</v>
      </c>
      <c r="M678" t="s">
        <v>7359</v>
      </c>
      <c r="N678" t="s">
        <v>7360</v>
      </c>
      <c r="O678">
        <v>0</v>
      </c>
      <c r="P678">
        <v>13345</v>
      </c>
      <c r="Q678">
        <v>458017</v>
      </c>
      <c r="R678">
        <v>0</v>
      </c>
      <c r="S678">
        <v>20230321</v>
      </c>
      <c r="T678">
        <v>0</v>
      </c>
      <c r="U678" t="s">
        <v>7362</v>
      </c>
      <c r="V678" t="s">
        <v>7360</v>
      </c>
      <c r="W678" t="s">
        <v>7360</v>
      </c>
      <c r="X678" t="s">
        <v>7360</v>
      </c>
      <c r="Y678" t="s">
        <v>7360</v>
      </c>
      <c r="Z678" t="s">
        <v>7360</v>
      </c>
      <c r="AA678" t="s">
        <v>7362</v>
      </c>
      <c r="AB678" t="s">
        <v>7360</v>
      </c>
      <c r="AC678" t="s">
        <v>7360</v>
      </c>
      <c r="AD678" t="s">
        <v>7360</v>
      </c>
      <c r="AE678" t="s">
        <v>7360</v>
      </c>
      <c r="AF678" t="s">
        <v>1684</v>
      </c>
      <c r="AG678">
        <v>0</v>
      </c>
      <c r="AH678">
        <v>0</v>
      </c>
      <c r="AI678">
        <v>0</v>
      </c>
      <c r="AJ678">
        <v>0</v>
      </c>
      <c r="AK678">
        <v>0</v>
      </c>
      <c r="AL678" t="s">
        <v>7360</v>
      </c>
      <c r="AM678">
        <v>0</v>
      </c>
      <c r="AN678" s="20">
        <v>45006</v>
      </c>
      <c r="AO678" s="20">
        <v>45006</v>
      </c>
      <c r="AP678" s="20">
        <v>45006</v>
      </c>
      <c r="AQ678">
        <v>0</v>
      </c>
      <c r="AR678">
        <v>0</v>
      </c>
      <c r="AS678">
        <v>0</v>
      </c>
      <c r="AT678">
        <v>0</v>
      </c>
      <c r="AU678">
        <v>0</v>
      </c>
      <c r="AV678" t="s">
        <v>7360</v>
      </c>
      <c r="AW678">
        <v>0</v>
      </c>
      <c r="AX678" t="s">
        <v>7360</v>
      </c>
      <c r="AY678" t="s">
        <v>7362</v>
      </c>
      <c r="BA678">
        <v>0</v>
      </c>
      <c r="BB678" s="20">
        <v>45006</v>
      </c>
      <c r="BC678">
        <v>0</v>
      </c>
      <c r="BD678" t="s">
        <v>7360</v>
      </c>
      <c r="BF678" s="20">
        <v>45006</v>
      </c>
      <c r="BG678">
        <v>0</v>
      </c>
      <c r="BH678" t="s">
        <v>7363</v>
      </c>
      <c r="BJ678" t="s">
        <v>7362</v>
      </c>
      <c r="BK678">
        <v>169</v>
      </c>
      <c r="BL678">
        <v>11</v>
      </c>
      <c r="BM678">
        <v>1</v>
      </c>
      <c r="BN678" t="s">
        <v>7364</v>
      </c>
      <c r="BO678">
        <v>0</v>
      </c>
      <c r="BP678">
        <v>0</v>
      </c>
      <c r="BQ678">
        <v>0</v>
      </c>
      <c r="BR678">
        <v>0</v>
      </c>
      <c r="BS678" t="s">
        <v>7427</v>
      </c>
      <c r="BT678" t="s">
        <v>7360</v>
      </c>
      <c r="BU678" t="s">
        <v>7360</v>
      </c>
      <c r="BV678" t="s">
        <v>7360</v>
      </c>
      <c r="BX678" t="s">
        <v>7391</v>
      </c>
      <c r="BY678">
        <v>74</v>
      </c>
      <c r="BZ678" t="s">
        <v>7360</v>
      </c>
      <c r="CA678" t="s">
        <v>7360</v>
      </c>
      <c r="CB678" t="s">
        <v>7360</v>
      </c>
      <c r="CC678" s="21">
        <v>45006.601157407407</v>
      </c>
      <c r="CE678" t="s">
        <v>7392</v>
      </c>
      <c r="CF678">
        <v>1100101</v>
      </c>
      <c r="CG678">
        <v>53575</v>
      </c>
      <c r="CH678">
        <v>53575</v>
      </c>
      <c r="CI678" s="21">
        <v>45006.602025462962</v>
      </c>
      <c r="CJ678" t="s">
        <v>7393</v>
      </c>
      <c r="CK678" t="s">
        <v>7393</v>
      </c>
      <c r="CL678" t="s">
        <v>7394</v>
      </c>
      <c r="CM678" t="s">
        <v>7394</v>
      </c>
      <c r="CS678" t="s">
        <v>7361</v>
      </c>
      <c r="CT678" t="s">
        <v>7362</v>
      </c>
      <c r="CU678" t="s">
        <v>7362</v>
      </c>
      <c r="CV678" t="s">
        <v>7362</v>
      </c>
      <c r="CW678" t="s">
        <v>7362</v>
      </c>
      <c r="CX678">
        <v>62000</v>
      </c>
      <c r="DA678">
        <v>0</v>
      </c>
    </row>
    <row r="679" spans="1:110" x14ac:dyDescent="0.3">
      <c r="A679">
        <v>1362</v>
      </c>
      <c r="B679" t="s">
        <v>7371</v>
      </c>
      <c r="C679">
        <v>712</v>
      </c>
      <c r="D679" s="20">
        <v>45006</v>
      </c>
      <c r="E679" t="s">
        <v>7372</v>
      </c>
      <c r="F679" t="s">
        <v>4965</v>
      </c>
      <c r="G679" t="s">
        <v>7357</v>
      </c>
      <c r="H679">
        <v>1</v>
      </c>
      <c r="I679" t="s">
        <v>7358</v>
      </c>
      <c r="J679">
        <v>1</v>
      </c>
      <c r="K679" s="20">
        <v>45006</v>
      </c>
      <c r="L679" s="23">
        <v>770000</v>
      </c>
      <c r="M679" t="s">
        <v>7359</v>
      </c>
      <c r="N679" t="s">
        <v>7360</v>
      </c>
      <c r="O679">
        <v>0</v>
      </c>
      <c r="P679">
        <v>13346</v>
      </c>
      <c r="Q679">
        <v>458018</v>
      </c>
      <c r="R679">
        <v>0</v>
      </c>
      <c r="S679">
        <v>20230321</v>
      </c>
      <c r="T679">
        <v>0</v>
      </c>
      <c r="U679" t="s">
        <v>7362</v>
      </c>
      <c r="V679" t="s">
        <v>7360</v>
      </c>
      <c r="W679" t="s">
        <v>7360</v>
      </c>
      <c r="X679" t="s">
        <v>7360</v>
      </c>
      <c r="Y679" t="s">
        <v>7360</v>
      </c>
      <c r="Z679" t="s">
        <v>7360</v>
      </c>
      <c r="AA679" t="s">
        <v>7362</v>
      </c>
      <c r="AB679" t="s">
        <v>7360</v>
      </c>
      <c r="AC679" t="s">
        <v>7360</v>
      </c>
      <c r="AD679" t="s">
        <v>7360</v>
      </c>
      <c r="AE679" t="s">
        <v>7360</v>
      </c>
      <c r="AF679" t="s">
        <v>1684</v>
      </c>
      <c r="AG679">
        <v>0</v>
      </c>
      <c r="AH679">
        <v>0</v>
      </c>
      <c r="AI679">
        <v>0</v>
      </c>
      <c r="AJ679">
        <v>0</v>
      </c>
      <c r="AK679">
        <v>0</v>
      </c>
      <c r="AL679" t="s">
        <v>7360</v>
      </c>
      <c r="AM679">
        <v>0</v>
      </c>
      <c r="AN679" s="20">
        <v>45006</v>
      </c>
      <c r="AO679" s="20">
        <v>45006</v>
      </c>
      <c r="AP679" s="20">
        <v>45006</v>
      </c>
      <c r="AQ679">
        <v>0</v>
      </c>
      <c r="AR679">
        <v>0</v>
      </c>
      <c r="AS679">
        <v>0</v>
      </c>
      <c r="AT679">
        <v>0</v>
      </c>
      <c r="AU679">
        <v>0</v>
      </c>
      <c r="AV679" t="s">
        <v>7360</v>
      </c>
      <c r="AW679">
        <v>0</v>
      </c>
      <c r="AX679" t="s">
        <v>7360</v>
      </c>
      <c r="AY679" t="s">
        <v>7362</v>
      </c>
      <c r="BA679">
        <v>0</v>
      </c>
      <c r="BB679" s="20">
        <v>45006</v>
      </c>
      <c r="BC679">
        <v>0</v>
      </c>
      <c r="BD679" t="s">
        <v>7360</v>
      </c>
      <c r="BF679" s="20">
        <v>45006</v>
      </c>
      <c r="BG679">
        <v>0</v>
      </c>
      <c r="BH679" t="s">
        <v>7363</v>
      </c>
      <c r="BJ679" t="s">
        <v>7362</v>
      </c>
      <c r="BK679">
        <v>169</v>
      </c>
      <c r="BL679">
        <v>11</v>
      </c>
      <c r="BM679">
        <v>1</v>
      </c>
      <c r="BN679" t="s">
        <v>7364</v>
      </c>
      <c r="BO679">
        <v>0</v>
      </c>
      <c r="BP679">
        <v>0</v>
      </c>
      <c r="BQ679">
        <v>0</v>
      </c>
      <c r="BR679">
        <v>0</v>
      </c>
      <c r="BS679" t="s">
        <v>7427</v>
      </c>
      <c r="BT679" t="s">
        <v>7360</v>
      </c>
      <c r="BU679" t="s">
        <v>7360</v>
      </c>
      <c r="BV679" t="s">
        <v>7360</v>
      </c>
      <c r="BX679" t="s">
        <v>7391</v>
      </c>
      <c r="BY679">
        <v>74</v>
      </c>
      <c r="BZ679" t="s">
        <v>7360</v>
      </c>
      <c r="CA679" t="s">
        <v>7360</v>
      </c>
      <c r="CC679" s="21">
        <v>45006.605104166665</v>
      </c>
      <c r="CE679" t="s">
        <v>7392</v>
      </c>
      <c r="CF679">
        <v>1100101</v>
      </c>
      <c r="CG679">
        <v>53575</v>
      </c>
      <c r="CH679">
        <v>53575</v>
      </c>
      <c r="CI679" s="21">
        <v>45006.606620370374</v>
      </c>
      <c r="CJ679" t="s">
        <v>7393</v>
      </c>
      <c r="CK679" t="s">
        <v>7393</v>
      </c>
      <c r="CL679" t="s">
        <v>7394</v>
      </c>
      <c r="CM679" t="s">
        <v>7394</v>
      </c>
      <c r="CS679" t="s">
        <v>7361</v>
      </c>
      <c r="CT679" t="s">
        <v>7362</v>
      </c>
      <c r="CU679" t="s">
        <v>7362</v>
      </c>
      <c r="CV679" t="s">
        <v>7362</v>
      </c>
      <c r="CW679" t="s">
        <v>7362</v>
      </c>
      <c r="CX679">
        <v>770000</v>
      </c>
      <c r="DA679">
        <v>0</v>
      </c>
    </row>
    <row r="680" spans="1:110" x14ac:dyDescent="0.3">
      <c r="A680">
        <v>1354</v>
      </c>
      <c r="B680" t="s">
        <v>7396</v>
      </c>
      <c r="C680">
        <v>823</v>
      </c>
      <c r="D680" s="20">
        <v>45014</v>
      </c>
      <c r="E680" t="s">
        <v>7372</v>
      </c>
      <c r="F680" t="s">
        <v>4971</v>
      </c>
      <c r="G680" t="s">
        <v>7370</v>
      </c>
      <c r="H680">
        <v>1</v>
      </c>
      <c r="I680" t="s">
        <v>7358</v>
      </c>
      <c r="J680">
        <v>1</v>
      </c>
      <c r="K680" s="20">
        <v>45014</v>
      </c>
      <c r="L680" s="23">
        <v>30000000</v>
      </c>
      <c r="M680" t="s">
        <v>7403</v>
      </c>
      <c r="N680" t="s">
        <v>7360</v>
      </c>
      <c r="O680">
        <v>0</v>
      </c>
      <c r="P680">
        <v>12354</v>
      </c>
      <c r="Q680">
        <v>141001</v>
      </c>
      <c r="R680">
        <v>0</v>
      </c>
      <c r="S680">
        <v>20230329</v>
      </c>
      <c r="T680">
        <v>0</v>
      </c>
      <c r="U680" t="s">
        <v>7362</v>
      </c>
      <c r="V680" t="s">
        <v>7360</v>
      </c>
      <c r="W680" t="s">
        <v>7360</v>
      </c>
      <c r="X680" t="s">
        <v>7360</v>
      </c>
      <c r="Y680" t="s">
        <v>7360</v>
      </c>
      <c r="Z680" t="s">
        <v>7360</v>
      </c>
      <c r="AA680" t="s">
        <v>7362</v>
      </c>
      <c r="AB680" t="s">
        <v>7360</v>
      </c>
      <c r="AC680" t="s">
        <v>7360</v>
      </c>
      <c r="AD680" t="s">
        <v>7360</v>
      </c>
      <c r="AE680" t="s">
        <v>7360</v>
      </c>
      <c r="AF680" t="s">
        <v>1684</v>
      </c>
      <c r="AG680">
        <v>0</v>
      </c>
      <c r="AH680">
        <v>0</v>
      </c>
      <c r="AI680">
        <v>0</v>
      </c>
      <c r="AJ680">
        <v>0</v>
      </c>
      <c r="AK680">
        <v>0</v>
      </c>
      <c r="AL680" t="s">
        <v>7360</v>
      </c>
      <c r="AM680">
        <v>0</v>
      </c>
      <c r="AN680" s="20">
        <v>45014</v>
      </c>
      <c r="AO680" s="20">
        <v>45014</v>
      </c>
      <c r="AP680" s="20">
        <v>45014</v>
      </c>
      <c r="AQ680">
        <v>0</v>
      </c>
      <c r="AR680">
        <v>0</v>
      </c>
      <c r="AS680">
        <v>0</v>
      </c>
      <c r="AT680">
        <v>0</v>
      </c>
      <c r="AU680">
        <v>0</v>
      </c>
      <c r="AV680" t="s">
        <v>7360</v>
      </c>
      <c r="AW680">
        <v>0</v>
      </c>
      <c r="AX680" t="s">
        <v>7360</v>
      </c>
      <c r="AY680" t="s">
        <v>7362</v>
      </c>
      <c r="BA680">
        <v>0</v>
      </c>
      <c r="BB680" s="20">
        <v>45014</v>
      </c>
      <c r="BC680">
        <v>0</v>
      </c>
      <c r="BD680" t="s">
        <v>7360</v>
      </c>
      <c r="BE680">
        <v>250</v>
      </c>
      <c r="BF680" s="20">
        <v>45014</v>
      </c>
      <c r="BG680">
        <v>0</v>
      </c>
      <c r="BH680" t="s">
        <v>7363</v>
      </c>
      <c r="BJ680" t="s">
        <v>7362</v>
      </c>
      <c r="BK680">
        <v>169</v>
      </c>
      <c r="BL680">
        <v>11</v>
      </c>
      <c r="BM680">
        <v>1</v>
      </c>
      <c r="BN680" t="s">
        <v>7364</v>
      </c>
      <c r="BO680">
        <v>169</v>
      </c>
      <c r="BP680">
        <v>11</v>
      </c>
      <c r="BQ680">
        <v>1</v>
      </c>
      <c r="BR680" t="s">
        <v>7364</v>
      </c>
      <c r="BS680" t="s">
        <v>132</v>
      </c>
      <c r="BT680" t="s">
        <v>7360</v>
      </c>
      <c r="BU680" t="s">
        <v>7360</v>
      </c>
      <c r="BV680" t="s">
        <v>7360</v>
      </c>
      <c r="BX680" t="s">
        <v>7391</v>
      </c>
      <c r="BY680">
        <v>74</v>
      </c>
      <c r="BZ680" t="s">
        <v>7360</v>
      </c>
      <c r="CA680" t="s">
        <v>7360</v>
      </c>
      <c r="CB680">
        <v>3380666</v>
      </c>
      <c r="CC680" s="21">
        <v>45014.538900462961</v>
      </c>
      <c r="CE680" t="s">
        <v>7392</v>
      </c>
      <c r="CF680">
        <v>1100101</v>
      </c>
      <c r="CG680">
        <v>51669</v>
      </c>
      <c r="CH680">
        <v>51669</v>
      </c>
      <c r="CI680" s="21">
        <v>45014.542870370373</v>
      </c>
      <c r="CJ680" t="s">
        <v>7406</v>
      </c>
      <c r="CK680" t="s">
        <v>7406</v>
      </c>
      <c r="CL680" t="s">
        <v>7407</v>
      </c>
      <c r="CM680" t="s">
        <v>7407</v>
      </c>
      <c r="CS680" t="s">
        <v>7361</v>
      </c>
      <c r="CT680" t="s">
        <v>7362</v>
      </c>
      <c r="CU680" t="s">
        <v>7362</v>
      </c>
      <c r="CV680" t="s">
        <v>7362</v>
      </c>
      <c r="CW680" t="s">
        <v>7362</v>
      </c>
      <c r="CX680">
        <v>29792219</v>
      </c>
      <c r="DA680">
        <v>0</v>
      </c>
      <c r="DB680">
        <v>144003</v>
      </c>
    </row>
    <row r="681" spans="1:110" x14ac:dyDescent="0.3">
      <c r="A681">
        <v>1356</v>
      </c>
      <c r="B681" t="s">
        <v>7402</v>
      </c>
      <c r="C681">
        <v>167</v>
      </c>
      <c r="D681" s="20">
        <v>44952</v>
      </c>
      <c r="E681" t="s">
        <v>7356</v>
      </c>
      <c r="F681" t="s">
        <v>4976</v>
      </c>
      <c r="G681" t="s">
        <v>7377</v>
      </c>
      <c r="H681">
        <v>1</v>
      </c>
      <c r="I681" t="s">
        <v>7358</v>
      </c>
      <c r="J681">
        <v>1</v>
      </c>
      <c r="K681" s="20">
        <v>44952</v>
      </c>
      <c r="L681" s="23">
        <v>30198980</v>
      </c>
      <c r="M681" t="s">
        <v>7403</v>
      </c>
      <c r="N681" t="s">
        <v>7360</v>
      </c>
      <c r="O681">
        <v>0</v>
      </c>
      <c r="P681">
        <v>11782</v>
      </c>
      <c r="Q681">
        <v>129008</v>
      </c>
      <c r="R681">
        <v>0</v>
      </c>
      <c r="S681">
        <v>20230126</v>
      </c>
      <c r="T681">
        <v>0</v>
      </c>
      <c r="U681" t="s">
        <v>7361</v>
      </c>
      <c r="V681" t="s">
        <v>7360</v>
      </c>
      <c r="W681" t="s">
        <v>7360</v>
      </c>
      <c r="X681" t="s">
        <v>7360</v>
      </c>
      <c r="Y681" t="s">
        <v>7360</v>
      </c>
      <c r="Z681" t="s">
        <v>7360</v>
      </c>
      <c r="AA681" t="s">
        <v>7362</v>
      </c>
      <c r="AB681" t="s">
        <v>7360</v>
      </c>
      <c r="AC681" t="s">
        <v>7360</v>
      </c>
      <c r="AD681" t="s">
        <v>7360</v>
      </c>
      <c r="AE681" t="s">
        <v>7360</v>
      </c>
      <c r="AF681" t="s">
        <v>1684</v>
      </c>
      <c r="AG681">
        <v>0</v>
      </c>
      <c r="AH681">
        <v>0</v>
      </c>
      <c r="AI681">
        <v>0</v>
      </c>
      <c r="AJ681">
        <v>0</v>
      </c>
      <c r="AK681">
        <v>0</v>
      </c>
      <c r="AL681" t="s">
        <v>7360</v>
      </c>
      <c r="AM681">
        <v>0</v>
      </c>
      <c r="AN681" s="20">
        <v>44952</v>
      </c>
      <c r="AO681" s="20">
        <v>44952</v>
      </c>
      <c r="AP681" s="20">
        <v>44952</v>
      </c>
      <c r="AQ681">
        <v>0</v>
      </c>
      <c r="AR681">
        <v>0</v>
      </c>
      <c r="AS681">
        <v>0</v>
      </c>
      <c r="AT681">
        <v>0</v>
      </c>
      <c r="AU681">
        <v>0</v>
      </c>
      <c r="AV681" t="s">
        <v>7360</v>
      </c>
      <c r="AW681">
        <v>0</v>
      </c>
      <c r="AX681" t="s">
        <v>7360</v>
      </c>
      <c r="AY681" t="s">
        <v>7363</v>
      </c>
      <c r="BA681">
        <v>0</v>
      </c>
      <c r="BB681" s="20">
        <v>44952</v>
      </c>
      <c r="BC681">
        <v>0</v>
      </c>
      <c r="BD681" t="s">
        <v>7360</v>
      </c>
      <c r="BE681">
        <v>29</v>
      </c>
      <c r="BF681" s="20">
        <v>44952</v>
      </c>
      <c r="BG681">
        <v>0</v>
      </c>
      <c r="BH681" t="s">
        <v>1729</v>
      </c>
      <c r="BJ681" t="s">
        <v>7362</v>
      </c>
      <c r="BK681">
        <v>0</v>
      </c>
      <c r="BL681">
        <v>0</v>
      </c>
      <c r="BM681">
        <v>0</v>
      </c>
      <c r="BN681">
        <v>0</v>
      </c>
      <c r="BO681">
        <v>169</v>
      </c>
      <c r="BP681">
        <v>11</v>
      </c>
      <c r="BQ681">
        <v>1</v>
      </c>
      <c r="BR681" t="s">
        <v>7364</v>
      </c>
      <c r="BS681" t="s">
        <v>7386</v>
      </c>
      <c r="BT681" t="s">
        <v>7360</v>
      </c>
      <c r="BU681" t="s">
        <v>7360</v>
      </c>
      <c r="BV681" t="s">
        <v>7360</v>
      </c>
      <c r="BX681">
        <v>0</v>
      </c>
      <c r="BY681">
        <v>0</v>
      </c>
      <c r="BZ681" t="s">
        <v>7360</v>
      </c>
      <c r="CA681" t="s">
        <v>7360</v>
      </c>
      <c r="CB681">
        <v>3380666</v>
      </c>
      <c r="CC681" s="21">
        <v>44952.840995370374</v>
      </c>
      <c r="CE681" t="s">
        <v>7366</v>
      </c>
      <c r="CF681">
        <v>0</v>
      </c>
      <c r="CG681">
        <v>51669</v>
      </c>
      <c r="CH681">
        <v>51669</v>
      </c>
      <c r="CI681" s="21">
        <v>44956.361643518518</v>
      </c>
      <c r="CJ681" t="s">
        <v>7406</v>
      </c>
      <c r="CK681" t="s">
        <v>7406</v>
      </c>
      <c r="CL681" t="s">
        <v>7407</v>
      </c>
      <c r="CM681" t="s">
        <v>7407</v>
      </c>
      <c r="CS681" t="s">
        <v>7361</v>
      </c>
      <c r="CT681" t="s">
        <v>7362</v>
      </c>
      <c r="CU681" t="s">
        <v>7362</v>
      </c>
      <c r="CV681" t="s">
        <v>7362</v>
      </c>
      <c r="CW681" t="s">
        <v>7362</v>
      </c>
      <c r="CX681">
        <v>30198980</v>
      </c>
      <c r="DA681">
        <v>0</v>
      </c>
      <c r="DB681">
        <v>129008</v>
      </c>
    </row>
    <row r="682" spans="1:110" x14ac:dyDescent="0.3">
      <c r="A682">
        <v>1362</v>
      </c>
      <c r="B682" t="s">
        <v>7371</v>
      </c>
      <c r="C682">
        <v>615</v>
      </c>
      <c r="D682" s="20">
        <v>44998</v>
      </c>
      <c r="E682" t="s">
        <v>7356</v>
      </c>
      <c r="F682" t="s">
        <v>4981</v>
      </c>
      <c r="G682" t="s">
        <v>7357</v>
      </c>
      <c r="H682">
        <v>1</v>
      </c>
      <c r="I682" t="s">
        <v>7358</v>
      </c>
      <c r="J682">
        <v>1</v>
      </c>
      <c r="K682" s="20">
        <v>44998</v>
      </c>
      <c r="L682" s="23">
        <v>30312500</v>
      </c>
      <c r="M682" t="s">
        <v>7359</v>
      </c>
      <c r="N682" t="s">
        <v>7360</v>
      </c>
      <c r="O682">
        <v>0</v>
      </c>
      <c r="P682">
        <v>12974</v>
      </c>
      <c r="Q682">
        <v>453012</v>
      </c>
      <c r="R682">
        <v>0</v>
      </c>
      <c r="S682">
        <v>20230313</v>
      </c>
      <c r="T682">
        <v>0</v>
      </c>
      <c r="U682" t="s">
        <v>7361</v>
      </c>
      <c r="V682" t="s">
        <v>7360</v>
      </c>
      <c r="W682" t="s">
        <v>7360</v>
      </c>
      <c r="X682" t="s">
        <v>7360</v>
      </c>
      <c r="Y682" t="s">
        <v>7360</v>
      </c>
      <c r="Z682" t="s">
        <v>7360</v>
      </c>
      <c r="AA682" t="s">
        <v>7362</v>
      </c>
      <c r="AB682" t="s">
        <v>7360</v>
      </c>
      <c r="AC682" t="s">
        <v>7360</v>
      </c>
      <c r="AD682" t="s">
        <v>7360</v>
      </c>
      <c r="AE682" t="s">
        <v>7360</v>
      </c>
      <c r="AF682" t="s">
        <v>1684</v>
      </c>
      <c r="AG682">
        <v>0</v>
      </c>
      <c r="AH682">
        <v>0</v>
      </c>
      <c r="AI682">
        <v>0</v>
      </c>
      <c r="AJ682">
        <v>0</v>
      </c>
      <c r="AK682">
        <v>0</v>
      </c>
      <c r="AL682" t="s">
        <v>7360</v>
      </c>
      <c r="AM682">
        <v>0</v>
      </c>
      <c r="AN682" s="20">
        <v>44998</v>
      </c>
      <c r="AO682" s="20">
        <v>44998</v>
      </c>
      <c r="AP682" s="20">
        <v>44998</v>
      </c>
      <c r="AQ682">
        <v>0</v>
      </c>
      <c r="AR682">
        <v>0</v>
      </c>
      <c r="AS682">
        <v>0</v>
      </c>
      <c r="AT682">
        <v>0</v>
      </c>
      <c r="AU682">
        <v>0</v>
      </c>
      <c r="AV682" t="s">
        <v>7360</v>
      </c>
      <c r="AW682">
        <v>0</v>
      </c>
      <c r="AX682" t="s">
        <v>7360</v>
      </c>
      <c r="AY682" t="s">
        <v>7363</v>
      </c>
      <c r="BA682">
        <v>0</v>
      </c>
      <c r="BB682" s="20">
        <v>44998</v>
      </c>
      <c r="BC682">
        <v>0</v>
      </c>
      <c r="BD682" t="s">
        <v>7360</v>
      </c>
      <c r="BF682" s="20">
        <v>44998</v>
      </c>
      <c r="BG682">
        <v>0</v>
      </c>
      <c r="BH682" t="s">
        <v>7363</v>
      </c>
      <c r="BJ682" t="s">
        <v>7362</v>
      </c>
      <c r="BK682">
        <v>0</v>
      </c>
      <c r="BL682">
        <v>0</v>
      </c>
      <c r="BM682">
        <v>0</v>
      </c>
      <c r="BN682">
        <v>0</v>
      </c>
      <c r="BO682">
        <v>169</v>
      </c>
      <c r="BP682">
        <v>11</v>
      </c>
      <c r="BQ682">
        <v>1</v>
      </c>
      <c r="BR682" t="s">
        <v>7364</v>
      </c>
      <c r="BS682" t="s">
        <v>7374</v>
      </c>
      <c r="BT682" t="s">
        <v>7360</v>
      </c>
      <c r="BU682" t="s">
        <v>7360</v>
      </c>
      <c r="BV682" t="s">
        <v>7360</v>
      </c>
      <c r="BX682">
        <v>0</v>
      </c>
      <c r="BY682">
        <v>0</v>
      </c>
      <c r="BZ682" t="s">
        <v>7360</v>
      </c>
      <c r="CA682" t="s">
        <v>7360</v>
      </c>
      <c r="CB682">
        <v>3380666</v>
      </c>
      <c r="CC682" s="21">
        <v>44998.379108796296</v>
      </c>
      <c r="CE682" t="s">
        <v>7366</v>
      </c>
      <c r="CF682">
        <v>0</v>
      </c>
      <c r="CG682">
        <v>702002</v>
      </c>
      <c r="CH682">
        <v>702002</v>
      </c>
      <c r="CI682" s="21">
        <v>44998.384317129632</v>
      </c>
      <c r="CJ682" t="s">
        <v>7367</v>
      </c>
      <c r="CK682" t="s">
        <v>7367</v>
      </c>
      <c r="CL682" t="s">
        <v>7368</v>
      </c>
      <c r="CM682" t="s">
        <v>7368</v>
      </c>
      <c r="CS682" t="s">
        <v>7361</v>
      </c>
      <c r="CT682" t="s">
        <v>7362</v>
      </c>
      <c r="CU682" t="s">
        <v>7362</v>
      </c>
      <c r="CV682" t="s">
        <v>7362</v>
      </c>
      <c r="CW682" t="s">
        <v>7362</v>
      </c>
      <c r="CX682">
        <v>30312500</v>
      </c>
      <c r="DA682">
        <v>0</v>
      </c>
    </row>
    <row r="683" spans="1:110" x14ac:dyDescent="0.3">
      <c r="A683">
        <v>1355</v>
      </c>
      <c r="B683" t="s">
        <v>7409</v>
      </c>
      <c r="C683">
        <v>651</v>
      </c>
      <c r="D683" s="20">
        <v>44999</v>
      </c>
      <c r="E683" t="s">
        <v>7372</v>
      </c>
      <c r="F683" t="s">
        <v>4987</v>
      </c>
      <c r="G683" t="s">
        <v>7357</v>
      </c>
      <c r="H683">
        <v>1</v>
      </c>
      <c r="I683" t="s">
        <v>7358</v>
      </c>
      <c r="J683">
        <v>1</v>
      </c>
      <c r="K683" s="20">
        <v>44999</v>
      </c>
      <c r="L683" s="23">
        <v>30437820</v>
      </c>
      <c r="M683" t="s">
        <v>7403</v>
      </c>
      <c r="N683" t="s">
        <v>7360</v>
      </c>
      <c r="O683">
        <v>0</v>
      </c>
      <c r="P683">
        <v>12622</v>
      </c>
      <c r="Q683">
        <v>137001</v>
      </c>
      <c r="R683">
        <v>0</v>
      </c>
      <c r="S683">
        <v>20230314</v>
      </c>
      <c r="T683">
        <v>0</v>
      </c>
      <c r="U683" t="s">
        <v>7362</v>
      </c>
      <c r="V683" t="s">
        <v>7360</v>
      </c>
      <c r="W683" t="s">
        <v>7360</v>
      </c>
      <c r="X683" t="s">
        <v>7360</v>
      </c>
      <c r="Y683" t="s">
        <v>7360</v>
      </c>
      <c r="Z683" t="s">
        <v>7360</v>
      </c>
      <c r="AA683" t="s">
        <v>7362</v>
      </c>
      <c r="AB683" t="s">
        <v>7360</v>
      </c>
      <c r="AC683" t="s">
        <v>7360</v>
      </c>
      <c r="AD683" t="s">
        <v>7360</v>
      </c>
      <c r="AE683" t="s">
        <v>7360</v>
      </c>
      <c r="AF683" t="s">
        <v>1684</v>
      </c>
      <c r="AG683">
        <v>0</v>
      </c>
      <c r="AH683">
        <v>0</v>
      </c>
      <c r="AI683">
        <v>0</v>
      </c>
      <c r="AJ683">
        <v>0</v>
      </c>
      <c r="AK683">
        <v>0</v>
      </c>
      <c r="AL683" t="s">
        <v>7360</v>
      </c>
      <c r="AM683">
        <v>0</v>
      </c>
      <c r="AN683" s="20">
        <v>44999</v>
      </c>
      <c r="AO683" s="20">
        <v>44999</v>
      </c>
      <c r="AP683" s="20">
        <v>44999</v>
      </c>
      <c r="AQ683">
        <v>0</v>
      </c>
      <c r="AR683">
        <v>0</v>
      </c>
      <c r="AS683">
        <v>0</v>
      </c>
      <c r="AT683">
        <v>0</v>
      </c>
      <c r="AU683">
        <v>0</v>
      </c>
      <c r="AV683" t="s">
        <v>7360</v>
      </c>
      <c r="AW683">
        <v>0</v>
      </c>
      <c r="AX683" t="s">
        <v>7360</v>
      </c>
      <c r="AY683" t="s">
        <v>7362</v>
      </c>
      <c r="BA683">
        <v>0</v>
      </c>
      <c r="BB683" s="20">
        <v>44999</v>
      </c>
      <c r="BC683">
        <v>0</v>
      </c>
      <c r="BD683" t="s">
        <v>7360</v>
      </c>
      <c r="BE683">
        <v>159</v>
      </c>
      <c r="BF683" s="20">
        <v>44999</v>
      </c>
      <c r="BG683">
        <v>0</v>
      </c>
      <c r="BH683" t="s">
        <v>7363</v>
      </c>
      <c r="BJ683" t="s">
        <v>7362</v>
      </c>
      <c r="BK683">
        <v>169</v>
      </c>
      <c r="BL683">
        <v>11</v>
      </c>
      <c r="BM683">
        <v>1</v>
      </c>
      <c r="BN683" t="s">
        <v>7364</v>
      </c>
      <c r="BO683">
        <v>169</v>
      </c>
      <c r="BP683">
        <v>11</v>
      </c>
      <c r="BQ683">
        <v>1</v>
      </c>
      <c r="BR683" t="s">
        <v>7364</v>
      </c>
      <c r="BS683" t="s">
        <v>7441</v>
      </c>
      <c r="BT683" t="s">
        <v>7360</v>
      </c>
      <c r="BU683" t="s">
        <v>7360</v>
      </c>
      <c r="BV683" t="s">
        <v>7360</v>
      </c>
      <c r="BX683" t="s">
        <v>7391</v>
      </c>
      <c r="BY683">
        <v>74</v>
      </c>
      <c r="BZ683" t="s">
        <v>7360</v>
      </c>
      <c r="CA683" t="s">
        <v>7360</v>
      </c>
      <c r="CB683">
        <v>3380666</v>
      </c>
      <c r="CC683" s="21">
        <v>44999.593773148146</v>
      </c>
      <c r="CE683" t="s">
        <v>7392</v>
      </c>
      <c r="CF683">
        <v>1100101</v>
      </c>
      <c r="CG683">
        <v>51669</v>
      </c>
      <c r="CH683">
        <v>51669</v>
      </c>
      <c r="CI683" s="21">
        <v>44999.597500000003</v>
      </c>
      <c r="CJ683" t="s">
        <v>7406</v>
      </c>
      <c r="CK683" t="s">
        <v>7406</v>
      </c>
      <c r="CL683" t="s">
        <v>7407</v>
      </c>
      <c r="CM683" t="s">
        <v>7407</v>
      </c>
      <c r="CS683" t="s">
        <v>7361</v>
      </c>
      <c r="CT683" t="s">
        <v>7362</v>
      </c>
      <c r="CU683" t="s">
        <v>7362</v>
      </c>
      <c r="CV683" t="s">
        <v>7362</v>
      </c>
      <c r="CW683" t="s">
        <v>7362</v>
      </c>
      <c r="CX683">
        <v>30437820</v>
      </c>
      <c r="DA683">
        <v>0</v>
      </c>
      <c r="DB683">
        <v>137001</v>
      </c>
    </row>
    <row r="684" spans="1:110" x14ac:dyDescent="0.3">
      <c r="A684">
        <v>1354</v>
      </c>
      <c r="B684" t="s">
        <v>7396</v>
      </c>
      <c r="C684">
        <v>717</v>
      </c>
      <c r="D684" s="20">
        <v>45007</v>
      </c>
      <c r="E684" t="s">
        <v>7356</v>
      </c>
      <c r="F684" t="s">
        <v>4992</v>
      </c>
      <c r="G684" t="s">
        <v>7370</v>
      </c>
      <c r="H684">
        <v>1</v>
      </c>
      <c r="I684" t="s">
        <v>7358</v>
      </c>
      <c r="J684">
        <v>1</v>
      </c>
      <c r="K684" s="20">
        <v>45007</v>
      </c>
      <c r="L684" s="23">
        <v>1600000</v>
      </c>
      <c r="M684" t="s">
        <v>7359</v>
      </c>
      <c r="N684" t="s">
        <v>7360</v>
      </c>
      <c r="O684">
        <v>0</v>
      </c>
      <c r="P684">
        <v>13219</v>
      </c>
      <c r="Q684">
        <v>455019</v>
      </c>
      <c r="R684">
        <v>0</v>
      </c>
      <c r="S684">
        <v>20230322</v>
      </c>
      <c r="T684">
        <v>0</v>
      </c>
      <c r="U684" t="s">
        <v>7361</v>
      </c>
      <c r="V684" t="s">
        <v>7360</v>
      </c>
      <c r="W684" t="s">
        <v>7360</v>
      </c>
      <c r="X684" t="s">
        <v>7360</v>
      </c>
      <c r="Y684" t="s">
        <v>7360</v>
      </c>
      <c r="Z684" t="s">
        <v>7360</v>
      </c>
      <c r="AA684" t="s">
        <v>7362</v>
      </c>
      <c r="AB684" t="s">
        <v>7360</v>
      </c>
      <c r="AC684" t="s">
        <v>7360</v>
      </c>
      <c r="AD684" t="s">
        <v>7360</v>
      </c>
      <c r="AE684" t="s">
        <v>7360</v>
      </c>
      <c r="AF684" t="s">
        <v>1684</v>
      </c>
      <c r="AG684">
        <v>0</v>
      </c>
      <c r="AH684">
        <v>0</v>
      </c>
      <c r="AI684">
        <v>0</v>
      </c>
      <c r="AJ684">
        <v>0</v>
      </c>
      <c r="AK684">
        <v>0</v>
      </c>
      <c r="AL684" t="s">
        <v>7360</v>
      </c>
      <c r="AM684">
        <v>0</v>
      </c>
      <c r="AN684" s="20">
        <v>45007</v>
      </c>
      <c r="AO684" s="20">
        <v>45007</v>
      </c>
      <c r="AP684" s="20">
        <v>45007</v>
      </c>
      <c r="AQ684">
        <v>0</v>
      </c>
      <c r="AR684">
        <v>0</v>
      </c>
      <c r="AS684">
        <v>0</v>
      </c>
      <c r="AT684">
        <v>0</v>
      </c>
      <c r="AU684">
        <v>0</v>
      </c>
      <c r="AV684" t="s">
        <v>7360</v>
      </c>
      <c r="AW684">
        <v>0</v>
      </c>
      <c r="AX684" t="s">
        <v>7360</v>
      </c>
      <c r="AY684" t="s">
        <v>7363</v>
      </c>
      <c r="BA684">
        <v>0</v>
      </c>
      <c r="BB684" s="20">
        <v>45007</v>
      </c>
      <c r="BC684">
        <v>0</v>
      </c>
      <c r="BD684" t="s">
        <v>7360</v>
      </c>
      <c r="BF684" s="20">
        <v>45007</v>
      </c>
      <c r="BG684">
        <v>0</v>
      </c>
      <c r="BH684" t="s">
        <v>7363</v>
      </c>
      <c r="BJ684" t="s">
        <v>7362</v>
      </c>
      <c r="BK684">
        <v>169</v>
      </c>
      <c r="BL684">
        <v>11</v>
      </c>
      <c r="BM684">
        <v>1</v>
      </c>
      <c r="BN684" t="s">
        <v>7364</v>
      </c>
      <c r="BO684">
        <v>169</v>
      </c>
      <c r="BP684">
        <v>11</v>
      </c>
      <c r="BQ684">
        <v>1</v>
      </c>
      <c r="BR684" t="s">
        <v>7364</v>
      </c>
      <c r="BS684" t="s">
        <v>7427</v>
      </c>
      <c r="BT684" t="s">
        <v>7360</v>
      </c>
      <c r="BU684" t="s">
        <v>7360</v>
      </c>
      <c r="BV684" t="s">
        <v>7360</v>
      </c>
      <c r="BX684" t="s">
        <v>7391</v>
      </c>
      <c r="BY684">
        <v>74</v>
      </c>
      <c r="BZ684" t="s">
        <v>7360</v>
      </c>
      <c r="CA684" t="s">
        <v>7360</v>
      </c>
      <c r="CB684">
        <v>3380666</v>
      </c>
      <c r="CC684" s="21">
        <v>45007.635937500003</v>
      </c>
      <c r="CE684" t="s">
        <v>7392</v>
      </c>
      <c r="CF684">
        <v>1100101</v>
      </c>
      <c r="CG684">
        <v>51669</v>
      </c>
      <c r="CH684">
        <v>51669</v>
      </c>
      <c r="CI684" s="21">
        <v>45007.63689814815</v>
      </c>
      <c r="CJ684" t="s">
        <v>7406</v>
      </c>
      <c r="CK684" t="s">
        <v>7406</v>
      </c>
      <c r="CL684" t="s">
        <v>7407</v>
      </c>
      <c r="CM684" t="s">
        <v>7407</v>
      </c>
      <c r="CS684" t="s">
        <v>7361</v>
      </c>
      <c r="CT684" t="s">
        <v>7362</v>
      </c>
      <c r="CU684" t="s">
        <v>7362</v>
      </c>
      <c r="CV684" t="s">
        <v>7362</v>
      </c>
      <c r="CW684" t="s">
        <v>7362</v>
      </c>
      <c r="CX684">
        <v>1600000</v>
      </c>
      <c r="DA684">
        <v>0</v>
      </c>
    </row>
    <row r="685" spans="1:110" x14ac:dyDescent="0.3">
      <c r="A685">
        <v>1354</v>
      </c>
      <c r="B685" t="s">
        <v>7396</v>
      </c>
      <c r="C685">
        <v>718</v>
      </c>
      <c r="D685" s="20">
        <v>45007</v>
      </c>
      <c r="E685" t="s">
        <v>7372</v>
      </c>
      <c r="F685" t="s">
        <v>4923</v>
      </c>
      <c r="G685" t="s">
        <v>7370</v>
      </c>
      <c r="H685">
        <v>1</v>
      </c>
      <c r="I685" t="s">
        <v>7358</v>
      </c>
      <c r="J685">
        <v>1</v>
      </c>
      <c r="K685" s="20">
        <v>45007</v>
      </c>
      <c r="L685" s="23">
        <v>560000</v>
      </c>
      <c r="M685" t="s">
        <v>7359</v>
      </c>
      <c r="N685" t="s">
        <v>7360</v>
      </c>
      <c r="O685">
        <v>0</v>
      </c>
      <c r="P685">
        <v>13249</v>
      </c>
      <c r="Q685">
        <v>455032</v>
      </c>
      <c r="R685">
        <v>0</v>
      </c>
      <c r="S685">
        <v>20230322</v>
      </c>
      <c r="T685">
        <v>0</v>
      </c>
      <c r="U685" t="s">
        <v>7362</v>
      </c>
      <c r="V685" t="s">
        <v>7360</v>
      </c>
      <c r="W685" t="s">
        <v>7360</v>
      </c>
      <c r="X685" t="s">
        <v>7360</v>
      </c>
      <c r="Y685" t="s">
        <v>7360</v>
      </c>
      <c r="Z685" t="s">
        <v>7360</v>
      </c>
      <c r="AA685" t="s">
        <v>7362</v>
      </c>
      <c r="AB685" t="s">
        <v>7360</v>
      </c>
      <c r="AC685" t="s">
        <v>7360</v>
      </c>
      <c r="AD685" t="s">
        <v>7360</v>
      </c>
      <c r="AE685" t="s">
        <v>7360</v>
      </c>
      <c r="AF685" t="s">
        <v>1684</v>
      </c>
      <c r="AG685">
        <v>0</v>
      </c>
      <c r="AH685">
        <v>0</v>
      </c>
      <c r="AI685">
        <v>0</v>
      </c>
      <c r="AJ685">
        <v>0</v>
      </c>
      <c r="AK685">
        <v>0</v>
      </c>
      <c r="AL685" t="s">
        <v>7360</v>
      </c>
      <c r="AM685">
        <v>0</v>
      </c>
      <c r="AN685" s="20">
        <v>45007</v>
      </c>
      <c r="AO685" s="20">
        <v>45007</v>
      </c>
      <c r="AP685" s="20">
        <v>45007</v>
      </c>
      <c r="AQ685">
        <v>0</v>
      </c>
      <c r="AR685">
        <v>0</v>
      </c>
      <c r="AS685">
        <v>0</v>
      </c>
      <c r="AT685">
        <v>0</v>
      </c>
      <c r="AU685">
        <v>0</v>
      </c>
      <c r="AV685" t="s">
        <v>7360</v>
      </c>
      <c r="AW685">
        <v>0</v>
      </c>
      <c r="AX685" t="s">
        <v>7360</v>
      </c>
      <c r="AY685" t="s">
        <v>7362</v>
      </c>
      <c r="BA685">
        <v>0</v>
      </c>
      <c r="BB685" s="20">
        <v>45007</v>
      </c>
      <c r="BC685">
        <v>0</v>
      </c>
      <c r="BD685" t="s">
        <v>7360</v>
      </c>
      <c r="BF685" s="20">
        <v>45007</v>
      </c>
      <c r="BG685">
        <v>0</v>
      </c>
      <c r="BH685" t="s">
        <v>7363</v>
      </c>
      <c r="BJ685" t="s">
        <v>7362</v>
      </c>
      <c r="BK685">
        <v>169</v>
      </c>
      <c r="BL685">
        <v>11</v>
      </c>
      <c r="BM685">
        <v>1</v>
      </c>
      <c r="BN685" t="s">
        <v>7364</v>
      </c>
      <c r="BO685">
        <v>169</v>
      </c>
      <c r="BP685">
        <v>11</v>
      </c>
      <c r="BQ685">
        <v>1</v>
      </c>
      <c r="BR685" t="s">
        <v>7364</v>
      </c>
      <c r="BS685" t="s">
        <v>7427</v>
      </c>
      <c r="BT685" t="s">
        <v>7360</v>
      </c>
      <c r="BU685" t="s">
        <v>7360</v>
      </c>
      <c r="BV685" t="s">
        <v>7360</v>
      </c>
      <c r="BX685" t="s">
        <v>7391</v>
      </c>
      <c r="BY685">
        <v>74</v>
      </c>
      <c r="BZ685" t="s">
        <v>7360</v>
      </c>
      <c r="CA685" t="s">
        <v>7360</v>
      </c>
      <c r="CB685">
        <v>3380666</v>
      </c>
      <c r="CC685" s="21">
        <v>45007.640462962961</v>
      </c>
      <c r="CE685" t="s">
        <v>7392</v>
      </c>
      <c r="CF685">
        <v>1100101</v>
      </c>
      <c r="CG685">
        <v>51669</v>
      </c>
      <c r="CH685">
        <v>51669</v>
      </c>
      <c r="CI685" s="21">
        <v>45007.641539351855</v>
      </c>
      <c r="CJ685" t="s">
        <v>7406</v>
      </c>
      <c r="CK685" t="s">
        <v>7406</v>
      </c>
      <c r="CL685" t="s">
        <v>7407</v>
      </c>
      <c r="CM685" t="s">
        <v>7407</v>
      </c>
      <c r="CS685" t="s">
        <v>7361</v>
      </c>
      <c r="CT685" t="s">
        <v>7362</v>
      </c>
      <c r="CU685" t="s">
        <v>7362</v>
      </c>
      <c r="CV685" t="s">
        <v>7362</v>
      </c>
      <c r="CW685" t="s">
        <v>7362</v>
      </c>
      <c r="CX685">
        <v>560000</v>
      </c>
      <c r="DA685">
        <v>0</v>
      </c>
    </row>
    <row r="686" spans="1:110" x14ac:dyDescent="0.3">
      <c r="A686">
        <v>1365</v>
      </c>
      <c r="B686" t="s">
        <v>7384</v>
      </c>
      <c r="C686">
        <v>719</v>
      </c>
      <c r="D686" s="20">
        <v>45007</v>
      </c>
      <c r="E686" t="s">
        <v>7372</v>
      </c>
      <c r="F686" t="s">
        <v>4928</v>
      </c>
      <c r="G686" t="s">
        <v>7357</v>
      </c>
      <c r="H686">
        <v>1</v>
      </c>
      <c r="I686" t="s">
        <v>7358</v>
      </c>
      <c r="J686">
        <v>1</v>
      </c>
      <c r="K686" s="20">
        <v>45007</v>
      </c>
      <c r="L686" s="23">
        <v>4966763</v>
      </c>
      <c r="M686" t="s">
        <v>7359</v>
      </c>
      <c r="N686" t="s">
        <v>7360</v>
      </c>
      <c r="O686">
        <v>0</v>
      </c>
      <c r="P686">
        <v>13282</v>
      </c>
      <c r="Q686">
        <v>455046</v>
      </c>
      <c r="R686">
        <v>0</v>
      </c>
      <c r="S686">
        <v>20230322</v>
      </c>
      <c r="T686">
        <v>0</v>
      </c>
      <c r="U686" t="s">
        <v>7362</v>
      </c>
      <c r="V686" t="s">
        <v>7360</v>
      </c>
      <c r="W686" t="s">
        <v>7360</v>
      </c>
      <c r="X686" t="s">
        <v>7360</v>
      </c>
      <c r="Y686" t="s">
        <v>7360</v>
      </c>
      <c r="Z686" t="s">
        <v>7360</v>
      </c>
      <c r="AA686" t="s">
        <v>7362</v>
      </c>
      <c r="AB686" t="s">
        <v>7360</v>
      </c>
      <c r="AC686" t="s">
        <v>7360</v>
      </c>
      <c r="AD686" t="s">
        <v>7360</v>
      </c>
      <c r="AE686" t="s">
        <v>7360</v>
      </c>
      <c r="AF686" t="s">
        <v>1684</v>
      </c>
      <c r="AG686">
        <v>0</v>
      </c>
      <c r="AH686">
        <v>0</v>
      </c>
      <c r="AI686">
        <v>0</v>
      </c>
      <c r="AJ686">
        <v>0</v>
      </c>
      <c r="AK686">
        <v>0</v>
      </c>
      <c r="AL686" t="s">
        <v>7360</v>
      </c>
      <c r="AM686">
        <v>0</v>
      </c>
      <c r="AN686" s="20">
        <v>45007</v>
      </c>
      <c r="AO686" s="20">
        <v>45007</v>
      </c>
      <c r="AP686" s="20">
        <v>45007</v>
      </c>
      <c r="AQ686">
        <v>0</v>
      </c>
      <c r="AR686">
        <v>0</v>
      </c>
      <c r="AS686">
        <v>0</v>
      </c>
      <c r="AT686">
        <v>0</v>
      </c>
      <c r="AU686">
        <v>0</v>
      </c>
      <c r="AV686" t="s">
        <v>7360</v>
      </c>
      <c r="AW686">
        <v>0</v>
      </c>
      <c r="AX686" t="s">
        <v>7360</v>
      </c>
      <c r="AY686" t="s">
        <v>7362</v>
      </c>
      <c r="BA686">
        <v>0</v>
      </c>
      <c r="BB686" s="20">
        <v>45007</v>
      </c>
      <c r="BC686">
        <v>0</v>
      </c>
      <c r="BD686" t="s">
        <v>7360</v>
      </c>
      <c r="BF686" s="20">
        <v>45007</v>
      </c>
      <c r="BG686">
        <v>0</v>
      </c>
      <c r="BH686" t="s">
        <v>7363</v>
      </c>
      <c r="BJ686" t="s">
        <v>7362</v>
      </c>
      <c r="BK686">
        <v>169</v>
      </c>
      <c r="BL686">
        <v>11</v>
      </c>
      <c r="BM686">
        <v>1</v>
      </c>
      <c r="BN686" t="s">
        <v>7364</v>
      </c>
      <c r="BO686">
        <v>169</v>
      </c>
      <c r="BP686">
        <v>11</v>
      </c>
      <c r="BQ686">
        <v>1</v>
      </c>
      <c r="BR686" t="s">
        <v>7364</v>
      </c>
      <c r="BS686" t="s">
        <v>7385</v>
      </c>
      <c r="BT686" t="s">
        <v>7360</v>
      </c>
      <c r="BU686" t="s">
        <v>7360</v>
      </c>
      <c r="BV686" t="s">
        <v>7360</v>
      </c>
      <c r="BX686" t="s">
        <v>7391</v>
      </c>
      <c r="BY686">
        <v>74</v>
      </c>
      <c r="BZ686" t="s">
        <v>7360</v>
      </c>
      <c r="CA686" t="s">
        <v>7360</v>
      </c>
      <c r="CB686">
        <v>3380666</v>
      </c>
      <c r="CC686" s="21">
        <v>45007.646099537036</v>
      </c>
      <c r="CE686" t="s">
        <v>7392</v>
      </c>
      <c r="CF686">
        <v>1100101</v>
      </c>
      <c r="CG686">
        <v>51669</v>
      </c>
      <c r="CH686">
        <v>51669</v>
      </c>
      <c r="CI686" s="21">
        <v>45007.647013888891</v>
      </c>
      <c r="CJ686" t="s">
        <v>7406</v>
      </c>
      <c r="CK686" t="s">
        <v>7406</v>
      </c>
      <c r="CL686" t="s">
        <v>7407</v>
      </c>
      <c r="CM686" t="s">
        <v>7407</v>
      </c>
      <c r="CS686" t="s">
        <v>7361</v>
      </c>
      <c r="CT686" t="s">
        <v>7362</v>
      </c>
      <c r="CU686" t="s">
        <v>7362</v>
      </c>
      <c r="CV686" t="s">
        <v>7362</v>
      </c>
      <c r="CW686" t="s">
        <v>7362</v>
      </c>
      <c r="CX686">
        <v>4966763</v>
      </c>
      <c r="DA686">
        <v>0</v>
      </c>
    </row>
    <row r="687" spans="1:110" x14ac:dyDescent="0.3">
      <c r="A687">
        <v>1365</v>
      </c>
      <c r="B687" t="s">
        <v>7384</v>
      </c>
      <c r="C687">
        <v>720</v>
      </c>
      <c r="D687" s="20">
        <v>45007</v>
      </c>
      <c r="E687" t="s">
        <v>7372</v>
      </c>
      <c r="F687" t="s">
        <v>4933</v>
      </c>
      <c r="G687" t="s">
        <v>7357</v>
      </c>
      <c r="H687">
        <v>1</v>
      </c>
      <c r="I687" t="s">
        <v>7358</v>
      </c>
      <c r="J687">
        <v>1</v>
      </c>
      <c r="K687" s="20">
        <v>45007</v>
      </c>
      <c r="L687" s="23">
        <v>971061</v>
      </c>
      <c r="M687" t="s">
        <v>7359</v>
      </c>
      <c r="N687" t="s">
        <v>7360</v>
      </c>
      <c r="O687">
        <v>0</v>
      </c>
      <c r="P687">
        <v>13357</v>
      </c>
      <c r="Q687">
        <v>458019</v>
      </c>
      <c r="R687">
        <v>0</v>
      </c>
      <c r="S687">
        <v>20230322</v>
      </c>
      <c r="T687">
        <v>0</v>
      </c>
      <c r="U687" t="s">
        <v>7362</v>
      </c>
      <c r="V687" t="s">
        <v>7360</v>
      </c>
      <c r="W687" t="s">
        <v>7360</v>
      </c>
      <c r="X687" t="s">
        <v>7360</v>
      </c>
      <c r="Y687" t="s">
        <v>7360</v>
      </c>
      <c r="Z687" t="s">
        <v>7360</v>
      </c>
      <c r="AA687" t="s">
        <v>7362</v>
      </c>
      <c r="AB687" t="s">
        <v>7360</v>
      </c>
      <c r="AC687" t="s">
        <v>7360</v>
      </c>
      <c r="AD687" t="s">
        <v>7360</v>
      </c>
      <c r="AE687" t="s">
        <v>7360</v>
      </c>
      <c r="AF687" t="s">
        <v>1684</v>
      </c>
      <c r="AG687">
        <v>0</v>
      </c>
      <c r="AH687">
        <v>0</v>
      </c>
      <c r="AI687">
        <v>0</v>
      </c>
      <c r="AJ687">
        <v>0</v>
      </c>
      <c r="AK687">
        <v>0</v>
      </c>
      <c r="AL687" t="s">
        <v>7360</v>
      </c>
      <c r="AM687">
        <v>0</v>
      </c>
      <c r="AN687" s="20">
        <v>45007</v>
      </c>
      <c r="AO687" s="20">
        <v>45007</v>
      </c>
      <c r="AP687" s="20">
        <v>45007</v>
      </c>
      <c r="AQ687">
        <v>0</v>
      </c>
      <c r="AR687">
        <v>0</v>
      </c>
      <c r="AS687">
        <v>0</v>
      </c>
      <c r="AT687">
        <v>0</v>
      </c>
      <c r="AU687">
        <v>0</v>
      </c>
      <c r="AV687" t="s">
        <v>7360</v>
      </c>
      <c r="AW687">
        <v>0</v>
      </c>
      <c r="AX687" t="s">
        <v>7360</v>
      </c>
      <c r="AY687" t="s">
        <v>7362</v>
      </c>
      <c r="BA687">
        <v>0</v>
      </c>
      <c r="BB687" s="20">
        <v>45007</v>
      </c>
      <c r="BC687">
        <v>0</v>
      </c>
      <c r="BD687" t="s">
        <v>7360</v>
      </c>
      <c r="BF687" s="20">
        <v>45007</v>
      </c>
      <c r="BG687">
        <v>0</v>
      </c>
      <c r="BH687" t="s">
        <v>7363</v>
      </c>
      <c r="BJ687" t="s">
        <v>7362</v>
      </c>
      <c r="BK687">
        <v>169</v>
      </c>
      <c r="BL687">
        <v>11</v>
      </c>
      <c r="BM687">
        <v>1</v>
      </c>
      <c r="BN687" t="s">
        <v>7364</v>
      </c>
      <c r="BO687">
        <v>169</v>
      </c>
      <c r="BP687">
        <v>11</v>
      </c>
      <c r="BQ687">
        <v>1</v>
      </c>
      <c r="BR687" t="s">
        <v>7364</v>
      </c>
      <c r="BS687" t="s">
        <v>7385</v>
      </c>
      <c r="BT687" t="s">
        <v>7360</v>
      </c>
      <c r="BU687" t="s">
        <v>7360</v>
      </c>
      <c r="BV687" t="s">
        <v>7360</v>
      </c>
      <c r="BX687" t="s">
        <v>7391</v>
      </c>
      <c r="BY687">
        <v>74</v>
      </c>
      <c r="BZ687" t="s">
        <v>7360</v>
      </c>
      <c r="CA687" t="s">
        <v>7360</v>
      </c>
      <c r="CB687">
        <v>3380666</v>
      </c>
      <c r="CC687" s="21">
        <v>45007.665254629632</v>
      </c>
      <c r="CE687" t="s">
        <v>7392</v>
      </c>
      <c r="CF687">
        <v>1100101</v>
      </c>
      <c r="CG687">
        <v>51669</v>
      </c>
      <c r="CH687">
        <v>51669</v>
      </c>
      <c r="CI687" s="21">
        <v>45007.666574074072</v>
      </c>
      <c r="CJ687" t="s">
        <v>7406</v>
      </c>
      <c r="CK687" t="s">
        <v>7406</v>
      </c>
      <c r="CL687" t="s">
        <v>7407</v>
      </c>
      <c r="CM687" t="s">
        <v>7407</v>
      </c>
      <c r="CS687" t="s">
        <v>7361</v>
      </c>
      <c r="CT687" t="s">
        <v>7362</v>
      </c>
      <c r="CU687" t="s">
        <v>7362</v>
      </c>
      <c r="CV687" t="s">
        <v>7362</v>
      </c>
      <c r="CW687" t="s">
        <v>7362</v>
      </c>
      <c r="CX687">
        <v>971061</v>
      </c>
      <c r="DA687">
        <v>0</v>
      </c>
    </row>
    <row r="688" spans="1:110" x14ac:dyDescent="0.3">
      <c r="A688">
        <v>1372</v>
      </c>
      <c r="B688" t="s">
        <v>7369</v>
      </c>
      <c r="C688">
        <v>377</v>
      </c>
      <c r="D688" s="20">
        <v>44973</v>
      </c>
      <c r="E688" t="s">
        <v>7356</v>
      </c>
      <c r="F688" t="s">
        <v>4939</v>
      </c>
      <c r="G688" t="s">
        <v>7357</v>
      </c>
      <c r="H688">
        <v>1</v>
      </c>
      <c r="I688" t="s">
        <v>7358</v>
      </c>
      <c r="J688">
        <v>1</v>
      </c>
      <c r="K688" s="20">
        <v>44973</v>
      </c>
      <c r="L688" s="23">
        <v>33989375</v>
      </c>
      <c r="M688" t="s">
        <v>7359</v>
      </c>
      <c r="N688" t="s">
        <v>7360</v>
      </c>
      <c r="O688">
        <v>0</v>
      </c>
      <c r="P688">
        <v>12475</v>
      </c>
      <c r="Q688">
        <v>438001</v>
      </c>
      <c r="R688">
        <v>0</v>
      </c>
      <c r="S688">
        <v>20230216</v>
      </c>
      <c r="T688">
        <v>0</v>
      </c>
      <c r="U688" t="s">
        <v>7361</v>
      </c>
      <c r="V688" t="s">
        <v>7360</v>
      </c>
      <c r="W688" t="s">
        <v>7360</v>
      </c>
      <c r="X688" t="s">
        <v>7360</v>
      </c>
      <c r="Y688" t="s">
        <v>7360</v>
      </c>
      <c r="Z688" t="s">
        <v>7360</v>
      </c>
      <c r="AA688" t="s">
        <v>7362</v>
      </c>
      <c r="AB688" t="s">
        <v>7360</v>
      </c>
      <c r="AC688" t="s">
        <v>7360</v>
      </c>
      <c r="AD688" t="s">
        <v>7360</v>
      </c>
      <c r="AE688" t="s">
        <v>7360</v>
      </c>
      <c r="AF688" t="s">
        <v>1684</v>
      </c>
      <c r="AG688">
        <v>0</v>
      </c>
      <c r="AH688">
        <v>0</v>
      </c>
      <c r="AI688">
        <v>0</v>
      </c>
      <c r="AJ688">
        <v>0</v>
      </c>
      <c r="AK688">
        <v>0</v>
      </c>
      <c r="AL688" t="s">
        <v>7360</v>
      </c>
      <c r="AM688">
        <v>0</v>
      </c>
      <c r="AN688" s="20">
        <v>44973</v>
      </c>
      <c r="AO688" s="20">
        <v>44973</v>
      </c>
      <c r="AP688" s="20">
        <v>44973</v>
      </c>
      <c r="AQ688">
        <v>0</v>
      </c>
      <c r="AR688">
        <v>0</v>
      </c>
      <c r="AS688">
        <v>0</v>
      </c>
      <c r="AT688">
        <v>0</v>
      </c>
      <c r="AU688">
        <v>0</v>
      </c>
      <c r="AV688" t="s">
        <v>7360</v>
      </c>
      <c r="AW688">
        <v>0</v>
      </c>
      <c r="AX688" t="s">
        <v>7360</v>
      </c>
      <c r="AY688" t="s">
        <v>7363</v>
      </c>
      <c r="BA688">
        <v>0</v>
      </c>
      <c r="BB688" s="20">
        <v>44973</v>
      </c>
      <c r="BC688">
        <v>0</v>
      </c>
      <c r="BD688" t="s">
        <v>7360</v>
      </c>
      <c r="BF688" s="20">
        <v>44973</v>
      </c>
      <c r="BG688">
        <v>0</v>
      </c>
      <c r="BH688" t="s">
        <v>7363</v>
      </c>
      <c r="BJ688" t="s">
        <v>7362</v>
      </c>
      <c r="BK688">
        <v>0</v>
      </c>
      <c r="BL688">
        <v>0</v>
      </c>
      <c r="BM688">
        <v>0</v>
      </c>
      <c r="BN688">
        <v>0</v>
      </c>
      <c r="BO688">
        <v>169</v>
      </c>
      <c r="BP688">
        <v>11</v>
      </c>
      <c r="BQ688">
        <v>1</v>
      </c>
      <c r="BR688" t="s">
        <v>7364</v>
      </c>
      <c r="BS688" t="s">
        <v>61</v>
      </c>
      <c r="BT688" t="s">
        <v>7360</v>
      </c>
      <c r="BU688" t="s">
        <v>7360</v>
      </c>
      <c r="BV688" t="s">
        <v>7360</v>
      </c>
      <c r="BX688">
        <v>0</v>
      </c>
      <c r="BY688">
        <v>0</v>
      </c>
      <c r="BZ688" t="s">
        <v>7360</v>
      </c>
      <c r="CA688" t="s">
        <v>7360</v>
      </c>
      <c r="CB688">
        <v>3380666</v>
      </c>
      <c r="CC688" s="21">
        <v>44973.802974537037</v>
      </c>
      <c r="CE688" t="s">
        <v>7366</v>
      </c>
      <c r="CF688">
        <v>0</v>
      </c>
      <c r="CG688">
        <v>702002</v>
      </c>
      <c r="CH688">
        <v>702002</v>
      </c>
      <c r="CI688" s="21">
        <v>44976.927106481482</v>
      </c>
      <c r="CJ688" t="s">
        <v>7367</v>
      </c>
      <c r="CK688" t="s">
        <v>7367</v>
      </c>
      <c r="CL688" t="s">
        <v>7368</v>
      </c>
      <c r="CM688" t="s">
        <v>7368</v>
      </c>
      <c r="CS688" t="s">
        <v>7361</v>
      </c>
      <c r="CT688" t="s">
        <v>7362</v>
      </c>
      <c r="CU688" t="s">
        <v>7362</v>
      </c>
      <c r="CV688" t="s">
        <v>7362</v>
      </c>
      <c r="CW688" t="s">
        <v>7362</v>
      </c>
      <c r="CX688">
        <v>33989375</v>
      </c>
      <c r="DA688">
        <v>0</v>
      </c>
      <c r="DF688" t="s">
        <v>7438</v>
      </c>
    </row>
    <row r="689" spans="1:105" x14ac:dyDescent="0.3">
      <c r="A689">
        <v>1364</v>
      </c>
      <c r="B689" t="s">
        <v>7355</v>
      </c>
      <c r="C689">
        <v>722</v>
      </c>
      <c r="D689" s="20">
        <v>45007</v>
      </c>
      <c r="E689" t="s">
        <v>7372</v>
      </c>
      <c r="F689" t="s">
        <v>4944</v>
      </c>
      <c r="G689" t="s">
        <v>7357</v>
      </c>
      <c r="H689">
        <v>1</v>
      </c>
      <c r="I689" t="s">
        <v>7358</v>
      </c>
      <c r="J689">
        <v>1</v>
      </c>
      <c r="K689" s="20">
        <v>45007</v>
      </c>
      <c r="L689" s="23">
        <v>750000</v>
      </c>
      <c r="M689" t="s">
        <v>7359</v>
      </c>
      <c r="N689" t="s">
        <v>7360</v>
      </c>
      <c r="O689">
        <v>0</v>
      </c>
      <c r="P689">
        <v>13330</v>
      </c>
      <c r="Q689">
        <v>458007</v>
      </c>
      <c r="R689">
        <v>0</v>
      </c>
      <c r="S689">
        <v>20230322</v>
      </c>
      <c r="T689">
        <v>0</v>
      </c>
      <c r="U689" t="s">
        <v>7362</v>
      </c>
      <c r="V689" t="s">
        <v>7360</v>
      </c>
      <c r="W689" t="s">
        <v>7360</v>
      </c>
      <c r="X689" t="s">
        <v>7360</v>
      </c>
      <c r="Y689" t="s">
        <v>7360</v>
      </c>
      <c r="Z689" t="s">
        <v>7360</v>
      </c>
      <c r="AA689" t="s">
        <v>7362</v>
      </c>
      <c r="AB689" t="s">
        <v>7360</v>
      </c>
      <c r="AC689" t="s">
        <v>7360</v>
      </c>
      <c r="AD689" t="s">
        <v>7360</v>
      </c>
      <c r="AE689" t="s">
        <v>7360</v>
      </c>
      <c r="AF689" t="s">
        <v>1684</v>
      </c>
      <c r="AG689">
        <v>0</v>
      </c>
      <c r="AH689">
        <v>0</v>
      </c>
      <c r="AI689">
        <v>0</v>
      </c>
      <c r="AJ689">
        <v>0</v>
      </c>
      <c r="AK689">
        <v>0</v>
      </c>
      <c r="AL689" t="s">
        <v>7360</v>
      </c>
      <c r="AM689">
        <v>0</v>
      </c>
      <c r="AN689" s="20">
        <v>45007</v>
      </c>
      <c r="AO689" s="20">
        <v>45007</v>
      </c>
      <c r="AP689" s="20">
        <v>45007</v>
      </c>
      <c r="AQ689">
        <v>0</v>
      </c>
      <c r="AR689">
        <v>0</v>
      </c>
      <c r="AS689">
        <v>0</v>
      </c>
      <c r="AT689">
        <v>0</v>
      </c>
      <c r="AU689">
        <v>0</v>
      </c>
      <c r="AV689" t="s">
        <v>7360</v>
      </c>
      <c r="AW689">
        <v>0</v>
      </c>
      <c r="AX689" t="s">
        <v>7360</v>
      </c>
      <c r="AY689" t="s">
        <v>7362</v>
      </c>
      <c r="BA689">
        <v>0</v>
      </c>
      <c r="BB689" s="20">
        <v>45007</v>
      </c>
      <c r="BC689">
        <v>0</v>
      </c>
      <c r="BD689" t="s">
        <v>7360</v>
      </c>
      <c r="BF689" s="20">
        <v>45007</v>
      </c>
      <c r="BG689">
        <v>0</v>
      </c>
      <c r="BH689" t="s">
        <v>7363</v>
      </c>
      <c r="BJ689" t="s">
        <v>7362</v>
      </c>
      <c r="BK689">
        <v>169</v>
      </c>
      <c r="BL689">
        <v>11</v>
      </c>
      <c r="BM689">
        <v>1</v>
      </c>
      <c r="BN689" t="s">
        <v>7364</v>
      </c>
      <c r="BO689">
        <v>169</v>
      </c>
      <c r="BP689">
        <v>11</v>
      </c>
      <c r="BQ689">
        <v>1</v>
      </c>
      <c r="BR689" t="s">
        <v>7364</v>
      </c>
      <c r="BS689" t="s">
        <v>7365</v>
      </c>
      <c r="BT689" t="s">
        <v>7360</v>
      </c>
      <c r="BU689" t="s">
        <v>7360</v>
      </c>
      <c r="BV689" t="s">
        <v>7360</v>
      </c>
      <c r="BX689" t="s">
        <v>7391</v>
      </c>
      <c r="BY689">
        <v>74</v>
      </c>
      <c r="BZ689" t="s">
        <v>7360</v>
      </c>
      <c r="CA689" t="s">
        <v>7360</v>
      </c>
      <c r="CB689">
        <v>3380666</v>
      </c>
      <c r="CC689" s="21">
        <v>45007.680034722223</v>
      </c>
      <c r="CE689" t="s">
        <v>7392</v>
      </c>
      <c r="CF689">
        <v>1100101</v>
      </c>
      <c r="CG689">
        <v>51669</v>
      </c>
      <c r="CH689">
        <v>51669</v>
      </c>
      <c r="CI689" s="21">
        <v>45007.682893518519</v>
      </c>
      <c r="CJ689" t="s">
        <v>7406</v>
      </c>
      <c r="CK689" t="s">
        <v>7406</v>
      </c>
      <c r="CL689" t="s">
        <v>7407</v>
      </c>
      <c r="CM689" t="s">
        <v>7407</v>
      </c>
      <c r="CS689" t="s">
        <v>7361</v>
      </c>
      <c r="CT689" t="s">
        <v>7362</v>
      </c>
      <c r="CU689" t="s">
        <v>7362</v>
      </c>
      <c r="CV689" t="s">
        <v>7362</v>
      </c>
      <c r="CW689" t="s">
        <v>7362</v>
      </c>
      <c r="CX689">
        <v>750000</v>
      </c>
      <c r="DA689">
        <v>0</v>
      </c>
    </row>
    <row r="690" spans="1:105" x14ac:dyDescent="0.3">
      <c r="A690">
        <v>1365</v>
      </c>
      <c r="B690" t="s">
        <v>7384</v>
      </c>
      <c r="C690">
        <v>723</v>
      </c>
      <c r="D690" s="20">
        <v>45007</v>
      </c>
      <c r="E690" t="s">
        <v>7372</v>
      </c>
      <c r="F690" t="s">
        <v>4949</v>
      </c>
      <c r="G690" t="s">
        <v>7357</v>
      </c>
      <c r="H690">
        <v>1</v>
      </c>
      <c r="I690" t="s">
        <v>7358</v>
      </c>
      <c r="J690">
        <v>1</v>
      </c>
      <c r="K690" s="20">
        <v>45007</v>
      </c>
      <c r="L690" s="23">
        <v>505750</v>
      </c>
      <c r="M690" t="s">
        <v>7359</v>
      </c>
      <c r="N690" t="s">
        <v>7360</v>
      </c>
      <c r="O690">
        <v>0</v>
      </c>
      <c r="P690">
        <v>13388</v>
      </c>
      <c r="Q690">
        <v>459016</v>
      </c>
      <c r="R690">
        <v>0</v>
      </c>
      <c r="S690">
        <v>20230322</v>
      </c>
      <c r="T690">
        <v>0</v>
      </c>
      <c r="U690" t="s">
        <v>7362</v>
      </c>
      <c r="V690" t="s">
        <v>7360</v>
      </c>
      <c r="W690" t="s">
        <v>7360</v>
      </c>
      <c r="X690" t="s">
        <v>7360</v>
      </c>
      <c r="Y690" t="s">
        <v>7360</v>
      </c>
      <c r="Z690" t="s">
        <v>7360</v>
      </c>
      <c r="AA690" t="s">
        <v>7362</v>
      </c>
      <c r="AB690" t="s">
        <v>7360</v>
      </c>
      <c r="AC690" t="s">
        <v>7360</v>
      </c>
      <c r="AD690" t="s">
        <v>7360</v>
      </c>
      <c r="AE690" t="s">
        <v>7360</v>
      </c>
      <c r="AF690" t="s">
        <v>1684</v>
      </c>
      <c r="AG690">
        <v>0</v>
      </c>
      <c r="AH690">
        <v>0</v>
      </c>
      <c r="AI690">
        <v>0</v>
      </c>
      <c r="AJ690">
        <v>0</v>
      </c>
      <c r="AK690">
        <v>0</v>
      </c>
      <c r="AL690" t="s">
        <v>7360</v>
      </c>
      <c r="AM690">
        <v>0</v>
      </c>
      <c r="AN690" s="20">
        <v>45007</v>
      </c>
      <c r="AO690" s="20">
        <v>45007</v>
      </c>
      <c r="AP690" s="20">
        <v>45007</v>
      </c>
      <c r="AQ690">
        <v>0</v>
      </c>
      <c r="AR690">
        <v>0</v>
      </c>
      <c r="AS690">
        <v>0</v>
      </c>
      <c r="AT690">
        <v>0</v>
      </c>
      <c r="AU690">
        <v>0</v>
      </c>
      <c r="AV690" t="s">
        <v>7360</v>
      </c>
      <c r="AW690">
        <v>0</v>
      </c>
      <c r="AX690" t="s">
        <v>7360</v>
      </c>
      <c r="AY690" t="s">
        <v>7362</v>
      </c>
      <c r="BA690">
        <v>0</v>
      </c>
      <c r="BB690" s="20">
        <v>45007</v>
      </c>
      <c r="BC690">
        <v>0</v>
      </c>
      <c r="BD690" t="s">
        <v>7360</v>
      </c>
      <c r="BF690" s="20">
        <v>45007</v>
      </c>
      <c r="BG690">
        <v>0</v>
      </c>
      <c r="BH690" t="s">
        <v>7363</v>
      </c>
      <c r="BJ690" t="s">
        <v>7362</v>
      </c>
      <c r="BK690">
        <v>169</v>
      </c>
      <c r="BL690">
        <v>11</v>
      </c>
      <c r="BM690">
        <v>1</v>
      </c>
      <c r="BN690" t="s">
        <v>7364</v>
      </c>
      <c r="BO690">
        <v>169</v>
      </c>
      <c r="BP690">
        <v>11</v>
      </c>
      <c r="BQ690">
        <v>1</v>
      </c>
      <c r="BR690" t="s">
        <v>7364</v>
      </c>
      <c r="BS690" t="s">
        <v>7365</v>
      </c>
      <c r="BT690" t="s">
        <v>7360</v>
      </c>
      <c r="BU690" t="s">
        <v>7360</v>
      </c>
      <c r="BV690" t="s">
        <v>7360</v>
      </c>
      <c r="BX690" t="s">
        <v>7391</v>
      </c>
      <c r="BY690">
        <v>74</v>
      </c>
      <c r="BZ690" t="s">
        <v>7360</v>
      </c>
      <c r="CA690" t="s">
        <v>7360</v>
      </c>
      <c r="CB690">
        <v>3380666</v>
      </c>
      <c r="CC690" s="21">
        <v>45007.688298611109</v>
      </c>
      <c r="CE690" t="s">
        <v>7392</v>
      </c>
      <c r="CF690">
        <v>1100101</v>
      </c>
      <c r="CG690">
        <v>51669</v>
      </c>
      <c r="CH690">
        <v>51669</v>
      </c>
      <c r="CI690" s="21">
        <v>45007.689016203702</v>
      </c>
      <c r="CJ690" t="s">
        <v>7406</v>
      </c>
      <c r="CK690" t="s">
        <v>7406</v>
      </c>
      <c r="CL690" t="s">
        <v>7407</v>
      </c>
      <c r="CM690" t="s">
        <v>7407</v>
      </c>
      <c r="CS690" t="s">
        <v>7361</v>
      </c>
      <c r="CT690" t="s">
        <v>7362</v>
      </c>
      <c r="CU690" t="s">
        <v>7362</v>
      </c>
      <c r="CV690" t="s">
        <v>7362</v>
      </c>
      <c r="CW690" t="s">
        <v>7362</v>
      </c>
      <c r="CX690">
        <v>505750</v>
      </c>
      <c r="DA690">
        <v>0</v>
      </c>
    </row>
    <row r="691" spans="1:105" x14ac:dyDescent="0.3">
      <c r="A691">
        <v>1354</v>
      </c>
      <c r="B691" t="s">
        <v>7396</v>
      </c>
      <c r="C691">
        <v>724</v>
      </c>
      <c r="D691" s="20">
        <v>45008</v>
      </c>
      <c r="E691" t="s">
        <v>7372</v>
      </c>
      <c r="F691" t="s">
        <v>4955</v>
      </c>
      <c r="G691" t="s">
        <v>7370</v>
      </c>
      <c r="H691">
        <v>1</v>
      </c>
      <c r="I691" t="s">
        <v>7358</v>
      </c>
      <c r="J691">
        <v>1</v>
      </c>
      <c r="K691" s="20">
        <v>45008</v>
      </c>
      <c r="L691" s="23">
        <v>2712000</v>
      </c>
      <c r="M691" t="s">
        <v>7359</v>
      </c>
      <c r="N691" t="s">
        <v>7360</v>
      </c>
      <c r="O691">
        <v>0</v>
      </c>
      <c r="P691">
        <v>13305</v>
      </c>
      <c r="Q691">
        <v>456005</v>
      </c>
      <c r="R691">
        <v>0</v>
      </c>
      <c r="S691">
        <v>20230323</v>
      </c>
      <c r="T691">
        <v>0</v>
      </c>
      <c r="U691" t="s">
        <v>7362</v>
      </c>
      <c r="V691" t="s">
        <v>7360</v>
      </c>
      <c r="W691" t="s">
        <v>7360</v>
      </c>
      <c r="X691" t="s">
        <v>7360</v>
      </c>
      <c r="Y691" t="s">
        <v>7360</v>
      </c>
      <c r="Z691" t="s">
        <v>7360</v>
      </c>
      <c r="AA691" t="s">
        <v>7362</v>
      </c>
      <c r="AB691" t="s">
        <v>7360</v>
      </c>
      <c r="AC691" t="s">
        <v>7360</v>
      </c>
      <c r="AD691" t="s">
        <v>7360</v>
      </c>
      <c r="AE691" t="s">
        <v>7360</v>
      </c>
      <c r="AF691" t="s">
        <v>1684</v>
      </c>
      <c r="AG691">
        <v>0</v>
      </c>
      <c r="AH691">
        <v>0</v>
      </c>
      <c r="AI691">
        <v>0</v>
      </c>
      <c r="AJ691">
        <v>0</v>
      </c>
      <c r="AK691">
        <v>0</v>
      </c>
      <c r="AL691" t="s">
        <v>7360</v>
      </c>
      <c r="AM691">
        <v>0</v>
      </c>
      <c r="AN691" s="20">
        <v>45008</v>
      </c>
      <c r="AO691" s="20">
        <v>45008</v>
      </c>
      <c r="AP691" s="20">
        <v>45008</v>
      </c>
      <c r="AQ691">
        <v>0</v>
      </c>
      <c r="AR691">
        <v>0</v>
      </c>
      <c r="AS691">
        <v>0</v>
      </c>
      <c r="AT691">
        <v>0</v>
      </c>
      <c r="AU691">
        <v>0</v>
      </c>
      <c r="AV691" t="s">
        <v>7360</v>
      </c>
      <c r="AW691">
        <v>0</v>
      </c>
      <c r="AX691" t="s">
        <v>7360</v>
      </c>
      <c r="AY691" t="s">
        <v>7362</v>
      </c>
      <c r="BA691">
        <v>0</v>
      </c>
      <c r="BB691" s="20">
        <v>45008</v>
      </c>
      <c r="BC691">
        <v>0</v>
      </c>
      <c r="BD691" t="s">
        <v>7360</v>
      </c>
      <c r="BF691" s="20">
        <v>45008</v>
      </c>
      <c r="BG691">
        <v>0</v>
      </c>
      <c r="BH691" t="s">
        <v>7363</v>
      </c>
      <c r="BJ691" t="s">
        <v>7362</v>
      </c>
      <c r="BK691">
        <v>169</v>
      </c>
      <c r="BL691">
        <v>11</v>
      </c>
      <c r="BM691">
        <v>1</v>
      </c>
      <c r="BN691" t="s">
        <v>7364</v>
      </c>
      <c r="BO691">
        <v>169</v>
      </c>
      <c r="BP691">
        <v>11</v>
      </c>
      <c r="BQ691">
        <v>1</v>
      </c>
      <c r="BR691" t="s">
        <v>7364</v>
      </c>
      <c r="BS691" t="s">
        <v>7365</v>
      </c>
      <c r="BT691" t="s">
        <v>7360</v>
      </c>
      <c r="BU691" t="s">
        <v>7360</v>
      </c>
      <c r="BV691" t="s">
        <v>7360</v>
      </c>
      <c r="BX691" t="s">
        <v>7391</v>
      </c>
      <c r="BY691">
        <v>74</v>
      </c>
      <c r="BZ691" t="s">
        <v>7360</v>
      </c>
      <c r="CA691" t="s">
        <v>7360</v>
      </c>
      <c r="CB691">
        <v>3380666</v>
      </c>
      <c r="CC691" s="21">
        <v>45008.409502314818</v>
      </c>
      <c r="CE691" t="s">
        <v>7392</v>
      </c>
      <c r="CF691">
        <v>1100101</v>
      </c>
      <c r="CG691">
        <v>51669</v>
      </c>
      <c r="CH691">
        <v>51669</v>
      </c>
      <c r="CI691" s="21">
        <v>45008.410740740743</v>
      </c>
      <c r="CJ691" t="s">
        <v>7406</v>
      </c>
      <c r="CK691" t="s">
        <v>7406</v>
      </c>
      <c r="CL691" t="s">
        <v>7407</v>
      </c>
      <c r="CM691" t="s">
        <v>7407</v>
      </c>
      <c r="CS691" t="s">
        <v>7361</v>
      </c>
      <c r="CT691" t="s">
        <v>7362</v>
      </c>
      <c r="CU691" t="s">
        <v>7362</v>
      </c>
      <c r="CV691" t="s">
        <v>7362</v>
      </c>
      <c r="CW691" t="s">
        <v>7362</v>
      </c>
      <c r="CX691">
        <v>2712000</v>
      </c>
      <c r="DA691">
        <v>0</v>
      </c>
    </row>
    <row r="692" spans="1:105" x14ac:dyDescent="0.3">
      <c r="A692">
        <v>1354</v>
      </c>
      <c r="B692" t="s">
        <v>7396</v>
      </c>
      <c r="C692">
        <v>725</v>
      </c>
      <c r="D692" s="20">
        <v>45008</v>
      </c>
      <c r="E692" t="s">
        <v>7372</v>
      </c>
      <c r="F692" t="s">
        <v>4960</v>
      </c>
      <c r="G692" t="s">
        <v>7370</v>
      </c>
      <c r="H692">
        <v>1</v>
      </c>
      <c r="I692" t="s">
        <v>7358</v>
      </c>
      <c r="J692">
        <v>1</v>
      </c>
      <c r="K692" s="20">
        <v>45008</v>
      </c>
      <c r="L692" s="23">
        <v>2712000</v>
      </c>
      <c r="M692" t="s">
        <v>7359</v>
      </c>
      <c r="N692" t="s">
        <v>7360</v>
      </c>
      <c r="O692">
        <v>0</v>
      </c>
      <c r="P692">
        <v>13307</v>
      </c>
      <c r="Q692">
        <v>456007</v>
      </c>
      <c r="R692">
        <v>0</v>
      </c>
      <c r="S692">
        <v>20230323</v>
      </c>
      <c r="T692">
        <v>0</v>
      </c>
      <c r="U692" t="s">
        <v>7362</v>
      </c>
      <c r="V692" t="s">
        <v>7360</v>
      </c>
      <c r="W692" t="s">
        <v>7360</v>
      </c>
      <c r="X692" t="s">
        <v>7360</v>
      </c>
      <c r="Y692" t="s">
        <v>7360</v>
      </c>
      <c r="Z692" t="s">
        <v>7360</v>
      </c>
      <c r="AA692" t="s">
        <v>7362</v>
      </c>
      <c r="AB692" t="s">
        <v>7360</v>
      </c>
      <c r="AC692" t="s">
        <v>7360</v>
      </c>
      <c r="AD692" t="s">
        <v>7360</v>
      </c>
      <c r="AE692" t="s">
        <v>7360</v>
      </c>
      <c r="AF692" t="s">
        <v>1684</v>
      </c>
      <c r="AG692">
        <v>0</v>
      </c>
      <c r="AH692">
        <v>0</v>
      </c>
      <c r="AI692">
        <v>0</v>
      </c>
      <c r="AJ692">
        <v>0</v>
      </c>
      <c r="AK692">
        <v>0</v>
      </c>
      <c r="AL692" t="s">
        <v>7360</v>
      </c>
      <c r="AM692">
        <v>0</v>
      </c>
      <c r="AN692" s="20">
        <v>45008</v>
      </c>
      <c r="AO692" s="20">
        <v>45008</v>
      </c>
      <c r="AP692" s="20">
        <v>45008</v>
      </c>
      <c r="AQ692">
        <v>0</v>
      </c>
      <c r="AR692">
        <v>0</v>
      </c>
      <c r="AS692">
        <v>0</v>
      </c>
      <c r="AT692">
        <v>0</v>
      </c>
      <c r="AU692">
        <v>0</v>
      </c>
      <c r="AV692" t="s">
        <v>7360</v>
      </c>
      <c r="AW692">
        <v>0</v>
      </c>
      <c r="AX692" t="s">
        <v>7360</v>
      </c>
      <c r="AY692" t="s">
        <v>7362</v>
      </c>
      <c r="BA692">
        <v>0</v>
      </c>
      <c r="BB692" s="20">
        <v>45008</v>
      </c>
      <c r="BC692">
        <v>0</v>
      </c>
      <c r="BD692" t="s">
        <v>7360</v>
      </c>
      <c r="BF692" s="20">
        <v>45008</v>
      </c>
      <c r="BG692">
        <v>0</v>
      </c>
      <c r="BH692" t="s">
        <v>7363</v>
      </c>
      <c r="BJ692" t="s">
        <v>7362</v>
      </c>
      <c r="BK692">
        <v>169</v>
      </c>
      <c r="BL692">
        <v>11</v>
      </c>
      <c r="BM692">
        <v>1</v>
      </c>
      <c r="BN692" t="s">
        <v>7364</v>
      </c>
      <c r="BO692">
        <v>169</v>
      </c>
      <c r="BP692">
        <v>11</v>
      </c>
      <c r="BQ692">
        <v>1</v>
      </c>
      <c r="BR692" t="s">
        <v>7364</v>
      </c>
      <c r="BS692" t="s">
        <v>7457</v>
      </c>
      <c r="BT692" t="s">
        <v>7360</v>
      </c>
      <c r="BU692" t="s">
        <v>7360</v>
      </c>
      <c r="BV692" t="s">
        <v>7360</v>
      </c>
      <c r="BX692" t="s">
        <v>7391</v>
      </c>
      <c r="BY692">
        <v>74</v>
      </c>
      <c r="BZ692" t="s">
        <v>7360</v>
      </c>
      <c r="CA692" t="s">
        <v>7360</v>
      </c>
      <c r="CB692">
        <v>3380666</v>
      </c>
      <c r="CC692" s="21">
        <v>45008.415659722225</v>
      </c>
      <c r="CE692" t="s">
        <v>7392</v>
      </c>
      <c r="CF692">
        <v>1100101</v>
      </c>
      <c r="CG692">
        <v>51669</v>
      </c>
      <c r="CH692">
        <v>51669</v>
      </c>
      <c r="CI692" s="21">
        <v>45008.416712962964</v>
      </c>
      <c r="CJ692" t="s">
        <v>7406</v>
      </c>
      <c r="CK692" t="s">
        <v>7406</v>
      </c>
      <c r="CL692" t="s">
        <v>7407</v>
      </c>
      <c r="CM692" t="s">
        <v>7407</v>
      </c>
      <c r="CS692" t="s">
        <v>7361</v>
      </c>
      <c r="CT692" t="s">
        <v>7362</v>
      </c>
      <c r="CU692" t="s">
        <v>7362</v>
      </c>
      <c r="CV692" t="s">
        <v>7362</v>
      </c>
      <c r="CW692" t="s">
        <v>7362</v>
      </c>
      <c r="CX692">
        <v>2712000</v>
      </c>
      <c r="DA692">
        <v>0</v>
      </c>
    </row>
    <row r="693" spans="1:105" x14ac:dyDescent="0.3">
      <c r="A693">
        <v>1354</v>
      </c>
      <c r="B693" t="s">
        <v>7396</v>
      </c>
      <c r="C693">
        <v>726</v>
      </c>
      <c r="D693" s="20">
        <v>45008</v>
      </c>
      <c r="E693" t="s">
        <v>7372</v>
      </c>
      <c r="F693" t="s">
        <v>4965</v>
      </c>
      <c r="G693" t="s">
        <v>7370</v>
      </c>
      <c r="H693">
        <v>1</v>
      </c>
      <c r="I693" t="s">
        <v>7358</v>
      </c>
      <c r="J693">
        <v>1</v>
      </c>
      <c r="K693" s="20">
        <v>45008</v>
      </c>
      <c r="L693" s="23">
        <v>2712000</v>
      </c>
      <c r="M693" t="s">
        <v>7359</v>
      </c>
      <c r="N693" t="s">
        <v>7360</v>
      </c>
      <c r="O693">
        <v>0</v>
      </c>
      <c r="P693">
        <v>13310</v>
      </c>
      <c r="Q693">
        <v>456009</v>
      </c>
      <c r="R693">
        <v>0</v>
      </c>
      <c r="S693">
        <v>20230323</v>
      </c>
      <c r="T693">
        <v>0</v>
      </c>
      <c r="U693" t="s">
        <v>7362</v>
      </c>
      <c r="V693" t="s">
        <v>7360</v>
      </c>
      <c r="W693" t="s">
        <v>7360</v>
      </c>
      <c r="X693" t="s">
        <v>7360</v>
      </c>
      <c r="Y693" t="s">
        <v>7360</v>
      </c>
      <c r="Z693" t="s">
        <v>7360</v>
      </c>
      <c r="AA693" t="s">
        <v>7362</v>
      </c>
      <c r="AB693" t="s">
        <v>7360</v>
      </c>
      <c r="AC693" t="s">
        <v>7360</v>
      </c>
      <c r="AD693" t="s">
        <v>7360</v>
      </c>
      <c r="AE693" t="s">
        <v>7360</v>
      </c>
      <c r="AF693" t="s">
        <v>1684</v>
      </c>
      <c r="AG693">
        <v>0</v>
      </c>
      <c r="AH693">
        <v>0</v>
      </c>
      <c r="AI693">
        <v>0</v>
      </c>
      <c r="AJ693">
        <v>0</v>
      </c>
      <c r="AK693">
        <v>0</v>
      </c>
      <c r="AL693" t="s">
        <v>7360</v>
      </c>
      <c r="AM693">
        <v>0</v>
      </c>
      <c r="AN693" s="20">
        <v>45008</v>
      </c>
      <c r="AO693" s="20">
        <v>45008</v>
      </c>
      <c r="AP693" s="20">
        <v>45008</v>
      </c>
      <c r="AQ693">
        <v>0</v>
      </c>
      <c r="AR693">
        <v>0</v>
      </c>
      <c r="AS693">
        <v>0</v>
      </c>
      <c r="AT693">
        <v>0</v>
      </c>
      <c r="AU693">
        <v>0</v>
      </c>
      <c r="AV693" t="s">
        <v>7360</v>
      </c>
      <c r="AW693">
        <v>0</v>
      </c>
      <c r="AX693" t="s">
        <v>7360</v>
      </c>
      <c r="AY693" t="s">
        <v>7362</v>
      </c>
      <c r="BA693">
        <v>0</v>
      </c>
      <c r="BB693" s="20">
        <v>45008</v>
      </c>
      <c r="BC693">
        <v>0</v>
      </c>
      <c r="BD693" t="s">
        <v>7360</v>
      </c>
      <c r="BF693" s="20">
        <v>45008</v>
      </c>
      <c r="BG693">
        <v>0</v>
      </c>
      <c r="BH693" t="s">
        <v>7363</v>
      </c>
      <c r="BJ693" t="s">
        <v>7362</v>
      </c>
      <c r="BK693">
        <v>169</v>
      </c>
      <c r="BL693">
        <v>11</v>
      </c>
      <c r="BM693">
        <v>1</v>
      </c>
      <c r="BN693" t="s">
        <v>7364</v>
      </c>
      <c r="BO693">
        <v>169</v>
      </c>
      <c r="BP693">
        <v>11</v>
      </c>
      <c r="BQ693">
        <v>1</v>
      </c>
      <c r="BR693" t="s">
        <v>7364</v>
      </c>
      <c r="BS693" t="s">
        <v>7365</v>
      </c>
      <c r="BT693" t="s">
        <v>7360</v>
      </c>
      <c r="BU693" t="s">
        <v>7360</v>
      </c>
      <c r="BV693" t="s">
        <v>7360</v>
      </c>
      <c r="BX693" t="s">
        <v>7391</v>
      </c>
      <c r="BY693">
        <v>74</v>
      </c>
      <c r="BZ693" t="s">
        <v>7360</v>
      </c>
      <c r="CA693" t="s">
        <v>7360</v>
      </c>
      <c r="CB693">
        <v>3380666</v>
      </c>
      <c r="CC693" s="21">
        <v>45008.509375000001</v>
      </c>
      <c r="CE693" t="s">
        <v>7392</v>
      </c>
      <c r="CF693">
        <v>1100101</v>
      </c>
      <c r="CG693">
        <v>51669</v>
      </c>
      <c r="CH693">
        <v>51669</v>
      </c>
      <c r="CI693" s="21">
        <v>45008.510034722225</v>
      </c>
      <c r="CJ693" t="s">
        <v>7406</v>
      </c>
      <c r="CK693" t="s">
        <v>7406</v>
      </c>
      <c r="CL693" t="s">
        <v>7407</v>
      </c>
      <c r="CM693" t="s">
        <v>7407</v>
      </c>
      <c r="CS693" t="s">
        <v>7361</v>
      </c>
      <c r="CT693" t="s">
        <v>7362</v>
      </c>
      <c r="CU693" t="s">
        <v>7362</v>
      </c>
      <c r="CV693" t="s">
        <v>7362</v>
      </c>
      <c r="CW693" t="s">
        <v>7362</v>
      </c>
      <c r="CX693">
        <v>2712000</v>
      </c>
      <c r="DA693">
        <v>0</v>
      </c>
    </row>
    <row r="694" spans="1:105" x14ac:dyDescent="0.3">
      <c r="A694">
        <v>1354</v>
      </c>
      <c r="B694" t="s">
        <v>7396</v>
      </c>
      <c r="C694">
        <v>727</v>
      </c>
      <c r="D694" s="20">
        <v>45008</v>
      </c>
      <c r="E694" t="s">
        <v>7372</v>
      </c>
      <c r="F694" t="s">
        <v>4971</v>
      </c>
      <c r="G694" t="s">
        <v>7370</v>
      </c>
      <c r="H694">
        <v>1</v>
      </c>
      <c r="I694" t="s">
        <v>7358</v>
      </c>
      <c r="J694">
        <v>1</v>
      </c>
      <c r="K694" s="20">
        <v>45008</v>
      </c>
      <c r="L694" s="23">
        <v>4068000</v>
      </c>
      <c r="M694" t="s">
        <v>7359</v>
      </c>
      <c r="N694" t="s">
        <v>7360</v>
      </c>
      <c r="O694">
        <v>0</v>
      </c>
      <c r="P694">
        <v>13313</v>
      </c>
      <c r="Q694">
        <v>456013</v>
      </c>
      <c r="R694">
        <v>0</v>
      </c>
      <c r="S694">
        <v>20230323</v>
      </c>
      <c r="T694">
        <v>0</v>
      </c>
      <c r="U694" t="s">
        <v>7362</v>
      </c>
      <c r="V694" t="s">
        <v>7360</v>
      </c>
      <c r="W694" t="s">
        <v>7360</v>
      </c>
      <c r="X694" t="s">
        <v>7360</v>
      </c>
      <c r="Y694" t="s">
        <v>7360</v>
      </c>
      <c r="Z694" t="s">
        <v>7360</v>
      </c>
      <c r="AA694" t="s">
        <v>7362</v>
      </c>
      <c r="AB694" t="s">
        <v>7360</v>
      </c>
      <c r="AC694" t="s">
        <v>7360</v>
      </c>
      <c r="AD694" t="s">
        <v>7360</v>
      </c>
      <c r="AE694" t="s">
        <v>7360</v>
      </c>
      <c r="AF694" t="s">
        <v>1684</v>
      </c>
      <c r="AG694">
        <v>0</v>
      </c>
      <c r="AH694">
        <v>0</v>
      </c>
      <c r="AI694">
        <v>0</v>
      </c>
      <c r="AJ694">
        <v>0</v>
      </c>
      <c r="AK694">
        <v>0</v>
      </c>
      <c r="AL694" t="s">
        <v>7360</v>
      </c>
      <c r="AM694">
        <v>0</v>
      </c>
      <c r="AN694" s="20">
        <v>45008</v>
      </c>
      <c r="AO694" s="20">
        <v>45008</v>
      </c>
      <c r="AP694" s="20">
        <v>45008</v>
      </c>
      <c r="AQ694">
        <v>0</v>
      </c>
      <c r="AR694">
        <v>0</v>
      </c>
      <c r="AS694">
        <v>0</v>
      </c>
      <c r="AT694">
        <v>0</v>
      </c>
      <c r="AU694">
        <v>0</v>
      </c>
      <c r="AV694" t="s">
        <v>7360</v>
      </c>
      <c r="AW694">
        <v>0</v>
      </c>
      <c r="AX694" t="s">
        <v>7360</v>
      </c>
      <c r="AY694" t="s">
        <v>7362</v>
      </c>
      <c r="BA694">
        <v>0</v>
      </c>
      <c r="BB694" s="20">
        <v>45008</v>
      </c>
      <c r="BC694">
        <v>0</v>
      </c>
      <c r="BD694" t="s">
        <v>7360</v>
      </c>
      <c r="BF694" s="20">
        <v>45008</v>
      </c>
      <c r="BG694">
        <v>0</v>
      </c>
      <c r="BH694" t="s">
        <v>7363</v>
      </c>
      <c r="BJ694" t="s">
        <v>7362</v>
      </c>
      <c r="BK694">
        <v>169</v>
      </c>
      <c r="BL694">
        <v>11</v>
      </c>
      <c r="BM694">
        <v>1</v>
      </c>
      <c r="BN694" t="s">
        <v>7364</v>
      </c>
      <c r="BO694">
        <v>169</v>
      </c>
      <c r="BP694">
        <v>11</v>
      </c>
      <c r="BQ694">
        <v>1</v>
      </c>
      <c r="BR694" t="s">
        <v>7364</v>
      </c>
      <c r="BS694" t="s">
        <v>7365</v>
      </c>
      <c r="BT694" t="s">
        <v>7360</v>
      </c>
      <c r="BU694" t="s">
        <v>7360</v>
      </c>
      <c r="BV694" t="s">
        <v>7360</v>
      </c>
      <c r="BX694" t="s">
        <v>7391</v>
      </c>
      <c r="BY694">
        <v>74</v>
      </c>
      <c r="BZ694" t="s">
        <v>7360</v>
      </c>
      <c r="CA694" t="s">
        <v>7360</v>
      </c>
      <c r="CB694">
        <v>3380666</v>
      </c>
      <c r="CC694" s="21">
        <v>45008.513657407406</v>
      </c>
      <c r="CE694" t="s">
        <v>7392</v>
      </c>
      <c r="CF694">
        <v>1100101</v>
      </c>
      <c r="CG694">
        <v>51669</v>
      </c>
      <c r="CH694">
        <v>51669</v>
      </c>
      <c r="CI694" s="21">
        <v>45008.514513888891</v>
      </c>
      <c r="CJ694" t="s">
        <v>7406</v>
      </c>
      <c r="CK694" t="s">
        <v>7406</v>
      </c>
      <c r="CL694" t="s">
        <v>7407</v>
      </c>
      <c r="CM694" t="s">
        <v>7407</v>
      </c>
      <c r="CS694" t="s">
        <v>7361</v>
      </c>
      <c r="CT694" t="s">
        <v>7362</v>
      </c>
      <c r="CU694" t="s">
        <v>7362</v>
      </c>
      <c r="CV694" t="s">
        <v>7362</v>
      </c>
      <c r="CW694" t="s">
        <v>7362</v>
      </c>
      <c r="CX694">
        <v>4068000</v>
      </c>
      <c r="DA694">
        <v>0</v>
      </c>
    </row>
    <row r="695" spans="1:105" x14ac:dyDescent="0.3">
      <c r="A695">
        <v>1362</v>
      </c>
      <c r="B695" t="s">
        <v>7371</v>
      </c>
      <c r="C695">
        <v>728</v>
      </c>
      <c r="D695" s="20">
        <v>45008</v>
      </c>
      <c r="E695" t="s">
        <v>7372</v>
      </c>
      <c r="F695" t="s">
        <v>4976</v>
      </c>
      <c r="G695" t="s">
        <v>7377</v>
      </c>
      <c r="H695">
        <v>1</v>
      </c>
      <c r="I695" t="s">
        <v>7358</v>
      </c>
      <c r="J695">
        <v>1</v>
      </c>
      <c r="K695" s="20">
        <v>45008</v>
      </c>
      <c r="L695" s="23">
        <v>518252</v>
      </c>
      <c r="M695" t="s">
        <v>7359</v>
      </c>
      <c r="N695" t="s">
        <v>7360</v>
      </c>
      <c r="O695">
        <v>0</v>
      </c>
      <c r="P695">
        <v>13329</v>
      </c>
      <c r="Q695">
        <v>458006</v>
      </c>
      <c r="R695">
        <v>0</v>
      </c>
      <c r="S695">
        <v>20230323</v>
      </c>
      <c r="T695">
        <v>0</v>
      </c>
      <c r="U695" t="s">
        <v>7362</v>
      </c>
      <c r="V695" t="s">
        <v>7360</v>
      </c>
      <c r="W695" t="s">
        <v>7360</v>
      </c>
      <c r="X695" t="s">
        <v>7360</v>
      </c>
      <c r="Y695" t="s">
        <v>7360</v>
      </c>
      <c r="Z695" t="s">
        <v>7360</v>
      </c>
      <c r="AA695" t="s">
        <v>7362</v>
      </c>
      <c r="AB695" t="s">
        <v>7360</v>
      </c>
      <c r="AC695" t="s">
        <v>7360</v>
      </c>
      <c r="AD695" t="s">
        <v>7360</v>
      </c>
      <c r="AE695" t="s">
        <v>7360</v>
      </c>
      <c r="AF695" t="s">
        <v>1684</v>
      </c>
      <c r="AG695">
        <v>0</v>
      </c>
      <c r="AH695">
        <v>0</v>
      </c>
      <c r="AI695">
        <v>0</v>
      </c>
      <c r="AJ695">
        <v>0</v>
      </c>
      <c r="AK695">
        <v>0</v>
      </c>
      <c r="AL695" t="s">
        <v>7360</v>
      </c>
      <c r="AM695">
        <v>0</v>
      </c>
      <c r="AN695" s="20">
        <v>45008</v>
      </c>
      <c r="AO695" s="20">
        <v>45008</v>
      </c>
      <c r="AP695" s="20">
        <v>45008</v>
      </c>
      <c r="AQ695">
        <v>0</v>
      </c>
      <c r="AR695">
        <v>0</v>
      </c>
      <c r="AS695">
        <v>0</v>
      </c>
      <c r="AT695">
        <v>0</v>
      </c>
      <c r="AU695">
        <v>0</v>
      </c>
      <c r="AV695" t="s">
        <v>7360</v>
      </c>
      <c r="AW695">
        <v>0</v>
      </c>
      <c r="AX695" t="s">
        <v>7360</v>
      </c>
      <c r="AY695" t="s">
        <v>7362</v>
      </c>
      <c r="BA695">
        <v>0</v>
      </c>
      <c r="BB695" s="20">
        <v>45008</v>
      </c>
      <c r="BC695">
        <v>0</v>
      </c>
      <c r="BD695" t="s">
        <v>7360</v>
      </c>
      <c r="BF695" s="20">
        <v>45008</v>
      </c>
      <c r="BG695">
        <v>0</v>
      </c>
      <c r="BH695" t="s">
        <v>7363</v>
      </c>
      <c r="BJ695" t="s">
        <v>7362</v>
      </c>
      <c r="BK695">
        <v>169</v>
      </c>
      <c r="BL695">
        <v>11</v>
      </c>
      <c r="BM695">
        <v>1</v>
      </c>
      <c r="BN695" t="s">
        <v>7364</v>
      </c>
      <c r="BO695">
        <v>169</v>
      </c>
      <c r="BP695">
        <v>11</v>
      </c>
      <c r="BQ695">
        <v>1</v>
      </c>
      <c r="BR695" t="s">
        <v>7364</v>
      </c>
      <c r="BS695" t="s">
        <v>7374</v>
      </c>
      <c r="BT695" t="s">
        <v>7360</v>
      </c>
      <c r="BU695" t="s">
        <v>7360</v>
      </c>
      <c r="BV695" t="s">
        <v>7360</v>
      </c>
      <c r="BX695" t="s">
        <v>7391</v>
      </c>
      <c r="BY695">
        <v>74</v>
      </c>
      <c r="BZ695" t="s">
        <v>7360</v>
      </c>
      <c r="CA695" t="s">
        <v>7360</v>
      </c>
      <c r="CB695">
        <v>3380666</v>
      </c>
      <c r="CC695" s="21">
        <v>45008.519629629627</v>
      </c>
      <c r="CE695" t="s">
        <v>7392</v>
      </c>
      <c r="CF695">
        <v>1100101</v>
      </c>
      <c r="CG695">
        <v>51669</v>
      </c>
      <c r="CH695">
        <v>51669</v>
      </c>
      <c r="CI695" s="21">
        <v>45008.52579861111</v>
      </c>
      <c r="CJ695" t="s">
        <v>7406</v>
      </c>
      <c r="CK695" t="s">
        <v>7406</v>
      </c>
      <c r="CL695" t="s">
        <v>7407</v>
      </c>
      <c r="CM695" t="s">
        <v>7407</v>
      </c>
      <c r="CS695" t="s">
        <v>7361</v>
      </c>
      <c r="CT695" t="s">
        <v>7362</v>
      </c>
      <c r="CU695" t="s">
        <v>7362</v>
      </c>
      <c r="CV695" t="s">
        <v>7362</v>
      </c>
      <c r="CW695" t="s">
        <v>7362</v>
      </c>
      <c r="CX695">
        <v>518252</v>
      </c>
      <c r="DA695">
        <v>0</v>
      </c>
    </row>
    <row r="696" spans="1:105" x14ac:dyDescent="0.3">
      <c r="A696">
        <v>1372</v>
      </c>
      <c r="B696" t="s">
        <v>7369</v>
      </c>
      <c r="C696">
        <v>729</v>
      </c>
      <c r="D696" s="20">
        <v>45008</v>
      </c>
      <c r="E696" t="s">
        <v>7372</v>
      </c>
      <c r="F696" t="s">
        <v>4981</v>
      </c>
      <c r="G696" t="s">
        <v>7357</v>
      </c>
      <c r="H696">
        <v>1</v>
      </c>
      <c r="I696" t="s">
        <v>7358</v>
      </c>
      <c r="J696">
        <v>1</v>
      </c>
      <c r="K696" s="20">
        <v>45008</v>
      </c>
      <c r="L696" s="23">
        <v>691768</v>
      </c>
      <c r="M696" t="s">
        <v>7359</v>
      </c>
      <c r="N696" t="s">
        <v>7360</v>
      </c>
      <c r="O696">
        <v>0</v>
      </c>
      <c r="P696">
        <v>13365</v>
      </c>
      <c r="Q696">
        <v>459001</v>
      </c>
      <c r="R696">
        <v>0</v>
      </c>
      <c r="S696">
        <v>20230323</v>
      </c>
      <c r="T696">
        <v>0</v>
      </c>
      <c r="U696" t="s">
        <v>7362</v>
      </c>
      <c r="V696" t="s">
        <v>7360</v>
      </c>
      <c r="W696" t="s">
        <v>7360</v>
      </c>
      <c r="X696" t="s">
        <v>7360</v>
      </c>
      <c r="Y696" t="s">
        <v>7360</v>
      </c>
      <c r="Z696" t="s">
        <v>7360</v>
      </c>
      <c r="AA696" t="s">
        <v>7362</v>
      </c>
      <c r="AB696" t="s">
        <v>7360</v>
      </c>
      <c r="AC696" t="s">
        <v>7360</v>
      </c>
      <c r="AD696" t="s">
        <v>7360</v>
      </c>
      <c r="AE696" t="s">
        <v>7360</v>
      </c>
      <c r="AF696" t="s">
        <v>1684</v>
      </c>
      <c r="AG696">
        <v>0</v>
      </c>
      <c r="AH696">
        <v>0</v>
      </c>
      <c r="AI696">
        <v>0</v>
      </c>
      <c r="AJ696">
        <v>0</v>
      </c>
      <c r="AK696">
        <v>0</v>
      </c>
      <c r="AL696" t="s">
        <v>7360</v>
      </c>
      <c r="AM696">
        <v>0</v>
      </c>
      <c r="AN696" s="20">
        <v>45008</v>
      </c>
      <c r="AO696" s="20">
        <v>45008</v>
      </c>
      <c r="AP696" s="20">
        <v>45008</v>
      </c>
      <c r="AQ696">
        <v>0</v>
      </c>
      <c r="AR696">
        <v>0</v>
      </c>
      <c r="AS696">
        <v>0</v>
      </c>
      <c r="AT696">
        <v>0</v>
      </c>
      <c r="AU696">
        <v>0</v>
      </c>
      <c r="AV696" t="s">
        <v>7360</v>
      </c>
      <c r="AW696">
        <v>0</v>
      </c>
      <c r="AX696" t="s">
        <v>7360</v>
      </c>
      <c r="AY696" t="s">
        <v>7362</v>
      </c>
      <c r="BA696">
        <v>0</v>
      </c>
      <c r="BB696" s="20">
        <v>45008</v>
      </c>
      <c r="BC696">
        <v>0</v>
      </c>
      <c r="BD696" t="s">
        <v>7360</v>
      </c>
      <c r="BF696" s="20">
        <v>45008</v>
      </c>
      <c r="BG696">
        <v>0</v>
      </c>
      <c r="BH696" t="s">
        <v>7363</v>
      </c>
      <c r="BJ696" t="s">
        <v>7362</v>
      </c>
      <c r="BK696">
        <v>169</v>
      </c>
      <c r="BL696">
        <v>11</v>
      </c>
      <c r="BM696">
        <v>1</v>
      </c>
      <c r="BN696" t="s">
        <v>7364</v>
      </c>
      <c r="BO696">
        <v>169</v>
      </c>
      <c r="BP696">
        <v>11</v>
      </c>
      <c r="BQ696">
        <v>1</v>
      </c>
      <c r="BR696" t="s">
        <v>7364</v>
      </c>
      <c r="BS696" t="s">
        <v>61</v>
      </c>
      <c r="BT696" t="s">
        <v>7360</v>
      </c>
      <c r="BU696" t="s">
        <v>7360</v>
      </c>
      <c r="BV696" t="s">
        <v>7360</v>
      </c>
      <c r="BX696" t="s">
        <v>7391</v>
      </c>
      <c r="BY696">
        <v>74</v>
      </c>
      <c r="BZ696" t="s">
        <v>7360</v>
      </c>
      <c r="CA696" t="s">
        <v>7360</v>
      </c>
      <c r="CB696">
        <v>3380666</v>
      </c>
      <c r="CC696" s="21">
        <v>45008.53052083333</v>
      </c>
      <c r="CE696" t="s">
        <v>7392</v>
      </c>
      <c r="CF696">
        <v>1100101</v>
      </c>
      <c r="CG696">
        <v>51669</v>
      </c>
      <c r="CH696">
        <v>51669</v>
      </c>
      <c r="CI696" s="21">
        <v>45008.533171296294</v>
      </c>
      <c r="CJ696" t="s">
        <v>7406</v>
      </c>
      <c r="CK696" t="s">
        <v>7406</v>
      </c>
      <c r="CL696" t="s">
        <v>7407</v>
      </c>
      <c r="CM696" t="s">
        <v>7407</v>
      </c>
      <c r="CS696" t="s">
        <v>7361</v>
      </c>
      <c r="CT696" t="s">
        <v>7362</v>
      </c>
      <c r="CU696" t="s">
        <v>7362</v>
      </c>
      <c r="CV696" t="s">
        <v>7362</v>
      </c>
      <c r="CW696" t="s">
        <v>7362</v>
      </c>
      <c r="CX696">
        <v>691768</v>
      </c>
      <c r="DA696">
        <v>0</v>
      </c>
    </row>
    <row r="697" spans="1:105" x14ac:dyDescent="0.3">
      <c r="A697">
        <v>1355</v>
      </c>
      <c r="B697" t="s">
        <v>7409</v>
      </c>
      <c r="C697">
        <v>730</v>
      </c>
      <c r="D697" s="20">
        <v>45008</v>
      </c>
      <c r="E697" t="s">
        <v>7372</v>
      </c>
      <c r="F697" t="s">
        <v>4987</v>
      </c>
      <c r="G697" t="s">
        <v>7357</v>
      </c>
      <c r="H697">
        <v>1</v>
      </c>
      <c r="I697" t="s">
        <v>7358</v>
      </c>
      <c r="J697">
        <v>1</v>
      </c>
      <c r="K697" s="20">
        <v>45008</v>
      </c>
      <c r="L697" s="23">
        <v>797300</v>
      </c>
      <c r="M697" t="s">
        <v>7359</v>
      </c>
      <c r="N697" t="s">
        <v>7360</v>
      </c>
      <c r="O697">
        <v>0</v>
      </c>
      <c r="P697">
        <v>13391</v>
      </c>
      <c r="Q697">
        <v>459018</v>
      </c>
      <c r="R697">
        <v>0</v>
      </c>
      <c r="S697">
        <v>20230323</v>
      </c>
      <c r="T697">
        <v>0</v>
      </c>
      <c r="U697" t="s">
        <v>7362</v>
      </c>
      <c r="V697" t="s">
        <v>7360</v>
      </c>
      <c r="W697" t="s">
        <v>7360</v>
      </c>
      <c r="X697" t="s">
        <v>7360</v>
      </c>
      <c r="Y697" t="s">
        <v>7360</v>
      </c>
      <c r="Z697" t="s">
        <v>7360</v>
      </c>
      <c r="AA697" t="s">
        <v>7362</v>
      </c>
      <c r="AB697" t="s">
        <v>7360</v>
      </c>
      <c r="AC697" t="s">
        <v>7360</v>
      </c>
      <c r="AD697" t="s">
        <v>7360</v>
      </c>
      <c r="AE697" t="s">
        <v>7360</v>
      </c>
      <c r="AF697" t="s">
        <v>1684</v>
      </c>
      <c r="AG697">
        <v>0</v>
      </c>
      <c r="AH697">
        <v>0</v>
      </c>
      <c r="AI697">
        <v>0</v>
      </c>
      <c r="AJ697">
        <v>0</v>
      </c>
      <c r="AK697">
        <v>0</v>
      </c>
      <c r="AL697" t="s">
        <v>7360</v>
      </c>
      <c r="AM697">
        <v>0</v>
      </c>
      <c r="AN697" s="20">
        <v>45008</v>
      </c>
      <c r="AO697" s="20">
        <v>45008</v>
      </c>
      <c r="AP697" s="20">
        <v>45008</v>
      </c>
      <c r="AQ697">
        <v>0</v>
      </c>
      <c r="AR697">
        <v>0</v>
      </c>
      <c r="AS697">
        <v>0</v>
      </c>
      <c r="AT697">
        <v>0</v>
      </c>
      <c r="AU697">
        <v>0</v>
      </c>
      <c r="AV697" t="s">
        <v>7360</v>
      </c>
      <c r="AW697">
        <v>0</v>
      </c>
      <c r="AX697" t="s">
        <v>7360</v>
      </c>
      <c r="AY697" t="s">
        <v>7362</v>
      </c>
      <c r="BA697">
        <v>0</v>
      </c>
      <c r="BB697" s="20">
        <v>45008</v>
      </c>
      <c r="BC697">
        <v>0</v>
      </c>
      <c r="BD697" t="s">
        <v>7360</v>
      </c>
      <c r="BF697" s="20">
        <v>45008</v>
      </c>
      <c r="BG697">
        <v>0</v>
      </c>
      <c r="BH697" t="s">
        <v>7363</v>
      </c>
      <c r="BJ697" t="s">
        <v>7362</v>
      </c>
      <c r="BK697">
        <v>169</v>
      </c>
      <c r="BL697">
        <v>11</v>
      </c>
      <c r="BM697">
        <v>1</v>
      </c>
      <c r="BN697" t="s">
        <v>7364</v>
      </c>
      <c r="BO697">
        <v>169</v>
      </c>
      <c r="BP697">
        <v>11</v>
      </c>
      <c r="BQ697">
        <v>1</v>
      </c>
      <c r="BR697" t="s">
        <v>7364</v>
      </c>
      <c r="BS697" t="s">
        <v>61</v>
      </c>
      <c r="BT697" t="s">
        <v>7360</v>
      </c>
      <c r="BU697" t="s">
        <v>7360</v>
      </c>
      <c r="BV697" t="s">
        <v>7360</v>
      </c>
      <c r="BX697" t="s">
        <v>7391</v>
      </c>
      <c r="BY697">
        <v>74</v>
      </c>
      <c r="BZ697" t="s">
        <v>7360</v>
      </c>
      <c r="CA697" t="s">
        <v>7360</v>
      </c>
      <c r="CB697">
        <v>3380666</v>
      </c>
      <c r="CC697" s="21">
        <v>45008.536736111113</v>
      </c>
      <c r="CE697" t="s">
        <v>7392</v>
      </c>
      <c r="CF697">
        <v>1100101</v>
      </c>
      <c r="CG697">
        <v>51669</v>
      </c>
      <c r="CH697">
        <v>51669</v>
      </c>
      <c r="CI697" s="21">
        <v>45008.537476851852</v>
      </c>
      <c r="CJ697" t="s">
        <v>7406</v>
      </c>
      <c r="CK697" t="s">
        <v>7406</v>
      </c>
      <c r="CL697" t="s">
        <v>7407</v>
      </c>
      <c r="CM697" t="s">
        <v>7407</v>
      </c>
      <c r="CS697" t="s">
        <v>7361</v>
      </c>
      <c r="CT697" t="s">
        <v>7362</v>
      </c>
      <c r="CU697" t="s">
        <v>7362</v>
      </c>
      <c r="CV697" t="s">
        <v>7362</v>
      </c>
      <c r="CW697" t="s">
        <v>7362</v>
      </c>
      <c r="CX697">
        <v>797300</v>
      </c>
      <c r="DA697">
        <v>0</v>
      </c>
    </row>
    <row r="698" spans="1:105" x14ac:dyDescent="0.3">
      <c r="A698">
        <v>1354</v>
      </c>
      <c r="B698" t="s">
        <v>7396</v>
      </c>
      <c r="C698">
        <v>731</v>
      </c>
      <c r="D698" s="20">
        <v>45008</v>
      </c>
      <c r="E698" t="s">
        <v>7372</v>
      </c>
      <c r="F698" t="s">
        <v>4992</v>
      </c>
      <c r="G698" t="s">
        <v>7370</v>
      </c>
      <c r="H698">
        <v>1</v>
      </c>
      <c r="I698" t="s">
        <v>7358</v>
      </c>
      <c r="J698">
        <v>1</v>
      </c>
      <c r="K698" s="20">
        <v>45008</v>
      </c>
      <c r="L698" s="23">
        <v>320000</v>
      </c>
      <c r="M698" t="s">
        <v>7359</v>
      </c>
      <c r="N698" t="s">
        <v>7360</v>
      </c>
      <c r="O698">
        <v>0</v>
      </c>
      <c r="P698">
        <v>13119</v>
      </c>
      <c r="Q698">
        <v>454001</v>
      </c>
      <c r="R698">
        <v>0</v>
      </c>
      <c r="S698">
        <v>20230323</v>
      </c>
      <c r="T698">
        <v>0</v>
      </c>
      <c r="U698" t="s">
        <v>7362</v>
      </c>
      <c r="V698" t="s">
        <v>7360</v>
      </c>
      <c r="W698" t="s">
        <v>7360</v>
      </c>
      <c r="X698" t="s">
        <v>7360</v>
      </c>
      <c r="Y698" t="s">
        <v>7360</v>
      </c>
      <c r="Z698" t="s">
        <v>7360</v>
      </c>
      <c r="AA698" t="s">
        <v>7362</v>
      </c>
      <c r="AB698" t="s">
        <v>7360</v>
      </c>
      <c r="AC698" t="s">
        <v>7360</v>
      </c>
      <c r="AD698" t="s">
        <v>7360</v>
      </c>
      <c r="AE698" t="s">
        <v>7360</v>
      </c>
      <c r="AF698" t="s">
        <v>1684</v>
      </c>
      <c r="AG698">
        <v>0</v>
      </c>
      <c r="AH698">
        <v>0</v>
      </c>
      <c r="AI698">
        <v>0</v>
      </c>
      <c r="AJ698">
        <v>0</v>
      </c>
      <c r="AK698">
        <v>0</v>
      </c>
      <c r="AL698" t="s">
        <v>7360</v>
      </c>
      <c r="AM698">
        <v>0</v>
      </c>
      <c r="AN698" s="20">
        <v>45008</v>
      </c>
      <c r="AO698" s="20">
        <v>45008</v>
      </c>
      <c r="AP698" s="20">
        <v>45008</v>
      </c>
      <c r="AQ698">
        <v>0</v>
      </c>
      <c r="AR698">
        <v>0</v>
      </c>
      <c r="AS698">
        <v>0</v>
      </c>
      <c r="AT698">
        <v>0</v>
      </c>
      <c r="AU698">
        <v>0</v>
      </c>
      <c r="AV698" t="s">
        <v>7360</v>
      </c>
      <c r="AW698">
        <v>0</v>
      </c>
      <c r="AX698" t="s">
        <v>7360</v>
      </c>
      <c r="AY698" t="s">
        <v>7362</v>
      </c>
      <c r="BA698">
        <v>0</v>
      </c>
      <c r="BB698" s="20">
        <v>45008</v>
      </c>
      <c r="BC698">
        <v>0</v>
      </c>
      <c r="BD698" t="s">
        <v>7360</v>
      </c>
      <c r="BF698" s="20">
        <v>45008</v>
      </c>
      <c r="BG698">
        <v>0</v>
      </c>
      <c r="BH698" t="s">
        <v>7363</v>
      </c>
      <c r="BJ698" t="s">
        <v>7362</v>
      </c>
      <c r="BK698">
        <v>169</v>
      </c>
      <c r="BL698">
        <v>11</v>
      </c>
      <c r="BM698">
        <v>1</v>
      </c>
      <c r="BN698" t="s">
        <v>7364</v>
      </c>
      <c r="BO698">
        <v>169</v>
      </c>
      <c r="BP698">
        <v>11</v>
      </c>
      <c r="BQ698">
        <v>1</v>
      </c>
      <c r="BR698" t="s">
        <v>7364</v>
      </c>
      <c r="BS698" t="s">
        <v>132</v>
      </c>
      <c r="BT698" t="s">
        <v>7360</v>
      </c>
      <c r="BU698" t="s">
        <v>7360</v>
      </c>
      <c r="BV698" t="s">
        <v>7360</v>
      </c>
      <c r="BX698" t="s">
        <v>7391</v>
      </c>
      <c r="BY698">
        <v>74</v>
      </c>
      <c r="BZ698" t="s">
        <v>7360</v>
      </c>
      <c r="CA698" t="s">
        <v>7360</v>
      </c>
      <c r="CB698">
        <v>3380666</v>
      </c>
      <c r="CC698" s="21">
        <v>45008.598819444444</v>
      </c>
      <c r="CE698" t="s">
        <v>7392</v>
      </c>
      <c r="CF698">
        <v>1100101</v>
      </c>
      <c r="CG698">
        <v>51669</v>
      </c>
      <c r="CH698">
        <v>51669</v>
      </c>
      <c r="CI698" s="21">
        <v>45008.599930555552</v>
      </c>
      <c r="CJ698" t="s">
        <v>7406</v>
      </c>
      <c r="CK698" t="s">
        <v>7406</v>
      </c>
      <c r="CL698" t="s">
        <v>7407</v>
      </c>
      <c r="CM698" t="s">
        <v>7407</v>
      </c>
      <c r="CS698" t="s">
        <v>7361</v>
      </c>
      <c r="CT698" t="s">
        <v>7362</v>
      </c>
      <c r="CU698" t="s">
        <v>7362</v>
      </c>
      <c r="CV698" t="s">
        <v>7362</v>
      </c>
      <c r="CW698" t="s">
        <v>7362</v>
      </c>
      <c r="CX698">
        <v>320000</v>
      </c>
      <c r="DA698">
        <v>0</v>
      </c>
    </row>
    <row r="699" spans="1:105" x14ac:dyDescent="0.3">
      <c r="A699">
        <v>1354</v>
      </c>
      <c r="B699" t="s">
        <v>7396</v>
      </c>
      <c r="C699">
        <v>732</v>
      </c>
      <c r="D699" s="20">
        <v>45008</v>
      </c>
      <c r="E699" t="s">
        <v>7372</v>
      </c>
      <c r="F699" t="s">
        <v>4620</v>
      </c>
      <c r="G699" t="s">
        <v>7370</v>
      </c>
      <c r="H699">
        <v>1</v>
      </c>
      <c r="I699" t="s">
        <v>7358</v>
      </c>
      <c r="J699">
        <v>1</v>
      </c>
      <c r="K699" s="20">
        <v>45008</v>
      </c>
      <c r="L699" s="23">
        <v>1500000</v>
      </c>
      <c r="M699" t="s">
        <v>7359</v>
      </c>
      <c r="N699" t="s">
        <v>7360</v>
      </c>
      <c r="O699">
        <v>0</v>
      </c>
      <c r="P699">
        <v>13364</v>
      </c>
      <c r="Q699">
        <v>459003</v>
      </c>
      <c r="R699">
        <v>0</v>
      </c>
      <c r="S699">
        <v>20230323</v>
      </c>
      <c r="T699">
        <v>0</v>
      </c>
      <c r="U699" t="s">
        <v>7362</v>
      </c>
      <c r="V699" t="s">
        <v>7360</v>
      </c>
      <c r="W699" t="s">
        <v>7360</v>
      </c>
      <c r="X699" t="s">
        <v>7360</v>
      </c>
      <c r="Y699" t="s">
        <v>7360</v>
      </c>
      <c r="Z699" t="s">
        <v>7360</v>
      </c>
      <c r="AA699" t="s">
        <v>7362</v>
      </c>
      <c r="AB699" t="s">
        <v>7360</v>
      </c>
      <c r="AC699" t="s">
        <v>7360</v>
      </c>
      <c r="AD699" t="s">
        <v>7360</v>
      </c>
      <c r="AE699" t="s">
        <v>7360</v>
      </c>
      <c r="AF699" t="s">
        <v>1684</v>
      </c>
      <c r="AG699">
        <v>0</v>
      </c>
      <c r="AH699">
        <v>0</v>
      </c>
      <c r="AI699">
        <v>0</v>
      </c>
      <c r="AJ699">
        <v>0</v>
      </c>
      <c r="AK699">
        <v>0</v>
      </c>
      <c r="AL699" t="s">
        <v>7360</v>
      </c>
      <c r="AM699">
        <v>0</v>
      </c>
      <c r="AN699" s="20">
        <v>45008</v>
      </c>
      <c r="AO699" s="20">
        <v>45008</v>
      </c>
      <c r="AP699" s="20">
        <v>45008</v>
      </c>
      <c r="AQ699">
        <v>0</v>
      </c>
      <c r="AR699">
        <v>0</v>
      </c>
      <c r="AS699">
        <v>0</v>
      </c>
      <c r="AT699">
        <v>0</v>
      </c>
      <c r="AU699">
        <v>0</v>
      </c>
      <c r="AV699" t="s">
        <v>7360</v>
      </c>
      <c r="AW699">
        <v>0</v>
      </c>
      <c r="AX699" t="s">
        <v>7360</v>
      </c>
      <c r="AY699" t="s">
        <v>7362</v>
      </c>
      <c r="BA699">
        <v>0</v>
      </c>
      <c r="BB699" s="20">
        <v>45008</v>
      </c>
      <c r="BC699">
        <v>0</v>
      </c>
      <c r="BD699" t="s">
        <v>7360</v>
      </c>
      <c r="BF699" s="20">
        <v>45008</v>
      </c>
      <c r="BG699">
        <v>0</v>
      </c>
      <c r="BH699" t="s">
        <v>7363</v>
      </c>
      <c r="BJ699" t="s">
        <v>7362</v>
      </c>
      <c r="BK699">
        <v>169</v>
      </c>
      <c r="BL699">
        <v>11</v>
      </c>
      <c r="BM699">
        <v>1</v>
      </c>
      <c r="BN699" t="s">
        <v>7364</v>
      </c>
      <c r="BO699">
        <v>169</v>
      </c>
      <c r="BP699">
        <v>11</v>
      </c>
      <c r="BQ699">
        <v>1</v>
      </c>
      <c r="BR699" t="s">
        <v>7364</v>
      </c>
      <c r="BS699" t="s">
        <v>7444</v>
      </c>
      <c r="BT699" t="s">
        <v>7360</v>
      </c>
      <c r="BU699" t="s">
        <v>7360</v>
      </c>
      <c r="BV699" t="s">
        <v>7360</v>
      </c>
      <c r="BX699" t="s">
        <v>7391</v>
      </c>
      <c r="BY699">
        <v>74</v>
      </c>
      <c r="BZ699" t="s">
        <v>7360</v>
      </c>
      <c r="CA699" t="s">
        <v>7360</v>
      </c>
      <c r="CB699">
        <v>3380666</v>
      </c>
      <c r="CC699" s="21">
        <v>45008.623043981483</v>
      </c>
      <c r="CE699" t="s">
        <v>7392</v>
      </c>
      <c r="CF699">
        <v>1100101</v>
      </c>
      <c r="CG699">
        <v>51669</v>
      </c>
      <c r="CH699">
        <v>51669</v>
      </c>
      <c r="CI699" s="21">
        <v>45008.623773148145</v>
      </c>
      <c r="CJ699" t="s">
        <v>7406</v>
      </c>
      <c r="CK699" t="s">
        <v>7406</v>
      </c>
      <c r="CL699" t="s">
        <v>7407</v>
      </c>
      <c r="CM699" t="s">
        <v>7407</v>
      </c>
      <c r="CS699" t="s">
        <v>7361</v>
      </c>
      <c r="CT699" t="s">
        <v>7362</v>
      </c>
      <c r="CU699" t="s">
        <v>7362</v>
      </c>
      <c r="CV699" t="s">
        <v>7362</v>
      </c>
      <c r="CW699" t="s">
        <v>7362</v>
      </c>
      <c r="CX699">
        <v>1500000</v>
      </c>
      <c r="DA699">
        <v>0</v>
      </c>
    </row>
    <row r="700" spans="1:105" x14ac:dyDescent="0.3">
      <c r="A700">
        <v>1372</v>
      </c>
      <c r="B700" t="s">
        <v>7369</v>
      </c>
      <c r="C700">
        <v>733</v>
      </c>
      <c r="D700" s="20">
        <v>45008</v>
      </c>
      <c r="E700" t="s">
        <v>7372</v>
      </c>
      <c r="F700" t="s">
        <v>4625</v>
      </c>
      <c r="G700" t="s">
        <v>7357</v>
      </c>
      <c r="H700">
        <v>1</v>
      </c>
      <c r="I700" t="s">
        <v>7358</v>
      </c>
      <c r="J700">
        <v>1</v>
      </c>
      <c r="K700" s="20">
        <v>45008</v>
      </c>
      <c r="L700" s="23">
        <v>1067192</v>
      </c>
      <c r="M700" t="s">
        <v>7359</v>
      </c>
      <c r="N700" t="s">
        <v>7360</v>
      </c>
      <c r="O700">
        <v>0</v>
      </c>
      <c r="P700">
        <v>13368</v>
      </c>
      <c r="Q700">
        <v>459004</v>
      </c>
      <c r="R700">
        <v>0</v>
      </c>
      <c r="S700">
        <v>20230323</v>
      </c>
      <c r="T700">
        <v>0</v>
      </c>
      <c r="U700" t="s">
        <v>7362</v>
      </c>
      <c r="V700" t="s">
        <v>7360</v>
      </c>
      <c r="W700" t="s">
        <v>7360</v>
      </c>
      <c r="X700" t="s">
        <v>7360</v>
      </c>
      <c r="Y700" t="s">
        <v>7360</v>
      </c>
      <c r="Z700" t="s">
        <v>7360</v>
      </c>
      <c r="AA700" t="s">
        <v>7362</v>
      </c>
      <c r="AB700" t="s">
        <v>7360</v>
      </c>
      <c r="AC700" t="s">
        <v>7360</v>
      </c>
      <c r="AD700" t="s">
        <v>7360</v>
      </c>
      <c r="AE700" t="s">
        <v>7360</v>
      </c>
      <c r="AF700" t="s">
        <v>1684</v>
      </c>
      <c r="AG700">
        <v>0</v>
      </c>
      <c r="AH700">
        <v>0</v>
      </c>
      <c r="AI700">
        <v>0</v>
      </c>
      <c r="AJ700">
        <v>0</v>
      </c>
      <c r="AK700">
        <v>0</v>
      </c>
      <c r="AL700" t="s">
        <v>7360</v>
      </c>
      <c r="AM700">
        <v>0</v>
      </c>
      <c r="AN700" s="20">
        <v>45008</v>
      </c>
      <c r="AO700" s="20">
        <v>45008</v>
      </c>
      <c r="AP700" s="20">
        <v>45008</v>
      </c>
      <c r="AQ700">
        <v>0</v>
      </c>
      <c r="AR700">
        <v>0</v>
      </c>
      <c r="AS700">
        <v>0</v>
      </c>
      <c r="AT700">
        <v>0</v>
      </c>
      <c r="AU700">
        <v>0</v>
      </c>
      <c r="AV700" t="s">
        <v>7360</v>
      </c>
      <c r="AW700">
        <v>0</v>
      </c>
      <c r="AX700" t="s">
        <v>7360</v>
      </c>
      <c r="AY700" t="s">
        <v>7362</v>
      </c>
      <c r="BA700">
        <v>0</v>
      </c>
      <c r="BB700" s="20">
        <v>45008</v>
      </c>
      <c r="BC700">
        <v>0</v>
      </c>
      <c r="BD700" t="s">
        <v>7360</v>
      </c>
      <c r="BF700" s="20">
        <v>45008</v>
      </c>
      <c r="BG700">
        <v>0</v>
      </c>
      <c r="BH700" t="s">
        <v>7363</v>
      </c>
      <c r="BJ700" t="s">
        <v>7362</v>
      </c>
      <c r="BK700">
        <v>169</v>
      </c>
      <c r="BL700">
        <v>11</v>
      </c>
      <c r="BM700">
        <v>1</v>
      </c>
      <c r="BN700" t="s">
        <v>7364</v>
      </c>
      <c r="BO700">
        <v>169</v>
      </c>
      <c r="BP700">
        <v>11</v>
      </c>
      <c r="BQ700">
        <v>1</v>
      </c>
      <c r="BR700" t="s">
        <v>7364</v>
      </c>
      <c r="BS700" t="s">
        <v>7427</v>
      </c>
      <c r="BT700" t="s">
        <v>7360</v>
      </c>
      <c r="BU700" t="s">
        <v>7360</v>
      </c>
      <c r="BV700" t="s">
        <v>7360</v>
      </c>
      <c r="BX700" t="s">
        <v>7391</v>
      </c>
      <c r="BY700">
        <v>74</v>
      </c>
      <c r="BZ700" t="s">
        <v>7360</v>
      </c>
      <c r="CA700" t="s">
        <v>7360</v>
      </c>
      <c r="CB700">
        <v>3380666</v>
      </c>
      <c r="CC700" s="21">
        <v>45008.628020833334</v>
      </c>
      <c r="CE700" t="s">
        <v>7392</v>
      </c>
      <c r="CF700">
        <v>1100101</v>
      </c>
      <c r="CG700">
        <v>51669</v>
      </c>
      <c r="CH700">
        <v>51669</v>
      </c>
      <c r="CI700" s="21">
        <v>45008.629155092596</v>
      </c>
      <c r="CJ700" t="s">
        <v>7406</v>
      </c>
      <c r="CK700" t="s">
        <v>7406</v>
      </c>
      <c r="CL700" t="s">
        <v>7407</v>
      </c>
      <c r="CM700" t="s">
        <v>7407</v>
      </c>
      <c r="CS700" t="s">
        <v>7361</v>
      </c>
      <c r="CT700" t="s">
        <v>7362</v>
      </c>
      <c r="CU700" t="s">
        <v>7362</v>
      </c>
      <c r="CV700" t="s">
        <v>7362</v>
      </c>
      <c r="CW700" t="s">
        <v>7362</v>
      </c>
      <c r="CX700">
        <v>1067192</v>
      </c>
      <c r="DA700">
        <v>0</v>
      </c>
    </row>
    <row r="701" spans="1:105" x14ac:dyDescent="0.3">
      <c r="A701">
        <v>1373</v>
      </c>
      <c r="B701" t="s">
        <v>7383</v>
      </c>
      <c r="C701">
        <v>734</v>
      </c>
      <c r="D701" s="20">
        <v>45008</v>
      </c>
      <c r="E701" t="s">
        <v>7372</v>
      </c>
      <c r="F701" t="s">
        <v>4630</v>
      </c>
      <c r="G701" t="s">
        <v>7357</v>
      </c>
      <c r="H701">
        <v>1</v>
      </c>
      <c r="I701" t="s">
        <v>7358</v>
      </c>
      <c r="J701">
        <v>1</v>
      </c>
      <c r="K701" s="20">
        <v>45008</v>
      </c>
      <c r="L701" s="23">
        <v>5594400</v>
      </c>
      <c r="M701" t="s">
        <v>7359</v>
      </c>
      <c r="N701" t="s">
        <v>7360</v>
      </c>
      <c r="O701">
        <v>0</v>
      </c>
      <c r="P701">
        <v>13370</v>
      </c>
      <c r="Q701">
        <v>459008</v>
      </c>
      <c r="R701">
        <v>0</v>
      </c>
      <c r="S701">
        <v>20230323</v>
      </c>
      <c r="T701">
        <v>0</v>
      </c>
      <c r="U701" t="s">
        <v>7362</v>
      </c>
      <c r="V701" t="s">
        <v>7360</v>
      </c>
      <c r="W701" t="s">
        <v>7360</v>
      </c>
      <c r="X701" t="s">
        <v>7360</v>
      </c>
      <c r="Y701" t="s">
        <v>7360</v>
      </c>
      <c r="Z701" t="s">
        <v>7360</v>
      </c>
      <c r="AA701" t="s">
        <v>7362</v>
      </c>
      <c r="AB701" t="s">
        <v>7360</v>
      </c>
      <c r="AC701" t="s">
        <v>7360</v>
      </c>
      <c r="AD701" t="s">
        <v>7360</v>
      </c>
      <c r="AE701" t="s">
        <v>7360</v>
      </c>
      <c r="AF701" t="s">
        <v>1684</v>
      </c>
      <c r="AG701">
        <v>0</v>
      </c>
      <c r="AH701">
        <v>0</v>
      </c>
      <c r="AI701">
        <v>0</v>
      </c>
      <c r="AJ701">
        <v>0</v>
      </c>
      <c r="AK701">
        <v>0</v>
      </c>
      <c r="AL701" t="s">
        <v>7360</v>
      </c>
      <c r="AM701">
        <v>0</v>
      </c>
      <c r="AN701" s="20">
        <v>45008</v>
      </c>
      <c r="AO701" s="20">
        <v>45008</v>
      </c>
      <c r="AP701" s="20">
        <v>45008</v>
      </c>
      <c r="AQ701">
        <v>0</v>
      </c>
      <c r="AR701">
        <v>0</v>
      </c>
      <c r="AS701">
        <v>0</v>
      </c>
      <c r="AT701">
        <v>0</v>
      </c>
      <c r="AU701">
        <v>0</v>
      </c>
      <c r="AV701" t="s">
        <v>7360</v>
      </c>
      <c r="AW701">
        <v>0</v>
      </c>
      <c r="AX701" t="s">
        <v>7360</v>
      </c>
      <c r="AY701" t="s">
        <v>7362</v>
      </c>
      <c r="BA701">
        <v>0</v>
      </c>
      <c r="BB701" s="20">
        <v>45008</v>
      </c>
      <c r="BC701">
        <v>0</v>
      </c>
      <c r="BD701" t="s">
        <v>7360</v>
      </c>
      <c r="BF701" s="20">
        <v>45008</v>
      </c>
      <c r="BG701">
        <v>0</v>
      </c>
      <c r="BH701" t="s">
        <v>7363</v>
      </c>
      <c r="BJ701" t="s">
        <v>7362</v>
      </c>
      <c r="BK701">
        <v>169</v>
      </c>
      <c r="BL701">
        <v>11</v>
      </c>
      <c r="BM701">
        <v>1</v>
      </c>
      <c r="BN701" t="s">
        <v>7364</v>
      </c>
      <c r="BO701">
        <v>169</v>
      </c>
      <c r="BP701">
        <v>11</v>
      </c>
      <c r="BQ701">
        <v>1</v>
      </c>
      <c r="BR701" t="s">
        <v>7364</v>
      </c>
      <c r="BS701" t="s">
        <v>7427</v>
      </c>
      <c r="BT701" t="s">
        <v>7360</v>
      </c>
      <c r="BU701" t="s">
        <v>7360</v>
      </c>
      <c r="BV701" t="s">
        <v>7360</v>
      </c>
      <c r="BX701" t="s">
        <v>7391</v>
      </c>
      <c r="BY701">
        <v>74</v>
      </c>
      <c r="BZ701" t="s">
        <v>7360</v>
      </c>
      <c r="CA701" t="s">
        <v>7360</v>
      </c>
      <c r="CB701">
        <v>3380666</v>
      </c>
      <c r="CC701" s="21">
        <v>45008.641759259262</v>
      </c>
      <c r="CE701" t="s">
        <v>7392</v>
      </c>
      <c r="CF701">
        <v>1100101</v>
      </c>
      <c r="CG701">
        <v>51669</v>
      </c>
      <c r="CH701">
        <v>51669</v>
      </c>
      <c r="CI701" s="21">
        <v>45008.643078703702</v>
      </c>
      <c r="CJ701" t="s">
        <v>7406</v>
      </c>
      <c r="CK701" t="s">
        <v>7406</v>
      </c>
      <c r="CL701" t="s">
        <v>7407</v>
      </c>
      <c r="CM701" t="s">
        <v>7407</v>
      </c>
      <c r="CS701" t="s">
        <v>7361</v>
      </c>
      <c r="CT701" t="s">
        <v>7362</v>
      </c>
      <c r="CU701" t="s">
        <v>7362</v>
      </c>
      <c r="CV701" t="s">
        <v>7362</v>
      </c>
      <c r="CW701" t="s">
        <v>7362</v>
      </c>
      <c r="CX701">
        <v>5594400</v>
      </c>
      <c r="DA701">
        <v>0</v>
      </c>
    </row>
    <row r="702" spans="1:105" x14ac:dyDescent="0.3">
      <c r="A702">
        <v>1354</v>
      </c>
      <c r="B702" t="s">
        <v>7396</v>
      </c>
      <c r="C702">
        <v>735</v>
      </c>
      <c r="D702" s="20">
        <v>45008</v>
      </c>
      <c r="E702" t="s">
        <v>7397</v>
      </c>
      <c r="F702" t="s">
        <v>4636</v>
      </c>
      <c r="G702" t="s">
        <v>7370</v>
      </c>
      <c r="H702">
        <v>1</v>
      </c>
      <c r="I702" t="s">
        <v>7358</v>
      </c>
      <c r="J702">
        <v>1</v>
      </c>
      <c r="K702" s="20">
        <v>45008</v>
      </c>
      <c r="L702" s="23">
        <v>1500000</v>
      </c>
      <c r="M702" t="s">
        <v>7398</v>
      </c>
      <c r="N702" t="s">
        <v>7360</v>
      </c>
      <c r="O702">
        <v>0</v>
      </c>
      <c r="P702">
        <v>13374</v>
      </c>
      <c r="R702">
        <v>0</v>
      </c>
      <c r="S702">
        <v>20230323</v>
      </c>
      <c r="T702">
        <v>0</v>
      </c>
      <c r="U702" t="s">
        <v>7362</v>
      </c>
      <c r="V702" t="s">
        <v>7360</v>
      </c>
      <c r="W702" t="s">
        <v>7360</v>
      </c>
      <c r="X702" t="s">
        <v>7360</v>
      </c>
      <c r="Y702" t="s">
        <v>7360</v>
      </c>
      <c r="Z702" t="s">
        <v>7360</v>
      </c>
      <c r="AA702" t="s">
        <v>1684</v>
      </c>
      <c r="AB702" t="s">
        <v>7360</v>
      </c>
      <c r="AC702" t="s">
        <v>7360</v>
      </c>
      <c r="AD702" t="s">
        <v>7360</v>
      </c>
      <c r="AE702" t="s">
        <v>7360</v>
      </c>
      <c r="AF702" t="s">
        <v>1684</v>
      </c>
      <c r="AG702">
        <v>0</v>
      </c>
      <c r="AH702">
        <v>0</v>
      </c>
      <c r="AI702">
        <v>0</v>
      </c>
      <c r="AJ702">
        <v>0</v>
      </c>
      <c r="AK702">
        <v>0</v>
      </c>
      <c r="AL702" t="s">
        <v>7360</v>
      </c>
      <c r="AM702">
        <v>0</v>
      </c>
      <c r="AN702" s="20">
        <v>45008</v>
      </c>
      <c r="AO702" s="20">
        <v>45008</v>
      </c>
      <c r="AP702" s="20">
        <v>45008</v>
      </c>
      <c r="AQ702">
        <v>0</v>
      </c>
      <c r="AR702">
        <v>0</v>
      </c>
      <c r="AS702">
        <v>0</v>
      </c>
      <c r="AT702">
        <v>0</v>
      </c>
      <c r="AU702">
        <v>0</v>
      </c>
      <c r="AV702" t="s">
        <v>7360</v>
      </c>
      <c r="AW702">
        <v>0</v>
      </c>
      <c r="AX702" t="s">
        <v>7360</v>
      </c>
      <c r="AY702" t="s">
        <v>7362</v>
      </c>
      <c r="BA702">
        <v>0</v>
      </c>
      <c r="BB702" s="20">
        <v>45008</v>
      </c>
      <c r="BC702">
        <v>0</v>
      </c>
      <c r="BD702" t="s">
        <v>7360</v>
      </c>
      <c r="BF702" s="20">
        <v>45008</v>
      </c>
      <c r="BG702">
        <v>0</v>
      </c>
      <c r="BH702" t="s">
        <v>7363</v>
      </c>
      <c r="BJ702" t="s">
        <v>7362</v>
      </c>
      <c r="BK702">
        <v>169</v>
      </c>
      <c r="BL702">
        <v>11</v>
      </c>
      <c r="BM702">
        <v>1</v>
      </c>
      <c r="BN702" t="s">
        <v>7364</v>
      </c>
      <c r="BO702">
        <v>169</v>
      </c>
      <c r="BP702">
        <v>11</v>
      </c>
      <c r="BQ702">
        <v>1</v>
      </c>
      <c r="BR702" t="s">
        <v>7364</v>
      </c>
      <c r="BS702" t="s">
        <v>7444</v>
      </c>
      <c r="BT702" t="s">
        <v>7360</v>
      </c>
      <c r="BU702" t="s">
        <v>7360</v>
      </c>
      <c r="BV702" t="s">
        <v>7360</v>
      </c>
      <c r="BX702" t="s">
        <v>7391</v>
      </c>
      <c r="BY702">
        <v>74</v>
      </c>
      <c r="BZ702" t="s">
        <v>7360</v>
      </c>
      <c r="CA702" t="s">
        <v>7360</v>
      </c>
      <c r="CB702">
        <v>3380666</v>
      </c>
      <c r="CC702" s="21">
        <v>45008.65896990741</v>
      </c>
      <c r="CE702" t="s">
        <v>7392</v>
      </c>
      <c r="CF702">
        <v>1100101</v>
      </c>
      <c r="CG702">
        <v>51669</v>
      </c>
      <c r="CH702">
        <v>53575</v>
      </c>
      <c r="CI702" s="21">
        <v>45009.378159722219</v>
      </c>
      <c r="CJ702" t="s">
        <v>7406</v>
      </c>
      <c r="CK702" t="s">
        <v>7393</v>
      </c>
      <c r="CL702" t="s">
        <v>7407</v>
      </c>
      <c r="CM702" t="s">
        <v>7394</v>
      </c>
      <c r="CS702" t="s">
        <v>7361</v>
      </c>
      <c r="CT702" t="s">
        <v>7362</v>
      </c>
      <c r="CU702" t="s">
        <v>7362</v>
      </c>
      <c r="CV702" t="s">
        <v>7362</v>
      </c>
      <c r="CW702" t="s">
        <v>7362</v>
      </c>
      <c r="CX702">
        <v>1500000</v>
      </c>
      <c r="DA702">
        <v>0</v>
      </c>
    </row>
    <row r="703" spans="1:105" x14ac:dyDescent="0.3">
      <c r="A703">
        <v>1354</v>
      </c>
      <c r="B703" t="s">
        <v>7396</v>
      </c>
      <c r="C703">
        <v>736</v>
      </c>
      <c r="D703" s="20">
        <v>45009</v>
      </c>
      <c r="E703" t="s">
        <v>7372</v>
      </c>
      <c r="F703" t="s">
        <v>4641</v>
      </c>
      <c r="G703" t="s">
        <v>7370</v>
      </c>
      <c r="H703">
        <v>1</v>
      </c>
      <c r="I703" t="s">
        <v>7358</v>
      </c>
      <c r="J703">
        <v>1</v>
      </c>
      <c r="K703" s="20">
        <v>45009</v>
      </c>
      <c r="L703" s="23">
        <v>1500000</v>
      </c>
      <c r="M703" t="s">
        <v>7359</v>
      </c>
      <c r="N703" t="s">
        <v>7360</v>
      </c>
      <c r="O703">
        <v>0</v>
      </c>
      <c r="P703">
        <v>13375</v>
      </c>
      <c r="Q703">
        <v>459009</v>
      </c>
      <c r="R703">
        <v>0</v>
      </c>
      <c r="S703">
        <v>20230324</v>
      </c>
      <c r="T703">
        <v>0</v>
      </c>
      <c r="U703" t="s">
        <v>7362</v>
      </c>
      <c r="V703" t="s">
        <v>7360</v>
      </c>
      <c r="W703" t="s">
        <v>7360</v>
      </c>
      <c r="X703" t="s">
        <v>7360</v>
      </c>
      <c r="Y703" t="s">
        <v>7360</v>
      </c>
      <c r="Z703" t="s">
        <v>7360</v>
      </c>
      <c r="AA703" t="s">
        <v>7362</v>
      </c>
      <c r="AB703" t="s">
        <v>7360</v>
      </c>
      <c r="AC703" t="s">
        <v>7360</v>
      </c>
      <c r="AD703" t="s">
        <v>7360</v>
      </c>
      <c r="AE703" t="s">
        <v>7360</v>
      </c>
      <c r="AF703" t="s">
        <v>1684</v>
      </c>
      <c r="AG703">
        <v>0</v>
      </c>
      <c r="AH703">
        <v>0</v>
      </c>
      <c r="AI703">
        <v>0</v>
      </c>
      <c r="AJ703">
        <v>0</v>
      </c>
      <c r="AK703">
        <v>0</v>
      </c>
      <c r="AL703" t="s">
        <v>7360</v>
      </c>
      <c r="AM703">
        <v>0</v>
      </c>
      <c r="AN703" s="20">
        <v>45009</v>
      </c>
      <c r="AO703" s="20">
        <v>45009</v>
      </c>
      <c r="AP703" s="20">
        <v>45009</v>
      </c>
      <c r="AQ703">
        <v>0</v>
      </c>
      <c r="AR703">
        <v>0</v>
      </c>
      <c r="AS703">
        <v>0</v>
      </c>
      <c r="AT703">
        <v>0</v>
      </c>
      <c r="AU703">
        <v>0</v>
      </c>
      <c r="AV703" t="s">
        <v>7360</v>
      </c>
      <c r="AW703">
        <v>0</v>
      </c>
      <c r="AX703" t="s">
        <v>7360</v>
      </c>
      <c r="AY703" t="s">
        <v>7362</v>
      </c>
      <c r="BA703">
        <v>0</v>
      </c>
      <c r="BB703" s="20">
        <v>45009</v>
      </c>
      <c r="BC703">
        <v>0</v>
      </c>
      <c r="BD703" t="s">
        <v>7360</v>
      </c>
      <c r="BF703" s="20">
        <v>45009</v>
      </c>
      <c r="BG703">
        <v>0</v>
      </c>
      <c r="BH703" t="s">
        <v>7363</v>
      </c>
      <c r="BJ703" t="s">
        <v>7362</v>
      </c>
      <c r="BK703">
        <v>169</v>
      </c>
      <c r="BL703">
        <v>11</v>
      </c>
      <c r="BM703">
        <v>1</v>
      </c>
      <c r="BN703" t="s">
        <v>7364</v>
      </c>
      <c r="BO703">
        <v>169</v>
      </c>
      <c r="BP703">
        <v>11</v>
      </c>
      <c r="BQ703">
        <v>1</v>
      </c>
      <c r="BR703" t="s">
        <v>7364</v>
      </c>
      <c r="BS703" t="s">
        <v>7444</v>
      </c>
      <c r="BT703" t="s">
        <v>7360</v>
      </c>
      <c r="BU703" t="s">
        <v>7360</v>
      </c>
      <c r="BV703" t="s">
        <v>7360</v>
      </c>
      <c r="BX703" t="s">
        <v>7391</v>
      </c>
      <c r="BY703">
        <v>74</v>
      </c>
      <c r="BZ703" t="s">
        <v>7360</v>
      </c>
      <c r="CA703" t="s">
        <v>7360</v>
      </c>
      <c r="CB703">
        <v>3380666</v>
      </c>
      <c r="CC703" s="21">
        <v>45009.34920138889</v>
      </c>
      <c r="CE703" t="s">
        <v>7392</v>
      </c>
      <c r="CF703">
        <v>1100101</v>
      </c>
      <c r="CG703">
        <v>51669</v>
      </c>
      <c r="CH703">
        <v>51669</v>
      </c>
      <c r="CI703" s="21">
        <v>45009.349872685183</v>
      </c>
      <c r="CJ703" t="s">
        <v>7406</v>
      </c>
      <c r="CK703" t="s">
        <v>7406</v>
      </c>
      <c r="CL703" t="s">
        <v>7407</v>
      </c>
      <c r="CM703" t="s">
        <v>7407</v>
      </c>
      <c r="CS703" t="s">
        <v>7361</v>
      </c>
      <c r="CT703" t="s">
        <v>7362</v>
      </c>
      <c r="CU703" t="s">
        <v>7362</v>
      </c>
      <c r="CV703" t="s">
        <v>7362</v>
      </c>
      <c r="CW703" t="s">
        <v>7362</v>
      </c>
      <c r="CX703">
        <v>1500000</v>
      </c>
      <c r="DA703">
        <v>0</v>
      </c>
    </row>
    <row r="704" spans="1:105" x14ac:dyDescent="0.3">
      <c r="A704">
        <v>1354</v>
      </c>
      <c r="B704" t="s">
        <v>7396</v>
      </c>
      <c r="C704">
        <v>737</v>
      </c>
      <c r="D704" s="20">
        <v>45009</v>
      </c>
      <c r="E704" t="s">
        <v>7372</v>
      </c>
      <c r="F704" t="s">
        <v>4646</v>
      </c>
      <c r="G704" t="s">
        <v>7370</v>
      </c>
      <c r="H704">
        <v>1</v>
      </c>
      <c r="I704" t="s">
        <v>7358</v>
      </c>
      <c r="J704">
        <v>1</v>
      </c>
      <c r="K704" s="20">
        <v>45009</v>
      </c>
      <c r="L704" s="23">
        <v>180000</v>
      </c>
      <c r="M704" t="s">
        <v>7359</v>
      </c>
      <c r="N704" t="s">
        <v>7360</v>
      </c>
      <c r="O704">
        <v>0</v>
      </c>
      <c r="P704">
        <v>13384</v>
      </c>
      <c r="Q704">
        <v>459013</v>
      </c>
      <c r="R704">
        <v>0</v>
      </c>
      <c r="S704">
        <v>20230324</v>
      </c>
      <c r="T704">
        <v>0</v>
      </c>
      <c r="U704" t="s">
        <v>7362</v>
      </c>
      <c r="V704" t="s">
        <v>7360</v>
      </c>
      <c r="W704" t="s">
        <v>7360</v>
      </c>
      <c r="X704" t="s">
        <v>7360</v>
      </c>
      <c r="Y704" t="s">
        <v>7360</v>
      </c>
      <c r="Z704" t="s">
        <v>7360</v>
      </c>
      <c r="AA704" t="s">
        <v>7362</v>
      </c>
      <c r="AB704" t="s">
        <v>7360</v>
      </c>
      <c r="AC704" t="s">
        <v>7360</v>
      </c>
      <c r="AD704" t="s">
        <v>7360</v>
      </c>
      <c r="AE704" t="s">
        <v>7360</v>
      </c>
      <c r="AF704" t="s">
        <v>1684</v>
      </c>
      <c r="AG704">
        <v>0</v>
      </c>
      <c r="AH704">
        <v>0</v>
      </c>
      <c r="AI704">
        <v>0</v>
      </c>
      <c r="AJ704">
        <v>0</v>
      </c>
      <c r="AK704">
        <v>0</v>
      </c>
      <c r="AL704" t="s">
        <v>7360</v>
      </c>
      <c r="AM704">
        <v>0</v>
      </c>
      <c r="AN704" s="20">
        <v>45009</v>
      </c>
      <c r="AO704" s="20">
        <v>45009</v>
      </c>
      <c r="AP704" s="20">
        <v>45009</v>
      </c>
      <c r="AQ704">
        <v>0</v>
      </c>
      <c r="AR704">
        <v>0</v>
      </c>
      <c r="AS704">
        <v>0</v>
      </c>
      <c r="AT704">
        <v>0</v>
      </c>
      <c r="AU704">
        <v>0</v>
      </c>
      <c r="AV704" t="s">
        <v>7360</v>
      </c>
      <c r="AW704">
        <v>0</v>
      </c>
      <c r="AX704" t="s">
        <v>7360</v>
      </c>
      <c r="AY704" t="s">
        <v>7362</v>
      </c>
      <c r="BA704">
        <v>0</v>
      </c>
      <c r="BB704" s="20">
        <v>45009</v>
      </c>
      <c r="BC704">
        <v>0</v>
      </c>
      <c r="BD704" t="s">
        <v>7360</v>
      </c>
      <c r="BF704" s="20">
        <v>45009</v>
      </c>
      <c r="BG704">
        <v>0</v>
      </c>
      <c r="BH704" t="s">
        <v>7363</v>
      </c>
      <c r="BJ704" t="s">
        <v>7362</v>
      </c>
      <c r="BK704">
        <v>169</v>
      </c>
      <c r="BL704">
        <v>11</v>
      </c>
      <c r="BM704">
        <v>1</v>
      </c>
      <c r="BN704" t="s">
        <v>7364</v>
      </c>
      <c r="BO704">
        <v>169</v>
      </c>
      <c r="BP704">
        <v>11</v>
      </c>
      <c r="BQ704">
        <v>1</v>
      </c>
      <c r="BR704" t="s">
        <v>7364</v>
      </c>
      <c r="BS704" t="s">
        <v>7444</v>
      </c>
      <c r="BT704" t="s">
        <v>7360</v>
      </c>
      <c r="BU704" t="s">
        <v>7360</v>
      </c>
      <c r="BV704" t="s">
        <v>7360</v>
      </c>
      <c r="BX704" t="s">
        <v>7391</v>
      </c>
      <c r="BY704">
        <v>74</v>
      </c>
      <c r="BZ704" t="s">
        <v>7360</v>
      </c>
      <c r="CA704" t="s">
        <v>7360</v>
      </c>
      <c r="CB704">
        <v>3380666</v>
      </c>
      <c r="CC704" s="21">
        <v>45009.354722222219</v>
      </c>
      <c r="CE704" t="s">
        <v>7392</v>
      </c>
      <c r="CF704">
        <v>1100101</v>
      </c>
      <c r="CG704">
        <v>51669</v>
      </c>
      <c r="CH704">
        <v>51669</v>
      </c>
      <c r="CI704" s="21">
        <v>45009.355555555558</v>
      </c>
      <c r="CJ704" t="s">
        <v>7406</v>
      </c>
      <c r="CK704" t="s">
        <v>7406</v>
      </c>
      <c r="CL704" t="s">
        <v>7407</v>
      </c>
      <c r="CM704" t="s">
        <v>7407</v>
      </c>
      <c r="CS704" t="s">
        <v>7361</v>
      </c>
      <c r="CT704" t="s">
        <v>7362</v>
      </c>
      <c r="CU704" t="s">
        <v>7362</v>
      </c>
      <c r="CV704" t="s">
        <v>7362</v>
      </c>
      <c r="CW704" t="s">
        <v>7362</v>
      </c>
      <c r="CX704">
        <v>180000</v>
      </c>
      <c r="DA704">
        <v>0</v>
      </c>
    </row>
    <row r="705" spans="1:106" x14ac:dyDescent="0.3">
      <c r="A705">
        <v>1354</v>
      </c>
      <c r="B705" t="s">
        <v>7396</v>
      </c>
      <c r="C705">
        <v>738</v>
      </c>
      <c r="D705" s="20">
        <v>45009</v>
      </c>
      <c r="E705" t="s">
        <v>7372</v>
      </c>
      <c r="F705" t="s">
        <v>4652</v>
      </c>
      <c r="G705" t="s">
        <v>7370</v>
      </c>
      <c r="H705">
        <v>1</v>
      </c>
      <c r="I705" t="s">
        <v>7358</v>
      </c>
      <c r="J705">
        <v>1</v>
      </c>
      <c r="K705" s="20">
        <v>45009</v>
      </c>
      <c r="L705" s="23">
        <v>900000</v>
      </c>
      <c r="M705" t="s">
        <v>7359</v>
      </c>
      <c r="N705" t="s">
        <v>7360</v>
      </c>
      <c r="O705">
        <v>0</v>
      </c>
      <c r="P705">
        <v>13389</v>
      </c>
      <c r="Q705">
        <v>459017</v>
      </c>
      <c r="R705">
        <v>0</v>
      </c>
      <c r="S705">
        <v>20230324</v>
      </c>
      <c r="T705">
        <v>0</v>
      </c>
      <c r="U705" t="s">
        <v>7362</v>
      </c>
      <c r="V705" t="s">
        <v>7360</v>
      </c>
      <c r="W705" t="s">
        <v>7360</v>
      </c>
      <c r="X705" t="s">
        <v>7360</v>
      </c>
      <c r="Y705" t="s">
        <v>7360</v>
      </c>
      <c r="Z705" t="s">
        <v>7360</v>
      </c>
      <c r="AA705" t="s">
        <v>7362</v>
      </c>
      <c r="AB705" t="s">
        <v>7360</v>
      </c>
      <c r="AC705" t="s">
        <v>7360</v>
      </c>
      <c r="AD705" t="s">
        <v>7360</v>
      </c>
      <c r="AE705" t="s">
        <v>7360</v>
      </c>
      <c r="AF705" t="s">
        <v>1684</v>
      </c>
      <c r="AG705">
        <v>0</v>
      </c>
      <c r="AH705">
        <v>0</v>
      </c>
      <c r="AI705">
        <v>0</v>
      </c>
      <c r="AJ705">
        <v>0</v>
      </c>
      <c r="AK705">
        <v>0</v>
      </c>
      <c r="AL705" t="s">
        <v>7360</v>
      </c>
      <c r="AM705">
        <v>0</v>
      </c>
      <c r="AN705" s="20">
        <v>45009</v>
      </c>
      <c r="AO705" s="20">
        <v>45009</v>
      </c>
      <c r="AP705" s="20">
        <v>45009</v>
      </c>
      <c r="AQ705">
        <v>0</v>
      </c>
      <c r="AR705">
        <v>0</v>
      </c>
      <c r="AS705">
        <v>0</v>
      </c>
      <c r="AT705">
        <v>0</v>
      </c>
      <c r="AU705">
        <v>0</v>
      </c>
      <c r="AV705" t="s">
        <v>7360</v>
      </c>
      <c r="AW705">
        <v>0</v>
      </c>
      <c r="AX705" t="s">
        <v>7360</v>
      </c>
      <c r="AY705" t="s">
        <v>7362</v>
      </c>
      <c r="BA705">
        <v>0</v>
      </c>
      <c r="BB705" s="20">
        <v>45009</v>
      </c>
      <c r="BC705">
        <v>0</v>
      </c>
      <c r="BD705" t="s">
        <v>7360</v>
      </c>
      <c r="BF705" s="20">
        <v>45009</v>
      </c>
      <c r="BG705">
        <v>0</v>
      </c>
      <c r="BH705" t="s">
        <v>7363</v>
      </c>
      <c r="BJ705" t="s">
        <v>7362</v>
      </c>
      <c r="BK705">
        <v>169</v>
      </c>
      <c r="BL705">
        <v>11</v>
      </c>
      <c r="BM705">
        <v>1</v>
      </c>
      <c r="BN705" t="s">
        <v>7364</v>
      </c>
      <c r="BO705">
        <v>169</v>
      </c>
      <c r="BP705">
        <v>11</v>
      </c>
      <c r="BQ705">
        <v>1</v>
      </c>
      <c r="BR705" t="s">
        <v>7364</v>
      </c>
      <c r="BS705" t="s">
        <v>7444</v>
      </c>
      <c r="BT705" t="s">
        <v>7360</v>
      </c>
      <c r="BU705" t="s">
        <v>7360</v>
      </c>
      <c r="BV705" t="s">
        <v>7360</v>
      </c>
      <c r="BX705" t="s">
        <v>7391</v>
      </c>
      <c r="BY705">
        <v>74</v>
      </c>
      <c r="BZ705" t="s">
        <v>7360</v>
      </c>
      <c r="CA705" t="s">
        <v>7360</v>
      </c>
      <c r="CB705">
        <v>3380666</v>
      </c>
      <c r="CC705" s="21">
        <v>45009.359664351854</v>
      </c>
      <c r="CE705" t="s">
        <v>7392</v>
      </c>
      <c r="CF705">
        <v>1100101</v>
      </c>
      <c r="CG705">
        <v>51669</v>
      </c>
      <c r="CH705">
        <v>51669</v>
      </c>
      <c r="CI705" s="21">
        <v>45009.360844907409</v>
      </c>
      <c r="CJ705" t="s">
        <v>7406</v>
      </c>
      <c r="CK705" t="s">
        <v>7406</v>
      </c>
      <c r="CL705" t="s">
        <v>7407</v>
      </c>
      <c r="CM705" t="s">
        <v>7407</v>
      </c>
      <c r="CS705" t="s">
        <v>7361</v>
      </c>
      <c r="CT705" t="s">
        <v>7362</v>
      </c>
      <c r="CU705" t="s">
        <v>7362</v>
      </c>
      <c r="CV705" t="s">
        <v>7362</v>
      </c>
      <c r="CW705" t="s">
        <v>7362</v>
      </c>
      <c r="CX705">
        <v>900000</v>
      </c>
      <c r="DA705">
        <v>0</v>
      </c>
    </row>
    <row r="706" spans="1:106" x14ac:dyDescent="0.3">
      <c r="A706">
        <v>1366</v>
      </c>
      <c r="B706" t="s">
        <v>7380</v>
      </c>
      <c r="C706">
        <v>739</v>
      </c>
      <c r="D706" s="20">
        <v>45009</v>
      </c>
      <c r="E706" t="s">
        <v>7372</v>
      </c>
      <c r="F706" t="s">
        <v>4657</v>
      </c>
      <c r="G706" t="s">
        <v>7357</v>
      </c>
      <c r="H706">
        <v>1</v>
      </c>
      <c r="I706" t="s">
        <v>7358</v>
      </c>
      <c r="J706">
        <v>1</v>
      </c>
      <c r="K706" s="20">
        <v>45009</v>
      </c>
      <c r="L706" s="23">
        <v>9278884</v>
      </c>
      <c r="M706" t="s">
        <v>7359</v>
      </c>
      <c r="N706" t="s">
        <v>7360</v>
      </c>
      <c r="O706">
        <v>0</v>
      </c>
      <c r="P706">
        <v>13231</v>
      </c>
      <c r="Q706">
        <v>455024</v>
      </c>
      <c r="R706">
        <v>0</v>
      </c>
      <c r="S706">
        <v>20230324</v>
      </c>
      <c r="T706">
        <v>0</v>
      </c>
      <c r="U706" t="s">
        <v>7362</v>
      </c>
      <c r="V706" t="s">
        <v>7360</v>
      </c>
      <c r="W706" t="s">
        <v>7360</v>
      </c>
      <c r="X706" t="s">
        <v>7360</v>
      </c>
      <c r="Y706" t="s">
        <v>7360</v>
      </c>
      <c r="Z706" t="s">
        <v>7360</v>
      </c>
      <c r="AA706" t="s">
        <v>7362</v>
      </c>
      <c r="AB706" t="s">
        <v>7360</v>
      </c>
      <c r="AC706" t="s">
        <v>7360</v>
      </c>
      <c r="AD706" t="s">
        <v>7360</v>
      </c>
      <c r="AE706" t="s">
        <v>7360</v>
      </c>
      <c r="AF706" t="s">
        <v>1684</v>
      </c>
      <c r="AG706">
        <v>0</v>
      </c>
      <c r="AH706">
        <v>0</v>
      </c>
      <c r="AI706">
        <v>0</v>
      </c>
      <c r="AJ706">
        <v>0</v>
      </c>
      <c r="AK706">
        <v>0</v>
      </c>
      <c r="AL706" t="s">
        <v>7360</v>
      </c>
      <c r="AM706">
        <v>0</v>
      </c>
      <c r="AN706" s="20">
        <v>45009</v>
      </c>
      <c r="AO706" s="20">
        <v>45009</v>
      </c>
      <c r="AP706" s="20">
        <v>45009</v>
      </c>
      <c r="AQ706">
        <v>0</v>
      </c>
      <c r="AR706">
        <v>0</v>
      </c>
      <c r="AS706">
        <v>0</v>
      </c>
      <c r="AT706">
        <v>0</v>
      </c>
      <c r="AU706">
        <v>0</v>
      </c>
      <c r="AV706" t="s">
        <v>7360</v>
      </c>
      <c r="AW706">
        <v>0</v>
      </c>
      <c r="AX706" t="s">
        <v>7360</v>
      </c>
      <c r="AY706" t="s">
        <v>7362</v>
      </c>
      <c r="BA706">
        <v>0</v>
      </c>
      <c r="BB706" s="20">
        <v>45009</v>
      </c>
      <c r="BC706">
        <v>0</v>
      </c>
      <c r="BD706" t="s">
        <v>7360</v>
      </c>
      <c r="BF706" s="20">
        <v>45009</v>
      </c>
      <c r="BG706">
        <v>0</v>
      </c>
      <c r="BH706" t="s">
        <v>7363</v>
      </c>
      <c r="BJ706" t="s">
        <v>7362</v>
      </c>
      <c r="BK706">
        <v>0</v>
      </c>
      <c r="BL706">
        <v>0</v>
      </c>
      <c r="BM706">
        <v>0</v>
      </c>
      <c r="BN706">
        <v>0</v>
      </c>
      <c r="BO706">
        <v>169</v>
      </c>
      <c r="BP706">
        <v>11</v>
      </c>
      <c r="BQ706">
        <v>1</v>
      </c>
      <c r="BR706" t="s">
        <v>7364</v>
      </c>
      <c r="BS706" t="s">
        <v>7386</v>
      </c>
      <c r="BT706" t="s">
        <v>7360</v>
      </c>
      <c r="BU706" t="s">
        <v>7360</v>
      </c>
      <c r="BV706" t="s">
        <v>7360</v>
      </c>
      <c r="BX706">
        <v>0</v>
      </c>
      <c r="BY706">
        <v>0</v>
      </c>
      <c r="BZ706" t="s">
        <v>7360</v>
      </c>
      <c r="CA706" t="s">
        <v>7360</v>
      </c>
      <c r="CB706">
        <v>3380666</v>
      </c>
      <c r="CC706" s="21">
        <v>45009.412291666667</v>
      </c>
      <c r="CE706" t="s">
        <v>7366</v>
      </c>
      <c r="CF706">
        <v>0</v>
      </c>
      <c r="CG706">
        <v>702002</v>
      </c>
      <c r="CH706">
        <v>702002</v>
      </c>
      <c r="CI706" s="21">
        <v>45009.414618055554</v>
      </c>
      <c r="CJ706" t="s">
        <v>7367</v>
      </c>
      <c r="CK706" t="s">
        <v>7367</v>
      </c>
      <c r="CL706" t="s">
        <v>7368</v>
      </c>
      <c r="CM706" t="s">
        <v>7368</v>
      </c>
      <c r="CS706" t="s">
        <v>7361</v>
      </c>
      <c r="CT706" t="s">
        <v>7362</v>
      </c>
      <c r="CU706" t="s">
        <v>7362</v>
      </c>
      <c r="CV706" t="s">
        <v>7362</v>
      </c>
      <c r="CW706" t="s">
        <v>7362</v>
      </c>
      <c r="CX706">
        <v>9278884</v>
      </c>
      <c r="DA706">
        <v>0</v>
      </c>
    </row>
    <row r="707" spans="1:106" x14ac:dyDescent="0.3">
      <c r="A707">
        <v>1373</v>
      </c>
      <c r="B707" t="s">
        <v>7383</v>
      </c>
      <c r="C707">
        <v>740</v>
      </c>
      <c r="D707" s="20">
        <v>45009</v>
      </c>
      <c r="E707" t="s">
        <v>7372</v>
      </c>
      <c r="F707" t="s">
        <v>4662</v>
      </c>
      <c r="G707" t="s">
        <v>7357</v>
      </c>
      <c r="H707">
        <v>1</v>
      </c>
      <c r="I707" t="s">
        <v>7358</v>
      </c>
      <c r="J707">
        <v>1</v>
      </c>
      <c r="K707" s="20">
        <v>45009</v>
      </c>
      <c r="L707" s="23">
        <v>1045008</v>
      </c>
      <c r="M707" t="s">
        <v>7359</v>
      </c>
      <c r="N707" t="s">
        <v>7360</v>
      </c>
      <c r="O707">
        <v>0</v>
      </c>
      <c r="P707">
        <v>12423</v>
      </c>
      <c r="Q707">
        <v>435017</v>
      </c>
      <c r="R707">
        <v>0</v>
      </c>
      <c r="S707">
        <v>20230324</v>
      </c>
      <c r="T707">
        <v>0</v>
      </c>
      <c r="U707" t="s">
        <v>7362</v>
      </c>
      <c r="V707" t="s">
        <v>7360</v>
      </c>
      <c r="W707" t="s">
        <v>7360</v>
      </c>
      <c r="X707" t="s">
        <v>7360</v>
      </c>
      <c r="Y707" t="s">
        <v>7360</v>
      </c>
      <c r="Z707" t="s">
        <v>7360</v>
      </c>
      <c r="AA707" t="s">
        <v>7362</v>
      </c>
      <c r="AB707" t="s">
        <v>7360</v>
      </c>
      <c r="AC707" t="s">
        <v>7360</v>
      </c>
      <c r="AD707" t="s">
        <v>7360</v>
      </c>
      <c r="AE707" t="s">
        <v>7360</v>
      </c>
      <c r="AF707" t="s">
        <v>1684</v>
      </c>
      <c r="AG707">
        <v>0</v>
      </c>
      <c r="AH707">
        <v>0</v>
      </c>
      <c r="AI707">
        <v>0</v>
      </c>
      <c r="AJ707">
        <v>0</v>
      </c>
      <c r="AK707">
        <v>0</v>
      </c>
      <c r="AL707" t="s">
        <v>7360</v>
      </c>
      <c r="AM707">
        <v>0</v>
      </c>
      <c r="AN707" s="20">
        <v>45009</v>
      </c>
      <c r="AO707" s="20">
        <v>45009</v>
      </c>
      <c r="AP707" s="20">
        <v>45009</v>
      </c>
      <c r="AQ707">
        <v>0</v>
      </c>
      <c r="AR707">
        <v>0</v>
      </c>
      <c r="AS707">
        <v>0</v>
      </c>
      <c r="AT707">
        <v>0</v>
      </c>
      <c r="AU707">
        <v>0</v>
      </c>
      <c r="AV707" t="s">
        <v>7360</v>
      </c>
      <c r="AW707">
        <v>0</v>
      </c>
      <c r="AX707" t="s">
        <v>7360</v>
      </c>
      <c r="AY707" t="s">
        <v>7362</v>
      </c>
      <c r="BA707">
        <v>0</v>
      </c>
      <c r="BB707" s="20">
        <v>45009</v>
      </c>
      <c r="BC707">
        <v>0</v>
      </c>
      <c r="BD707" t="s">
        <v>7360</v>
      </c>
      <c r="BF707" s="20">
        <v>45009</v>
      </c>
      <c r="BG707">
        <v>0</v>
      </c>
      <c r="BH707" t="s">
        <v>7363</v>
      </c>
      <c r="BJ707" t="s">
        <v>7362</v>
      </c>
      <c r="BK707">
        <v>169</v>
      </c>
      <c r="BL707">
        <v>11</v>
      </c>
      <c r="BM707">
        <v>1</v>
      </c>
      <c r="BN707" t="s">
        <v>7364</v>
      </c>
      <c r="BO707">
        <v>0</v>
      </c>
      <c r="BP707">
        <v>0</v>
      </c>
      <c r="BQ707">
        <v>0</v>
      </c>
      <c r="BR707">
        <v>0</v>
      </c>
      <c r="BS707" t="s">
        <v>7379</v>
      </c>
      <c r="BT707" t="s">
        <v>7360</v>
      </c>
      <c r="BU707" t="s">
        <v>7360</v>
      </c>
      <c r="BV707" t="s">
        <v>7360</v>
      </c>
      <c r="BX707" t="s">
        <v>7391</v>
      </c>
      <c r="BY707">
        <v>74</v>
      </c>
      <c r="BZ707" t="s">
        <v>7360</v>
      </c>
      <c r="CA707" t="s">
        <v>7360</v>
      </c>
      <c r="CB707">
        <v>5558210</v>
      </c>
      <c r="CC707" s="21">
        <v>45009.41988425926</v>
      </c>
      <c r="CE707" t="s">
        <v>7392</v>
      </c>
      <c r="CF707">
        <v>1100101</v>
      </c>
      <c r="CG707">
        <v>53575</v>
      </c>
      <c r="CH707">
        <v>53575</v>
      </c>
      <c r="CI707" s="21">
        <v>45009.423587962963</v>
      </c>
      <c r="CJ707" t="s">
        <v>7393</v>
      </c>
      <c r="CK707" t="s">
        <v>7393</v>
      </c>
      <c r="CL707" t="s">
        <v>7394</v>
      </c>
      <c r="CM707" t="s">
        <v>7394</v>
      </c>
      <c r="CS707" t="s">
        <v>7361</v>
      </c>
      <c r="CT707" t="s">
        <v>7362</v>
      </c>
      <c r="CU707" t="s">
        <v>7362</v>
      </c>
      <c r="CV707" t="s">
        <v>7362</v>
      </c>
      <c r="CW707" t="s">
        <v>7362</v>
      </c>
      <c r="CX707">
        <v>1045008</v>
      </c>
      <c r="DA707">
        <v>0</v>
      </c>
    </row>
    <row r="708" spans="1:106" x14ac:dyDescent="0.3">
      <c r="A708">
        <v>1354</v>
      </c>
      <c r="B708" t="s">
        <v>7396</v>
      </c>
      <c r="C708">
        <v>741</v>
      </c>
      <c r="D708" s="20">
        <v>45009</v>
      </c>
      <c r="E708" t="s">
        <v>7372</v>
      </c>
      <c r="F708" t="s">
        <v>4668</v>
      </c>
      <c r="G708" t="s">
        <v>7370</v>
      </c>
      <c r="H708">
        <v>1</v>
      </c>
      <c r="I708" t="s">
        <v>7358</v>
      </c>
      <c r="J708">
        <v>1</v>
      </c>
      <c r="K708" s="20">
        <v>45009</v>
      </c>
      <c r="L708" s="23">
        <v>10800000</v>
      </c>
      <c r="M708" t="s">
        <v>7359</v>
      </c>
      <c r="N708" t="s">
        <v>7360</v>
      </c>
      <c r="O708">
        <v>0</v>
      </c>
      <c r="P708">
        <v>13392</v>
      </c>
      <c r="Q708">
        <v>459020</v>
      </c>
      <c r="R708">
        <v>0</v>
      </c>
      <c r="S708">
        <v>20230324</v>
      </c>
      <c r="T708">
        <v>0</v>
      </c>
      <c r="U708" t="s">
        <v>7362</v>
      </c>
      <c r="V708" t="s">
        <v>7360</v>
      </c>
      <c r="W708" t="s">
        <v>7360</v>
      </c>
      <c r="X708" t="s">
        <v>7360</v>
      </c>
      <c r="Y708" t="s">
        <v>7360</v>
      </c>
      <c r="Z708" t="s">
        <v>7360</v>
      </c>
      <c r="AA708" t="s">
        <v>7362</v>
      </c>
      <c r="AB708" t="s">
        <v>7360</v>
      </c>
      <c r="AC708" t="s">
        <v>7360</v>
      </c>
      <c r="AD708" t="s">
        <v>7360</v>
      </c>
      <c r="AE708" t="s">
        <v>7360</v>
      </c>
      <c r="AF708" t="s">
        <v>1684</v>
      </c>
      <c r="AG708">
        <v>0</v>
      </c>
      <c r="AH708">
        <v>0</v>
      </c>
      <c r="AI708">
        <v>0</v>
      </c>
      <c r="AJ708">
        <v>0</v>
      </c>
      <c r="AK708">
        <v>0</v>
      </c>
      <c r="AL708" t="s">
        <v>7360</v>
      </c>
      <c r="AM708">
        <v>0</v>
      </c>
      <c r="AN708" s="20">
        <v>45009</v>
      </c>
      <c r="AO708" s="20">
        <v>45009</v>
      </c>
      <c r="AP708" s="20">
        <v>45009</v>
      </c>
      <c r="AQ708">
        <v>0</v>
      </c>
      <c r="AR708">
        <v>0</v>
      </c>
      <c r="AS708">
        <v>0</v>
      </c>
      <c r="AT708">
        <v>0</v>
      </c>
      <c r="AU708">
        <v>0</v>
      </c>
      <c r="AV708" t="s">
        <v>7360</v>
      </c>
      <c r="AW708">
        <v>0</v>
      </c>
      <c r="AX708" t="s">
        <v>7360</v>
      </c>
      <c r="AY708" t="s">
        <v>7362</v>
      </c>
      <c r="BA708">
        <v>0</v>
      </c>
      <c r="BB708" s="20">
        <v>45009</v>
      </c>
      <c r="BC708">
        <v>0</v>
      </c>
      <c r="BD708" t="s">
        <v>7360</v>
      </c>
      <c r="BF708" s="20">
        <v>45009</v>
      </c>
      <c r="BG708">
        <v>0</v>
      </c>
      <c r="BH708" t="s">
        <v>7363</v>
      </c>
      <c r="BJ708" t="s">
        <v>7362</v>
      </c>
      <c r="BK708">
        <v>169</v>
      </c>
      <c r="BL708">
        <v>11</v>
      </c>
      <c r="BM708">
        <v>1</v>
      </c>
      <c r="BN708" t="s">
        <v>7364</v>
      </c>
      <c r="BO708">
        <v>169</v>
      </c>
      <c r="BP708">
        <v>11</v>
      </c>
      <c r="BQ708">
        <v>1</v>
      </c>
      <c r="BR708" t="s">
        <v>7364</v>
      </c>
      <c r="BS708" t="s">
        <v>7444</v>
      </c>
      <c r="BT708" t="s">
        <v>7360</v>
      </c>
      <c r="BU708" t="s">
        <v>7360</v>
      </c>
      <c r="BV708" t="s">
        <v>7360</v>
      </c>
      <c r="BX708" t="s">
        <v>7391</v>
      </c>
      <c r="BY708">
        <v>74</v>
      </c>
      <c r="BZ708" t="s">
        <v>7360</v>
      </c>
      <c r="CA708" t="s">
        <v>7360</v>
      </c>
      <c r="CB708">
        <v>3380666</v>
      </c>
      <c r="CC708" s="21">
        <v>45009.4296875</v>
      </c>
      <c r="CE708" t="s">
        <v>7392</v>
      </c>
      <c r="CF708">
        <v>1100101</v>
      </c>
      <c r="CG708">
        <v>51669</v>
      </c>
      <c r="CH708">
        <v>51669</v>
      </c>
      <c r="CI708" s="21">
        <v>45009.430405092593</v>
      </c>
      <c r="CJ708" t="s">
        <v>7406</v>
      </c>
      <c r="CK708" t="s">
        <v>7406</v>
      </c>
      <c r="CL708" t="s">
        <v>7407</v>
      </c>
      <c r="CM708" t="s">
        <v>7407</v>
      </c>
      <c r="CS708" t="s">
        <v>7361</v>
      </c>
      <c r="CT708" t="s">
        <v>7362</v>
      </c>
      <c r="CU708" t="s">
        <v>7362</v>
      </c>
      <c r="CV708" t="s">
        <v>7362</v>
      </c>
      <c r="CW708" t="s">
        <v>7362</v>
      </c>
      <c r="CX708">
        <v>10800000</v>
      </c>
      <c r="DA708">
        <v>0</v>
      </c>
    </row>
    <row r="709" spans="1:106" x14ac:dyDescent="0.3">
      <c r="A709">
        <v>1366</v>
      </c>
      <c r="B709" t="s">
        <v>7380</v>
      </c>
      <c r="C709">
        <v>742</v>
      </c>
      <c r="D709" s="20">
        <v>45009</v>
      </c>
      <c r="E709" t="s">
        <v>7372</v>
      </c>
      <c r="F709" t="s">
        <v>4673</v>
      </c>
      <c r="G709" t="s">
        <v>7357</v>
      </c>
      <c r="H709">
        <v>1</v>
      </c>
      <c r="I709" t="s">
        <v>7358</v>
      </c>
      <c r="J709">
        <v>1</v>
      </c>
      <c r="K709" s="20">
        <v>45009</v>
      </c>
      <c r="L709" s="23">
        <v>1607547</v>
      </c>
      <c r="M709" t="s">
        <v>7359</v>
      </c>
      <c r="N709" t="s">
        <v>7360</v>
      </c>
      <c r="O709">
        <v>0</v>
      </c>
      <c r="P709">
        <v>13251</v>
      </c>
      <c r="Q709">
        <v>455033</v>
      </c>
      <c r="R709">
        <v>0</v>
      </c>
      <c r="S709">
        <v>20230324</v>
      </c>
      <c r="T709">
        <v>0</v>
      </c>
      <c r="U709" t="s">
        <v>7362</v>
      </c>
      <c r="V709" t="s">
        <v>7360</v>
      </c>
      <c r="W709" t="s">
        <v>7360</v>
      </c>
      <c r="X709" t="s">
        <v>7360</v>
      </c>
      <c r="Y709" t="s">
        <v>7360</v>
      </c>
      <c r="Z709" t="s">
        <v>7360</v>
      </c>
      <c r="AA709" t="s">
        <v>7362</v>
      </c>
      <c r="AB709" t="s">
        <v>7360</v>
      </c>
      <c r="AC709" t="s">
        <v>7360</v>
      </c>
      <c r="AD709" t="s">
        <v>7360</v>
      </c>
      <c r="AE709" t="s">
        <v>7360</v>
      </c>
      <c r="AF709" t="s">
        <v>1684</v>
      </c>
      <c r="AG709">
        <v>0</v>
      </c>
      <c r="AH709">
        <v>0</v>
      </c>
      <c r="AI709">
        <v>0</v>
      </c>
      <c r="AJ709">
        <v>0</v>
      </c>
      <c r="AK709">
        <v>0</v>
      </c>
      <c r="AL709" t="s">
        <v>7360</v>
      </c>
      <c r="AM709">
        <v>0</v>
      </c>
      <c r="AN709" s="20">
        <v>45009</v>
      </c>
      <c r="AO709" s="20">
        <v>45009</v>
      </c>
      <c r="AP709" s="20">
        <v>45009</v>
      </c>
      <c r="AQ709">
        <v>0</v>
      </c>
      <c r="AR709">
        <v>0</v>
      </c>
      <c r="AS709">
        <v>0</v>
      </c>
      <c r="AT709">
        <v>0</v>
      </c>
      <c r="AU709">
        <v>0</v>
      </c>
      <c r="AV709" t="s">
        <v>7360</v>
      </c>
      <c r="AW709">
        <v>0</v>
      </c>
      <c r="AX709" t="s">
        <v>7360</v>
      </c>
      <c r="AY709" t="s">
        <v>7362</v>
      </c>
      <c r="BA709">
        <v>0</v>
      </c>
      <c r="BB709" s="20">
        <v>45009</v>
      </c>
      <c r="BC709">
        <v>0</v>
      </c>
      <c r="BD709" t="s">
        <v>7360</v>
      </c>
      <c r="BF709" s="20">
        <v>45009</v>
      </c>
      <c r="BG709">
        <v>0</v>
      </c>
      <c r="BH709" t="s">
        <v>7363</v>
      </c>
      <c r="BJ709" t="s">
        <v>7362</v>
      </c>
      <c r="BK709">
        <v>0</v>
      </c>
      <c r="BL709">
        <v>0</v>
      </c>
      <c r="BM709">
        <v>0</v>
      </c>
      <c r="BN709">
        <v>0</v>
      </c>
      <c r="BO709">
        <v>169</v>
      </c>
      <c r="BP709">
        <v>11</v>
      </c>
      <c r="BQ709">
        <v>1</v>
      </c>
      <c r="BR709" t="s">
        <v>7364</v>
      </c>
      <c r="BS709" t="s">
        <v>7386</v>
      </c>
      <c r="BT709" t="s">
        <v>7360</v>
      </c>
      <c r="BU709" t="s">
        <v>7360</v>
      </c>
      <c r="BV709" t="s">
        <v>7360</v>
      </c>
      <c r="BX709">
        <v>0</v>
      </c>
      <c r="BY709">
        <v>0</v>
      </c>
      <c r="BZ709" t="s">
        <v>7360</v>
      </c>
      <c r="CA709" t="s">
        <v>7360</v>
      </c>
      <c r="CB709">
        <v>3380666</v>
      </c>
      <c r="CC709" s="21">
        <v>45009.427523148152</v>
      </c>
      <c r="CE709" t="s">
        <v>7366</v>
      </c>
      <c r="CF709">
        <v>0</v>
      </c>
      <c r="CG709">
        <v>702002</v>
      </c>
      <c r="CH709">
        <v>702002</v>
      </c>
      <c r="CI709" s="21">
        <v>45009.4378125</v>
      </c>
      <c r="CJ709" t="s">
        <v>7367</v>
      </c>
      <c r="CK709" t="s">
        <v>7367</v>
      </c>
      <c r="CL709" t="s">
        <v>7368</v>
      </c>
      <c r="CM709" t="s">
        <v>7368</v>
      </c>
      <c r="CS709" t="s">
        <v>7361</v>
      </c>
      <c r="CT709" t="s">
        <v>7362</v>
      </c>
      <c r="CU709" t="s">
        <v>7362</v>
      </c>
      <c r="CV709" t="s">
        <v>7362</v>
      </c>
      <c r="CW709" t="s">
        <v>7362</v>
      </c>
      <c r="CX709">
        <v>1607547</v>
      </c>
      <c r="DA709">
        <v>0</v>
      </c>
    </row>
    <row r="710" spans="1:106" x14ac:dyDescent="0.3">
      <c r="A710">
        <v>1354</v>
      </c>
      <c r="B710" t="s">
        <v>7396</v>
      </c>
      <c r="C710">
        <v>743</v>
      </c>
      <c r="D710" s="20">
        <v>45009</v>
      </c>
      <c r="E710" t="s">
        <v>7372</v>
      </c>
      <c r="F710" t="s">
        <v>4678</v>
      </c>
      <c r="G710" t="s">
        <v>7370</v>
      </c>
      <c r="H710">
        <v>1</v>
      </c>
      <c r="I710" t="s">
        <v>7358</v>
      </c>
      <c r="J710">
        <v>1</v>
      </c>
      <c r="K710" s="20">
        <v>45009</v>
      </c>
      <c r="L710" s="23">
        <v>9900000</v>
      </c>
      <c r="M710" t="s">
        <v>7359</v>
      </c>
      <c r="N710" t="s">
        <v>7360</v>
      </c>
      <c r="O710">
        <v>0</v>
      </c>
      <c r="P710">
        <v>13396</v>
      </c>
      <c r="Q710">
        <v>459022</v>
      </c>
      <c r="R710">
        <v>0</v>
      </c>
      <c r="S710">
        <v>20230324</v>
      </c>
      <c r="T710">
        <v>0</v>
      </c>
      <c r="U710" t="s">
        <v>7362</v>
      </c>
      <c r="V710" t="s">
        <v>7360</v>
      </c>
      <c r="W710" t="s">
        <v>7360</v>
      </c>
      <c r="X710" t="s">
        <v>7360</v>
      </c>
      <c r="Y710" t="s">
        <v>7360</v>
      </c>
      <c r="Z710" t="s">
        <v>7360</v>
      </c>
      <c r="AA710" t="s">
        <v>7362</v>
      </c>
      <c r="AB710" t="s">
        <v>7360</v>
      </c>
      <c r="AC710" t="s">
        <v>7360</v>
      </c>
      <c r="AD710" t="s">
        <v>7360</v>
      </c>
      <c r="AE710" t="s">
        <v>7360</v>
      </c>
      <c r="AF710" t="s">
        <v>1684</v>
      </c>
      <c r="AG710">
        <v>0</v>
      </c>
      <c r="AH710">
        <v>0</v>
      </c>
      <c r="AI710">
        <v>0</v>
      </c>
      <c r="AJ710">
        <v>0</v>
      </c>
      <c r="AK710">
        <v>0</v>
      </c>
      <c r="AL710" t="s">
        <v>7360</v>
      </c>
      <c r="AM710">
        <v>0</v>
      </c>
      <c r="AN710" s="20">
        <v>45009</v>
      </c>
      <c r="AO710" s="20">
        <v>45009</v>
      </c>
      <c r="AP710" s="20">
        <v>45009</v>
      </c>
      <c r="AQ710">
        <v>0</v>
      </c>
      <c r="AR710">
        <v>0</v>
      </c>
      <c r="AS710">
        <v>0</v>
      </c>
      <c r="AT710">
        <v>0</v>
      </c>
      <c r="AU710">
        <v>0</v>
      </c>
      <c r="AV710" t="s">
        <v>7360</v>
      </c>
      <c r="AW710">
        <v>0</v>
      </c>
      <c r="AX710" t="s">
        <v>7360</v>
      </c>
      <c r="AY710" t="s">
        <v>7362</v>
      </c>
      <c r="BA710">
        <v>0</v>
      </c>
      <c r="BB710" s="20">
        <v>45009</v>
      </c>
      <c r="BC710">
        <v>0</v>
      </c>
      <c r="BD710" t="s">
        <v>7360</v>
      </c>
      <c r="BF710" s="20">
        <v>45009</v>
      </c>
      <c r="BG710">
        <v>0</v>
      </c>
      <c r="BH710" t="s">
        <v>7363</v>
      </c>
      <c r="BJ710" t="s">
        <v>7362</v>
      </c>
      <c r="BK710">
        <v>169</v>
      </c>
      <c r="BL710">
        <v>11</v>
      </c>
      <c r="BM710">
        <v>1</v>
      </c>
      <c r="BN710" t="s">
        <v>7364</v>
      </c>
      <c r="BO710">
        <v>169</v>
      </c>
      <c r="BP710">
        <v>11</v>
      </c>
      <c r="BQ710">
        <v>1</v>
      </c>
      <c r="BR710" t="s">
        <v>7364</v>
      </c>
      <c r="BS710" t="s">
        <v>7444</v>
      </c>
      <c r="BT710" t="s">
        <v>7360</v>
      </c>
      <c r="BU710" t="s">
        <v>7360</v>
      </c>
      <c r="BV710" t="s">
        <v>7360</v>
      </c>
      <c r="BX710" t="s">
        <v>7391</v>
      </c>
      <c r="BY710">
        <v>74</v>
      </c>
      <c r="BZ710" t="s">
        <v>7360</v>
      </c>
      <c r="CA710" t="s">
        <v>7360</v>
      </c>
      <c r="CB710">
        <v>3380666</v>
      </c>
      <c r="CC710" s="21">
        <v>45009.450196759259</v>
      </c>
      <c r="CE710" t="s">
        <v>7392</v>
      </c>
      <c r="CF710">
        <v>1100101</v>
      </c>
      <c r="CG710">
        <v>51669</v>
      </c>
      <c r="CH710">
        <v>51669</v>
      </c>
      <c r="CI710" s="21">
        <v>45009.450821759259</v>
      </c>
      <c r="CJ710" t="s">
        <v>7406</v>
      </c>
      <c r="CK710" t="s">
        <v>7406</v>
      </c>
      <c r="CL710" t="s">
        <v>7407</v>
      </c>
      <c r="CM710" t="s">
        <v>7407</v>
      </c>
      <c r="CS710" t="s">
        <v>7361</v>
      </c>
      <c r="CT710" t="s">
        <v>7362</v>
      </c>
      <c r="CU710" t="s">
        <v>7362</v>
      </c>
      <c r="CV710" t="s">
        <v>7362</v>
      </c>
      <c r="CW710" t="s">
        <v>7362</v>
      </c>
      <c r="CX710">
        <v>9900000</v>
      </c>
      <c r="DA710">
        <v>0</v>
      </c>
    </row>
    <row r="711" spans="1:106" x14ac:dyDescent="0.3">
      <c r="A711">
        <v>1357</v>
      </c>
      <c r="B711" t="s">
        <v>7405</v>
      </c>
      <c r="C711">
        <v>528</v>
      </c>
      <c r="D711" s="20">
        <v>44988</v>
      </c>
      <c r="E711" t="s">
        <v>7356</v>
      </c>
      <c r="F711" t="s">
        <v>4684</v>
      </c>
      <c r="G711" t="s">
        <v>7357</v>
      </c>
      <c r="H711">
        <v>1</v>
      </c>
      <c r="I711" t="s">
        <v>7358</v>
      </c>
      <c r="J711">
        <v>1</v>
      </c>
      <c r="K711" s="20">
        <v>44988</v>
      </c>
      <c r="L711" s="23">
        <v>36534548</v>
      </c>
      <c r="M711" t="s">
        <v>7359</v>
      </c>
      <c r="N711" t="s">
        <v>7360</v>
      </c>
      <c r="O711">
        <v>0</v>
      </c>
      <c r="P711">
        <v>12700</v>
      </c>
      <c r="Q711">
        <v>449059</v>
      </c>
      <c r="R711">
        <v>0</v>
      </c>
      <c r="S711">
        <v>20230303</v>
      </c>
      <c r="T711">
        <v>0</v>
      </c>
      <c r="U711" t="s">
        <v>7361</v>
      </c>
      <c r="V711" t="s">
        <v>7360</v>
      </c>
      <c r="W711" t="s">
        <v>7360</v>
      </c>
      <c r="X711" t="s">
        <v>7360</v>
      </c>
      <c r="Y711" t="s">
        <v>7360</v>
      </c>
      <c r="Z711" t="s">
        <v>7360</v>
      </c>
      <c r="AA711" t="s">
        <v>7362</v>
      </c>
      <c r="AB711" t="s">
        <v>7360</v>
      </c>
      <c r="AC711" t="s">
        <v>7360</v>
      </c>
      <c r="AD711" t="s">
        <v>7360</v>
      </c>
      <c r="AE711" t="s">
        <v>7360</v>
      </c>
      <c r="AF711" t="s">
        <v>1684</v>
      </c>
      <c r="AG711">
        <v>0</v>
      </c>
      <c r="AH711">
        <v>0</v>
      </c>
      <c r="AI711">
        <v>0</v>
      </c>
      <c r="AJ711">
        <v>0</v>
      </c>
      <c r="AK711">
        <v>0</v>
      </c>
      <c r="AL711" t="s">
        <v>7360</v>
      </c>
      <c r="AM711">
        <v>0</v>
      </c>
      <c r="AN711" s="20">
        <v>44988</v>
      </c>
      <c r="AO711" s="20">
        <v>44988</v>
      </c>
      <c r="AP711" s="20">
        <v>44988</v>
      </c>
      <c r="AQ711">
        <v>0</v>
      </c>
      <c r="AR711">
        <v>0</v>
      </c>
      <c r="AS711">
        <v>0</v>
      </c>
      <c r="AT711">
        <v>0</v>
      </c>
      <c r="AU711">
        <v>0</v>
      </c>
      <c r="AV711" t="s">
        <v>7360</v>
      </c>
      <c r="AW711">
        <v>0</v>
      </c>
      <c r="AX711" t="s">
        <v>7360</v>
      </c>
      <c r="AY711" t="s">
        <v>7363</v>
      </c>
      <c r="BA711">
        <v>0</v>
      </c>
      <c r="BB711" s="20">
        <v>44988</v>
      </c>
      <c r="BC711">
        <v>0</v>
      </c>
      <c r="BD711" t="s">
        <v>7360</v>
      </c>
      <c r="BF711" s="20">
        <v>44988</v>
      </c>
      <c r="BG711">
        <v>0</v>
      </c>
      <c r="BH711" t="s">
        <v>1684</v>
      </c>
      <c r="BJ711" t="s">
        <v>7362</v>
      </c>
      <c r="BK711">
        <v>0</v>
      </c>
      <c r="BL711">
        <v>0</v>
      </c>
      <c r="BM711">
        <v>0</v>
      </c>
      <c r="BN711">
        <v>0</v>
      </c>
      <c r="BO711">
        <v>169</v>
      </c>
      <c r="BP711">
        <v>11</v>
      </c>
      <c r="BQ711">
        <v>1</v>
      </c>
      <c r="BR711" t="s">
        <v>7364</v>
      </c>
      <c r="BS711" t="s">
        <v>7382</v>
      </c>
      <c r="BT711" t="s">
        <v>7360</v>
      </c>
      <c r="BU711" t="s">
        <v>7360</v>
      </c>
      <c r="BV711" t="s">
        <v>7360</v>
      </c>
      <c r="BX711">
        <v>0</v>
      </c>
      <c r="BY711">
        <v>0</v>
      </c>
      <c r="BZ711" t="s">
        <v>7360</v>
      </c>
      <c r="CA711" t="s">
        <v>7360</v>
      </c>
      <c r="CB711">
        <v>3380666</v>
      </c>
      <c r="CC711" s="21">
        <v>44988.644837962966</v>
      </c>
      <c r="CE711" t="s">
        <v>7366</v>
      </c>
      <c r="CF711">
        <v>0</v>
      </c>
      <c r="CG711">
        <v>702002</v>
      </c>
      <c r="CH711">
        <v>702002</v>
      </c>
      <c r="CI711" s="21">
        <v>44988.648252314815</v>
      </c>
      <c r="CJ711" t="s">
        <v>7367</v>
      </c>
      <c r="CK711" t="s">
        <v>7367</v>
      </c>
      <c r="CL711" t="s">
        <v>7368</v>
      </c>
      <c r="CM711" t="s">
        <v>7368</v>
      </c>
      <c r="CS711" t="s">
        <v>7361</v>
      </c>
      <c r="CT711" t="s">
        <v>7362</v>
      </c>
      <c r="CU711" t="s">
        <v>7362</v>
      </c>
      <c r="CV711" t="s">
        <v>7362</v>
      </c>
      <c r="CW711" t="s">
        <v>7362</v>
      </c>
      <c r="CX711">
        <v>36534548</v>
      </c>
      <c r="DA711">
        <v>0</v>
      </c>
    </row>
    <row r="712" spans="1:106" x14ac:dyDescent="0.3">
      <c r="A712">
        <v>1360</v>
      </c>
      <c r="B712" t="s">
        <v>7401</v>
      </c>
      <c r="C712">
        <v>91</v>
      </c>
      <c r="D712" s="20">
        <v>44951</v>
      </c>
      <c r="E712" t="s">
        <v>7356</v>
      </c>
      <c r="F712" t="s">
        <v>4689</v>
      </c>
      <c r="G712" t="s">
        <v>7357</v>
      </c>
      <c r="H712">
        <v>1</v>
      </c>
      <c r="I712" t="s">
        <v>7358</v>
      </c>
      <c r="J712">
        <v>1</v>
      </c>
      <c r="K712" s="20">
        <v>44951</v>
      </c>
      <c r="L712" s="23">
        <v>37033195</v>
      </c>
      <c r="M712" t="s">
        <v>7403</v>
      </c>
      <c r="N712" t="s">
        <v>7360</v>
      </c>
      <c r="O712">
        <v>0</v>
      </c>
      <c r="P712">
        <v>11729</v>
      </c>
      <c r="Q712">
        <v>129012</v>
      </c>
      <c r="R712">
        <v>0</v>
      </c>
      <c r="S712">
        <v>20230125</v>
      </c>
      <c r="T712">
        <v>0</v>
      </c>
      <c r="U712" t="s">
        <v>7361</v>
      </c>
      <c r="V712" t="s">
        <v>7360</v>
      </c>
      <c r="W712" t="s">
        <v>7360</v>
      </c>
      <c r="X712" t="s">
        <v>7360</v>
      </c>
      <c r="Y712" t="s">
        <v>7360</v>
      </c>
      <c r="Z712" t="s">
        <v>7360</v>
      </c>
      <c r="AA712" t="s">
        <v>7362</v>
      </c>
      <c r="AB712" t="s">
        <v>7360</v>
      </c>
      <c r="AC712" t="s">
        <v>7360</v>
      </c>
      <c r="AD712" t="s">
        <v>7360</v>
      </c>
      <c r="AE712" t="s">
        <v>7360</v>
      </c>
      <c r="AF712" t="s">
        <v>1684</v>
      </c>
      <c r="AG712">
        <v>0</v>
      </c>
      <c r="AH712">
        <v>0</v>
      </c>
      <c r="AI712">
        <v>0</v>
      </c>
      <c r="AJ712">
        <v>0</v>
      </c>
      <c r="AK712">
        <v>0</v>
      </c>
      <c r="AL712" t="s">
        <v>7360</v>
      </c>
      <c r="AM712">
        <v>0</v>
      </c>
      <c r="AN712" s="20">
        <v>44951</v>
      </c>
      <c r="AO712" s="20">
        <v>44951</v>
      </c>
      <c r="AP712" s="20">
        <v>44951</v>
      </c>
      <c r="AQ712">
        <v>0</v>
      </c>
      <c r="AR712">
        <v>0</v>
      </c>
      <c r="AS712">
        <v>0</v>
      </c>
      <c r="AT712">
        <v>0</v>
      </c>
      <c r="AU712">
        <v>0</v>
      </c>
      <c r="AV712" t="s">
        <v>7360</v>
      </c>
      <c r="AW712">
        <v>0</v>
      </c>
      <c r="AX712" t="s">
        <v>7360</v>
      </c>
      <c r="AY712" t="s">
        <v>7363</v>
      </c>
      <c r="BA712">
        <v>0</v>
      </c>
      <c r="BB712" s="20">
        <v>44951</v>
      </c>
      <c r="BC712">
        <v>0</v>
      </c>
      <c r="BD712" t="s">
        <v>7360</v>
      </c>
      <c r="BE712">
        <v>133</v>
      </c>
      <c r="BF712" s="20">
        <v>44951</v>
      </c>
      <c r="BG712">
        <v>0</v>
      </c>
      <c r="BH712" t="s">
        <v>7363</v>
      </c>
      <c r="BJ712" t="s">
        <v>7362</v>
      </c>
      <c r="BK712">
        <v>169</v>
      </c>
      <c r="BL712">
        <v>11</v>
      </c>
      <c r="BM712">
        <v>1</v>
      </c>
      <c r="BN712" t="s">
        <v>7364</v>
      </c>
      <c r="BO712">
        <v>169</v>
      </c>
      <c r="BP712">
        <v>11</v>
      </c>
      <c r="BQ712">
        <v>1</v>
      </c>
      <c r="BR712" t="s">
        <v>7364</v>
      </c>
      <c r="BS712" t="s">
        <v>7386</v>
      </c>
      <c r="BT712" t="s">
        <v>7360</v>
      </c>
      <c r="BU712" t="s">
        <v>7360</v>
      </c>
      <c r="BV712" t="s">
        <v>7360</v>
      </c>
      <c r="BX712" t="s">
        <v>7391</v>
      </c>
      <c r="BY712">
        <v>74</v>
      </c>
      <c r="BZ712" t="s">
        <v>7360</v>
      </c>
      <c r="CA712" t="s">
        <v>7360</v>
      </c>
      <c r="CB712">
        <v>3380666</v>
      </c>
      <c r="CC712" s="21">
        <v>44951.491354166668</v>
      </c>
      <c r="CE712" t="s">
        <v>7392</v>
      </c>
      <c r="CF712">
        <v>1100101</v>
      </c>
      <c r="CG712">
        <v>702002</v>
      </c>
      <c r="CH712">
        <v>51669</v>
      </c>
      <c r="CI712" s="21">
        <v>44953.424398148149</v>
      </c>
      <c r="CJ712" t="s">
        <v>7367</v>
      </c>
      <c r="CK712" t="s">
        <v>7406</v>
      </c>
      <c r="CL712" t="s">
        <v>7368</v>
      </c>
      <c r="CM712" t="s">
        <v>7407</v>
      </c>
      <c r="CS712" t="s">
        <v>7361</v>
      </c>
      <c r="CT712" t="s">
        <v>7362</v>
      </c>
      <c r="CU712" t="s">
        <v>7362</v>
      </c>
      <c r="CV712" t="s">
        <v>7362</v>
      </c>
      <c r="CW712" t="s">
        <v>7362</v>
      </c>
      <c r="CX712">
        <v>37033195</v>
      </c>
      <c r="DA712">
        <v>0</v>
      </c>
      <c r="DB712">
        <v>129012</v>
      </c>
    </row>
    <row r="713" spans="1:106" x14ac:dyDescent="0.3">
      <c r="A713">
        <v>1356</v>
      </c>
      <c r="B713" t="s">
        <v>7402</v>
      </c>
      <c r="C713">
        <v>146</v>
      </c>
      <c r="D713" s="20">
        <v>44956</v>
      </c>
      <c r="E713" t="s">
        <v>7356</v>
      </c>
      <c r="F713" t="s">
        <v>4694</v>
      </c>
      <c r="G713" t="s">
        <v>7377</v>
      </c>
      <c r="H713">
        <v>1</v>
      </c>
      <c r="I713" t="s">
        <v>7358</v>
      </c>
      <c r="J713">
        <v>1</v>
      </c>
      <c r="K713" s="20">
        <v>44952</v>
      </c>
      <c r="L713" s="23">
        <v>40460000</v>
      </c>
      <c r="M713" t="s">
        <v>7403</v>
      </c>
      <c r="N713" t="s">
        <v>7360</v>
      </c>
      <c r="O713">
        <v>0</v>
      </c>
      <c r="P713">
        <v>11803</v>
      </c>
      <c r="Q713">
        <v>130001</v>
      </c>
      <c r="R713">
        <v>0</v>
      </c>
      <c r="S713">
        <v>20230130</v>
      </c>
      <c r="T713">
        <v>0</v>
      </c>
      <c r="U713" t="s">
        <v>7361</v>
      </c>
      <c r="V713" t="s">
        <v>7360</v>
      </c>
      <c r="W713" t="s">
        <v>7360</v>
      </c>
      <c r="X713" t="s">
        <v>7360</v>
      </c>
      <c r="Y713" t="s">
        <v>7360</v>
      </c>
      <c r="Z713" t="s">
        <v>7360</v>
      </c>
      <c r="AA713" t="s">
        <v>7362</v>
      </c>
      <c r="AB713" t="s">
        <v>7360</v>
      </c>
      <c r="AC713" t="s">
        <v>7360</v>
      </c>
      <c r="AD713" t="s">
        <v>7360</v>
      </c>
      <c r="AE713" t="s">
        <v>7360</v>
      </c>
      <c r="AF713" t="s">
        <v>1684</v>
      </c>
      <c r="AG713">
        <v>0</v>
      </c>
      <c r="AH713">
        <v>0</v>
      </c>
      <c r="AI713">
        <v>0</v>
      </c>
      <c r="AJ713">
        <v>0</v>
      </c>
      <c r="AK713">
        <v>0</v>
      </c>
      <c r="AL713" t="s">
        <v>7360</v>
      </c>
      <c r="AM713">
        <v>0</v>
      </c>
      <c r="AN713" s="20">
        <v>44952</v>
      </c>
      <c r="AO713" s="20">
        <v>44952</v>
      </c>
      <c r="AP713" s="20">
        <v>44952</v>
      </c>
      <c r="AQ713">
        <v>0</v>
      </c>
      <c r="AR713">
        <v>0</v>
      </c>
      <c r="AS713">
        <v>0</v>
      </c>
      <c r="AT713">
        <v>0</v>
      </c>
      <c r="AU713">
        <v>0</v>
      </c>
      <c r="AV713" t="s">
        <v>7360</v>
      </c>
      <c r="AW713">
        <v>0</v>
      </c>
      <c r="AX713" t="s">
        <v>7360</v>
      </c>
      <c r="AY713" t="s">
        <v>7363</v>
      </c>
      <c r="BA713">
        <v>0</v>
      </c>
      <c r="BB713" s="20">
        <v>44952</v>
      </c>
      <c r="BC713">
        <v>0</v>
      </c>
      <c r="BD713" t="s">
        <v>7360</v>
      </c>
      <c r="BE713">
        <v>161</v>
      </c>
      <c r="BF713" s="20">
        <v>44952</v>
      </c>
      <c r="BG713">
        <v>0</v>
      </c>
      <c r="BH713" t="s">
        <v>1729</v>
      </c>
      <c r="BJ713" t="s">
        <v>7362</v>
      </c>
      <c r="BK713">
        <v>169</v>
      </c>
      <c r="BL713">
        <v>11</v>
      </c>
      <c r="BM713">
        <v>1</v>
      </c>
      <c r="BN713" t="s">
        <v>7364</v>
      </c>
      <c r="BO713">
        <v>169</v>
      </c>
      <c r="BP713">
        <v>11</v>
      </c>
      <c r="BQ713">
        <v>1</v>
      </c>
      <c r="BR713" t="s">
        <v>7364</v>
      </c>
      <c r="BS713" t="s">
        <v>7386</v>
      </c>
      <c r="BT713" t="s">
        <v>7360</v>
      </c>
      <c r="BU713" t="s">
        <v>7360</v>
      </c>
      <c r="BV713" t="s">
        <v>7360</v>
      </c>
      <c r="BX713" t="s">
        <v>7391</v>
      </c>
      <c r="BY713">
        <v>74</v>
      </c>
      <c r="BZ713" t="s">
        <v>7360</v>
      </c>
      <c r="CA713" t="s">
        <v>7360</v>
      </c>
      <c r="CB713">
        <v>3380666</v>
      </c>
      <c r="CC713" s="21">
        <v>44952.679537037038</v>
      </c>
      <c r="CE713" t="s">
        <v>7392</v>
      </c>
      <c r="CF713">
        <v>1100101</v>
      </c>
      <c r="CG713">
        <v>51669</v>
      </c>
      <c r="CH713">
        <v>51669</v>
      </c>
      <c r="CI713" s="21">
        <v>44956.400625000002</v>
      </c>
      <c r="CJ713" t="s">
        <v>7406</v>
      </c>
      <c r="CK713" t="s">
        <v>7406</v>
      </c>
      <c r="CL713" t="s">
        <v>7407</v>
      </c>
      <c r="CM713" t="s">
        <v>7407</v>
      </c>
      <c r="CS713" t="s">
        <v>7361</v>
      </c>
      <c r="CT713" t="s">
        <v>7362</v>
      </c>
      <c r="CU713" t="s">
        <v>7362</v>
      </c>
      <c r="CV713" t="s">
        <v>7362</v>
      </c>
      <c r="CW713" t="s">
        <v>7362</v>
      </c>
      <c r="CX713">
        <v>40460000</v>
      </c>
      <c r="DA713">
        <v>0</v>
      </c>
      <c r="DB713">
        <v>130001</v>
      </c>
    </row>
    <row r="714" spans="1:106" x14ac:dyDescent="0.3">
      <c r="A714">
        <v>1372</v>
      </c>
      <c r="B714" t="s">
        <v>7369</v>
      </c>
      <c r="C714">
        <v>747</v>
      </c>
      <c r="D714" s="20">
        <v>45007</v>
      </c>
      <c r="E714" t="s">
        <v>7372</v>
      </c>
      <c r="F714" t="s">
        <v>4700</v>
      </c>
      <c r="G714" t="s">
        <v>7357</v>
      </c>
      <c r="H714">
        <v>1</v>
      </c>
      <c r="I714" t="s">
        <v>7358</v>
      </c>
      <c r="J714">
        <v>1</v>
      </c>
      <c r="K714" s="20">
        <v>45009</v>
      </c>
      <c r="L714" s="23">
        <v>1707888</v>
      </c>
      <c r="M714" t="s">
        <v>7359</v>
      </c>
      <c r="N714" t="s">
        <v>7360</v>
      </c>
      <c r="O714">
        <v>0</v>
      </c>
      <c r="P714">
        <v>13340</v>
      </c>
      <c r="Q714">
        <v>458015</v>
      </c>
      <c r="R714">
        <v>0</v>
      </c>
      <c r="S714">
        <v>20230322</v>
      </c>
      <c r="T714">
        <v>0</v>
      </c>
      <c r="U714" t="s">
        <v>7362</v>
      </c>
      <c r="V714" t="s">
        <v>7360</v>
      </c>
      <c r="W714" t="s">
        <v>7360</v>
      </c>
      <c r="X714" t="s">
        <v>7360</v>
      </c>
      <c r="Y714" t="s">
        <v>7360</v>
      </c>
      <c r="Z714" t="s">
        <v>7360</v>
      </c>
      <c r="AA714" t="s">
        <v>7362</v>
      </c>
      <c r="AB714" t="s">
        <v>7360</v>
      </c>
      <c r="AC714" t="s">
        <v>7360</v>
      </c>
      <c r="AD714" t="s">
        <v>7360</v>
      </c>
      <c r="AE714" t="s">
        <v>7360</v>
      </c>
      <c r="AF714" t="s">
        <v>1684</v>
      </c>
      <c r="AG714">
        <v>0</v>
      </c>
      <c r="AH714">
        <v>0</v>
      </c>
      <c r="AI714">
        <v>0</v>
      </c>
      <c r="AJ714">
        <v>0</v>
      </c>
      <c r="AK714">
        <v>0</v>
      </c>
      <c r="AL714" t="s">
        <v>7360</v>
      </c>
      <c r="AM714">
        <v>0</v>
      </c>
      <c r="AN714" s="20">
        <v>45009</v>
      </c>
      <c r="AO714" s="20">
        <v>45009</v>
      </c>
      <c r="AP714" s="20">
        <v>45009</v>
      </c>
      <c r="AQ714">
        <v>0</v>
      </c>
      <c r="AR714">
        <v>0</v>
      </c>
      <c r="AS714">
        <v>0</v>
      </c>
      <c r="AT714">
        <v>0</v>
      </c>
      <c r="AU714">
        <v>0</v>
      </c>
      <c r="AV714" t="s">
        <v>7360</v>
      </c>
      <c r="AW714">
        <v>0</v>
      </c>
      <c r="AX714" t="s">
        <v>7360</v>
      </c>
      <c r="AY714" t="s">
        <v>7362</v>
      </c>
      <c r="BA714">
        <v>0</v>
      </c>
      <c r="BB714" s="20">
        <v>45009</v>
      </c>
      <c r="BC714">
        <v>0</v>
      </c>
      <c r="BD714" t="s">
        <v>7360</v>
      </c>
      <c r="BF714" s="20">
        <v>45009</v>
      </c>
      <c r="BG714">
        <v>0</v>
      </c>
      <c r="BH714" t="s">
        <v>7363</v>
      </c>
      <c r="BJ714" t="s">
        <v>7362</v>
      </c>
      <c r="BK714">
        <v>169</v>
      </c>
      <c r="BL714">
        <v>11</v>
      </c>
      <c r="BM714">
        <v>1</v>
      </c>
      <c r="BN714" t="s">
        <v>7364</v>
      </c>
      <c r="BO714">
        <v>0</v>
      </c>
      <c r="BP714">
        <v>0</v>
      </c>
      <c r="BQ714">
        <v>0</v>
      </c>
      <c r="BR714">
        <v>0</v>
      </c>
      <c r="BS714" t="s">
        <v>48</v>
      </c>
      <c r="BT714" t="s">
        <v>7360</v>
      </c>
      <c r="BU714" t="s">
        <v>7360</v>
      </c>
      <c r="BV714" t="s">
        <v>7360</v>
      </c>
      <c r="BX714" t="s">
        <v>7391</v>
      </c>
      <c r="BY714">
        <v>74</v>
      </c>
      <c r="BZ714" t="s">
        <v>7360</v>
      </c>
      <c r="CA714" t="s">
        <v>7360</v>
      </c>
      <c r="CB714">
        <v>5558210</v>
      </c>
      <c r="CC714" s="20">
        <v>45008</v>
      </c>
      <c r="CE714" t="s">
        <v>7392</v>
      </c>
      <c r="CF714">
        <v>1100101</v>
      </c>
      <c r="CG714">
        <v>53575</v>
      </c>
      <c r="CH714">
        <v>53575</v>
      </c>
      <c r="CI714" s="21">
        <v>45009.478506944448</v>
      </c>
      <c r="CJ714" t="s">
        <v>7393</v>
      </c>
      <c r="CK714" t="s">
        <v>7393</v>
      </c>
      <c r="CL714" t="s">
        <v>7394</v>
      </c>
      <c r="CM714" t="s">
        <v>7394</v>
      </c>
      <c r="CS714" t="s">
        <v>7361</v>
      </c>
      <c r="CT714" t="s">
        <v>7362</v>
      </c>
      <c r="CU714" t="s">
        <v>7362</v>
      </c>
      <c r="CV714" t="s">
        <v>7362</v>
      </c>
      <c r="CW714" t="s">
        <v>7362</v>
      </c>
      <c r="CX714">
        <v>1707888</v>
      </c>
      <c r="DA714">
        <v>0</v>
      </c>
    </row>
    <row r="715" spans="1:106" x14ac:dyDescent="0.3">
      <c r="A715">
        <v>1372</v>
      </c>
      <c r="B715" t="s">
        <v>7369</v>
      </c>
      <c r="C715">
        <v>745</v>
      </c>
      <c r="D715" s="20">
        <v>45009</v>
      </c>
      <c r="E715" t="s">
        <v>7372</v>
      </c>
      <c r="F715" t="s">
        <v>4705</v>
      </c>
      <c r="G715" t="s">
        <v>7357</v>
      </c>
      <c r="H715">
        <v>1</v>
      </c>
      <c r="I715" t="s">
        <v>7358</v>
      </c>
      <c r="J715">
        <v>1</v>
      </c>
      <c r="K715" s="20">
        <v>45009</v>
      </c>
      <c r="L715" s="23">
        <v>45234063</v>
      </c>
      <c r="M715" t="s">
        <v>7359</v>
      </c>
      <c r="N715" t="s">
        <v>7360</v>
      </c>
      <c r="O715">
        <v>0</v>
      </c>
      <c r="P715">
        <v>13430</v>
      </c>
      <c r="Q715">
        <v>460018</v>
      </c>
      <c r="R715">
        <v>0</v>
      </c>
      <c r="S715">
        <v>20230324</v>
      </c>
      <c r="T715">
        <v>0</v>
      </c>
      <c r="U715" t="s">
        <v>7362</v>
      </c>
      <c r="V715" t="s">
        <v>7360</v>
      </c>
      <c r="W715" t="s">
        <v>7360</v>
      </c>
      <c r="X715" t="s">
        <v>7360</v>
      </c>
      <c r="Y715" t="s">
        <v>7360</v>
      </c>
      <c r="Z715" t="s">
        <v>7360</v>
      </c>
      <c r="AA715" t="s">
        <v>7362</v>
      </c>
      <c r="AB715" t="s">
        <v>7360</v>
      </c>
      <c r="AC715" t="s">
        <v>7360</v>
      </c>
      <c r="AD715" t="s">
        <v>7360</v>
      </c>
      <c r="AE715" t="s">
        <v>7360</v>
      </c>
      <c r="AF715" t="s">
        <v>1684</v>
      </c>
      <c r="AG715">
        <v>0</v>
      </c>
      <c r="AH715">
        <v>0</v>
      </c>
      <c r="AI715">
        <v>0</v>
      </c>
      <c r="AJ715">
        <v>0</v>
      </c>
      <c r="AK715">
        <v>0</v>
      </c>
      <c r="AL715" t="s">
        <v>7360</v>
      </c>
      <c r="AM715">
        <v>0</v>
      </c>
      <c r="AN715" s="20">
        <v>45009</v>
      </c>
      <c r="AO715" s="20">
        <v>45009</v>
      </c>
      <c r="AP715" s="20">
        <v>45009</v>
      </c>
      <c r="AQ715">
        <v>0</v>
      </c>
      <c r="AR715">
        <v>0</v>
      </c>
      <c r="AS715">
        <v>0</v>
      </c>
      <c r="AT715">
        <v>0</v>
      </c>
      <c r="AU715">
        <v>0</v>
      </c>
      <c r="AV715" t="s">
        <v>7360</v>
      </c>
      <c r="AW715">
        <v>0</v>
      </c>
      <c r="AX715" t="s">
        <v>7360</v>
      </c>
      <c r="AY715" t="s">
        <v>7362</v>
      </c>
      <c r="BA715">
        <v>0</v>
      </c>
      <c r="BB715" s="20">
        <v>45009</v>
      </c>
      <c r="BC715">
        <v>0</v>
      </c>
      <c r="BD715" t="s">
        <v>7360</v>
      </c>
      <c r="BF715" s="20">
        <v>45009</v>
      </c>
      <c r="BG715">
        <v>0</v>
      </c>
      <c r="BH715" t="s">
        <v>7363</v>
      </c>
      <c r="BJ715" t="s">
        <v>7362</v>
      </c>
      <c r="BK715">
        <v>169</v>
      </c>
      <c r="BL715">
        <v>11</v>
      </c>
      <c r="BM715">
        <v>1</v>
      </c>
      <c r="BN715" t="s">
        <v>7364</v>
      </c>
      <c r="BO715">
        <v>0</v>
      </c>
      <c r="BP715">
        <v>0</v>
      </c>
      <c r="BQ715">
        <v>0</v>
      </c>
      <c r="BR715">
        <v>0</v>
      </c>
      <c r="BS715" t="s">
        <v>7387</v>
      </c>
      <c r="BT715" t="s">
        <v>7360</v>
      </c>
      <c r="BU715" t="s">
        <v>7360</v>
      </c>
      <c r="BV715" t="s">
        <v>7360</v>
      </c>
      <c r="BX715" t="s">
        <v>7391</v>
      </c>
      <c r="BY715">
        <v>74</v>
      </c>
      <c r="BZ715" t="s">
        <v>7360</v>
      </c>
      <c r="CA715" t="s">
        <v>7360</v>
      </c>
      <c r="CC715" s="21">
        <v>45009.459606481483</v>
      </c>
      <c r="CE715" t="s">
        <v>7392</v>
      </c>
      <c r="CF715">
        <v>1100101</v>
      </c>
      <c r="CG715">
        <v>53575</v>
      </c>
      <c r="CH715">
        <v>53575</v>
      </c>
      <c r="CI715" s="21">
        <v>45012.370671296296</v>
      </c>
      <c r="CJ715" t="s">
        <v>7393</v>
      </c>
      <c r="CK715" t="s">
        <v>7393</v>
      </c>
      <c r="CL715" t="s">
        <v>7394</v>
      </c>
      <c r="CM715" t="s">
        <v>7394</v>
      </c>
      <c r="CS715" t="s">
        <v>7361</v>
      </c>
      <c r="CT715" t="s">
        <v>7362</v>
      </c>
      <c r="CU715" t="s">
        <v>7362</v>
      </c>
      <c r="CV715" t="s">
        <v>7362</v>
      </c>
      <c r="CW715" t="s">
        <v>7362</v>
      </c>
      <c r="CX715">
        <v>45234063</v>
      </c>
      <c r="DA715">
        <v>0</v>
      </c>
    </row>
    <row r="716" spans="1:106" x14ac:dyDescent="0.3">
      <c r="A716">
        <v>1354</v>
      </c>
      <c r="B716" t="s">
        <v>7396</v>
      </c>
      <c r="C716">
        <v>749</v>
      </c>
      <c r="D716" s="20">
        <v>45009</v>
      </c>
      <c r="E716" t="s">
        <v>7372</v>
      </c>
      <c r="F716" t="s">
        <v>4710</v>
      </c>
      <c r="G716" t="s">
        <v>7370</v>
      </c>
      <c r="H716">
        <v>1</v>
      </c>
      <c r="I716" t="s">
        <v>7358</v>
      </c>
      <c r="J716">
        <v>1</v>
      </c>
      <c r="K716" s="20">
        <v>45009</v>
      </c>
      <c r="L716" s="23">
        <v>5040000</v>
      </c>
      <c r="M716" t="s">
        <v>7359</v>
      </c>
      <c r="N716" t="s">
        <v>7360</v>
      </c>
      <c r="O716">
        <v>0</v>
      </c>
      <c r="P716">
        <v>13331</v>
      </c>
      <c r="Q716">
        <v>458008</v>
      </c>
      <c r="R716">
        <v>0</v>
      </c>
      <c r="S716">
        <v>20230324</v>
      </c>
      <c r="T716">
        <v>0</v>
      </c>
      <c r="U716" t="s">
        <v>7362</v>
      </c>
      <c r="V716" t="s">
        <v>7360</v>
      </c>
      <c r="W716" t="s">
        <v>7360</v>
      </c>
      <c r="X716" t="s">
        <v>7360</v>
      </c>
      <c r="Y716" t="s">
        <v>7360</v>
      </c>
      <c r="Z716" t="s">
        <v>7360</v>
      </c>
      <c r="AA716" t="s">
        <v>7362</v>
      </c>
      <c r="AB716" t="s">
        <v>7360</v>
      </c>
      <c r="AC716" t="s">
        <v>7360</v>
      </c>
      <c r="AD716" t="s">
        <v>7360</v>
      </c>
      <c r="AE716" t="s">
        <v>7360</v>
      </c>
      <c r="AF716" t="s">
        <v>1684</v>
      </c>
      <c r="AG716">
        <v>0</v>
      </c>
      <c r="AH716">
        <v>0</v>
      </c>
      <c r="AI716">
        <v>0</v>
      </c>
      <c r="AJ716">
        <v>0</v>
      </c>
      <c r="AK716">
        <v>0</v>
      </c>
      <c r="AL716" t="s">
        <v>7360</v>
      </c>
      <c r="AM716">
        <v>0</v>
      </c>
      <c r="AN716" s="20">
        <v>45009</v>
      </c>
      <c r="AO716" s="20">
        <v>45009</v>
      </c>
      <c r="AP716" s="20">
        <v>45009</v>
      </c>
      <c r="AQ716">
        <v>0</v>
      </c>
      <c r="AR716">
        <v>0</v>
      </c>
      <c r="AS716">
        <v>0</v>
      </c>
      <c r="AT716">
        <v>0</v>
      </c>
      <c r="AU716">
        <v>0</v>
      </c>
      <c r="AV716" t="s">
        <v>7360</v>
      </c>
      <c r="AW716">
        <v>0</v>
      </c>
      <c r="AX716" t="s">
        <v>7360</v>
      </c>
      <c r="AY716" t="s">
        <v>7362</v>
      </c>
      <c r="BA716">
        <v>0</v>
      </c>
      <c r="BB716" s="20">
        <v>45009</v>
      </c>
      <c r="BC716">
        <v>0</v>
      </c>
      <c r="BD716" t="s">
        <v>7360</v>
      </c>
      <c r="BF716" s="20">
        <v>45009</v>
      </c>
      <c r="BG716">
        <v>0</v>
      </c>
      <c r="BH716" t="s">
        <v>7363</v>
      </c>
      <c r="BJ716" t="s">
        <v>7362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 t="s">
        <v>7365</v>
      </c>
      <c r="BT716" t="s">
        <v>7360</v>
      </c>
      <c r="BU716" t="s">
        <v>7360</v>
      </c>
      <c r="BV716" t="s">
        <v>7360</v>
      </c>
      <c r="BX716">
        <v>0</v>
      </c>
      <c r="BY716">
        <v>0</v>
      </c>
      <c r="BZ716" t="s">
        <v>7360</v>
      </c>
      <c r="CA716" t="s">
        <v>7360</v>
      </c>
      <c r="CB716">
        <v>3380666</v>
      </c>
      <c r="CC716" s="21">
        <v>45009.595439814817</v>
      </c>
      <c r="CE716" t="s">
        <v>7366</v>
      </c>
      <c r="CF716">
        <v>0</v>
      </c>
      <c r="CG716">
        <v>702002</v>
      </c>
      <c r="CH716">
        <v>702002</v>
      </c>
      <c r="CI716" s="21">
        <v>45009.597303240742</v>
      </c>
      <c r="CJ716" t="s">
        <v>7367</v>
      </c>
      <c r="CK716" t="s">
        <v>7367</v>
      </c>
      <c r="CL716" t="s">
        <v>7368</v>
      </c>
      <c r="CM716" t="s">
        <v>7368</v>
      </c>
      <c r="CS716" t="s">
        <v>7361</v>
      </c>
      <c r="CT716" t="s">
        <v>7362</v>
      </c>
      <c r="CU716" t="s">
        <v>7362</v>
      </c>
      <c r="CV716" t="s">
        <v>7362</v>
      </c>
      <c r="CW716" t="s">
        <v>7362</v>
      </c>
      <c r="CX716">
        <v>5040000</v>
      </c>
      <c r="DA716">
        <v>0</v>
      </c>
    </row>
    <row r="717" spans="1:106" x14ac:dyDescent="0.3">
      <c r="A717">
        <v>1372</v>
      </c>
      <c r="B717" t="s">
        <v>7369</v>
      </c>
      <c r="C717">
        <v>750</v>
      </c>
      <c r="D717" s="20">
        <v>45026</v>
      </c>
      <c r="E717" t="s">
        <v>7397</v>
      </c>
      <c r="F717" t="s">
        <v>4716</v>
      </c>
      <c r="G717" t="s">
        <v>7357</v>
      </c>
      <c r="H717">
        <v>1</v>
      </c>
      <c r="I717" t="s">
        <v>7358</v>
      </c>
      <c r="J717">
        <v>1</v>
      </c>
      <c r="K717" s="20">
        <v>45009</v>
      </c>
      <c r="L717" s="23">
        <v>77000</v>
      </c>
      <c r="M717" t="s">
        <v>7398</v>
      </c>
      <c r="N717" t="s">
        <v>7360</v>
      </c>
      <c r="O717">
        <v>0</v>
      </c>
      <c r="P717">
        <v>13137</v>
      </c>
      <c r="R717">
        <v>0</v>
      </c>
      <c r="S717">
        <v>20230410</v>
      </c>
      <c r="T717">
        <v>0</v>
      </c>
      <c r="U717" t="s">
        <v>7362</v>
      </c>
      <c r="V717" t="s">
        <v>7360</v>
      </c>
      <c r="W717" t="s">
        <v>7360</v>
      </c>
      <c r="X717" t="s">
        <v>7360</v>
      </c>
      <c r="Y717" t="s">
        <v>7360</v>
      </c>
      <c r="Z717" t="s">
        <v>7360</v>
      </c>
      <c r="AA717" t="s">
        <v>1684</v>
      </c>
      <c r="AB717" t="s">
        <v>7360</v>
      </c>
      <c r="AC717" t="s">
        <v>7360</v>
      </c>
      <c r="AD717" t="s">
        <v>7360</v>
      </c>
      <c r="AE717" t="s">
        <v>7360</v>
      </c>
      <c r="AF717" t="s">
        <v>1684</v>
      </c>
      <c r="AG717">
        <v>0</v>
      </c>
      <c r="AH717">
        <v>0</v>
      </c>
      <c r="AI717">
        <v>0</v>
      </c>
      <c r="AJ717">
        <v>0</v>
      </c>
      <c r="AK717">
        <v>0</v>
      </c>
      <c r="AL717" t="s">
        <v>7360</v>
      </c>
      <c r="AM717">
        <v>0</v>
      </c>
      <c r="AN717" s="20">
        <v>45009</v>
      </c>
      <c r="AO717" s="20">
        <v>45009</v>
      </c>
      <c r="AP717" s="20">
        <v>45009</v>
      </c>
      <c r="AQ717">
        <v>0</v>
      </c>
      <c r="AR717">
        <v>0</v>
      </c>
      <c r="AS717">
        <v>0</v>
      </c>
      <c r="AT717">
        <v>0</v>
      </c>
      <c r="AU717">
        <v>0</v>
      </c>
      <c r="AV717" t="s">
        <v>7360</v>
      </c>
      <c r="AW717">
        <v>0</v>
      </c>
      <c r="AX717" t="s">
        <v>7360</v>
      </c>
      <c r="AY717" t="s">
        <v>7362</v>
      </c>
      <c r="BA717">
        <v>0</v>
      </c>
      <c r="BB717" s="20">
        <v>45009</v>
      </c>
      <c r="BC717">
        <v>0</v>
      </c>
      <c r="BD717" t="s">
        <v>7360</v>
      </c>
      <c r="BF717" s="20">
        <v>45009</v>
      </c>
      <c r="BG717">
        <v>0</v>
      </c>
      <c r="BH717" t="s">
        <v>7363</v>
      </c>
      <c r="BJ717" t="s">
        <v>7362</v>
      </c>
      <c r="BK717">
        <v>0</v>
      </c>
      <c r="BL717">
        <v>0</v>
      </c>
      <c r="BM717">
        <v>0</v>
      </c>
      <c r="BN717">
        <v>0</v>
      </c>
      <c r="BO717">
        <v>169</v>
      </c>
      <c r="BP717">
        <v>11</v>
      </c>
      <c r="BQ717">
        <v>1</v>
      </c>
      <c r="BR717" t="s">
        <v>7364</v>
      </c>
      <c r="BS717" t="s">
        <v>7439</v>
      </c>
      <c r="BT717" t="s">
        <v>7360</v>
      </c>
      <c r="BU717" t="s">
        <v>7360</v>
      </c>
      <c r="BV717" t="s">
        <v>7360</v>
      </c>
      <c r="BX717">
        <v>0</v>
      </c>
      <c r="BY717">
        <v>0</v>
      </c>
      <c r="BZ717" t="s">
        <v>7360</v>
      </c>
      <c r="CA717" t="s">
        <v>7360</v>
      </c>
      <c r="CB717">
        <v>3380666</v>
      </c>
      <c r="CC717" s="21">
        <v>45009.619652777779</v>
      </c>
      <c r="CE717" t="s">
        <v>7366</v>
      </c>
      <c r="CF717">
        <v>0</v>
      </c>
      <c r="CG717">
        <v>702002</v>
      </c>
      <c r="CJ717" t="s">
        <v>7367</v>
      </c>
      <c r="CL717" t="s">
        <v>7368</v>
      </c>
      <c r="CS717" t="s">
        <v>7361</v>
      </c>
      <c r="CT717" t="s">
        <v>7362</v>
      </c>
      <c r="CU717" t="s">
        <v>7362</v>
      </c>
      <c r="CV717" t="s">
        <v>7362</v>
      </c>
      <c r="CW717" t="s">
        <v>7362</v>
      </c>
      <c r="DA717">
        <v>0</v>
      </c>
    </row>
    <row r="718" spans="1:106" x14ac:dyDescent="0.3">
      <c r="A718">
        <v>1352</v>
      </c>
      <c r="B718" t="s">
        <v>7416</v>
      </c>
      <c r="C718">
        <v>751</v>
      </c>
      <c r="D718" s="20">
        <v>45009</v>
      </c>
      <c r="E718" t="s">
        <v>7372</v>
      </c>
      <c r="F718" t="s">
        <v>4721</v>
      </c>
      <c r="G718" t="s">
        <v>7357</v>
      </c>
      <c r="H718">
        <v>1</v>
      </c>
      <c r="I718" t="s">
        <v>7358</v>
      </c>
      <c r="J718">
        <v>1</v>
      </c>
      <c r="K718" s="20">
        <v>45009</v>
      </c>
      <c r="L718" s="23">
        <v>1390872</v>
      </c>
      <c r="M718" t="s">
        <v>7359</v>
      </c>
      <c r="N718" t="s">
        <v>7360</v>
      </c>
      <c r="O718">
        <v>0</v>
      </c>
      <c r="P718">
        <v>13063</v>
      </c>
      <c r="Q718">
        <v>453070</v>
      </c>
      <c r="R718">
        <v>0</v>
      </c>
      <c r="S718">
        <v>20230324</v>
      </c>
      <c r="T718">
        <v>0</v>
      </c>
      <c r="U718" t="s">
        <v>7362</v>
      </c>
      <c r="V718" t="s">
        <v>7360</v>
      </c>
      <c r="W718" t="s">
        <v>7360</v>
      </c>
      <c r="X718" t="s">
        <v>7360</v>
      </c>
      <c r="Y718" t="s">
        <v>7360</v>
      </c>
      <c r="Z718" t="s">
        <v>7360</v>
      </c>
      <c r="AA718" t="s">
        <v>7362</v>
      </c>
      <c r="AB718" t="s">
        <v>7360</v>
      </c>
      <c r="AC718" t="s">
        <v>7360</v>
      </c>
      <c r="AD718" t="s">
        <v>7360</v>
      </c>
      <c r="AE718" t="s">
        <v>7360</v>
      </c>
      <c r="AF718" t="s">
        <v>1684</v>
      </c>
      <c r="AG718">
        <v>0</v>
      </c>
      <c r="AH718">
        <v>0</v>
      </c>
      <c r="AI718">
        <v>0</v>
      </c>
      <c r="AJ718">
        <v>0</v>
      </c>
      <c r="AK718">
        <v>0</v>
      </c>
      <c r="AL718" t="s">
        <v>7360</v>
      </c>
      <c r="AM718">
        <v>0</v>
      </c>
      <c r="AN718" s="20">
        <v>45009</v>
      </c>
      <c r="AO718" s="20">
        <v>45009</v>
      </c>
      <c r="AP718" s="20">
        <v>45009</v>
      </c>
      <c r="AQ718">
        <v>0</v>
      </c>
      <c r="AR718">
        <v>0</v>
      </c>
      <c r="AS718">
        <v>0</v>
      </c>
      <c r="AT718">
        <v>0</v>
      </c>
      <c r="AU718">
        <v>0</v>
      </c>
      <c r="AV718" t="s">
        <v>7360</v>
      </c>
      <c r="AW718">
        <v>0</v>
      </c>
      <c r="AX718" t="s">
        <v>7360</v>
      </c>
      <c r="AY718" t="s">
        <v>7362</v>
      </c>
      <c r="BA718">
        <v>0</v>
      </c>
      <c r="BB718" s="20">
        <v>45009</v>
      </c>
      <c r="BC718">
        <v>0</v>
      </c>
      <c r="BD718" t="s">
        <v>7360</v>
      </c>
      <c r="BF718" s="20">
        <v>45009</v>
      </c>
      <c r="BG718">
        <v>0</v>
      </c>
      <c r="BH718" t="s">
        <v>7363</v>
      </c>
      <c r="BJ718" t="s">
        <v>7362</v>
      </c>
      <c r="BK718">
        <v>169</v>
      </c>
      <c r="BL718">
        <v>11</v>
      </c>
      <c r="BM718">
        <v>1</v>
      </c>
      <c r="BN718" t="s">
        <v>7364</v>
      </c>
      <c r="BO718">
        <v>169</v>
      </c>
      <c r="BP718">
        <v>11</v>
      </c>
      <c r="BQ718">
        <v>1</v>
      </c>
      <c r="BR718" t="s">
        <v>7364</v>
      </c>
      <c r="BS718" t="s">
        <v>7365</v>
      </c>
      <c r="BT718" t="s">
        <v>7360</v>
      </c>
      <c r="BU718" t="s">
        <v>7360</v>
      </c>
      <c r="BV718" t="s">
        <v>7360</v>
      </c>
      <c r="BX718" t="s">
        <v>7391</v>
      </c>
      <c r="BY718">
        <v>74</v>
      </c>
      <c r="BZ718" t="s">
        <v>7360</v>
      </c>
      <c r="CA718" t="s">
        <v>7360</v>
      </c>
      <c r="CB718">
        <v>3380666</v>
      </c>
      <c r="CC718" s="21">
        <v>45009.623333333337</v>
      </c>
      <c r="CE718" t="s">
        <v>7392</v>
      </c>
      <c r="CF718">
        <v>1100101</v>
      </c>
      <c r="CG718">
        <v>51669</v>
      </c>
      <c r="CH718">
        <v>702002</v>
      </c>
      <c r="CI718" s="21">
        <v>45012.623252314814</v>
      </c>
      <c r="CJ718" t="s">
        <v>7406</v>
      </c>
      <c r="CK718" t="s">
        <v>7367</v>
      </c>
      <c r="CL718" t="s">
        <v>7407</v>
      </c>
      <c r="CM718" t="s">
        <v>7368</v>
      </c>
      <c r="CS718" t="s">
        <v>7361</v>
      </c>
      <c r="CT718" t="s">
        <v>7362</v>
      </c>
      <c r="CU718" t="s">
        <v>7362</v>
      </c>
      <c r="CV718" t="s">
        <v>7362</v>
      </c>
      <c r="CW718" t="s">
        <v>7362</v>
      </c>
      <c r="CX718">
        <v>1390872</v>
      </c>
      <c r="DA718">
        <v>0</v>
      </c>
    </row>
    <row r="719" spans="1:106" x14ac:dyDescent="0.3">
      <c r="A719">
        <v>1372</v>
      </c>
      <c r="B719" t="s">
        <v>7369</v>
      </c>
      <c r="C719">
        <v>752</v>
      </c>
      <c r="D719" s="20">
        <v>45026</v>
      </c>
      <c r="E719" t="s">
        <v>7397</v>
      </c>
      <c r="F719" t="s">
        <v>4620</v>
      </c>
      <c r="G719" t="s">
        <v>7357</v>
      </c>
      <c r="H719">
        <v>1</v>
      </c>
      <c r="I719" t="s">
        <v>7358</v>
      </c>
      <c r="J719">
        <v>1</v>
      </c>
      <c r="K719" s="20">
        <v>45009</v>
      </c>
      <c r="L719" s="23">
        <v>90000</v>
      </c>
      <c r="M719" t="s">
        <v>7398</v>
      </c>
      <c r="N719" t="s">
        <v>7360</v>
      </c>
      <c r="O719">
        <v>0</v>
      </c>
      <c r="P719">
        <v>13160</v>
      </c>
      <c r="R719">
        <v>0</v>
      </c>
      <c r="S719">
        <v>20230410</v>
      </c>
      <c r="T719">
        <v>0</v>
      </c>
      <c r="U719" t="s">
        <v>7362</v>
      </c>
      <c r="V719" t="s">
        <v>7360</v>
      </c>
      <c r="W719" t="s">
        <v>7360</v>
      </c>
      <c r="X719" t="s">
        <v>7360</v>
      </c>
      <c r="Y719" t="s">
        <v>7360</v>
      </c>
      <c r="Z719" t="s">
        <v>7360</v>
      </c>
      <c r="AA719" t="s">
        <v>1684</v>
      </c>
      <c r="AB719" t="s">
        <v>7360</v>
      </c>
      <c r="AC719" t="s">
        <v>7360</v>
      </c>
      <c r="AD719" t="s">
        <v>7360</v>
      </c>
      <c r="AE719" t="s">
        <v>7360</v>
      </c>
      <c r="AF719" t="s">
        <v>1684</v>
      </c>
      <c r="AG719">
        <v>0</v>
      </c>
      <c r="AH719">
        <v>0</v>
      </c>
      <c r="AI719">
        <v>0</v>
      </c>
      <c r="AJ719">
        <v>0</v>
      </c>
      <c r="AK719">
        <v>0</v>
      </c>
      <c r="AL719" t="s">
        <v>7360</v>
      </c>
      <c r="AM719">
        <v>0</v>
      </c>
      <c r="AN719" s="20">
        <v>45009</v>
      </c>
      <c r="AO719" s="20">
        <v>45009</v>
      </c>
      <c r="AP719" s="20">
        <v>45009</v>
      </c>
      <c r="AQ719">
        <v>0</v>
      </c>
      <c r="AR719">
        <v>0</v>
      </c>
      <c r="AS719">
        <v>0</v>
      </c>
      <c r="AT719">
        <v>0</v>
      </c>
      <c r="AU719">
        <v>0</v>
      </c>
      <c r="AV719" t="s">
        <v>7360</v>
      </c>
      <c r="AW719">
        <v>0</v>
      </c>
      <c r="AX719" t="s">
        <v>7360</v>
      </c>
      <c r="AY719" t="s">
        <v>7362</v>
      </c>
      <c r="BA719">
        <v>0</v>
      </c>
      <c r="BB719" s="20">
        <v>45009</v>
      </c>
      <c r="BC719">
        <v>0</v>
      </c>
      <c r="BD719" t="s">
        <v>7360</v>
      </c>
      <c r="BF719" s="20">
        <v>45009</v>
      </c>
      <c r="BG719">
        <v>0</v>
      </c>
      <c r="BH719" t="s">
        <v>7363</v>
      </c>
      <c r="BJ719" t="s">
        <v>7362</v>
      </c>
      <c r="BK719">
        <v>169</v>
      </c>
      <c r="BL719">
        <v>11</v>
      </c>
      <c r="BM719">
        <v>1</v>
      </c>
      <c r="BN719" t="s">
        <v>7364</v>
      </c>
      <c r="BO719">
        <v>169</v>
      </c>
      <c r="BP719">
        <v>11</v>
      </c>
      <c r="BQ719">
        <v>1</v>
      </c>
      <c r="BR719" t="s">
        <v>7364</v>
      </c>
      <c r="BS719" t="s">
        <v>7439</v>
      </c>
      <c r="BT719" t="s">
        <v>7360</v>
      </c>
      <c r="BU719" t="s">
        <v>7360</v>
      </c>
      <c r="BV719" t="s">
        <v>7360</v>
      </c>
      <c r="BX719" t="s">
        <v>7391</v>
      </c>
      <c r="BY719">
        <v>74</v>
      </c>
      <c r="BZ719" t="s">
        <v>7360</v>
      </c>
      <c r="CA719" t="s">
        <v>7360</v>
      </c>
      <c r="CB719">
        <v>3380666</v>
      </c>
      <c r="CC719" s="21">
        <v>45009.63208333333</v>
      </c>
      <c r="CE719" t="s">
        <v>7392</v>
      </c>
      <c r="CF719">
        <v>1100101</v>
      </c>
      <c r="CG719">
        <v>51669</v>
      </c>
      <c r="CJ719" t="s">
        <v>7406</v>
      </c>
      <c r="CL719" t="s">
        <v>7407</v>
      </c>
      <c r="CS719" t="s">
        <v>7361</v>
      </c>
      <c r="CT719" t="s">
        <v>7362</v>
      </c>
      <c r="CU719" t="s">
        <v>7362</v>
      </c>
      <c r="CV719" t="s">
        <v>7362</v>
      </c>
      <c r="CW719" t="s">
        <v>7362</v>
      </c>
      <c r="DA719">
        <v>0</v>
      </c>
    </row>
    <row r="720" spans="1:106" x14ac:dyDescent="0.3">
      <c r="A720">
        <v>1354</v>
      </c>
      <c r="B720" t="s">
        <v>7396</v>
      </c>
      <c r="C720">
        <v>753</v>
      </c>
      <c r="D720" s="20">
        <v>45009</v>
      </c>
      <c r="E720" t="s">
        <v>7372</v>
      </c>
      <c r="F720" t="s">
        <v>4625</v>
      </c>
      <c r="G720" t="s">
        <v>7370</v>
      </c>
      <c r="H720">
        <v>1</v>
      </c>
      <c r="I720" t="s">
        <v>7358</v>
      </c>
      <c r="J720">
        <v>1</v>
      </c>
      <c r="K720" s="20">
        <v>45009</v>
      </c>
      <c r="L720" s="23">
        <v>2712000</v>
      </c>
      <c r="M720" t="s">
        <v>7359</v>
      </c>
      <c r="N720" t="s">
        <v>7360</v>
      </c>
      <c r="O720">
        <v>0</v>
      </c>
      <c r="P720">
        <v>13401</v>
      </c>
      <c r="Q720">
        <v>459025</v>
      </c>
      <c r="R720">
        <v>0</v>
      </c>
      <c r="S720">
        <v>20230324</v>
      </c>
      <c r="T720">
        <v>0</v>
      </c>
      <c r="U720" t="s">
        <v>7362</v>
      </c>
      <c r="V720" t="s">
        <v>7360</v>
      </c>
      <c r="W720" t="s">
        <v>7360</v>
      </c>
      <c r="X720" t="s">
        <v>7360</v>
      </c>
      <c r="Y720" t="s">
        <v>7360</v>
      </c>
      <c r="Z720" t="s">
        <v>7360</v>
      </c>
      <c r="AA720" t="s">
        <v>7362</v>
      </c>
      <c r="AB720" t="s">
        <v>7360</v>
      </c>
      <c r="AC720" t="s">
        <v>7360</v>
      </c>
      <c r="AD720" t="s">
        <v>7360</v>
      </c>
      <c r="AE720" t="s">
        <v>7360</v>
      </c>
      <c r="AF720" t="s">
        <v>1684</v>
      </c>
      <c r="AG720">
        <v>0</v>
      </c>
      <c r="AH720">
        <v>0</v>
      </c>
      <c r="AI720">
        <v>0</v>
      </c>
      <c r="AJ720">
        <v>0</v>
      </c>
      <c r="AK720">
        <v>0</v>
      </c>
      <c r="AL720" t="s">
        <v>7360</v>
      </c>
      <c r="AM720">
        <v>0</v>
      </c>
      <c r="AN720" s="20">
        <v>45009</v>
      </c>
      <c r="AO720" s="20">
        <v>45009</v>
      </c>
      <c r="AP720" s="20">
        <v>45009</v>
      </c>
      <c r="AQ720">
        <v>0</v>
      </c>
      <c r="AR720">
        <v>0</v>
      </c>
      <c r="AS720">
        <v>0</v>
      </c>
      <c r="AT720">
        <v>0</v>
      </c>
      <c r="AU720">
        <v>0</v>
      </c>
      <c r="AV720" t="s">
        <v>7360</v>
      </c>
      <c r="AW720">
        <v>0</v>
      </c>
      <c r="AX720" t="s">
        <v>7360</v>
      </c>
      <c r="AY720" t="s">
        <v>7362</v>
      </c>
      <c r="BA720">
        <v>0</v>
      </c>
      <c r="BB720" s="20">
        <v>45009</v>
      </c>
      <c r="BC720">
        <v>0</v>
      </c>
      <c r="BD720" t="s">
        <v>7360</v>
      </c>
      <c r="BF720" s="20">
        <v>45009</v>
      </c>
      <c r="BG720">
        <v>0</v>
      </c>
      <c r="BH720" t="s">
        <v>7363</v>
      </c>
      <c r="BJ720" t="s">
        <v>7362</v>
      </c>
      <c r="BK720">
        <v>0</v>
      </c>
      <c r="BL720">
        <v>0</v>
      </c>
      <c r="BM720">
        <v>0</v>
      </c>
      <c r="BN720">
        <v>0</v>
      </c>
      <c r="BO720">
        <v>169</v>
      </c>
      <c r="BP720">
        <v>11</v>
      </c>
      <c r="BQ720">
        <v>1</v>
      </c>
      <c r="BR720" t="s">
        <v>7364</v>
      </c>
      <c r="BS720" t="s">
        <v>7365</v>
      </c>
      <c r="BT720" t="s">
        <v>7360</v>
      </c>
      <c r="BU720" t="s">
        <v>7360</v>
      </c>
      <c r="BV720" t="s">
        <v>7360</v>
      </c>
      <c r="BX720">
        <v>0</v>
      </c>
      <c r="BY720">
        <v>0</v>
      </c>
      <c r="BZ720" t="s">
        <v>7360</v>
      </c>
      <c r="CA720" t="s">
        <v>7360</v>
      </c>
      <c r="CB720">
        <v>3380666</v>
      </c>
      <c r="CC720" s="21">
        <v>45009.647592592592</v>
      </c>
      <c r="CE720" t="s">
        <v>7366</v>
      </c>
      <c r="CF720">
        <v>0</v>
      </c>
      <c r="CG720">
        <v>702002</v>
      </c>
      <c r="CH720">
        <v>702002</v>
      </c>
      <c r="CI720" s="21">
        <v>45009.648993055554</v>
      </c>
      <c r="CJ720" t="s">
        <v>7367</v>
      </c>
      <c r="CK720" t="s">
        <v>7367</v>
      </c>
      <c r="CL720" t="s">
        <v>7368</v>
      </c>
      <c r="CM720" t="s">
        <v>7368</v>
      </c>
      <c r="CS720" t="s">
        <v>7361</v>
      </c>
      <c r="CT720" t="s">
        <v>7362</v>
      </c>
      <c r="CU720" t="s">
        <v>7362</v>
      </c>
      <c r="CV720" t="s">
        <v>7362</v>
      </c>
      <c r="CW720" t="s">
        <v>7362</v>
      </c>
      <c r="CX720">
        <v>2712000</v>
      </c>
      <c r="DA720">
        <v>0</v>
      </c>
    </row>
    <row r="721" spans="1:105" x14ac:dyDescent="0.3">
      <c r="A721">
        <v>1351</v>
      </c>
      <c r="B721" t="s">
        <v>7420</v>
      </c>
      <c r="C721">
        <v>754</v>
      </c>
      <c r="D721" s="20">
        <v>45009</v>
      </c>
      <c r="E721" t="s">
        <v>7372</v>
      </c>
      <c r="F721" t="s">
        <v>4630</v>
      </c>
      <c r="G721" t="s">
        <v>7381</v>
      </c>
      <c r="H721">
        <v>2</v>
      </c>
      <c r="I721" t="s">
        <v>7428</v>
      </c>
      <c r="J721" t="s">
        <v>7468</v>
      </c>
      <c r="K721" s="20">
        <v>45009</v>
      </c>
      <c r="L721" s="23">
        <f>1401.76*4755.12</f>
        <v>6665537.0111999996</v>
      </c>
      <c r="M721" t="s">
        <v>7359</v>
      </c>
      <c r="N721" t="s">
        <v>7360</v>
      </c>
      <c r="O721">
        <v>0</v>
      </c>
      <c r="P721">
        <v>13209</v>
      </c>
      <c r="Q721">
        <v>455011</v>
      </c>
      <c r="R721">
        <v>0</v>
      </c>
      <c r="S721">
        <v>20230324</v>
      </c>
      <c r="T721">
        <v>0</v>
      </c>
      <c r="U721" t="s">
        <v>7362</v>
      </c>
      <c r="V721" t="s">
        <v>7360</v>
      </c>
      <c r="W721" t="s">
        <v>7360</v>
      </c>
      <c r="X721" t="s">
        <v>7360</v>
      </c>
      <c r="Y721" t="s">
        <v>7360</v>
      </c>
      <c r="Z721" t="s">
        <v>7360</v>
      </c>
      <c r="AA721" t="s">
        <v>7362</v>
      </c>
      <c r="AB721" t="s">
        <v>7360</v>
      </c>
      <c r="AC721" t="s">
        <v>7360</v>
      </c>
      <c r="AD721" t="s">
        <v>7360</v>
      </c>
      <c r="AE721" t="s">
        <v>7360</v>
      </c>
      <c r="AF721" t="s">
        <v>1684</v>
      </c>
      <c r="AG721">
        <v>0</v>
      </c>
      <c r="AH721">
        <v>0</v>
      </c>
      <c r="AI721">
        <v>0</v>
      </c>
      <c r="AJ721">
        <v>0</v>
      </c>
      <c r="AK721">
        <v>0</v>
      </c>
      <c r="AL721" t="s">
        <v>7360</v>
      </c>
      <c r="AM721">
        <v>0</v>
      </c>
      <c r="AN721" s="20">
        <v>45009</v>
      </c>
      <c r="AO721" s="20">
        <v>45009</v>
      </c>
      <c r="AP721" s="20">
        <v>45009</v>
      </c>
      <c r="AQ721">
        <v>0</v>
      </c>
      <c r="AR721">
        <v>0</v>
      </c>
      <c r="AS721">
        <v>0</v>
      </c>
      <c r="AT721">
        <v>0</v>
      </c>
      <c r="AU721">
        <v>0</v>
      </c>
      <c r="AV721" t="s">
        <v>7360</v>
      </c>
      <c r="AW721">
        <v>0</v>
      </c>
      <c r="AX721" t="s">
        <v>7360</v>
      </c>
      <c r="AY721" t="s">
        <v>7362</v>
      </c>
      <c r="BA721">
        <v>0</v>
      </c>
      <c r="BB721" s="20">
        <v>45009</v>
      </c>
      <c r="BC721">
        <v>0</v>
      </c>
      <c r="BD721" t="s">
        <v>7360</v>
      </c>
      <c r="BF721" s="20">
        <v>45009</v>
      </c>
      <c r="BG721">
        <v>0</v>
      </c>
      <c r="BH721" t="s">
        <v>1729</v>
      </c>
      <c r="BJ721" t="s">
        <v>7362</v>
      </c>
      <c r="BK721">
        <v>169</v>
      </c>
      <c r="BL721">
        <v>11</v>
      </c>
      <c r="BM721">
        <v>1</v>
      </c>
      <c r="BN721" t="s">
        <v>7364</v>
      </c>
      <c r="BO721">
        <v>169</v>
      </c>
      <c r="BP721">
        <v>11</v>
      </c>
      <c r="BQ721">
        <v>1</v>
      </c>
      <c r="BR721" t="s">
        <v>7364</v>
      </c>
      <c r="BS721" t="s">
        <v>7365</v>
      </c>
      <c r="BT721" t="s">
        <v>7360</v>
      </c>
      <c r="BU721" t="s">
        <v>7360</v>
      </c>
      <c r="BV721" t="s">
        <v>7360</v>
      </c>
      <c r="BX721" t="s">
        <v>7391</v>
      </c>
      <c r="BY721">
        <v>74</v>
      </c>
      <c r="BZ721" t="s">
        <v>7360</v>
      </c>
      <c r="CA721" t="s">
        <v>7360</v>
      </c>
      <c r="CB721">
        <v>3380666</v>
      </c>
      <c r="CC721" s="21">
        <v>45009.648414351854</v>
      </c>
      <c r="CE721" t="s">
        <v>7392</v>
      </c>
      <c r="CF721">
        <v>1100101</v>
      </c>
      <c r="CG721">
        <v>51669</v>
      </c>
      <c r="CH721">
        <v>51669</v>
      </c>
      <c r="CI721" s="21">
        <v>45009.652974537035</v>
      </c>
      <c r="CJ721" t="s">
        <v>7406</v>
      </c>
      <c r="CK721" t="s">
        <v>7406</v>
      </c>
      <c r="CL721" t="s">
        <v>7407</v>
      </c>
      <c r="CM721" t="s">
        <v>7407</v>
      </c>
      <c r="CS721" t="s">
        <v>7361</v>
      </c>
      <c r="CT721" t="s">
        <v>7362</v>
      </c>
      <c r="CU721" t="s">
        <v>7362</v>
      </c>
      <c r="CV721" t="s">
        <v>7362</v>
      </c>
      <c r="CW721" t="s">
        <v>7362</v>
      </c>
      <c r="CX721" t="s">
        <v>7469</v>
      </c>
      <c r="DA721">
        <v>0</v>
      </c>
    </row>
    <row r="722" spans="1:105" x14ac:dyDescent="0.3">
      <c r="A722">
        <v>1354</v>
      </c>
      <c r="B722" t="s">
        <v>7396</v>
      </c>
      <c r="C722">
        <v>755</v>
      </c>
      <c r="D722" s="20">
        <v>45009</v>
      </c>
      <c r="E722" t="s">
        <v>7356</v>
      </c>
      <c r="F722" t="s">
        <v>4636</v>
      </c>
      <c r="G722" t="s">
        <v>7370</v>
      </c>
      <c r="H722">
        <v>1</v>
      </c>
      <c r="I722" t="s">
        <v>7358</v>
      </c>
      <c r="J722">
        <v>1</v>
      </c>
      <c r="K722" s="20">
        <v>45009</v>
      </c>
      <c r="L722" s="23">
        <v>700000</v>
      </c>
      <c r="M722" t="s">
        <v>7359</v>
      </c>
      <c r="N722" t="s">
        <v>7360</v>
      </c>
      <c r="O722">
        <v>0</v>
      </c>
      <c r="P722">
        <v>13379</v>
      </c>
      <c r="Q722">
        <v>459011</v>
      </c>
      <c r="R722">
        <v>0</v>
      </c>
      <c r="S722">
        <v>20230324</v>
      </c>
      <c r="T722">
        <v>0</v>
      </c>
      <c r="U722" t="s">
        <v>7361</v>
      </c>
      <c r="V722" t="s">
        <v>7360</v>
      </c>
      <c r="W722" t="s">
        <v>7360</v>
      </c>
      <c r="X722" t="s">
        <v>7360</v>
      </c>
      <c r="Y722" t="s">
        <v>7360</v>
      </c>
      <c r="Z722" t="s">
        <v>7360</v>
      </c>
      <c r="AA722" t="s">
        <v>7362</v>
      </c>
      <c r="AB722" t="s">
        <v>7360</v>
      </c>
      <c r="AC722" t="s">
        <v>7360</v>
      </c>
      <c r="AD722" t="s">
        <v>7360</v>
      </c>
      <c r="AE722" t="s">
        <v>7360</v>
      </c>
      <c r="AF722" t="s">
        <v>1684</v>
      </c>
      <c r="AG722">
        <v>0</v>
      </c>
      <c r="AH722">
        <v>0</v>
      </c>
      <c r="AI722">
        <v>0</v>
      </c>
      <c r="AJ722">
        <v>0</v>
      </c>
      <c r="AK722">
        <v>0</v>
      </c>
      <c r="AL722" t="s">
        <v>7360</v>
      </c>
      <c r="AM722">
        <v>0</v>
      </c>
      <c r="AN722" s="20">
        <v>45009</v>
      </c>
      <c r="AO722" s="20">
        <v>45009</v>
      </c>
      <c r="AP722" s="20">
        <v>45009</v>
      </c>
      <c r="AQ722">
        <v>0</v>
      </c>
      <c r="AR722">
        <v>0</v>
      </c>
      <c r="AS722">
        <v>0</v>
      </c>
      <c r="AT722">
        <v>0</v>
      </c>
      <c r="AU722">
        <v>0</v>
      </c>
      <c r="AV722" t="s">
        <v>7360</v>
      </c>
      <c r="AW722">
        <v>0</v>
      </c>
      <c r="AX722" t="s">
        <v>7360</v>
      </c>
      <c r="AY722" t="s">
        <v>7363</v>
      </c>
      <c r="BA722">
        <v>0</v>
      </c>
      <c r="BB722" s="20">
        <v>45009</v>
      </c>
      <c r="BC722">
        <v>0</v>
      </c>
      <c r="BD722" t="s">
        <v>7360</v>
      </c>
      <c r="BF722" s="20">
        <v>45009</v>
      </c>
      <c r="BG722">
        <v>0</v>
      </c>
      <c r="BH722" t="s">
        <v>7363</v>
      </c>
      <c r="BJ722" t="s">
        <v>7362</v>
      </c>
      <c r="BK722">
        <v>0</v>
      </c>
      <c r="BL722">
        <v>0</v>
      </c>
      <c r="BM722">
        <v>0</v>
      </c>
      <c r="BN722">
        <v>0</v>
      </c>
      <c r="BO722">
        <v>169</v>
      </c>
      <c r="BP722">
        <v>11</v>
      </c>
      <c r="BQ722">
        <v>1</v>
      </c>
      <c r="BR722" t="s">
        <v>7364</v>
      </c>
      <c r="BS722" t="s">
        <v>7365</v>
      </c>
      <c r="BT722" t="s">
        <v>7360</v>
      </c>
      <c r="BU722" t="s">
        <v>7360</v>
      </c>
      <c r="BV722" t="s">
        <v>7360</v>
      </c>
      <c r="BX722">
        <v>0</v>
      </c>
      <c r="BY722">
        <v>0</v>
      </c>
      <c r="BZ722" t="s">
        <v>7360</v>
      </c>
      <c r="CA722" t="s">
        <v>7360</v>
      </c>
      <c r="CB722">
        <v>3380666</v>
      </c>
      <c r="CC722" s="21">
        <v>45009.656805555554</v>
      </c>
      <c r="CE722" t="s">
        <v>7366</v>
      </c>
      <c r="CF722">
        <v>0</v>
      </c>
      <c r="CG722">
        <v>702002</v>
      </c>
      <c r="CH722">
        <v>702002</v>
      </c>
      <c r="CI722" s="21">
        <v>45009.658402777779</v>
      </c>
      <c r="CJ722" t="s">
        <v>7367</v>
      </c>
      <c r="CK722" t="s">
        <v>7367</v>
      </c>
      <c r="CL722" t="s">
        <v>7368</v>
      </c>
      <c r="CM722" t="s">
        <v>7368</v>
      </c>
      <c r="CS722" t="s">
        <v>7361</v>
      </c>
      <c r="CT722" t="s">
        <v>7362</v>
      </c>
      <c r="CU722" t="s">
        <v>7362</v>
      </c>
      <c r="CV722" t="s">
        <v>7362</v>
      </c>
      <c r="CW722" t="s">
        <v>7362</v>
      </c>
      <c r="CX722">
        <v>700000</v>
      </c>
      <c r="DA722">
        <v>0</v>
      </c>
    </row>
    <row r="723" spans="1:105" x14ac:dyDescent="0.3">
      <c r="A723">
        <v>1351</v>
      </c>
      <c r="B723" t="s">
        <v>7420</v>
      </c>
      <c r="C723">
        <v>756</v>
      </c>
      <c r="D723" s="20">
        <v>45009</v>
      </c>
      <c r="E723" t="s">
        <v>7372</v>
      </c>
      <c r="F723" t="s">
        <v>4641</v>
      </c>
      <c r="G723" t="s">
        <v>7357</v>
      </c>
      <c r="H723">
        <v>2</v>
      </c>
      <c r="I723" t="s">
        <v>7428</v>
      </c>
      <c r="J723" t="s">
        <v>7468</v>
      </c>
      <c r="K723" s="20">
        <v>45009</v>
      </c>
      <c r="L723" s="23">
        <f>116.13*4755.12</f>
        <v>552212.08559999999</v>
      </c>
      <c r="M723" t="s">
        <v>7359</v>
      </c>
      <c r="N723" t="s">
        <v>7360</v>
      </c>
      <c r="O723">
        <v>0</v>
      </c>
      <c r="P723">
        <v>13210</v>
      </c>
      <c r="Q723">
        <v>455010</v>
      </c>
      <c r="R723">
        <v>0</v>
      </c>
      <c r="S723">
        <v>20230324</v>
      </c>
      <c r="T723">
        <v>0</v>
      </c>
      <c r="U723" t="s">
        <v>7362</v>
      </c>
      <c r="V723" t="s">
        <v>7360</v>
      </c>
      <c r="W723" t="s">
        <v>7360</v>
      </c>
      <c r="X723" t="s">
        <v>7360</v>
      </c>
      <c r="Y723" t="s">
        <v>7360</v>
      </c>
      <c r="Z723" t="s">
        <v>7360</v>
      </c>
      <c r="AA723" t="s">
        <v>7362</v>
      </c>
      <c r="AB723" t="s">
        <v>7360</v>
      </c>
      <c r="AC723" t="s">
        <v>7360</v>
      </c>
      <c r="AD723" t="s">
        <v>7360</v>
      </c>
      <c r="AE723" t="s">
        <v>7360</v>
      </c>
      <c r="AF723" t="s">
        <v>1684</v>
      </c>
      <c r="AG723">
        <v>0</v>
      </c>
      <c r="AH723">
        <v>0</v>
      </c>
      <c r="AI723">
        <v>0</v>
      </c>
      <c r="AJ723">
        <v>0</v>
      </c>
      <c r="AK723">
        <v>0</v>
      </c>
      <c r="AL723" t="s">
        <v>7360</v>
      </c>
      <c r="AM723">
        <v>0</v>
      </c>
      <c r="AN723" s="20">
        <v>45009</v>
      </c>
      <c r="AO723" s="20">
        <v>45009</v>
      </c>
      <c r="AP723" s="20">
        <v>45009</v>
      </c>
      <c r="AQ723">
        <v>0</v>
      </c>
      <c r="AR723">
        <v>0</v>
      </c>
      <c r="AS723">
        <v>0</v>
      </c>
      <c r="AT723">
        <v>0</v>
      </c>
      <c r="AU723">
        <v>0</v>
      </c>
      <c r="AV723" t="s">
        <v>7360</v>
      </c>
      <c r="AW723">
        <v>0</v>
      </c>
      <c r="AX723" t="s">
        <v>7360</v>
      </c>
      <c r="AY723" t="s">
        <v>7362</v>
      </c>
      <c r="BA723">
        <v>0</v>
      </c>
      <c r="BB723" s="20">
        <v>45009</v>
      </c>
      <c r="BC723">
        <v>0</v>
      </c>
      <c r="BD723" t="s">
        <v>7360</v>
      </c>
      <c r="BF723" s="20">
        <v>45009</v>
      </c>
      <c r="BG723">
        <v>0</v>
      </c>
      <c r="BH723" t="s">
        <v>1729</v>
      </c>
      <c r="BJ723" t="s">
        <v>7362</v>
      </c>
      <c r="BK723">
        <v>169</v>
      </c>
      <c r="BL723">
        <v>11</v>
      </c>
      <c r="BM723">
        <v>1</v>
      </c>
      <c r="BN723" t="s">
        <v>7364</v>
      </c>
      <c r="BO723">
        <v>169</v>
      </c>
      <c r="BP723">
        <v>11</v>
      </c>
      <c r="BQ723">
        <v>1</v>
      </c>
      <c r="BR723" t="s">
        <v>7364</v>
      </c>
      <c r="BS723" t="s">
        <v>7365</v>
      </c>
      <c r="BT723" t="s">
        <v>7360</v>
      </c>
      <c r="BU723" t="s">
        <v>7360</v>
      </c>
      <c r="BV723" t="s">
        <v>7360</v>
      </c>
      <c r="BX723" t="s">
        <v>7391</v>
      </c>
      <c r="BY723">
        <v>74</v>
      </c>
      <c r="BZ723" t="s">
        <v>7360</v>
      </c>
      <c r="CA723" t="s">
        <v>7360</v>
      </c>
      <c r="CB723">
        <v>3380666</v>
      </c>
      <c r="CC723" s="21">
        <v>45009.657777777778</v>
      </c>
      <c r="CE723" t="s">
        <v>7392</v>
      </c>
      <c r="CF723">
        <v>1100101</v>
      </c>
      <c r="CG723">
        <v>51669</v>
      </c>
      <c r="CH723">
        <v>51669</v>
      </c>
      <c r="CI723" s="21">
        <v>45009.659629629627</v>
      </c>
      <c r="CJ723" t="s">
        <v>7406</v>
      </c>
      <c r="CK723" t="s">
        <v>7406</v>
      </c>
      <c r="CL723" t="s">
        <v>7407</v>
      </c>
      <c r="CM723" t="s">
        <v>7407</v>
      </c>
      <c r="CS723" t="s">
        <v>7361</v>
      </c>
      <c r="CT723" t="s">
        <v>7362</v>
      </c>
      <c r="CU723" t="s">
        <v>7362</v>
      </c>
      <c r="CV723" t="s">
        <v>7362</v>
      </c>
      <c r="CW723" t="s">
        <v>7362</v>
      </c>
      <c r="CX723" t="s">
        <v>7470</v>
      </c>
      <c r="DA723">
        <v>0</v>
      </c>
    </row>
    <row r="724" spans="1:105" x14ac:dyDescent="0.3">
      <c r="A724">
        <v>1364</v>
      </c>
      <c r="B724" t="s">
        <v>7355</v>
      </c>
      <c r="C724">
        <v>757</v>
      </c>
      <c r="D724" s="20">
        <v>45009</v>
      </c>
      <c r="E724" t="s">
        <v>7372</v>
      </c>
      <c r="F724" t="s">
        <v>4646</v>
      </c>
      <c r="G724" t="s">
        <v>7357</v>
      </c>
      <c r="H724">
        <v>1</v>
      </c>
      <c r="I724" t="s">
        <v>7358</v>
      </c>
      <c r="J724">
        <v>1</v>
      </c>
      <c r="K724" s="20">
        <v>45009</v>
      </c>
      <c r="L724" s="23">
        <v>927233</v>
      </c>
      <c r="M724" t="s">
        <v>7359</v>
      </c>
      <c r="N724" t="s">
        <v>7360</v>
      </c>
      <c r="O724">
        <v>0</v>
      </c>
      <c r="P724">
        <v>13214</v>
      </c>
      <c r="Q724">
        <v>455015</v>
      </c>
      <c r="R724">
        <v>0</v>
      </c>
      <c r="S724">
        <v>20230324</v>
      </c>
      <c r="T724">
        <v>0</v>
      </c>
      <c r="U724" t="s">
        <v>7362</v>
      </c>
      <c r="V724" t="s">
        <v>7360</v>
      </c>
      <c r="W724" t="s">
        <v>7360</v>
      </c>
      <c r="X724" t="s">
        <v>7360</v>
      </c>
      <c r="Y724" t="s">
        <v>7360</v>
      </c>
      <c r="Z724" t="s">
        <v>7360</v>
      </c>
      <c r="AA724" t="s">
        <v>7362</v>
      </c>
      <c r="AB724" t="s">
        <v>7360</v>
      </c>
      <c r="AC724" t="s">
        <v>7360</v>
      </c>
      <c r="AD724" t="s">
        <v>7360</v>
      </c>
      <c r="AE724" t="s">
        <v>7360</v>
      </c>
      <c r="AF724" t="s">
        <v>1684</v>
      </c>
      <c r="AG724">
        <v>0</v>
      </c>
      <c r="AH724">
        <v>0</v>
      </c>
      <c r="AI724">
        <v>0</v>
      </c>
      <c r="AJ724">
        <v>0</v>
      </c>
      <c r="AK724">
        <v>0</v>
      </c>
      <c r="AL724" t="s">
        <v>7360</v>
      </c>
      <c r="AM724">
        <v>0</v>
      </c>
      <c r="AN724" s="20">
        <v>45009</v>
      </c>
      <c r="AO724" s="20">
        <v>45009</v>
      </c>
      <c r="AP724" s="20">
        <v>45009</v>
      </c>
      <c r="AQ724">
        <v>0</v>
      </c>
      <c r="AR724">
        <v>0</v>
      </c>
      <c r="AS724">
        <v>0</v>
      </c>
      <c r="AT724">
        <v>0</v>
      </c>
      <c r="AU724">
        <v>0</v>
      </c>
      <c r="AV724" t="s">
        <v>7360</v>
      </c>
      <c r="AW724">
        <v>0</v>
      </c>
      <c r="AX724" t="s">
        <v>7360</v>
      </c>
      <c r="AY724" t="s">
        <v>7362</v>
      </c>
      <c r="BA724">
        <v>0</v>
      </c>
      <c r="BB724" s="20">
        <v>45009</v>
      </c>
      <c r="BC724">
        <v>0</v>
      </c>
      <c r="BD724" t="s">
        <v>7360</v>
      </c>
      <c r="BF724" s="20">
        <v>45009</v>
      </c>
      <c r="BG724">
        <v>0</v>
      </c>
      <c r="BH724" t="s">
        <v>7363</v>
      </c>
      <c r="BJ724" t="s">
        <v>7362</v>
      </c>
      <c r="BK724">
        <v>169</v>
      </c>
      <c r="BL724">
        <v>11</v>
      </c>
      <c r="BM724">
        <v>1</v>
      </c>
      <c r="BN724" t="s">
        <v>7364</v>
      </c>
      <c r="BO724">
        <v>169</v>
      </c>
      <c r="BP724">
        <v>11</v>
      </c>
      <c r="BQ724">
        <v>1</v>
      </c>
      <c r="BR724" t="s">
        <v>7364</v>
      </c>
      <c r="BS724" t="s">
        <v>7365</v>
      </c>
      <c r="BT724" t="s">
        <v>7360</v>
      </c>
      <c r="BU724" t="s">
        <v>7360</v>
      </c>
      <c r="BV724" t="s">
        <v>7360</v>
      </c>
      <c r="BX724" t="s">
        <v>7391</v>
      </c>
      <c r="BY724">
        <v>74</v>
      </c>
      <c r="BZ724" t="s">
        <v>7360</v>
      </c>
      <c r="CA724" t="s">
        <v>7360</v>
      </c>
      <c r="CB724">
        <v>3380666</v>
      </c>
      <c r="CC724" s="21">
        <v>45009.663495370369</v>
      </c>
      <c r="CE724" t="s">
        <v>7392</v>
      </c>
      <c r="CF724">
        <v>1100101</v>
      </c>
      <c r="CG724">
        <v>51669</v>
      </c>
      <c r="CH724">
        <v>51669</v>
      </c>
      <c r="CI724" s="21">
        <v>45015.579236111109</v>
      </c>
      <c r="CJ724" t="s">
        <v>7406</v>
      </c>
      <c r="CK724" t="s">
        <v>7406</v>
      </c>
      <c r="CL724" t="s">
        <v>7407</v>
      </c>
      <c r="CM724" t="s">
        <v>7407</v>
      </c>
      <c r="CS724" t="s">
        <v>7361</v>
      </c>
      <c r="CT724" t="s">
        <v>7362</v>
      </c>
      <c r="CU724" t="s">
        <v>7362</v>
      </c>
      <c r="CV724" t="s">
        <v>7362</v>
      </c>
      <c r="CW724" t="s">
        <v>7362</v>
      </c>
      <c r="CX724">
        <v>927233</v>
      </c>
      <c r="DA724">
        <v>0</v>
      </c>
    </row>
    <row r="725" spans="1:105" x14ac:dyDescent="0.3">
      <c r="A725">
        <v>1364</v>
      </c>
      <c r="B725" t="s">
        <v>7355</v>
      </c>
      <c r="C725">
        <v>758</v>
      </c>
      <c r="D725" s="20">
        <v>45009</v>
      </c>
      <c r="E725" t="s">
        <v>7372</v>
      </c>
      <c r="F725" t="s">
        <v>4652</v>
      </c>
      <c r="G725" t="s">
        <v>7357</v>
      </c>
      <c r="H725">
        <v>1</v>
      </c>
      <c r="I725" t="s">
        <v>7358</v>
      </c>
      <c r="J725">
        <v>1</v>
      </c>
      <c r="K725" s="20">
        <v>45009</v>
      </c>
      <c r="L725" s="23">
        <v>963900</v>
      </c>
      <c r="M725" t="s">
        <v>7359</v>
      </c>
      <c r="N725" t="s">
        <v>7360</v>
      </c>
      <c r="O725">
        <v>0</v>
      </c>
      <c r="P725">
        <v>13215</v>
      </c>
      <c r="Q725">
        <v>455016</v>
      </c>
      <c r="R725">
        <v>0</v>
      </c>
      <c r="S725">
        <v>20230324</v>
      </c>
      <c r="T725">
        <v>0</v>
      </c>
      <c r="U725" t="s">
        <v>7362</v>
      </c>
      <c r="V725" t="s">
        <v>7360</v>
      </c>
      <c r="W725" t="s">
        <v>7360</v>
      </c>
      <c r="X725" t="s">
        <v>7360</v>
      </c>
      <c r="Y725" t="s">
        <v>7360</v>
      </c>
      <c r="Z725" t="s">
        <v>7360</v>
      </c>
      <c r="AA725" t="s">
        <v>7362</v>
      </c>
      <c r="AB725" t="s">
        <v>7360</v>
      </c>
      <c r="AC725" t="s">
        <v>7360</v>
      </c>
      <c r="AD725" t="s">
        <v>7360</v>
      </c>
      <c r="AE725" t="s">
        <v>7360</v>
      </c>
      <c r="AF725" t="s">
        <v>1684</v>
      </c>
      <c r="AG725">
        <v>0</v>
      </c>
      <c r="AH725">
        <v>0</v>
      </c>
      <c r="AI725">
        <v>0</v>
      </c>
      <c r="AJ725">
        <v>0</v>
      </c>
      <c r="AK725">
        <v>0</v>
      </c>
      <c r="AL725" t="s">
        <v>7360</v>
      </c>
      <c r="AM725">
        <v>0</v>
      </c>
      <c r="AN725" s="20">
        <v>45009</v>
      </c>
      <c r="AO725" s="20">
        <v>45009</v>
      </c>
      <c r="AP725" s="20">
        <v>45009</v>
      </c>
      <c r="AQ725">
        <v>0</v>
      </c>
      <c r="AR725">
        <v>0</v>
      </c>
      <c r="AS725">
        <v>0</v>
      </c>
      <c r="AT725">
        <v>0</v>
      </c>
      <c r="AU725">
        <v>0</v>
      </c>
      <c r="AV725" t="s">
        <v>7360</v>
      </c>
      <c r="AW725">
        <v>0</v>
      </c>
      <c r="AX725" t="s">
        <v>7360</v>
      </c>
      <c r="AY725" t="s">
        <v>7362</v>
      </c>
      <c r="BA725">
        <v>0</v>
      </c>
      <c r="BB725" s="20">
        <v>45009</v>
      </c>
      <c r="BC725">
        <v>0</v>
      </c>
      <c r="BD725" t="s">
        <v>7360</v>
      </c>
      <c r="BF725" s="20">
        <v>45009</v>
      </c>
      <c r="BG725">
        <v>0</v>
      </c>
      <c r="BH725" t="s">
        <v>7363</v>
      </c>
      <c r="BJ725" t="s">
        <v>7362</v>
      </c>
      <c r="BK725">
        <v>169</v>
      </c>
      <c r="BL725">
        <v>11</v>
      </c>
      <c r="BM725">
        <v>1</v>
      </c>
      <c r="BN725" t="s">
        <v>7364</v>
      </c>
      <c r="BO725">
        <v>169</v>
      </c>
      <c r="BP725">
        <v>11</v>
      </c>
      <c r="BQ725">
        <v>1</v>
      </c>
      <c r="BR725" t="s">
        <v>7364</v>
      </c>
      <c r="BS725" t="s">
        <v>7365</v>
      </c>
      <c r="BT725" t="s">
        <v>7360</v>
      </c>
      <c r="BU725" t="s">
        <v>7360</v>
      </c>
      <c r="BV725" t="s">
        <v>7360</v>
      </c>
      <c r="BX725" t="s">
        <v>7391</v>
      </c>
      <c r="BY725">
        <v>74</v>
      </c>
      <c r="BZ725" t="s">
        <v>7360</v>
      </c>
      <c r="CA725" t="s">
        <v>7360</v>
      </c>
      <c r="CB725">
        <v>3380666</v>
      </c>
      <c r="CC725" s="21">
        <v>45009.668854166666</v>
      </c>
      <c r="CE725" t="s">
        <v>7392</v>
      </c>
      <c r="CF725">
        <v>1100101</v>
      </c>
      <c r="CG725">
        <v>51669</v>
      </c>
      <c r="CH725">
        <v>51669</v>
      </c>
      <c r="CI725" s="21">
        <v>45015.579560185186</v>
      </c>
      <c r="CJ725" t="s">
        <v>7406</v>
      </c>
      <c r="CK725" t="s">
        <v>7406</v>
      </c>
      <c r="CL725" t="s">
        <v>7407</v>
      </c>
      <c r="CM725" t="s">
        <v>7407</v>
      </c>
      <c r="CS725" t="s">
        <v>7361</v>
      </c>
      <c r="CT725" t="s">
        <v>7362</v>
      </c>
      <c r="CU725" t="s">
        <v>7362</v>
      </c>
      <c r="CV725" t="s">
        <v>7362</v>
      </c>
      <c r="CW725" t="s">
        <v>7362</v>
      </c>
      <c r="CX725">
        <v>963900</v>
      </c>
      <c r="DA725">
        <v>0</v>
      </c>
    </row>
    <row r="726" spans="1:105" x14ac:dyDescent="0.3">
      <c r="A726">
        <v>1354</v>
      </c>
      <c r="B726" t="s">
        <v>7396</v>
      </c>
      <c r="C726">
        <v>759</v>
      </c>
      <c r="D726" s="20">
        <v>45009</v>
      </c>
      <c r="E726" t="s">
        <v>7372</v>
      </c>
      <c r="F726" t="s">
        <v>4657</v>
      </c>
      <c r="G726" t="s">
        <v>7370</v>
      </c>
      <c r="H726">
        <v>1</v>
      </c>
      <c r="I726" t="s">
        <v>7358</v>
      </c>
      <c r="J726">
        <v>1</v>
      </c>
      <c r="K726" s="20">
        <v>45009</v>
      </c>
      <c r="L726" s="23">
        <v>2520000</v>
      </c>
      <c r="M726" t="s">
        <v>7359</v>
      </c>
      <c r="N726" t="s">
        <v>7360</v>
      </c>
      <c r="O726">
        <v>0</v>
      </c>
      <c r="P726">
        <v>13407</v>
      </c>
      <c r="Q726">
        <v>460002</v>
      </c>
      <c r="R726">
        <v>0</v>
      </c>
      <c r="S726">
        <v>20230324</v>
      </c>
      <c r="T726">
        <v>0</v>
      </c>
      <c r="U726" t="s">
        <v>7362</v>
      </c>
      <c r="V726" t="s">
        <v>7360</v>
      </c>
      <c r="W726" t="s">
        <v>7360</v>
      </c>
      <c r="X726" t="s">
        <v>7360</v>
      </c>
      <c r="Y726" t="s">
        <v>7360</v>
      </c>
      <c r="Z726" t="s">
        <v>7360</v>
      </c>
      <c r="AA726" t="s">
        <v>7362</v>
      </c>
      <c r="AB726" t="s">
        <v>7360</v>
      </c>
      <c r="AC726" t="s">
        <v>7360</v>
      </c>
      <c r="AD726" t="s">
        <v>7360</v>
      </c>
      <c r="AE726" t="s">
        <v>7360</v>
      </c>
      <c r="AF726" t="s">
        <v>1684</v>
      </c>
      <c r="AG726">
        <v>0</v>
      </c>
      <c r="AH726">
        <v>0</v>
      </c>
      <c r="AI726">
        <v>0</v>
      </c>
      <c r="AJ726">
        <v>0</v>
      </c>
      <c r="AK726">
        <v>0</v>
      </c>
      <c r="AL726" t="s">
        <v>7360</v>
      </c>
      <c r="AM726">
        <v>0</v>
      </c>
      <c r="AN726" s="20">
        <v>45009</v>
      </c>
      <c r="AO726" s="20">
        <v>45009</v>
      </c>
      <c r="AP726" s="20">
        <v>45009</v>
      </c>
      <c r="AQ726">
        <v>0</v>
      </c>
      <c r="AR726">
        <v>0</v>
      </c>
      <c r="AS726">
        <v>0</v>
      </c>
      <c r="AT726">
        <v>0</v>
      </c>
      <c r="AU726">
        <v>0</v>
      </c>
      <c r="AV726" t="s">
        <v>7360</v>
      </c>
      <c r="AW726">
        <v>0</v>
      </c>
      <c r="AX726" t="s">
        <v>7360</v>
      </c>
      <c r="AY726" t="s">
        <v>7362</v>
      </c>
      <c r="BA726">
        <v>0</v>
      </c>
      <c r="BB726" s="20">
        <v>45009</v>
      </c>
      <c r="BC726">
        <v>0</v>
      </c>
      <c r="BD726" t="s">
        <v>7360</v>
      </c>
      <c r="BF726" s="20">
        <v>45009</v>
      </c>
      <c r="BG726">
        <v>0</v>
      </c>
      <c r="BH726" t="s">
        <v>7363</v>
      </c>
      <c r="BJ726" t="s">
        <v>7362</v>
      </c>
      <c r="BK726">
        <v>0</v>
      </c>
      <c r="BL726">
        <v>0</v>
      </c>
      <c r="BM726">
        <v>0</v>
      </c>
      <c r="BN726">
        <v>0</v>
      </c>
      <c r="BO726">
        <v>169</v>
      </c>
      <c r="BP726">
        <v>11</v>
      </c>
      <c r="BQ726">
        <v>1</v>
      </c>
      <c r="BR726" t="s">
        <v>7364</v>
      </c>
      <c r="BS726" t="s">
        <v>7365</v>
      </c>
      <c r="BT726" t="s">
        <v>7360</v>
      </c>
      <c r="BU726" t="s">
        <v>7360</v>
      </c>
      <c r="BV726" t="s">
        <v>7360</v>
      </c>
      <c r="BX726">
        <v>0</v>
      </c>
      <c r="BY726">
        <v>0</v>
      </c>
      <c r="BZ726" t="s">
        <v>7360</v>
      </c>
      <c r="CA726" t="s">
        <v>7360</v>
      </c>
      <c r="CB726">
        <v>3380666</v>
      </c>
      <c r="CC726" s="21">
        <v>45009.66920138889</v>
      </c>
      <c r="CE726" t="s">
        <v>7366</v>
      </c>
      <c r="CF726">
        <v>0</v>
      </c>
      <c r="CG726">
        <v>702002</v>
      </c>
      <c r="CH726">
        <v>702002</v>
      </c>
      <c r="CI726" s="21">
        <v>45009.671388888892</v>
      </c>
      <c r="CJ726" t="s">
        <v>7367</v>
      </c>
      <c r="CK726" t="s">
        <v>7367</v>
      </c>
      <c r="CL726" t="s">
        <v>7368</v>
      </c>
      <c r="CM726" t="s">
        <v>7368</v>
      </c>
      <c r="CS726" t="s">
        <v>7361</v>
      </c>
      <c r="CT726" t="s">
        <v>7362</v>
      </c>
      <c r="CU726" t="s">
        <v>7362</v>
      </c>
      <c r="CV726" t="s">
        <v>7362</v>
      </c>
      <c r="CW726" t="s">
        <v>7362</v>
      </c>
      <c r="CX726">
        <v>2520000</v>
      </c>
      <c r="DA726">
        <v>0</v>
      </c>
    </row>
    <row r="727" spans="1:105" x14ac:dyDescent="0.3">
      <c r="A727">
        <v>1354</v>
      </c>
      <c r="B727" t="s">
        <v>7396</v>
      </c>
      <c r="C727">
        <v>760</v>
      </c>
      <c r="D727" s="20">
        <v>45009</v>
      </c>
      <c r="E727" t="s">
        <v>7372</v>
      </c>
      <c r="F727" t="s">
        <v>4662</v>
      </c>
      <c r="G727" t="s">
        <v>7370</v>
      </c>
      <c r="H727">
        <v>1</v>
      </c>
      <c r="I727" t="s">
        <v>7358</v>
      </c>
      <c r="J727">
        <v>1</v>
      </c>
      <c r="K727" s="20">
        <v>45009</v>
      </c>
      <c r="L727" s="23">
        <v>2712000</v>
      </c>
      <c r="M727" t="s">
        <v>7359</v>
      </c>
      <c r="N727" t="s">
        <v>7360</v>
      </c>
      <c r="O727">
        <v>0</v>
      </c>
      <c r="P727">
        <v>13306</v>
      </c>
      <c r="Q727">
        <v>456006</v>
      </c>
      <c r="R727">
        <v>0</v>
      </c>
      <c r="S727">
        <v>20230324</v>
      </c>
      <c r="T727">
        <v>0</v>
      </c>
      <c r="U727" t="s">
        <v>7362</v>
      </c>
      <c r="V727" t="s">
        <v>7360</v>
      </c>
      <c r="W727" t="s">
        <v>7360</v>
      </c>
      <c r="X727" t="s">
        <v>7360</v>
      </c>
      <c r="Y727" t="s">
        <v>7360</v>
      </c>
      <c r="Z727" t="s">
        <v>7360</v>
      </c>
      <c r="AA727" t="s">
        <v>7362</v>
      </c>
      <c r="AB727" t="s">
        <v>7360</v>
      </c>
      <c r="AC727" t="s">
        <v>7360</v>
      </c>
      <c r="AD727" t="s">
        <v>7360</v>
      </c>
      <c r="AE727" t="s">
        <v>7360</v>
      </c>
      <c r="AF727" t="s">
        <v>1684</v>
      </c>
      <c r="AG727">
        <v>0</v>
      </c>
      <c r="AH727">
        <v>0</v>
      </c>
      <c r="AI727">
        <v>0</v>
      </c>
      <c r="AJ727">
        <v>0</v>
      </c>
      <c r="AK727">
        <v>0</v>
      </c>
      <c r="AL727" t="s">
        <v>7360</v>
      </c>
      <c r="AM727">
        <v>0</v>
      </c>
      <c r="AN727" s="20">
        <v>45009</v>
      </c>
      <c r="AO727" s="20">
        <v>45009</v>
      </c>
      <c r="AP727" s="20">
        <v>45009</v>
      </c>
      <c r="AQ727">
        <v>0</v>
      </c>
      <c r="AR727">
        <v>0</v>
      </c>
      <c r="AS727">
        <v>0</v>
      </c>
      <c r="AT727">
        <v>0</v>
      </c>
      <c r="AU727">
        <v>0</v>
      </c>
      <c r="AV727" t="s">
        <v>7360</v>
      </c>
      <c r="AW727">
        <v>0</v>
      </c>
      <c r="AX727" t="s">
        <v>7360</v>
      </c>
      <c r="AY727" t="s">
        <v>7362</v>
      </c>
      <c r="BA727">
        <v>0</v>
      </c>
      <c r="BB727" s="20">
        <v>45009</v>
      </c>
      <c r="BC727">
        <v>0</v>
      </c>
      <c r="BD727" t="s">
        <v>7360</v>
      </c>
      <c r="BF727" s="20">
        <v>45009</v>
      </c>
      <c r="BG727">
        <v>0</v>
      </c>
      <c r="BH727" t="s">
        <v>7363</v>
      </c>
      <c r="BJ727" t="s">
        <v>7362</v>
      </c>
      <c r="BK727">
        <v>169</v>
      </c>
      <c r="BL727">
        <v>11</v>
      </c>
      <c r="BM727">
        <v>1</v>
      </c>
      <c r="BN727" t="s">
        <v>7364</v>
      </c>
      <c r="BO727">
        <v>169</v>
      </c>
      <c r="BP727">
        <v>11</v>
      </c>
      <c r="BQ727">
        <v>1</v>
      </c>
      <c r="BR727" t="s">
        <v>7364</v>
      </c>
      <c r="BS727" t="s">
        <v>7365</v>
      </c>
      <c r="BT727" t="s">
        <v>7360</v>
      </c>
      <c r="BU727" t="s">
        <v>7360</v>
      </c>
      <c r="BV727" t="s">
        <v>7360</v>
      </c>
      <c r="BX727" t="s">
        <v>7391</v>
      </c>
      <c r="BY727">
        <v>74</v>
      </c>
      <c r="BZ727" t="s">
        <v>7360</v>
      </c>
      <c r="CA727" t="s">
        <v>7360</v>
      </c>
      <c r="CB727">
        <v>3380666</v>
      </c>
      <c r="CC727" s="21">
        <v>45009.673668981479</v>
      </c>
      <c r="CE727" t="s">
        <v>7392</v>
      </c>
      <c r="CF727">
        <v>1100101</v>
      </c>
      <c r="CG727">
        <v>51669</v>
      </c>
      <c r="CH727">
        <v>51669</v>
      </c>
      <c r="CI727" s="21">
        <v>45009.676527777781</v>
      </c>
      <c r="CJ727" t="s">
        <v>7406</v>
      </c>
      <c r="CK727" t="s">
        <v>7406</v>
      </c>
      <c r="CL727" t="s">
        <v>7407</v>
      </c>
      <c r="CM727" t="s">
        <v>7407</v>
      </c>
      <c r="CS727" t="s">
        <v>7361</v>
      </c>
      <c r="CT727" t="s">
        <v>7362</v>
      </c>
      <c r="CU727" t="s">
        <v>7362</v>
      </c>
      <c r="CV727" t="s">
        <v>7362</v>
      </c>
      <c r="CW727" t="s">
        <v>7362</v>
      </c>
      <c r="CX727">
        <v>2712000</v>
      </c>
      <c r="DA727">
        <v>0</v>
      </c>
    </row>
    <row r="728" spans="1:105" x14ac:dyDescent="0.3">
      <c r="A728">
        <v>1354</v>
      </c>
      <c r="B728" t="s">
        <v>7396</v>
      </c>
      <c r="C728">
        <v>761</v>
      </c>
      <c r="D728" s="20">
        <v>45009</v>
      </c>
      <c r="E728" t="s">
        <v>7372</v>
      </c>
      <c r="F728" t="s">
        <v>4668</v>
      </c>
      <c r="G728" t="s">
        <v>7370</v>
      </c>
      <c r="H728">
        <v>1</v>
      </c>
      <c r="I728" t="s">
        <v>7358</v>
      </c>
      <c r="J728">
        <v>1</v>
      </c>
      <c r="K728" s="20">
        <v>45009</v>
      </c>
      <c r="L728" s="23">
        <v>2940000</v>
      </c>
      <c r="M728" t="s">
        <v>7359</v>
      </c>
      <c r="N728" t="s">
        <v>7360</v>
      </c>
      <c r="O728">
        <v>0</v>
      </c>
      <c r="P728">
        <v>13408</v>
      </c>
      <c r="Q728">
        <v>460003</v>
      </c>
      <c r="R728">
        <v>0</v>
      </c>
      <c r="S728">
        <v>20230324</v>
      </c>
      <c r="T728">
        <v>0</v>
      </c>
      <c r="U728" t="s">
        <v>7362</v>
      </c>
      <c r="V728" t="s">
        <v>7360</v>
      </c>
      <c r="W728" t="s">
        <v>7360</v>
      </c>
      <c r="X728" t="s">
        <v>7360</v>
      </c>
      <c r="Y728" t="s">
        <v>7360</v>
      </c>
      <c r="Z728" t="s">
        <v>7360</v>
      </c>
      <c r="AA728" t="s">
        <v>7362</v>
      </c>
      <c r="AB728" t="s">
        <v>7360</v>
      </c>
      <c r="AC728" t="s">
        <v>7360</v>
      </c>
      <c r="AD728" t="s">
        <v>7360</v>
      </c>
      <c r="AE728" t="s">
        <v>7360</v>
      </c>
      <c r="AF728" t="s">
        <v>1684</v>
      </c>
      <c r="AG728">
        <v>0</v>
      </c>
      <c r="AH728">
        <v>0</v>
      </c>
      <c r="AI728">
        <v>0</v>
      </c>
      <c r="AJ728">
        <v>0</v>
      </c>
      <c r="AK728">
        <v>0</v>
      </c>
      <c r="AL728" t="s">
        <v>7360</v>
      </c>
      <c r="AM728">
        <v>0</v>
      </c>
      <c r="AN728" s="20">
        <v>45009</v>
      </c>
      <c r="AO728" s="20">
        <v>45009</v>
      </c>
      <c r="AP728" s="20">
        <v>45009</v>
      </c>
      <c r="AQ728">
        <v>0</v>
      </c>
      <c r="AR728">
        <v>0</v>
      </c>
      <c r="AS728">
        <v>0</v>
      </c>
      <c r="AT728">
        <v>0</v>
      </c>
      <c r="AU728">
        <v>0</v>
      </c>
      <c r="AV728" t="s">
        <v>7360</v>
      </c>
      <c r="AW728">
        <v>0</v>
      </c>
      <c r="AX728" t="s">
        <v>7360</v>
      </c>
      <c r="AY728" t="s">
        <v>7362</v>
      </c>
      <c r="BA728">
        <v>0</v>
      </c>
      <c r="BB728" s="20">
        <v>45009</v>
      </c>
      <c r="BC728">
        <v>0</v>
      </c>
      <c r="BD728" t="s">
        <v>7360</v>
      </c>
      <c r="BF728" s="20">
        <v>45009</v>
      </c>
      <c r="BG728">
        <v>0</v>
      </c>
      <c r="BH728" t="s">
        <v>7363</v>
      </c>
      <c r="BJ728" t="s">
        <v>7362</v>
      </c>
      <c r="BK728">
        <v>0</v>
      </c>
      <c r="BL728">
        <v>0</v>
      </c>
      <c r="BM728">
        <v>0</v>
      </c>
      <c r="BN728">
        <v>0</v>
      </c>
      <c r="BO728">
        <v>169</v>
      </c>
      <c r="BP728">
        <v>11</v>
      </c>
      <c r="BQ728">
        <v>1</v>
      </c>
      <c r="BR728" t="s">
        <v>7364</v>
      </c>
      <c r="BS728" t="s">
        <v>7365</v>
      </c>
      <c r="BT728" t="s">
        <v>7360</v>
      </c>
      <c r="BU728" t="s">
        <v>7360</v>
      </c>
      <c r="BV728" t="s">
        <v>7360</v>
      </c>
      <c r="BX728">
        <v>0</v>
      </c>
      <c r="BY728">
        <v>0</v>
      </c>
      <c r="BZ728" t="s">
        <v>7360</v>
      </c>
      <c r="CA728" t="s">
        <v>7360</v>
      </c>
      <c r="CB728">
        <v>3380666</v>
      </c>
      <c r="CC728" s="21">
        <v>45009.677129629628</v>
      </c>
      <c r="CE728" t="s">
        <v>7366</v>
      </c>
      <c r="CF728">
        <v>0</v>
      </c>
      <c r="CG728">
        <v>702002</v>
      </c>
      <c r="CH728">
        <v>702002</v>
      </c>
      <c r="CI728" s="21">
        <v>45009.679803240739</v>
      </c>
      <c r="CJ728" t="s">
        <v>7367</v>
      </c>
      <c r="CK728" t="s">
        <v>7367</v>
      </c>
      <c r="CL728" t="s">
        <v>7368</v>
      </c>
      <c r="CM728" t="s">
        <v>7368</v>
      </c>
      <c r="CS728" t="s">
        <v>7361</v>
      </c>
      <c r="CT728" t="s">
        <v>7362</v>
      </c>
      <c r="CU728" t="s">
        <v>7362</v>
      </c>
      <c r="CV728" t="s">
        <v>7362</v>
      </c>
      <c r="CW728" t="s">
        <v>7362</v>
      </c>
      <c r="CX728">
        <v>2940000</v>
      </c>
      <c r="DA728">
        <v>0</v>
      </c>
    </row>
    <row r="729" spans="1:105" x14ac:dyDescent="0.3">
      <c r="A729">
        <v>1354</v>
      </c>
      <c r="B729" t="s">
        <v>7396</v>
      </c>
      <c r="C729">
        <v>762</v>
      </c>
      <c r="D729" s="20">
        <v>45009</v>
      </c>
      <c r="E729" t="s">
        <v>7372</v>
      </c>
      <c r="F729" t="s">
        <v>4673</v>
      </c>
      <c r="G729" t="s">
        <v>7370</v>
      </c>
      <c r="H729">
        <v>1</v>
      </c>
      <c r="I729" t="s">
        <v>7358</v>
      </c>
      <c r="J729">
        <v>1</v>
      </c>
      <c r="K729" s="20">
        <v>45009</v>
      </c>
      <c r="L729" s="23">
        <v>4068000</v>
      </c>
      <c r="M729" t="s">
        <v>7359</v>
      </c>
      <c r="N729" t="s">
        <v>7360</v>
      </c>
      <c r="O729">
        <v>0</v>
      </c>
      <c r="P729">
        <v>13308</v>
      </c>
      <c r="Q729">
        <v>456008</v>
      </c>
      <c r="R729">
        <v>0</v>
      </c>
      <c r="S729">
        <v>20230324</v>
      </c>
      <c r="T729">
        <v>0</v>
      </c>
      <c r="U729" t="s">
        <v>7362</v>
      </c>
      <c r="V729" t="s">
        <v>7360</v>
      </c>
      <c r="W729" t="s">
        <v>7360</v>
      </c>
      <c r="X729" t="s">
        <v>7360</v>
      </c>
      <c r="Y729" t="s">
        <v>7360</v>
      </c>
      <c r="Z729" t="s">
        <v>7360</v>
      </c>
      <c r="AA729" t="s">
        <v>7362</v>
      </c>
      <c r="AB729" t="s">
        <v>7360</v>
      </c>
      <c r="AC729" t="s">
        <v>7360</v>
      </c>
      <c r="AD729" t="s">
        <v>7360</v>
      </c>
      <c r="AE729" t="s">
        <v>7360</v>
      </c>
      <c r="AF729" t="s">
        <v>1684</v>
      </c>
      <c r="AG729">
        <v>0</v>
      </c>
      <c r="AH729">
        <v>0</v>
      </c>
      <c r="AI729">
        <v>0</v>
      </c>
      <c r="AJ729">
        <v>0</v>
      </c>
      <c r="AK729">
        <v>0</v>
      </c>
      <c r="AL729" t="s">
        <v>7360</v>
      </c>
      <c r="AM729">
        <v>0</v>
      </c>
      <c r="AN729" s="20">
        <v>45009</v>
      </c>
      <c r="AO729" s="20">
        <v>45009</v>
      </c>
      <c r="AP729" s="20">
        <v>45009</v>
      </c>
      <c r="AQ729">
        <v>0</v>
      </c>
      <c r="AR729">
        <v>0</v>
      </c>
      <c r="AS729">
        <v>0</v>
      </c>
      <c r="AT729">
        <v>0</v>
      </c>
      <c r="AU729">
        <v>0</v>
      </c>
      <c r="AV729" t="s">
        <v>7360</v>
      </c>
      <c r="AW729">
        <v>0</v>
      </c>
      <c r="AX729" t="s">
        <v>7360</v>
      </c>
      <c r="AY729" t="s">
        <v>7362</v>
      </c>
      <c r="BA729">
        <v>0</v>
      </c>
      <c r="BB729" s="20">
        <v>45009</v>
      </c>
      <c r="BC729">
        <v>0</v>
      </c>
      <c r="BD729" t="s">
        <v>7360</v>
      </c>
      <c r="BF729" s="20">
        <v>45009</v>
      </c>
      <c r="BG729">
        <v>0</v>
      </c>
      <c r="BH729" t="s">
        <v>7363</v>
      </c>
      <c r="BJ729" t="s">
        <v>7362</v>
      </c>
      <c r="BK729">
        <v>169</v>
      </c>
      <c r="BL729">
        <v>11</v>
      </c>
      <c r="BM729">
        <v>1</v>
      </c>
      <c r="BN729" t="s">
        <v>7364</v>
      </c>
      <c r="BO729">
        <v>169</v>
      </c>
      <c r="BP729">
        <v>11</v>
      </c>
      <c r="BQ729">
        <v>1</v>
      </c>
      <c r="BR729" t="s">
        <v>7364</v>
      </c>
      <c r="BS729" t="s">
        <v>7365</v>
      </c>
      <c r="BT729" t="s">
        <v>7360</v>
      </c>
      <c r="BU729" t="s">
        <v>7360</v>
      </c>
      <c r="BV729" t="s">
        <v>7360</v>
      </c>
      <c r="BX729" t="s">
        <v>7391</v>
      </c>
      <c r="BY729">
        <v>74</v>
      </c>
      <c r="BZ729" t="s">
        <v>7360</v>
      </c>
      <c r="CA729" t="s">
        <v>7360</v>
      </c>
      <c r="CB729">
        <v>3380666</v>
      </c>
      <c r="CC729" s="21">
        <v>45009.687789351854</v>
      </c>
      <c r="CE729" t="s">
        <v>7392</v>
      </c>
      <c r="CF729">
        <v>1100101</v>
      </c>
      <c r="CG729">
        <v>51669</v>
      </c>
      <c r="CH729">
        <v>51669</v>
      </c>
      <c r="CI729" s="21">
        <v>45009.688657407409</v>
      </c>
      <c r="CJ729" t="s">
        <v>7406</v>
      </c>
      <c r="CK729" t="s">
        <v>7406</v>
      </c>
      <c r="CL729" t="s">
        <v>7407</v>
      </c>
      <c r="CM729" t="s">
        <v>7407</v>
      </c>
      <c r="CS729" t="s">
        <v>7361</v>
      </c>
      <c r="CT729" t="s">
        <v>7362</v>
      </c>
      <c r="CU729" t="s">
        <v>7362</v>
      </c>
      <c r="CV729" t="s">
        <v>7362</v>
      </c>
      <c r="CW729" t="s">
        <v>7362</v>
      </c>
      <c r="CX729">
        <v>4068000</v>
      </c>
      <c r="DA729">
        <v>0</v>
      </c>
    </row>
    <row r="730" spans="1:105" x14ac:dyDescent="0.3">
      <c r="A730">
        <v>1354</v>
      </c>
      <c r="B730" t="s">
        <v>7396</v>
      </c>
      <c r="C730">
        <v>763</v>
      </c>
      <c r="D730" s="20">
        <v>45009</v>
      </c>
      <c r="E730" t="s">
        <v>7372</v>
      </c>
      <c r="F730" t="s">
        <v>4678</v>
      </c>
      <c r="G730" t="s">
        <v>7370</v>
      </c>
      <c r="H730">
        <v>1</v>
      </c>
      <c r="I730" t="s">
        <v>7358</v>
      </c>
      <c r="J730">
        <v>1</v>
      </c>
      <c r="K730" s="20">
        <v>45009</v>
      </c>
      <c r="L730" s="23">
        <v>2712000</v>
      </c>
      <c r="M730" t="s">
        <v>7359</v>
      </c>
      <c r="N730" t="s">
        <v>7360</v>
      </c>
      <c r="O730">
        <v>0</v>
      </c>
      <c r="P730">
        <v>13311</v>
      </c>
      <c r="Q730">
        <v>456011</v>
      </c>
      <c r="R730">
        <v>0</v>
      </c>
      <c r="S730">
        <v>20230324</v>
      </c>
      <c r="T730">
        <v>0</v>
      </c>
      <c r="U730" t="s">
        <v>7362</v>
      </c>
      <c r="V730" t="s">
        <v>7360</v>
      </c>
      <c r="W730" t="s">
        <v>7360</v>
      </c>
      <c r="X730" t="s">
        <v>7360</v>
      </c>
      <c r="Y730" t="s">
        <v>7360</v>
      </c>
      <c r="Z730" t="s">
        <v>7360</v>
      </c>
      <c r="AA730" t="s">
        <v>7362</v>
      </c>
      <c r="AB730" t="s">
        <v>7360</v>
      </c>
      <c r="AC730" t="s">
        <v>7360</v>
      </c>
      <c r="AD730" t="s">
        <v>7360</v>
      </c>
      <c r="AE730" t="s">
        <v>7360</v>
      </c>
      <c r="AF730" t="s">
        <v>1684</v>
      </c>
      <c r="AG730">
        <v>0</v>
      </c>
      <c r="AH730">
        <v>0</v>
      </c>
      <c r="AI730">
        <v>0</v>
      </c>
      <c r="AJ730">
        <v>0</v>
      </c>
      <c r="AK730">
        <v>0</v>
      </c>
      <c r="AL730" t="s">
        <v>7360</v>
      </c>
      <c r="AM730">
        <v>0</v>
      </c>
      <c r="AN730" s="20">
        <v>45009</v>
      </c>
      <c r="AO730" s="20">
        <v>45009</v>
      </c>
      <c r="AP730" s="20">
        <v>45009</v>
      </c>
      <c r="AQ730">
        <v>0</v>
      </c>
      <c r="AR730">
        <v>0</v>
      </c>
      <c r="AS730">
        <v>0</v>
      </c>
      <c r="AT730">
        <v>0</v>
      </c>
      <c r="AU730">
        <v>0</v>
      </c>
      <c r="AV730" t="s">
        <v>7360</v>
      </c>
      <c r="AW730">
        <v>0</v>
      </c>
      <c r="AX730" t="s">
        <v>7360</v>
      </c>
      <c r="AY730" t="s">
        <v>7362</v>
      </c>
      <c r="BA730">
        <v>0</v>
      </c>
      <c r="BB730" s="20">
        <v>45009</v>
      </c>
      <c r="BC730">
        <v>0</v>
      </c>
      <c r="BD730" t="s">
        <v>7360</v>
      </c>
      <c r="BF730" s="20">
        <v>45009</v>
      </c>
      <c r="BG730">
        <v>0</v>
      </c>
      <c r="BH730" t="s">
        <v>7363</v>
      </c>
      <c r="BJ730" t="s">
        <v>7362</v>
      </c>
      <c r="BK730">
        <v>169</v>
      </c>
      <c r="BL730">
        <v>11</v>
      </c>
      <c r="BM730">
        <v>1</v>
      </c>
      <c r="BN730" t="s">
        <v>7364</v>
      </c>
      <c r="BO730">
        <v>169</v>
      </c>
      <c r="BP730">
        <v>11</v>
      </c>
      <c r="BQ730">
        <v>1</v>
      </c>
      <c r="BR730" t="s">
        <v>7364</v>
      </c>
      <c r="BS730" t="s">
        <v>7365</v>
      </c>
      <c r="BT730" t="s">
        <v>7360</v>
      </c>
      <c r="BU730" t="s">
        <v>7360</v>
      </c>
      <c r="BV730" t="s">
        <v>7360</v>
      </c>
      <c r="BX730" t="s">
        <v>7391</v>
      </c>
      <c r="BY730">
        <v>74</v>
      </c>
      <c r="BZ730" t="s">
        <v>7360</v>
      </c>
      <c r="CA730" t="s">
        <v>7360</v>
      </c>
      <c r="CB730">
        <v>3380666</v>
      </c>
      <c r="CC730" s="21">
        <v>45009.696157407408</v>
      </c>
      <c r="CE730" t="s">
        <v>7392</v>
      </c>
      <c r="CF730">
        <v>1100101</v>
      </c>
      <c r="CG730">
        <v>51669</v>
      </c>
      <c r="CH730">
        <v>51669</v>
      </c>
      <c r="CI730" s="21">
        <v>45009.697071759256</v>
      </c>
      <c r="CJ730" t="s">
        <v>7406</v>
      </c>
      <c r="CK730" t="s">
        <v>7406</v>
      </c>
      <c r="CL730" t="s">
        <v>7407</v>
      </c>
      <c r="CM730" t="s">
        <v>7407</v>
      </c>
      <c r="CS730" t="s">
        <v>7361</v>
      </c>
      <c r="CT730" t="s">
        <v>7362</v>
      </c>
      <c r="CU730" t="s">
        <v>7362</v>
      </c>
      <c r="CV730" t="s">
        <v>7362</v>
      </c>
      <c r="CW730" t="s">
        <v>7362</v>
      </c>
      <c r="CX730">
        <v>2712000</v>
      </c>
      <c r="DA730">
        <v>0</v>
      </c>
    </row>
    <row r="731" spans="1:105" x14ac:dyDescent="0.3">
      <c r="A731">
        <v>1354</v>
      </c>
      <c r="B731" t="s">
        <v>7396</v>
      </c>
      <c r="C731">
        <v>764</v>
      </c>
      <c r="D731" s="20">
        <v>45009</v>
      </c>
      <c r="E731" t="s">
        <v>7372</v>
      </c>
      <c r="F731" t="s">
        <v>4684</v>
      </c>
      <c r="G731" t="s">
        <v>7370</v>
      </c>
      <c r="H731">
        <v>1</v>
      </c>
      <c r="I731" t="s">
        <v>7358</v>
      </c>
      <c r="J731">
        <v>1</v>
      </c>
      <c r="K731" s="20">
        <v>45009</v>
      </c>
      <c r="L731" s="23">
        <v>4068000</v>
      </c>
      <c r="M731" t="s">
        <v>7359</v>
      </c>
      <c r="N731" t="s">
        <v>7360</v>
      </c>
      <c r="O731">
        <v>0</v>
      </c>
      <c r="P731">
        <v>13312</v>
      </c>
      <c r="Q731">
        <v>456012</v>
      </c>
      <c r="R731">
        <v>0</v>
      </c>
      <c r="S731">
        <v>20230324</v>
      </c>
      <c r="T731">
        <v>0</v>
      </c>
      <c r="U731" t="s">
        <v>7362</v>
      </c>
      <c r="V731" t="s">
        <v>7360</v>
      </c>
      <c r="W731" t="s">
        <v>7360</v>
      </c>
      <c r="X731" t="s">
        <v>7360</v>
      </c>
      <c r="Y731" t="s">
        <v>7360</v>
      </c>
      <c r="Z731" t="s">
        <v>7360</v>
      </c>
      <c r="AA731" t="s">
        <v>7362</v>
      </c>
      <c r="AB731" t="s">
        <v>7360</v>
      </c>
      <c r="AC731" t="s">
        <v>7360</v>
      </c>
      <c r="AD731" t="s">
        <v>7360</v>
      </c>
      <c r="AE731" t="s">
        <v>7360</v>
      </c>
      <c r="AF731" t="s">
        <v>1684</v>
      </c>
      <c r="AG731">
        <v>0</v>
      </c>
      <c r="AH731">
        <v>0</v>
      </c>
      <c r="AI731">
        <v>0</v>
      </c>
      <c r="AJ731">
        <v>0</v>
      </c>
      <c r="AK731">
        <v>0</v>
      </c>
      <c r="AL731" t="s">
        <v>7360</v>
      </c>
      <c r="AM731">
        <v>0</v>
      </c>
      <c r="AN731" s="20">
        <v>45009</v>
      </c>
      <c r="AO731" s="20">
        <v>45009</v>
      </c>
      <c r="AP731" s="20">
        <v>45009</v>
      </c>
      <c r="AQ731">
        <v>0</v>
      </c>
      <c r="AR731">
        <v>0</v>
      </c>
      <c r="AS731">
        <v>0</v>
      </c>
      <c r="AT731">
        <v>0</v>
      </c>
      <c r="AU731">
        <v>0</v>
      </c>
      <c r="AV731" t="s">
        <v>7360</v>
      </c>
      <c r="AW731">
        <v>0</v>
      </c>
      <c r="AX731" t="s">
        <v>7360</v>
      </c>
      <c r="AY731" t="s">
        <v>7362</v>
      </c>
      <c r="BA731">
        <v>0</v>
      </c>
      <c r="BB731" s="20">
        <v>45009</v>
      </c>
      <c r="BC731">
        <v>0</v>
      </c>
      <c r="BD731" t="s">
        <v>7360</v>
      </c>
      <c r="BF731" s="20">
        <v>45009</v>
      </c>
      <c r="BG731">
        <v>0</v>
      </c>
      <c r="BH731" t="s">
        <v>7363</v>
      </c>
      <c r="BJ731" t="s">
        <v>7362</v>
      </c>
      <c r="BK731">
        <v>169</v>
      </c>
      <c r="BL731">
        <v>11</v>
      </c>
      <c r="BM731">
        <v>1</v>
      </c>
      <c r="BN731" t="s">
        <v>7364</v>
      </c>
      <c r="BO731">
        <v>169</v>
      </c>
      <c r="BP731">
        <v>11</v>
      </c>
      <c r="BQ731">
        <v>1</v>
      </c>
      <c r="BR731" t="s">
        <v>7364</v>
      </c>
      <c r="BS731" t="s">
        <v>7365</v>
      </c>
      <c r="BT731" t="s">
        <v>7360</v>
      </c>
      <c r="BU731" t="s">
        <v>7360</v>
      </c>
      <c r="BV731" t="s">
        <v>7360</v>
      </c>
      <c r="BX731" t="s">
        <v>7391</v>
      </c>
      <c r="BY731">
        <v>74</v>
      </c>
      <c r="BZ731" t="s">
        <v>7360</v>
      </c>
      <c r="CA731" t="s">
        <v>7360</v>
      </c>
      <c r="CB731">
        <v>3380666</v>
      </c>
      <c r="CC731" s="21">
        <v>45009.700775462959</v>
      </c>
      <c r="CE731" t="s">
        <v>7392</v>
      </c>
      <c r="CF731">
        <v>1100101</v>
      </c>
      <c r="CG731">
        <v>51669</v>
      </c>
      <c r="CH731">
        <v>51669</v>
      </c>
      <c r="CI731" s="21">
        <v>45009.701851851853</v>
      </c>
      <c r="CJ731" t="s">
        <v>7406</v>
      </c>
      <c r="CK731" t="s">
        <v>7406</v>
      </c>
      <c r="CL731" t="s">
        <v>7407</v>
      </c>
      <c r="CM731" t="s">
        <v>7407</v>
      </c>
      <c r="CS731" t="s">
        <v>7361</v>
      </c>
      <c r="CT731" t="s">
        <v>7362</v>
      </c>
      <c r="CU731" t="s">
        <v>7362</v>
      </c>
      <c r="CV731" t="s">
        <v>7362</v>
      </c>
      <c r="CW731" t="s">
        <v>7362</v>
      </c>
      <c r="CX731">
        <v>4068000</v>
      </c>
      <c r="DA731">
        <v>0</v>
      </c>
    </row>
    <row r="732" spans="1:105" x14ac:dyDescent="0.3">
      <c r="A732">
        <v>1362</v>
      </c>
      <c r="B732" t="s">
        <v>7371</v>
      </c>
      <c r="C732">
        <v>765</v>
      </c>
      <c r="D732" s="20">
        <v>45009</v>
      </c>
      <c r="E732" t="s">
        <v>7372</v>
      </c>
      <c r="F732" t="s">
        <v>4689</v>
      </c>
      <c r="G732" t="s">
        <v>7357</v>
      </c>
      <c r="H732">
        <v>1</v>
      </c>
      <c r="I732" t="s">
        <v>7358</v>
      </c>
      <c r="J732">
        <v>1</v>
      </c>
      <c r="K732" s="20">
        <v>45009</v>
      </c>
      <c r="L732" s="23">
        <v>670565</v>
      </c>
      <c r="M732" t="s">
        <v>7359</v>
      </c>
      <c r="N732" t="s">
        <v>7360</v>
      </c>
      <c r="O732">
        <v>0</v>
      </c>
      <c r="P732">
        <v>13280</v>
      </c>
      <c r="Q732">
        <v>455049</v>
      </c>
      <c r="R732">
        <v>0</v>
      </c>
      <c r="S732">
        <v>20230324</v>
      </c>
      <c r="T732">
        <v>0</v>
      </c>
      <c r="U732" t="s">
        <v>7362</v>
      </c>
      <c r="V732" t="s">
        <v>7360</v>
      </c>
      <c r="W732" t="s">
        <v>7360</v>
      </c>
      <c r="X732" t="s">
        <v>7360</v>
      </c>
      <c r="Y732" t="s">
        <v>7360</v>
      </c>
      <c r="Z732" t="s">
        <v>7360</v>
      </c>
      <c r="AA732" t="s">
        <v>7362</v>
      </c>
      <c r="AB732" t="s">
        <v>7360</v>
      </c>
      <c r="AC732" t="s">
        <v>7360</v>
      </c>
      <c r="AD732" t="s">
        <v>7360</v>
      </c>
      <c r="AE732" t="s">
        <v>7360</v>
      </c>
      <c r="AF732" t="s">
        <v>1684</v>
      </c>
      <c r="AG732">
        <v>0</v>
      </c>
      <c r="AH732">
        <v>0</v>
      </c>
      <c r="AI732">
        <v>0</v>
      </c>
      <c r="AJ732">
        <v>0</v>
      </c>
      <c r="AK732">
        <v>0</v>
      </c>
      <c r="AL732" t="s">
        <v>7360</v>
      </c>
      <c r="AM732">
        <v>0</v>
      </c>
      <c r="AN732" s="20">
        <v>45009</v>
      </c>
      <c r="AO732" s="20">
        <v>45009</v>
      </c>
      <c r="AP732" s="20">
        <v>45009</v>
      </c>
      <c r="AQ732">
        <v>0</v>
      </c>
      <c r="AR732">
        <v>0</v>
      </c>
      <c r="AS732">
        <v>0</v>
      </c>
      <c r="AT732">
        <v>0</v>
      </c>
      <c r="AU732">
        <v>0</v>
      </c>
      <c r="AV732" t="s">
        <v>7360</v>
      </c>
      <c r="AW732">
        <v>0</v>
      </c>
      <c r="AX732" t="s">
        <v>7360</v>
      </c>
      <c r="AY732" t="s">
        <v>7362</v>
      </c>
      <c r="BA732">
        <v>0</v>
      </c>
      <c r="BB732" s="20">
        <v>45009</v>
      </c>
      <c r="BC732">
        <v>0</v>
      </c>
      <c r="BD732" t="s">
        <v>7360</v>
      </c>
      <c r="BF732" s="20">
        <v>45009</v>
      </c>
      <c r="BG732">
        <v>0</v>
      </c>
      <c r="BH732" t="s">
        <v>7363</v>
      </c>
      <c r="BJ732" t="s">
        <v>7362</v>
      </c>
      <c r="BK732">
        <v>0</v>
      </c>
      <c r="BL732">
        <v>0</v>
      </c>
      <c r="BM732">
        <v>0</v>
      </c>
      <c r="BN732">
        <v>0</v>
      </c>
      <c r="BO732">
        <v>169</v>
      </c>
      <c r="BP732">
        <v>11</v>
      </c>
      <c r="BQ732">
        <v>1</v>
      </c>
      <c r="BR732" t="s">
        <v>7364</v>
      </c>
      <c r="BS732" t="s">
        <v>7374</v>
      </c>
      <c r="BT732" t="s">
        <v>7360</v>
      </c>
      <c r="BU732" t="s">
        <v>7360</v>
      </c>
      <c r="BV732" t="s">
        <v>7360</v>
      </c>
      <c r="BX732">
        <v>0</v>
      </c>
      <c r="BY732">
        <v>0</v>
      </c>
      <c r="BZ732" t="s">
        <v>7360</v>
      </c>
      <c r="CA732" t="s">
        <v>7360</v>
      </c>
      <c r="CB732">
        <v>3380666</v>
      </c>
      <c r="CC732" s="21">
        <v>45009.69908564815</v>
      </c>
      <c r="CE732" t="s">
        <v>7366</v>
      </c>
      <c r="CF732">
        <v>0</v>
      </c>
      <c r="CG732">
        <v>702002</v>
      </c>
      <c r="CH732">
        <v>702002</v>
      </c>
      <c r="CI732" s="21">
        <v>45009.703263888892</v>
      </c>
      <c r="CJ732" t="s">
        <v>7367</v>
      </c>
      <c r="CK732" t="s">
        <v>7367</v>
      </c>
      <c r="CL732" t="s">
        <v>7368</v>
      </c>
      <c r="CM732" t="s">
        <v>7368</v>
      </c>
      <c r="CS732" t="s">
        <v>7361</v>
      </c>
      <c r="CT732" t="s">
        <v>7362</v>
      </c>
      <c r="CU732" t="s">
        <v>7362</v>
      </c>
      <c r="CV732" t="s">
        <v>7362</v>
      </c>
      <c r="CW732" t="s">
        <v>7362</v>
      </c>
      <c r="CX732">
        <v>670565</v>
      </c>
      <c r="DA732">
        <v>0</v>
      </c>
    </row>
    <row r="733" spans="1:105" x14ac:dyDescent="0.3">
      <c r="A733">
        <v>1372</v>
      </c>
      <c r="B733" t="s">
        <v>7369</v>
      </c>
      <c r="C733">
        <v>766</v>
      </c>
      <c r="D733" s="20">
        <v>45009</v>
      </c>
      <c r="E733" t="s">
        <v>7372</v>
      </c>
      <c r="F733" t="s">
        <v>4694</v>
      </c>
      <c r="G733" t="s">
        <v>7357</v>
      </c>
      <c r="H733">
        <v>1</v>
      </c>
      <c r="I733" t="s">
        <v>7358</v>
      </c>
      <c r="J733">
        <v>1</v>
      </c>
      <c r="K733" s="20">
        <v>45009</v>
      </c>
      <c r="L733" s="23">
        <v>646955</v>
      </c>
      <c r="M733" t="s">
        <v>7359</v>
      </c>
      <c r="N733" t="s">
        <v>7360</v>
      </c>
      <c r="O733">
        <v>0</v>
      </c>
      <c r="P733">
        <v>13383</v>
      </c>
      <c r="Q733">
        <v>459014</v>
      </c>
      <c r="R733">
        <v>0</v>
      </c>
      <c r="S733">
        <v>20230324</v>
      </c>
      <c r="T733">
        <v>0</v>
      </c>
      <c r="U733" t="s">
        <v>7362</v>
      </c>
      <c r="V733" t="s">
        <v>7360</v>
      </c>
      <c r="W733" t="s">
        <v>7360</v>
      </c>
      <c r="X733" t="s">
        <v>7360</v>
      </c>
      <c r="Y733" t="s">
        <v>7360</v>
      </c>
      <c r="Z733" t="s">
        <v>7360</v>
      </c>
      <c r="AA733" t="s">
        <v>7362</v>
      </c>
      <c r="AB733" t="s">
        <v>7360</v>
      </c>
      <c r="AC733" t="s">
        <v>7360</v>
      </c>
      <c r="AD733" t="s">
        <v>7360</v>
      </c>
      <c r="AE733" t="s">
        <v>7360</v>
      </c>
      <c r="AF733" t="s">
        <v>1684</v>
      </c>
      <c r="AG733">
        <v>0</v>
      </c>
      <c r="AH733">
        <v>0</v>
      </c>
      <c r="AI733">
        <v>0</v>
      </c>
      <c r="AJ733">
        <v>0</v>
      </c>
      <c r="AK733">
        <v>0</v>
      </c>
      <c r="AL733" t="s">
        <v>7360</v>
      </c>
      <c r="AM733">
        <v>0</v>
      </c>
      <c r="AN733" s="20">
        <v>45009</v>
      </c>
      <c r="AO733" s="20">
        <v>45009</v>
      </c>
      <c r="AP733" s="20">
        <v>45009</v>
      </c>
      <c r="AQ733">
        <v>0</v>
      </c>
      <c r="AR733">
        <v>0</v>
      </c>
      <c r="AS733">
        <v>0</v>
      </c>
      <c r="AT733">
        <v>0</v>
      </c>
      <c r="AU733">
        <v>0</v>
      </c>
      <c r="AV733" t="s">
        <v>7360</v>
      </c>
      <c r="AW733">
        <v>0</v>
      </c>
      <c r="AX733" t="s">
        <v>7360</v>
      </c>
      <c r="AY733" t="s">
        <v>7362</v>
      </c>
      <c r="BA733">
        <v>0</v>
      </c>
      <c r="BB733" s="20">
        <v>45009</v>
      </c>
      <c r="BC733">
        <v>0</v>
      </c>
      <c r="BD733" t="s">
        <v>7360</v>
      </c>
      <c r="BF733" s="20">
        <v>45009</v>
      </c>
      <c r="BG733">
        <v>0</v>
      </c>
      <c r="BH733" t="s">
        <v>7363</v>
      </c>
      <c r="BJ733" t="s">
        <v>7362</v>
      </c>
      <c r="BK733">
        <v>0</v>
      </c>
      <c r="BL733">
        <v>0</v>
      </c>
      <c r="BM733">
        <v>0</v>
      </c>
      <c r="BN733">
        <v>0</v>
      </c>
      <c r="BO733">
        <v>169</v>
      </c>
      <c r="BP733">
        <v>11</v>
      </c>
      <c r="BQ733">
        <v>1</v>
      </c>
      <c r="BR733" t="s">
        <v>7364</v>
      </c>
      <c r="BS733" t="s">
        <v>61</v>
      </c>
      <c r="BT733" t="s">
        <v>7360</v>
      </c>
      <c r="BU733" t="s">
        <v>7360</v>
      </c>
      <c r="BV733" t="s">
        <v>7360</v>
      </c>
      <c r="BX733">
        <v>0</v>
      </c>
      <c r="BY733">
        <v>0</v>
      </c>
      <c r="BZ733" t="s">
        <v>7360</v>
      </c>
      <c r="CA733" t="s">
        <v>7360</v>
      </c>
      <c r="CB733">
        <v>3380666</v>
      </c>
      <c r="CC733" s="21">
        <v>45009.719687500001</v>
      </c>
      <c r="CE733" t="s">
        <v>7366</v>
      </c>
      <c r="CF733">
        <v>0</v>
      </c>
      <c r="CG733">
        <v>702002</v>
      </c>
      <c r="CH733">
        <v>702002</v>
      </c>
      <c r="CI733" s="21">
        <v>45009.72315972222</v>
      </c>
      <c r="CJ733" t="s">
        <v>7367</v>
      </c>
      <c r="CK733" t="s">
        <v>7367</v>
      </c>
      <c r="CL733" t="s">
        <v>7368</v>
      </c>
      <c r="CM733" t="s">
        <v>7368</v>
      </c>
      <c r="CS733" t="s">
        <v>7361</v>
      </c>
      <c r="CT733" t="s">
        <v>7362</v>
      </c>
      <c r="CU733" t="s">
        <v>7362</v>
      </c>
      <c r="CV733" t="s">
        <v>7362</v>
      </c>
      <c r="CW733" t="s">
        <v>7362</v>
      </c>
      <c r="CX733">
        <v>646955</v>
      </c>
      <c r="DA733">
        <v>0</v>
      </c>
    </row>
    <row r="734" spans="1:105" x14ac:dyDescent="0.3">
      <c r="A734">
        <v>1372</v>
      </c>
      <c r="B734" t="s">
        <v>7369</v>
      </c>
      <c r="C734">
        <v>767</v>
      </c>
      <c r="D734" s="20">
        <v>45011</v>
      </c>
      <c r="E734" t="s">
        <v>7372</v>
      </c>
      <c r="F734" t="s">
        <v>4700</v>
      </c>
      <c r="G734" t="s">
        <v>7357</v>
      </c>
      <c r="H734">
        <v>1</v>
      </c>
      <c r="I734" t="s">
        <v>7358</v>
      </c>
      <c r="J734">
        <v>1</v>
      </c>
      <c r="K734" s="20">
        <v>45011</v>
      </c>
      <c r="L734" s="23">
        <v>160948</v>
      </c>
      <c r="M734" t="s">
        <v>7359</v>
      </c>
      <c r="N734" t="s">
        <v>7360</v>
      </c>
      <c r="O734">
        <v>0</v>
      </c>
      <c r="P734">
        <v>13412</v>
      </c>
      <c r="Q734">
        <v>460005</v>
      </c>
      <c r="R734">
        <v>0</v>
      </c>
      <c r="S734">
        <v>20230326</v>
      </c>
      <c r="T734">
        <v>0</v>
      </c>
      <c r="U734" t="s">
        <v>7362</v>
      </c>
      <c r="V734" t="s">
        <v>7360</v>
      </c>
      <c r="W734" t="s">
        <v>7360</v>
      </c>
      <c r="X734" t="s">
        <v>7360</v>
      </c>
      <c r="Y734" t="s">
        <v>7360</v>
      </c>
      <c r="Z734" t="s">
        <v>7360</v>
      </c>
      <c r="AA734" t="s">
        <v>7362</v>
      </c>
      <c r="AB734" t="s">
        <v>7360</v>
      </c>
      <c r="AC734" t="s">
        <v>7360</v>
      </c>
      <c r="AD734" t="s">
        <v>7360</v>
      </c>
      <c r="AE734" t="s">
        <v>7360</v>
      </c>
      <c r="AF734" t="s">
        <v>1684</v>
      </c>
      <c r="AG734">
        <v>0</v>
      </c>
      <c r="AH734">
        <v>0</v>
      </c>
      <c r="AI734">
        <v>0</v>
      </c>
      <c r="AJ734">
        <v>0</v>
      </c>
      <c r="AK734">
        <v>0</v>
      </c>
      <c r="AL734" t="s">
        <v>7360</v>
      </c>
      <c r="AM734">
        <v>0</v>
      </c>
      <c r="AN734" s="20">
        <v>45011</v>
      </c>
      <c r="AO734" s="20">
        <v>45011</v>
      </c>
      <c r="AP734" s="20">
        <v>45011</v>
      </c>
      <c r="AQ734">
        <v>0</v>
      </c>
      <c r="AR734">
        <v>0</v>
      </c>
      <c r="AS734">
        <v>0</v>
      </c>
      <c r="AT734">
        <v>0</v>
      </c>
      <c r="AU734">
        <v>0</v>
      </c>
      <c r="AV734" t="s">
        <v>7360</v>
      </c>
      <c r="AW734">
        <v>0</v>
      </c>
      <c r="AX734" t="s">
        <v>7360</v>
      </c>
      <c r="AY734" t="s">
        <v>7362</v>
      </c>
      <c r="BA734">
        <v>0</v>
      </c>
      <c r="BB734" s="20">
        <v>45011</v>
      </c>
      <c r="BC734">
        <v>0</v>
      </c>
      <c r="BD734" t="s">
        <v>7360</v>
      </c>
      <c r="BF734" s="20">
        <v>45011</v>
      </c>
      <c r="BG734">
        <v>0</v>
      </c>
      <c r="BH734" t="s">
        <v>7363</v>
      </c>
      <c r="BJ734" t="s">
        <v>7362</v>
      </c>
      <c r="BK734">
        <v>0</v>
      </c>
      <c r="BL734">
        <v>0</v>
      </c>
      <c r="BM734">
        <v>0</v>
      </c>
      <c r="BN734">
        <v>0</v>
      </c>
      <c r="BO734">
        <v>169</v>
      </c>
      <c r="BP734">
        <v>11</v>
      </c>
      <c r="BQ734">
        <v>1</v>
      </c>
      <c r="BR734" t="s">
        <v>7364</v>
      </c>
      <c r="BS734" t="s">
        <v>7365</v>
      </c>
      <c r="BT734" t="s">
        <v>7360</v>
      </c>
      <c r="BU734" t="s">
        <v>7360</v>
      </c>
      <c r="BV734" t="s">
        <v>7360</v>
      </c>
      <c r="BX734">
        <v>0</v>
      </c>
      <c r="BY734">
        <v>0</v>
      </c>
      <c r="BZ734" t="s">
        <v>7360</v>
      </c>
      <c r="CA734" t="s">
        <v>7360</v>
      </c>
      <c r="CB734">
        <v>3380666</v>
      </c>
      <c r="CC734" s="21">
        <v>45011.648854166669</v>
      </c>
      <c r="CE734" t="s">
        <v>7366</v>
      </c>
      <c r="CF734">
        <v>0</v>
      </c>
      <c r="CG734">
        <v>702002</v>
      </c>
      <c r="CH734">
        <v>702002</v>
      </c>
      <c r="CI734" s="21">
        <v>45011.650902777779</v>
      </c>
      <c r="CJ734" t="s">
        <v>7367</v>
      </c>
      <c r="CK734" t="s">
        <v>7367</v>
      </c>
      <c r="CL734" t="s">
        <v>7368</v>
      </c>
      <c r="CM734" t="s">
        <v>7368</v>
      </c>
      <c r="CS734" t="s">
        <v>7361</v>
      </c>
      <c r="CT734" t="s">
        <v>7362</v>
      </c>
      <c r="CU734" t="s">
        <v>7362</v>
      </c>
      <c r="CV734" t="s">
        <v>7362</v>
      </c>
      <c r="CW734" t="s">
        <v>7362</v>
      </c>
      <c r="CX734">
        <v>160948</v>
      </c>
      <c r="DA734">
        <v>0</v>
      </c>
    </row>
    <row r="735" spans="1:105" x14ac:dyDescent="0.3">
      <c r="A735">
        <v>1354</v>
      </c>
      <c r="B735" t="s">
        <v>7396</v>
      </c>
      <c r="C735">
        <v>768</v>
      </c>
      <c r="D735" s="20">
        <v>45011</v>
      </c>
      <c r="E735" t="s">
        <v>7372</v>
      </c>
      <c r="F735" t="s">
        <v>4705</v>
      </c>
      <c r="G735" t="s">
        <v>7370</v>
      </c>
      <c r="H735">
        <v>1</v>
      </c>
      <c r="I735" t="s">
        <v>7358</v>
      </c>
      <c r="J735">
        <v>1</v>
      </c>
      <c r="K735" s="20">
        <v>45011</v>
      </c>
      <c r="L735" s="23">
        <v>7200000</v>
      </c>
      <c r="M735" t="s">
        <v>7359</v>
      </c>
      <c r="N735" t="s">
        <v>7360</v>
      </c>
      <c r="O735">
        <v>0</v>
      </c>
      <c r="P735">
        <v>13413</v>
      </c>
      <c r="Q735">
        <v>460006</v>
      </c>
      <c r="R735">
        <v>0</v>
      </c>
      <c r="S735">
        <v>20230326</v>
      </c>
      <c r="T735">
        <v>0</v>
      </c>
      <c r="U735" t="s">
        <v>7362</v>
      </c>
      <c r="V735" t="s">
        <v>7360</v>
      </c>
      <c r="W735" t="s">
        <v>7360</v>
      </c>
      <c r="X735" t="s">
        <v>7360</v>
      </c>
      <c r="Y735" t="s">
        <v>7360</v>
      </c>
      <c r="Z735" t="s">
        <v>7360</v>
      </c>
      <c r="AA735" t="s">
        <v>7362</v>
      </c>
      <c r="AB735" t="s">
        <v>7360</v>
      </c>
      <c r="AC735" t="s">
        <v>7360</v>
      </c>
      <c r="AD735" t="s">
        <v>7360</v>
      </c>
      <c r="AE735" t="s">
        <v>7360</v>
      </c>
      <c r="AF735" t="s">
        <v>1684</v>
      </c>
      <c r="AG735">
        <v>0</v>
      </c>
      <c r="AH735">
        <v>0</v>
      </c>
      <c r="AI735">
        <v>0</v>
      </c>
      <c r="AJ735">
        <v>0</v>
      </c>
      <c r="AK735">
        <v>0</v>
      </c>
      <c r="AL735" t="s">
        <v>7360</v>
      </c>
      <c r="AM735">
        <v>0</v>
      </c>
      <c r="AN735" s="20">
        <v>45011</v>
      </c>
      <c r="AO735" s="20">
        <v>45011</v>
      </c>
      <c r="AP735" s="20">
        <v>45011</v>
      </c>
      <c r="AQ735">
        <v>0</v>
      </c>
      <c r="AR735">
        <v>0</v>
      </c>
      <c r="AS735">
        <v>0</v>
      </c>
      <c r="AT735">
        <v>0</v>
      </c>
      <c r="AU735">
        <v>0</v>
      </c>
      <c r="AV735" t="s">
        <v>7360</v>
      </c>
      <c r="AW735">
        <v>0</v>
      </c>
      <c r="AX735" t="s">
        <v>7360</v>
      </c>
      <c r="AY735" t="s">
        <v>7362</v>
      </c>
      <c r="BA735">
        <v>0</v>
      </c>
      <c r="BB735" s="20">
        <v>45011</v>
      </c>
      <c r="BC735">
        <v>0</v>
      </c>
      <c r="BD735" t="s">
        <v>7360</v>
      </c>
      <c r="BF735" s="20">
        <v>45011</v>
      </c>
      <c r="BG735">
        <v>0</v>
      </c>
      <c r="BH735" t="s">
        <v>7363</v>
      </c>
      <c r="BJ735" t="s">
        <v>7362</v>
      </c>
      <c r="BK735">
        <v>0</v>
      </c>
      <c r="BL735">
        <v>0</v>
      </c>
      <c r="BM735">
        <v>0</v>
      </c>
      <c r="BN735">
        <v>0</v>
      </c>
      <c r="BO735">
        <v>169</v>
      </c>
      <c r="BP735">
        <v>11</v>
      </c>
      <c r="BQ735">
        <v>1</v>
      </c>
      <c r="BR735" t="s">
        <v>7364</v>
      </c>
      <c r="BS735" t="s">
        <v>7365</v>
      </c>
      <c r="BT735" t="s">
        <v>7360</v>
      </c>
      <c r="BU735" t="s">
        <v>7360</v>
      </c>
      <c r="BV735" t="s">
        <v>7360</v>
      </c>
      <c r="BX735">
        <v>0</v>
      </c>
      <c r="BY735">
        <v>0</v>
      </c>
      <c r="BZ735" t="s">
        <v>7360</v>
      </c>
      <c r="CA735" t="s">
        <v>7360</v>
      </c>
      <c r="CB735">
        <v>3380666</v>
      </c>
      <c r="CC735" s="21">
        <v>45011.653773148151</v>
      </c>
      <c r="CE735" t="s">
        <v>7366</v>
      </c>
      <c r="CF735">
        <v>0</v>
      </c>
      <c r="CG735">
        <v>702002</v>
      </c>
      <c r="CH735">
        <v>702002</v>
      </c>
      <c r="CI735" s="21">
        <v>45011.655173611114</v>
      </c>
      <c r="CJ735" t="s">
        <v>7367</v>
      </c>
      <c r="CK735" t="s">
        <v>7367</v>
      </c>
      <c r="CL735" t="s">
        <v>7368</v>
      </c>
      <c r="CM735" t="s">
        <v>7368</v>
      </c>
      <c r="CS735" t="s">
        <v>7361</v>
      </c>
      <c r="CT735" t="s">
        <v>7362</v>
      </c>
      <c r="CU735" t="s">
        <v>7362</v>
      </c>
      <c r="CV735" t="s">
        <v>7362</v>
      </c>
      <c r="CW735" t="s">
        <v>7362</v>
      </c>
      <c r="CX735">
        <v>7200000</v>
      </c>
      <c r="DA735">
        <v>0</v>
      </c>
    </row>
    <row r="736" spans="1:105" x14ac:dyDescent="0.3">
      <c r="A736">
        <v>1366</v>
      </c>
      <c r="B736" t="s">
        <v>7380</v>
      </c>
      <c r="C736">
        <v>769</v>
      </c>
      <c r="D736" s="20">
        <v>45011</v>
      </c>
      <c r="E736" t="s">
        <v>7372</v>
      </c>
      <c r="F736" t="s">
        <v>4710</v>
      </c>
      <c r="G736" t="s">
        <v>7357</v>
      </c>
      <c r="H736">
        <v>1</v>
      </c>
      <c r="I736" t="s">
        <v>7358</v>
      </c>
      <c r="J736">
        <v>1</v>
      </c>
      <c r="K736" s="20">
        <v>45011</v>
      </c>
      <c r="L736" s="23">
        <v>1189513</v>
      </c>
      <c r="M736" t="s">
        <v>7359</v>
      </c>
      <c r="N736" t="s">
        <v>7360</v>
      </c>
      <c r="O736">
        <v>0</v>
      </c>
      <c r="P736">
        <v>12972</v>
      </c>
      <c r="Q736">
        <v>453010</v>
      </c>
      <c r="R736">
        <v>0</v>
      </c>
      <c r="S736">
        <v>20230326</v>
      </c>
      <c r="T736">
        <v>0</v>
      </c>
      <c r="U736" t="s">
        <v>7362</v>
      </c>
      <c r="V736" t="s">
        <v>7360</v>
      </c>
      <c r="W736" t="s">
        <v>7360</v>
      </c>
      <c r="X736" t="s">
        <v>7360</v>
      </c>
      <c r="Y736" t="s">
        <v>7360</v>
      </c>
      <c r="Z736" t="s">
        <v>7360</v>
      </c>
      <c r="AA736" t="s">
        <v>7362</v>
      </c>
      <c r="AB736" t="s">
        <v>7360</v>
      </c>
      <c r="AC736" t="s">
        <v>7360</v>
      </c>
      <c r="AD736" t="s">
        <v>7360</v>
      </c>
      <c r="AE736" t="s">
        <v>7360</v>
      </c>
      <c r="AF736" t="s">
        <v>1684</v>
      </c>
      <c r="AG736">
        <v>0</v>
      </c>
      <c r="AH736">
        <v>0</v>
      </c>
      <c r="AI736">
        <v>0</v>
      </c>
      <c r="AJ736">
        <v>0</v>
      </c>
      <c r="AK736">
        <v>0</v>
      </c>
      <c r="AL736" t="s">
        <v>7360</v>
      </c>
      <c r="AM736">
        <v>0</v>
      </c>
      <c r="AN736" s="20">
        <v>45011</v>
      </c>
      <c r="AO736" s="20">
        <v>45011</v>
      </c>
      <c r="AP736" s="20">
        <v>45011</v>
      </c>
      <c r="AQ736">
        <v>0</v>
      </c>
      <c r="AR736">
        <v>0</v>
      </c>
      <c r="AS736">
        <v>0</v>
      </c>
      <c r="AT736">
        <v>0</v>
      </c>
      <c r="AU736">
        <v>0</v>
      </c>
      <c r="AV736" t="s">
        <v>7360</v>
      </c>
      <c r="AW736">
        <v>0</v>
      </c>
      <c r="AX736" t="s">
        <v>7360</v>
      </c>
      <c r="AY736" t="s">
        <v>7362</v>
      </c>
      <c r="BA736">
        <v>0</v>
      </c>
      <c r="BB736" s="20">
        <v>45011</v>
      </c>
      <c r="BC736">
        <v>0</v>
      </c>
      <c r="BD736" t="s">
        <v>7360</v>
      </c>
      <c r="BF736" s="20">
        <v>45011</v>
      </c>
      <c r="BG736">
        <v>0</v>
      </c>
      <c r="BH736" t="s">
        <v>7363</v>
      </c>
      <c r="BJ736" t="s">
        <v>7362</v>
      </c>
      <c r="BK736">
        <v>169</v>
      </c>
      <c r="BL736">
        <v>11</v>
      </c>
      <c r="BM736">
        <v>1</v>
      </c>
      <c r="BN736" t="s">
        <v>7364</v>
      </c>
      <c r="BO736">
        <v>169</v>
      </c>
      <c r="BP736">
        <v>11</v>
      </c>
      <c r="BQ736">
        <v>1</v>
      </c>
      <c r="BR736" t="s">
        <v>7364</v>
      </c>
      <c r="BS736" t="s">
        <v>7454</v>
      </c>
      <c r="BT736" t="s">
        <v>7360</v>
      </c>
      <c r="BU736" t="s">
        <v>7360</v>
      </c>
      <c r="BV736" t="s">
        <v>7360</v>
      </c>
      <c r="BX736" t="s">
        <v>7391</v>
      </c>
      <c r="BY736">
        <v>74</v>
      </c>
      <c r="BZ736" t="s">
        <v>7360</v>
      </c>
      <c r="CA736" t="s">
        <v>7360</v>
      </c>
      <c r="CB736">
        <v>3156020026</v>
      </c>
      <c r="CC736" s="21">
        <v>45011.687604166669</v>
      </c>
      <c r="CE736" t="s">
        <v>7392</v>
      </c>
      <c r="CF736">
        <v>1100101</v>
      </c>
      <c r="CG736">
        <v>702002</v>
      </c>
      <c r="CH736">
        <v>51669</v>
      </c>
      <c r="CI736" s="21">
        <v>45012.497696759259</v>
      </c>
      <c r="CJ736" t="s">
        <v>7367</v>
      </c>
      <c r="CK736" t="s">
        <v>7406</v>
      </c>
      <c r="CL736" t="s">
        <v>7368</v>
      </c>
      <c r="CM736" t="s">
        <v>7407</v>
      </c>
      <c r="CS736" t="s">
        <v>7361</v>
      </c>
      <c r="CT736" t="s">
        <v>7362</v>
      </c>
      <c r="CU736" t="s">
        <v>7362</v>
      </c>
      <c r="CV736" t="s">
        <v>7362</v>
      </c>
      <c r="CW736" t="s">
        <v>7362</v>
      </c>
      <c r="CX736">
        <v>1189513</v>
      </c>
      <c r="DA736">
        <v>0</v>
      </c>
    </row>
    <row r="737" spans="1:110" x14ac:dyDescent="0.3">
      <c r="A737">
        <v>1372</v>
      </c>
      <c r="B737" t="s">
        <v>7369</v>
      </c>
      <c r="C737">
        <v>770</v>
      </c>
      <c r="D737" s="20">
        <v>45011</v>
      </c>
      <c r="E737" t="s">
        <v>7372</v>
      </c>
      <c r="F737" t="s">
        <v>4716</v>
      </c>
      <c r="G737" t="s">
        <v>7357</v>
      </c>
      <c r="H737">
        <v>1</v>
      </c>
      <c r="I737" t="s">
        <v>7358</v>
      </c>
      <c r="J737">
        <v>1</v>
      </c>
      <c r="K737" s="20">
        <v>45011</v>
      </c>
      <c r="L737" s="23">
        <v>471240</v>
      </c>
      <c r="M737" t="s">
        <v>7359</v>
      </c>
      <c r="N737" t="s">
        <v>7360</v>
      </c>
      <c r="O737">
        <v>0</v>
      </c>
      <c r="P737">
        <v>13393</v>
      </c>
      <c r="Q737">
        <v>459021</v>
      </c>
      <c r="R737">
        <v>0</v>
      </c>
      <c r="S737">
        <v>20230326</v>
      </c>
      <c r="T737">
        <v>0</v>
      </c>
      <c r="U737" t="s">
        <v>7362</v>
      </c>
      <c r="V737" t="s">
        <v>7360</v>
      </c>
      <c r="W737" t="s">
        <v>7360</v>
      </c>
      <c r="X737" t="s">
        <v>7360</v>
      </c>
      <c r="Y737" t="s">
        <v>7360</v>
      </c>
      <c r="Z737" t="s">
        <v>7360</v>
      </c>
      <c r="AA737" t="s">
        <v>7362</v>
      </c>
      <c r="AB737" t="s">
        <v>7360</v>
      </c>
      <c r="AC737" t="s">
        <v>7360</v>
      </c>
      <c r="AD737" t="s">
        <v>7360</v>
      </c>
      <c r="AE737" t="s">
        <v>7360</v>
      </c>
      <c r="AF737" t="s">
        <v>1684</v>
      </c>
      <c r="AG737">
        <v>0</v>
      </c>
      <c r="AH737">
        <v>0</v>
      </c>
      <c r="AI737">
        <v>0</v>
      </c>
      <c r="AJ737">
        <v>0</v>
      </c>
      <c r="AK737">
        <v>0</v>
      </c>
      <c r="AL737" t="s">
        <v>7360</v>
      </c>
      <c r="AM737">
        <v>0</v>
      </c>
      <c r="AN737" s="20">
        <v>45011</v>
      </c>
      <c r="AO737" s="20">
        <v>45011</v>
      </c>
      <c r="AP737" s="20">
        <v>45011</v>
      </c>
      <c r="AQ737">
        <v>0</v>
      </c>
      <c r="AR737">
        <v>0</v>
      </c>
      <c r="AS737">
        <v>0</v>
      </c>
      <c r="AT737">
        <v>0</v>
      </c>
      <c r="AU737">
        <v>0</v>
      </c>
      <c r="AV737" t="s">
        <v>7360</v>
      </c>
      <c r="AW737">
        <v>0</v>
      </c>
      <c r="AX737" t="s">
        <v>7360</v>
      </c>
      <c r="AY737" t="s">
        <v>7362</v>
      </c>
      <c r="BA737">
        <v>0</v>
      </c>
      <c r="BB737" s="20">
        <v>45011</v>
      </c>
      <c r="BC737">
        <v>0</v>
      </c>
      <c r="BD737" t="s">
        <v>7360</v>
      </c>
      <c r="BF737" s="20">
        <v>45011</v>
      </c>
      <c r="BG737">
        <v>0</v>
      </c>
      <c r="BH737" t="s">
        <v>7363</v>
      </c>
      <c r="BJ737" t="s">
        <v>7362</v>
      </c>
      <c r="BK737">
        <v>0</v>
      </c>
      <c r="BL737">
        <v>0</v>
      </c>
      <c r="BM737">
        <v>0</v>
      </c>
      <c r="BN737">
        <v>0</v>
      </c>
      <c r="BO737">
        <v>169</v>
      </c>
      <c r="BP737">
        <v>11</v>
      </c>
      <c r="BQ737">
        <v>1</v>
      </c>
      <c r="BR737" t="s">
        <v>7364</v>
      </c>
      <c r="BS737" t="s">
        <v>61</v>
      </c>
      <c r="BT737" t="s">
        <v>7360</v>
      </c>
      <c r="BU737" t="s">
        <v>7360</v>
      </c>
      <c r="BV737" t="s">
        <v>7360</v>
      </c>
      <c r="BX737">
        <v>0</v>
      </c>
      <c r="BY737">
        <v>0</v>
      </c>
      <c r="BZ737" t="s">
        <v>7360</v>
      </c>
      <c r="CA737" t="s">
        <v>7360</v>
      </c>
      <c r="CB737">
        <v>3380666</v>
      </c>
      <c r="CC737" s="21">
        <v>45011.697847222225</v>
      </c>
      <c r="CE737" t="s">
        <v>7366</v>
      </c>
      <c r="CF737">
        <v>0</v>
      </c>
      <c r="CG737">
        <v>702002</v>
      </c>
      <c r="CH737">
        <v>702002</v>
      </c>
      <c r="CI737" s="21">
        <v>45011.704629629632</v>
      </c>
      <c r="CJ737" t="s">
        <v>7367</v>
      </c>
      <c r="CK737" t="s">
        <v>7367</v>
      </c>
      <c r="CL737" t="s">
        <v>7368</v>
      </c>
      <c r="CM737" t="s">
        <v>7368</v>
      </c>
      <c r="CS737" t="s">
        <v>7361</v>
      </c>
      <c r="CT737" t="s">
        <v>7362</v>
      </c>
      <c r="CU737" t="s">
        <v>7362</v>
      </c>
      <c r="CV737" t="s">
        <v>7362</v>
      </c>
      <c r="CW737" t="s">
        <v>7362</v>
      </c>
      <c r="CX737">
        <v>471240</v>
      </c>
      <c r="DA737">
        <v>0</v>
      </c>
    </row>
    <row r="738" spans="1:110" x14ac:dyDescent="0.3">
      <c r="A738">
        <v>1354</v>
      </c>
      <c r="B738" t="s">
        <v>7396</v>
      </c>
      <c r="C738">
        <v>771</v>
      </c>
      <c r="D738" s="20">
        <v>45011</v>
      </c>
      <c r="E738" t="s">
        <v>7372</v>
      </c>
      <c r="F738" t="s">
        <v>4721</v>
      </c>
      <c r="G738" t="s">
        <v>7370</v>
      </c>
      <c r="H738">
        <v>1</v>
      </c>
      <c r="I738" t="s">
        <v>7358</v>
      </c>
      <c r="J738">
        <v>1</v>
      </c>
      <c r="K738" s="20">
        <v>45011</v>
      </c>
      <c r="L738" s="23">
        <v>3600000</v>
      </c>
      <c r="M738" t="s">
        <v>7359</v>
      </c>
      <c r="N738" t="s">
        <v>7360</v>
      </c>
      <c r="O738">
        <v>0</v>
      </c>
      <c r="P738">
        <v>13414</v>
      </c>
      <c r="Q738">
        <v>460007</v>
      </c>
      <c r="R738">
        <v>0</v>
      </c>
      <c r="S738">
        <v>20230326</v>
      </c>
      <c r="T738">
        <v>0</v>
      </c>
      <c r="U738" t="s">
        <v>7362</v>
      </c>
      <c r="V738" t="s">
        <v>7360</v>
      </c>
      <c r="W738" t="s">
        <v>7360</v>
      </c>
      <c r="X738" t="s">
        <v>7360</v>
      </c>
      <c r="Y738" t="s">
        <v>7360</v>
      </c>
      <c r="Z738" t="s">
        <v>7360</v>
      </c>
      <c r="AA738" t="s">
        <v>7362</v>
      </c>
      <c r="AB738" t="s">
        <v>7360</v>
      </c>
      <c r="AC738" t="s">
        <v>7360</v>
      </c>
      <c r="AD738" t="s">
        <v>7360</v>
      </c>
      <c r="AE738" t="s">
        <v>7360</v>
      </c>
      <c r="AF738" t="s">
        <v>1684</v>
      </c>
      <c r="AG738">
        <v>0</v>
      </c>
      <c r="AH738">
        <v>0</v>
      </c>
      <c r="AI738">
        <v>0</v>
      </c>
      <c r="AJ738">
        <v>0</v>
      </c>
      <c r="AK738">
        <v>0</v>
      </c>
      <c r="AL738" t="s">
        <v>7360</v>
      </c>
      <c r="AM738">
        <v>0</v>
      </c>
      <c r="AN738" s="20">
        <v>45011</v>
      </c>
      <c r="AO738" s="20">
        <v>45011</v>
      </c>
      <c r="AP738" s="20">
        <v>45011</v>
      </c>
      <c r="AQ738">
        <v>0</v>
      </c>
      <c r="AR738">
        <v>0</v>
      </c>
      <c r="AS738">
        <v>0</v>
      </c>
      <c r="AT738">
        <v>0</v>
      </c>
      <c r="AU738">
        <v>0</v>
      </c>
      <c r="AV738" t="s">
        <v>7360</v>
      </c>
      <c r="AW738">
        <v>0</v>
      </c>
      <c r="AX738" t="s">
        <v>7360</v>
      </c>
      <c r="AY738" t="s">
        <v>7362</v>
      </c>
      <c r="BA738">
        <v>0</v>
      </c>
      <c r="BB738" s="20">
        <v>45011</v>
      </c>
      <c r="BC738">
        <v>0</v>
      </c>
      <c r="BD738" t="s">
        <v>7360</v>
      </c>
      <c r="BF738" s="20">
        <v>45011</v>
      </c>
      <c r="BG738">
        <v>0</v>
      </c>
      <c r="BH738" t="s">
        <v>7363</v>
      </c>
      <c r="BJ738" t="s">
        <v>7362</v>
      </c>
      <c r="BK738">
        <v>0</v>
      </c>
      <c r="BL738">
        <v>0</v>
      </c>
      <c r="BM738">
        <v>0</v>
      </c>
      <c r="BN738">
        <v>0</v>
      </c>
      <c r="BO738">
        <v>169</v>
      </c>
      <c r="BP738">
        <v>11</v>
      </c>
      <c r="BQ738">
        <v>1</v>
      </c>
      <c r="BR738" t="s">
        <v>7364</v>
      </c>
      <c r="BS738" t="s">
        <v>7365</v>
      </c>
      <c r="BT738" t="s">
        <v>7360</v>
      </c>
      <c r="BU738" t="s">
        <v>7360</v>
      </c>
      <c r="BV738" t="s">
        <v>7360</v>
      </c>
      <c r="BX738">
        <v>0</v>
      </c>
      <c r="BY738">
        <v>0</v>
      </c>
      <c r="BZ738" t="s">
        <v>7360</v>
      </c>
      <c r="CA738" t="s">
        <v>7360</v>
      </c>
      <c r="CB738">
        <v>3380666</v>
      </c>
      <c r="CC738" s="21">
        <v>45011.707870370374</v>
      </c>
      <c r="CE738" t="s">
        <v>7366</v>
      </c>
      <c r="CF738">
        <v>0</v>
      </c>
      <c r="CG738">
        <v>702002</v>
      </c>
      <c r="CH738">
        <v>702002</v>
      </c>
      <c r="CI738" s="21">
        <v>45011.708923611113</v>
      </c>
      <c r="CJ738" t="s">
        <v>7367</v>
      </c>
      <c r="CK738" t="s">
        <v>7367</v>
      </c>
      <c r="CL738" t="s">
        <v>7368</v>
      </c>
      <c r="CM738" t="s">
        <v>7368</v>
      </c>
      <c r="CS738" t="s">
        <v>7361</v>
      </c>
      <c r="CT738" t="s">
        <v>7362</v>
      </c>
      <c r="CU738" t="s">
        <v>7362</v>
      </c>
      <c r="CV738" t="s">
        <v>7362</v>
      </c>
      <c r="CW738" t="s">
        <v>7362</v>
      </c>
      <c r="CX738">
        <v>3600000</v>
      </c>
      <c r="DA738">
        <v>0</v>
      </c>
    </row>
    <row r="739" spans="1:110" x14ac:dyDescent="0.3">
      <c r="A739">
        <v>1354</v>
      </c>
      <c r="B739" t="s">
        <v>7396</v>
      </c>
      <c r="C739">
        <v>772</v>
      </c>
      <c r="D739" s="20">
        <v>45011</v>
      </c>
      <c r="E739" t="s">
        <v>7372</v>
      </c>
      <c r="F739" t="s">
        <v>4620</v>
      </c>
      <c r="G739" t="s">
        <v>7370</v>
      </c>
      <c r="H739">
        <v>1</v>
      </c>
      <c r="I739" t="s">
        <v>7358</v>
      </c>
      <c r="J739">
        <v>1</v>
      </c>
      <c r="K739" s="20">
        <v>45011</v>
      </c>
      <c r="L739" s="23">
        <v>3600000</v>
      </c>
      <c r="M739" t="s">
        <v>7359</v>
      </c>
      <c r="N739" t="s">
        <v>7360</v>
      </c>
      <c r="O739">
        <v>0</v>
      </c>
      <c r="P739">
        <v>13415</v>
      </c>
      <c r="Q739">
        <v>460008</v>
      </c>
      <c r="R739">
        <v>0</v>
      </c>
      <c r="S739">
        <v>20230326</v>
      </c>
      <c r="T739">
        <v>0</v>
      </c>
      <c r="U739" t="s">
        <v>7362</v>
      </c>
      <c r="V739" t="s">
        <v>7360</v>
      </c>
      <c r="W739" t="s">
        <v>7360</v>
      </c>
      <c r="X739" t="s">
        <v>7360</v>
      </c>
      <c r="Y739" t="s">
        <v>7360</v>
      </c>
      <c r="Z739" t="s">
        <v>7360</v>
      </c>
      <c r="AA739" t="s">
        <v>7362</v>
      </c>
      <c r="AB739" t="s">
        <v>7360</v>
      </c>
      <c r="AC739" t="s">
        <v>7360</v>
      </c>
      <c r="AD739" t="s">
        <v>7360</v>
      </c>
      <c r="AE739" t="s">
        <v>7360</v>
      </c>
      <c r="AF739" t="s">
        <v>1684</v>
      </c>
      <c r="AG739">
        <v>0</v>
      </c>
      <c r="AH739">
        <v>0</v>
      </c>
      <c r="AI739">
        <v>0</v>
      </c>
      <c r="AJ739">
        <v>0</v>
      </c>
      <c r="AK739">
        <v>0</v>
      </c>
      <c r="AL739" t="s">
        <v>7360</v>
      </c>
      <c r="AM739">
        <v>0</v>
      </c>
      <c r="AN739" s="20">
        <v>45011</v>
      </c>
      <c r="AO739" s="20">
        <v>45011</v>
      </c>
      <c r="AP739" s="20">
        <v>45011</v>
      </c>
      <c r="AQ739">
        <v>0</v>
      </c>
      <c r="AR739">
        <v>0</v>
      </c>
      <c r="AS739">
        <v>0</v>
      </c>
      <c r="AT739">
        <v>0</v>
      </c>
      <c r="AU739">
        <v>0</v>
      </c>
      <c r="AV739" t="s">
        <v>7360</v>
      </c>
      <c r="AW739">
        <v>0</v>
      </c>
      <c r="AX739" t="s">
        <v>7360</v>
      </c>
      <c r="AY739" t="s">
        <v>7362</v>
      </c>
      <c r="BA739">
        <v>0</v>
      </c>
      <c r="BB739" s="20">
        <v>45011</v>
      </c>
      <c r="BC739">
        <v>0</v>
      </c>
      <c r="BD739" t="s">
        <v>7360</v>
      </c>
      <c r="BF739" s="20">
        <v>45011</v>
      </c>
      <c r="BG739">
        <v>0</v>
      </c>
      <c r="BH739" t="s">
        <v>7363</v>
      </c>
      <c r="BJ739" t="s">
        <v>7362</v>
      </c>
      <c r="BK739">
        <v>0</v>
      </c>
      <c r="BL739">
        <v>0</v>
      </c>
      <c r="BM739">
        <v>0</v>
      </c>
      <c r="BN739">
        <v>0</v>
      </c>
      <c r="BO739">
        <v>169</v>
      </c>
      <c r="BP739">
        <v>11</v>
      </c>
      <c r="BQ739">
        <v>1</v>
      </c>
      <c r="BR739" t="s">
        <v>7364</v>
      </c>
      <c r="BS739" t="s">
        <v>7365</v>
      </c>
      <c r="BT739" t="s">
        <v>7360</v>
      </c>
      <c r="BU739" t="s">
        <v>7360</v>
      </c>
      <c r="BV739" t="s">
        <v>7360</v>
      </c>
      <c r="BX739">
        <v>0</v>
      </c>
      <c r="BY739">
        <v>0</v>
      </c>
      <c r="BZ739" t="s">
        <v>7360</v>
      </c>
      <c r="CA739" t="s">
        <v>7360</v>
      </c>
      <c r="CB739">
        <v>3380666</v>
      </c>
      <c r="CC739" s="21">
        <v>45011.712719907409</v>
      </c>
      <c r="CE739" t="s">
        <v>7366</v>
      </c>
      <c r="CF739">
        <v>0</v>
      </c>
      <c r="CG739">
        <v>702002</v>
      </c>
      <c r="CH739">
        <v>702002</v>
      </c>
      <c r="CI739" s="21">
        <v>45011.715752314813</v>
      </c>
      <c r="CJ739" t="s">
        <v>7367</v>
      </c>
      <c r="CK739" t="s">
        <v>7367</v>
      </c>
      <c r="CL739" t="s">
        <v>7368</v>
      </c>
      <c r="CM739" t="s">
        <v>7368</v>
      </c>
      <c r="CS739" t="s">
        <v>7361</v>
      </c>
      <c r="CT739" t="s">
        <v>7362</v>
      </c>
      <c r="CU739" t="s">
        <v>7362</v>
      </c>
      <c r="CV739" t="s">
        <v>7362</v>
      </c>
      <c r="CW739" t="s">
        <v>7362</v>
      </c>
      <c r="CX739">
        <v>3600000</v>
      </c>
      <c r="DA739">
        <v>0</v>
      </c>
    </row>
    <row r="740" spans="1:110" x14ac:dyDescent="0.3">
      <c r="A740">
        <v>1354</v>
      </c>
      <c r="B740" t="s">
        <v>7396</v>
      </c>
      <c r="C740">
        <v>773</v>
      </c>
      <c r="D740" s="20">
        <v>45011</v>
      </c>
      <c r="E740" t="s">
        <v>7372</v>
      </c>
      <c r="F740" t="s">
        <v>4625</v>
      </c>
      <c r="G740" t="s">
        <v>7370</v>
      </c>
      <c r="H740">
        <v>1</v>
      </c>
      <c r="I740" t="s">
        <v>7358</v>
      </c>
      <c r="J740">
        <v>1</v>
      </c>
      <c r="K740" s="20">
        <v>45011</v>
      </c>
      <c r="L740" s="23">
        <v>3600000</v>
      </c>
      <c r="M740" t="s">
        <v>7359</v>
      </c>
      <c r="N740" t="s">
        <v>7360</v>
      </c>
      <c r="O740">
        <v>0</v>
      </c>
      <c r="P740">
        <v>13417</v>
      </c>
      <c r="Q740">
        <v>460009</v>
      </c>
      <c r="R740">
        <v>0</v>
      </c>
      <c r="S740">
        <v>20230326</v>
      </c>
      <c r="T740">
        <v>0</v>
      </c>
      <c r="U740" t="s">
        <v>7362</v>
      </c>
      <c r="V740" t="s">
        <v>7360</v>
      </c>
      <c r="W740" t="s">
        <v>7360</v>
      </c>
      <c r="X740" t="s">
        <v>7360</v>
      </c>
      <c r="Y740" t="s">
        <v>7360</v>
      </c>
      <c r="Z740" t="s">
        <v>7360</v>
      </c>
      <c r="AA740" t="s">
        <v>7362</v>
      </c>
      <c r="AB740" t="s">
        <v>7360</v>
      </c>
      <c r="AC740" t="s">
        <v>7360</v>
      </c>
      <c r="AD740" t="s">
        <v>7360</v>
      </c>
      <c r="AE740" t="s">
        <v>7360</v>
      </c>
      <c r="AF740" t="s">
        <v>1684</v>
      </c>
      <c r="AG740">
        <v>0</v>
      </c>
      <c r="AH740">
        <v>0</v>
      </c>
      <c r="AI740">
        <v>0</v>
      </c>
      <c r="AJ740">
        <v>0</v>
      </c>
      <c r="AK740">
        <v>0</v>
      </c>
      <c r="AL740" t="s">
        <v>7360</v>
      </c>
      <c r="AM740">
        <v>0</v>
      </c>
      <c r="AN740" s="20">
        <v>45011</v>
      </c>
      <c r="AO740" s="20">
        <v>45011</v>
      </c>
      <c r="AP740" s="20">
        <v>45011</v>
      </c>
      <c r="AQ740">
        <v>0</v>
      </c>
      <c r="AR740">
        <v>0</v>
      </c>
      <c r="AS740">
        <v>0</v>
      </c>
      <c r="AT740">
        <v>0</v>
      </c>
      <c r="AU740">
        <v>0</v>
      </c>
      <c r="AV740" t="s">
        <v>7360</v>
      </c>
      <c r="AW740">
        <v>0</v>
      </c>
      <c r="AX740" t="s">
        <v>7360</v>
      </c>
      <c r="AY740" t="s">
        <v>7362</v>
      </c>
      <c r="BA740">
        <v>0</v>
      </c>
      <c r="BB740" s="20">
        <v>45011</v>
      </c>
      <c r="BC740">
        <v>0</v>
      </c>
      <c r="BD740" t="s">
        <v>7360</v>
      </c>
      <c r="BF740" s="20">
        <v>45011</v>
      </c>
      <c r="BG740">
        <v>0</v>
      </c>
      <c r="BH740" t="s">
        <v>7363</v>
      </c>
      <c r="BJ740" t="s">
        <v>7362</v>
      </c>
      <c r="BK740">
        <v>0</v>
      </c>
      <c r="BL740">
        <v>0</v>
      </c>
      <c r="BM740">
        <v>0</v>
      </c>
      <c r="BN740">
        <v>0</v>
      </c>
      <c r="BO740">
        <v>169</v>
      </c>
      <c r="BP740">
        <v>11</v>
      </c>
      <c r="BQ740">
        <v>1</v>
      </c>
      <c r="BR740" t="s">
        <v>7364</v>
      </c>
      <c r="BS740" t="s">
        <v>7365</v>
      </c>
      <c r="BT740" t="s">
        <v>7360</v>
      </c>
      <c r="BU740" t="s">
        <v>7360</v>
      </c>
      <c r="BV740" t="s">
        <v>7360</v>
      </c>
      <c r="BX740">
        <v>0</v>
      </c>
      <c r="BY740">
        <v>0</v>
      </c>
      <c r="BZ740" t="s">
        <v>7360</v>
      </c>
      <c r="CA740" t="s">
        <v>7360</v>
      </c>
      <c r="CB740">
        <v>3380666</v>
      </c>
      <c r="CC740" s="21">
        <v>45011.721168981479</v>
      </c>
      <c r="CE740" t="s">
        <v>7366</v>
      </c>
      <c r="CF740">
        <v>0</v>
      </c>
      <c r="CG740">
        <v>702002</v>
      </c>
      <c r="CH740">
        <v>702002</v>
      </c>
      <c r="CI740" s="21">
        <v>45011.722395833334</v>
      </c>
      <c r="CJ740" t="s">
        <v>7367</v>
      </c>
      <c r="CK740" t="s">
        <v>7367</v>
      </c>
      <c r="CL740" t="s">
        <v>7368</v>
      </c>
      <c r="CM740" t="s">
        <v>7368</v>
      </c>
      <c r="CS740" t="s">
        <v>7361</v>
      </c>
      <c r="CT740" t="s">
        <v>7362</v>
      </c>
      <c r="CU740" t="s">
        <v>7362</v>
      </c>
      <c r="CV740" t="s">
        <v>7362</v>
      </c>
      <c r="CW740" t="s">
        <v>7362</v>
      </c>
      <c r="CX740">
        <v>3600000</v>
      </c>
      <c r="DA740">
        <v>0</v>
      </c>
    </row>
    <row r="741" spans="1:110" x14ac:dyDescent="0.3">
      <c r="A741">
        <v>1366</v>
      </c>
      <c r="B741" t="s">
        <v>7380</v>
      </c>
      <c r="C741">
        <v>774</v>
      </c>
      <c r="D741" s="20">
        <v>45011</v>
      </c>
      <c r="E741" t="s">
        <v>7372</v>
      </c>
      <c r="F741" t="s">
        <v>4630</v>
      </c>
      <c r="G741" t="s">
        <v>7357</v>
      </c>
      <c r="H741">
        <v>1</v>
      </c>
      <c r="I741" t="s">
        <v>7358</v>
      </c>
      <c r="J741">
        <v>1</v>
      </c>
      <c r="K741" s="20">
        <v>45011</v>
      </c>
      <c r="L741" s="23">
        <v>41688</v>
      </c>
      <c r="M741" t="s">
        <v>7359</v>
      </c>
      <c r="N741" t="s">
        <v>7360</v>
      </c>
      <c r="O741">
        <v>0</v>
      </c>
      <c r="P741">
        <v>13421</v>
      </c>
      <c r="Q741">
        <v>460014</v>
      </c>
      <c r="R741">
        <v>0</v>
      </c>
      <c r="S741">
        <v>20230326</v>
      </c>
      <c r="T741">
        <v>0</v>
      </c>
      <c r="U741" t="s">
        <v>7362</v>
      </c>
      <c r="V741" t="s">
        <v>7360</v>
      </c>
      <c r="W741" t="s">
        <v>7360</v>
      </c>
      <c r="X741" t="s">
        <v>7360</v>
      </c>
      <c r="Y741" t="s">
        <v>7360</v>
      </c>
      <c r="Z741" t="s">
        <v>7360</v>
      </c>
      <c r="AA741" t="s">
        <v>7362</v>
      </c>
      <c r="AB741" t="s">
        <v>7360</v>
      </c>
      <c r="AC741" t="s">
        <v>7360</v>
      </c>
      <c r="AD741" t="s">
        <v>7360</v>
      </c>
      <c r="AE741" t="s">
        <v>7360</v>
      </c>
      <c r="AF741" t="s">
        <v>1684</v>
      </c>
      <c r="AG741">
        <v>0</v>
      </c>
      <c r="AH741">
        <v>0</v>
      </c>
      <c r="AI741">
        <v>0</v>
      </c>
      <c r="AJ741">
        <v>0</v>
      </c>
      <c r="AK741">
        <v>0</v>
      </c>
      <c r="AL741" t="s">
        <v>7360</v>
      </c>
      <c r="AM741">
        <v>0</v>
      </c>
      <c r="AN741" s="20">
        <v>45011</v>
      </c>
      <c r="AO741" s="20">
        <v>45011</v>
      </c>
      <c r="AP741" s="20">
        <v>45011</v>
      </c>
      <c r="AQ741">
        <v>0</v>
      </c>
      <c r="AR741">
        <v>0</v>
      </c>
      <c r="AS741">
        <v>0</v>
      </c>
      <c r="AT741">
        <v>0</v>
      </c>
      <c r="AU741">
        <v>0</v>
      </c>
      <c r="AV741" t="s">
        <v>7360</v>
      </c>
      <c r="AW741">
        <v>0</v>
      </c>
      <c r="AX741" t="s">
        <v>7360</v>
      </c>
      <c r="AY741" t="s">
        <v>7362</v>
      </c>
      <c r="BA741">
        <v>0</v>
      </c>
      <c r="BB741" s="20">
        <v>45011</v>
      </c>
      <c r="BC741">
        <v>0</v>
      </c>
      <c r="BD741" t="s">
        <v>7360</v>
      </c>
      <c r="BF741" s="20">
        <v>45011</v>
      </c>
      <c r="BG741">
        <v>0</v>
      </c>
      <c r="BH741" t="s">
        <v>7363</v>
      </c>
      <c r="BJ741" t="s">
        <v>7362</v>
      </c>
      <c r="BK741">
        <v>0</v>
      </c>
      <c r="BL741">
        <v>0</v>
      </c>
      <c r="BM741">
        <v>0</v>
      </c>
      <c r="BN741">
        <v>0</v>
      </c>
      <c r="BO741">
        <v>169</v>
      </c>
      <c r="BP741">
        <v>11</v>
      </c>
      <c r="BQ741">
        <v>1</v>
      </c>
      <c r="BR741" t="s">
        <v>7364</v>
      </c>
      <c r="BS741" t="s">
        <v>7386</v>
      </c>
      <c r="BT741" t="s">
        <v>7360</v>
      </c>
      <c r="BU741" t="s">
        <v>7360</v>
      </c>
      <c r="BV741" t="s">
        <v>7360</v>
      </c>
      <c r="BX741">
        <v>0</v>
      </c>
      <c r="BY741">
        <v>0</v>
      </c>
      <c r="BZ741" t="s">
        <v>7360</v>
      </c>
      <c r="CA741" t="s">
        <v>7360</v>
      </c>
      <c r="CB741">
        <v>3380666</v>
      </c>
      <c r="CC741" s="21">
        <v>45011.728750000002</v>
      </c>
      <c r="CE741" t="s">
        <v>7366</v>
      </c>
      <c r="CF741">
        <v>0</v>
      </c>
      <c r="CG741">
        <v>702002</v>
      </c>
      <c r="CH741">
        <v>702002</v>
      </c>
      <c r="CI741" s="21">
        <v>45011.73096064815</v>
      </c>
      <c r="CJ741" t="s">
        <v>7367</v>
      </c>
      <c r="CK741" t="s">
        <v>7367</v>
      </c>
      <c r="CL741" t="s">
        <v>7368</v>
      </c>
      <c r="CM741" t="s">
        <v>7368</v>
      </c>
      <c r="CS741" t="s">
        <v>7361</v>
      </c>
      <c r="CT741" t="s">
        <v>7362</v>
      </c>
      <c r="CU741" t="s">
        <v>7362</v>
      </c>
      <c r="CV741" t="s">
        <v>7362</v>
      </c>
      <c r="CW741" t="s">
        <v>7362</v>
      </c>
      <c r="CX741">
        <v>41688</v>
      </c>
      <c r="DA741">
        <v>0</v>
      </c>
    </row>
    <row r="742" spans="1:110" x14ac:dyDescent="0.3">
      <c r="A742">
        <v>1354</v>
      </c>
      <c r="B742" t="s">
        <v>7396</v>
      </c>
      <c r="C742">
        <v>775</v>
      </c>
      <c r="D742" s="20">
        <v>45012</v>
      </c>
      <c r="E742" t="s">
        <v>7356</v>
      </c>
      <c r="F742" t="s">
        <v>4636</v>
      </c>
      <c r="G742" t="s">
        <v>7370</v>
      </c>
      <c r="H742">
        <v>1</v>
      </c>
      <c r="I742" t="s">
        <v>7358</v>
      </c>
      <c r="J742">
        <v>1</v>
      </c>
      <c r="K742" s="20">
        <v>45012</v>
      </c>
      <c r="L742" s="23">
        <v>3600000</v>
      </c>
      <c r="M742" t="s">
        <v>7359</v>
      </c>
      <c r="N742" t="s">
        <v>7360</v>
      </c>
      <c r="O742">
        <v>0</v>
      </c>
      <c r="P742">
        <v>13366</v>
      </c>
      <c r="Q742">
        <v>459002</v>
      </c>
      <c r="R742">
        <v>0</v>
      </c>
      <c r="S742">
        <v>20230327</v>
      </c>
      <c r="T742">
        <v>0</v>
      </c>
      <c r="U742" t="s">
        <v>7361</v>
      </c>
      <c r="V742" t="s">
        <v>7360</v>
      </c>
      <c r="W742" t="s">
        <v>7360</v>
      </c>
      <c r="X742" t="s">
        <v>7360</v>
      </c>
      <c r="Y742" t="s">
        <v>7360</v>
      </c>
      <c r="Z742" t="s">
        <v>7360</v>
      </c>
      <c r="AA742" t="s">
        <v>7362</v>
      </c>
      <c r="AB742" t="s">
        <v>7360</v>
      </c>
      <c r="AC742" t="s">
        <v>7360</v>
      </c>
      <c r="AD742" t="s">
        <v>7360</v>
      </c>
      <c r="AE742" t="s">
        <v>7360</v>
      </c>
      <c r="AF742" t="s">
        <v>1684</v>
      </c>
      <c r="AG742">
        <v>0</v>
      </c>
      <c r="AH742">
        <v>0</v>
      </c>
      <c r="AI742">
        <v>0</v>
      </c>
      <c r="AJ742">
        <v>0</v>
      </c>
      <c r="AK742">
        <v>0</v>
      </c>
      <c r="AL742" t="s">
        <v>7360</v>
      </c>
      <c r="AM742">
        <v>0</v>
      </c>
      <c r="AN742" s="20">
        <v>45012</v>
      </c>
      <c r="AO742" s="20">
        <v>45012</v>
      </c>
      <c r="AP742" s="20">
        <v>45012</v>
      </c>
      <c r="AQ742">
        <v>0</v>
      </c>
      <c r="AR742">
        <v>0</v>
      </c>
      <c r="AS742">
        <v>0</v>
      </c>
      <c r="AT742">
        <v>0</v>
      </c>
      <c r="AU742">
        <v>0</v>
      </c>
      <c r="AV742" t="s">
        <v>7360</v>
      </c>
      <c r="AW742">
        <v>0</v>
      </c>
      <c r="AX742" t="s">
        <v>7360</v>
      </c>
      <c r="AY742" t="s">
        <v>7363</v>
      </c>
      <c r="BA742">
        <v>0</v>
      </c>
      <c r="BB742" s="20">
        <v>45012</v>
      </c>
      <c r="BC742">
        <v>0</v>
      </c>
      <c r="BD742" t="s">
        <v>7360</v>
      </c>
      <c r="BF742" s="20">
        <v>45012</v>
      </c>
      <c r="BG742">
        <v>0</v>
      </c>
      <c r="BH742" t="s">
        <v>7363</v>
      </c>
      <c r="BJ742" t="s">
        <v>7362</v>
      </c>
      <c r="BK742">
        <v>169</v>
      </c>
      <c r="BL742">
        <v>11</v>
      </c>
      <c r="BM742">
        <v>1</v>
      </c>
      <c r="BN742" t="s">
        <v>7364</v>
      </c>
      <c r="BO742">
        <v>169</v>
      </c>
      <c r="BP742">
        <v>11</v>
      </c>
      <c r="BQ742">
        <v>1</v>
      </c>
      <c r="BR742" t="s">
        <v>7364</v>
      </c>
      <c r="BS742" t="s">
        <v>7365</v>
      </c>
      <c r="BT742" t="s">
        <v>7360</v>
      </c>
      <c r="BU742" t="s">
        <v>7360</v>
      </c>
      <c r="BV742" t="s">
        <v>7360</v>
      </c>
      <c r="BX742" t="s">
        <v>7391</v>
      </c>
      <c r="BY742">
        <v>74</v>
      </c>
      <c r="BZ742" t="s">
        <v>7360</v>
      </c>
      <c r="CA742" t="s">
        <v>7360</v>
      </c>
      <c r="CB742">
        <v>3380666</v>
      </c>
      <c r="CC742" s="21">
        <v>45012.34820601852</v>
      </c>
      <c r="CE742" t="s">
        <v>7392</v>
      </c>
      <c r="CF742">
        <v>1100101</v>
      </c>
      <c r="CG742">
        <v>51669</v>
      </c>
      <c r="CH742">
        <v>51669</v>
      </c>
      <c r="CI742" s="21">
        <v>45012.349131944444</v>
      </c>
      <c r="CJ742" t="s">
        <v>7406</v>
      </c>
      <c r="CK742" t="s">
        <v>7406</v>
      </c>
      <c r="CL742" t="s">
        <v>7407</v>
      </c>
      <c r="CM742" t="s">
        <v>7407</v>
      </c>
      <c r="CS742" t="s">
        <v>7361</v>
      </c>
      <c r="CT742" t="s">
        <v>7362</v>
      </c>
      <c r="CU742" t="s">
        <v>7362</v>
      </c>
      <c r="CV742" t="s">
        <v>7362</v>
      </c>
      <c r="CW742" t="s">
        <v>7362</v>
      </c>
      <c r="CX742">
        <v>3600000</v>
      </c>
      <c r="DA742">
        <v>0</v>
      </c>
    </row>
    <row r="743" spans="1:110" x14ac:dyDescent="0.3">
      <c r="A743">
        <v>1372</v>
      </c>
      <c r="B743" t="s">
        <v>7369</v>
      </c>
      <c r="C743">
        <v>309</v>
      </c>
      <c r="D743" s="20">
        <v>44967</v>
      </c>
      <c r="E743" t="s">
        <v>7356</v>
      </c>
      <c r="F743" t="s">
        <v>4641</v>
      </c>
      <c r="G743" t="s">
        <v>7357</v>
      </c>
      <c r="H743">
        <v>1</v>
      </c>
      <c r="I743" t="s">
        <v>7358</v>
      </c>
      <c r="J743">
        <v>1</v>
      </c>
      <c r="K743" s="20">
        <v>44970</v>
      </c>
      <c r="L743" s="23">
        <v>45666821</v>
      </c>
      <c r="M743" t="s">
        <v>7359</v>
      </c>
      <c r="N743" t="s">
        <v>7360</v>
      </c>
      <c r="O743">
        <v>0</v>
      </c>
      <c r="P743">
        <v>12222</v>
      </c>
      <c r="Q743">
        <v>422012</v>
      </c>
      <c r="R743">
        <v>0</v>
      </c>
      <c r="S743">
        <v>20230210</v>
      </c>
      <c r="T743">
        <v>0</v>
      </c>
      <c r="U743" t="s">
        <v>7362</v>
      </c>
      <c r="V743" t="s">
        <v>7360</v>
      </c>
      <c r="W743" t="s">
        <v>7360</v>
      </c>
      <c r="X743" t="s">
        <v>7360</v>
      </c>
      <c r="Y743" t="s">
        <v>7360</v>
      </c>
      <c r="Z743" t="s">
        <v>7360</v>
      </c>
      <c r="AA743" t="s">
        <v>7362</v>
      </c>
      <c r="AB743" t="s">
        <v>7360</v>
      </c>
      <c r="AC743" t="s">
        <v>7360</v>
      </c>
      <c r="AD743" t="s">
        <v>7360</v>
      </c>
      <c r="AE743" t="s">
        <v>7360</v>
      </c>
      <c r="AF743" t="s">
        <v>1684</v>
      </c>
      <c r="AG743">
        <v>0</v>
      </c>
      <c r="AH743">
        <v>0</v>
      </c>
      <c r="AI743">
        <v>0</v>
      </c>
      <c r="AJ743">
        <v>0</v>
      </c>
      <c r="AK743">
        <v>0</v>
      </c>
      <c r="AL743" t="s">
        <v>7360</v>
      </c>
      <c r="AM743">
        <v>0</v>
      </c>
      <c r="AN743" s="20">
        <v>44970</v>
      </c>
      <c r="AO743" s="20">
        <v>44970</v>
      </c>
      <c r="AP743" s="20">
        <v>44970</v>
      </c>
      <c r="AQ743">
        <v>0</v>
      </c>
      <c r="AR743">
        <v>0</v>
      </c>
      <c r="AS743">
        <v>0</v>
      </c>
      <c r="AT743">
        <v>0</v>
      </c>
      <c r="AU743">
        <v>0</v>
      </c>
      <c r="AV743" t="s">
        <v>7360</v>
      </c>
      <c r="AW743">
        <v>0</v>
      </c>
      <c r="AX743" t="s">
        <v>7360</v>
      </c>
      <c r="AY743" t="s">
        <v>7362</v>
      </c>
      <c r="AZ743">
        <v>1384</v>
      </c>
      <c r="BA743">
        <v>78</v>
      </c>
      <c r="BB743" s="20">
        <v>45008</v>
      </c>
      <c r="BC743">
        <v>20230323</v>
      </c>
      <c r="BD743" t="s">
        <v>7471</v>
      </c>
      <c r="BF743" s="20">
        <v>44970</v>
      </c>
      <c r="BG743">
        <v>0</v>
      </c>
      <c r="BH743" t="s">
        <v>7363</v>
      </c>
      <c r="BJ743" t="s">
        <v>7362</v>
      </c>
      <c r="BK743">
        <v>169</v>
      </c>
      <c r="BL743">
        <v>11</v>
      </c>
      <c r="BM743">
        <v>1</v>
      </c>
      <c r="BN743" t="s">
        <v>7364</v>
      </c>
      <c r="BO743">
        <v>0</v>
      </c>
      <c r="BP743">
        <v>0</v>
      </c>
      <c r="BQ743">
        <v>0</v>
      </c>
      <c r="BR743">
        <v>0</v>
      </c>
      <c r="BS743" t="s">
        <v>7387</v>
      </c>
      <c r="BT743" t="s">
        <v>7360</v>
      </c>
      <c r="BU743" t="s">
        <v>7360</v>
      </c>
      <c r="BV743" t="s">
        <v>7360</v>
      </c>
      <c r="BX743" t="s">
        <v>7391</v>
      </c>
      <c r="BY743">
        <v>74</v>
      </c>
      <c r="BZ743" t="s">
        <v>7360</v>
      </c>
      <c r="CA743" t="s">
        <v>7360</v>
      </c>
      <c r="CB743">
        <v>5558210</v>
      </c>
      <c r="CC743" s="21">
        <v>44970.612303240741</v>
      </c>
      <c r="CE743" t="s">
        <v>7392</v>
      </c>
      <c r="CF743">
        <v>1100101</v>
      </c>
      <c r="CG743">
        <v>53575</v>
      </c>
      <c r="CH743">
        <v>53575</v>
      </c>
      <c r="CI743" s="21">
        <v>44970.615601851852</v>
      </c>
      <c r="CJ743" t="s">
        <v>7393</v>
      </c>
      <c r="CK743" t="s">
        <v>7393</v>
      </c>
      <c r="CL743" t="s">
        <v>7394</v>
      </c>
      <c r="CM743" t="s">
        <v>7394</v>
      </c>
      <c r="CS743" t="s">
        <v>7361</v>
      </c>
      <c r="CT743" t="s">
        <v>7362</v>
      </c>
      <c r="CU743" t="s">
        <v>7362</v>
      </c>
      <c r="CV743" t="s">
        <v>7362</v>
      </c>
      <c r="CW743" t="s">
        <v>7362</v>
      </c>
      <c r="CX743">
        <v>45666821</v>
      </c>
      <c r="CY743" t="s">
        <v>1684</v>
      </c>
      <c r="DA743">
        <v>0</v>
      </c>
    </row>
    <row r="744" spans="1:110" x14ac:dyDescent="0.3">
      <c r="A744">
        <v>1354</v>
      </c>
      <c r="B744" t="s">
        <v>7396</v>
      </c>
      <c r="C744">
        <v>777</v>
      </c>
      <c r="D744" s="20">
        <v>45012</v>
      </c>
      <c r="E744" t="s">
        <v>7372</v>
      </c>
      <c r="F744" t="s">
        <v>4646</v>
      </c>
      <c r="G744" t="s">
        <v>7370</v>
      </c>
      <c r="H744">
        <v>1</v>
      </c>
      <c r="I744" t="s">
        <v>7358</v>
      </c>
      <c r="J744">
        <v>1</v>
      </c>
      <c r="K744" s="20">
        <v>45012</v>
      </c>
      <c r="L744" s="23">
        <v>2712000</v>
      </c>
      <c r="M744" t="s">
        <v>7359</v>
      </c>
      <c r="N744" t="s">
        <v>7360</v>
      </c>
      <c r="O744">
        <v>0</v>
      </c>
      <c r="P744">
        <v>13400</v>
      </c>
      <c r="Q744">
        <v>459024</v>
      </c>
      <c r="R744">
        <v>0</v>
      </c>
      <c r="S744">
        <v>20230327</v>
      </c>
      <c r="T744">
        <v>0</v>
      </c>
      <c r="U744" t="s">
        <v>7362</v>
      </c>
      <c r="V744" t="s">
        <v>7360</v>
      </c>
      <c r="W744" t="s">
        <v>7360</v>
      </c>
      <c r="X744" t="s">
        <v>7360</v>
      </c>
      <c r="Y744" t="s">
        <v>7360</v>
      </c>
      <c r="Z744" t="s">
        <v>7360</v>
      </c>
      <c r="AA744" t="s">
        <v>7362</v>
      </c>
      <c r="AB744" t="s">
        <v>7360</v>
      </c>
      <c r="AC744" t="s">
        <v>7360</v>
      </c>
      <c r="AD744" t="s">
        <v>7360</v>
      </c>
      <c r="AE744" t="s">
        <v>7360</v>
      </c>
      <c r="AF744" t="s">
        <v>1684</v>
      </c>
      <c r="AG744">
        <v>0</v>
      </c>
      <c r="AH744">
        <v>0</v>
      </c>
      <c r="AI744">
        <v>0</v>
      </c>
      <c r="AJ744">
        <v>0</v>
      </c>
      <c r="AK744">
        <v>0</v>
      </c>
      <c r="AL744" t="s">
        <v>7360</v>
      </c>
      <c r="AM744">
        <v>0</v>
      </c>
      <c r="AN744" s="20">
        <v>45012</v>
      </c>
      <c r="AO744" s="20">
        <v>45012</v>
      </c>
      <c r="AP744" s="20">
        <v>45012</v>
      </c>
      <c r="AQ744">
        <v>0</v>
      </c>
      <c r="AR744">
        <v>0</v>
      </c>
      <c r="AS744">
        <v>0</v>
      </c>
      <c r="AT744">
        <v>0</v>
      </c>
      <c r="AU744">
        <v>0</v>
      </c>
      <c r="AV744" t="s">
        <v>7360</v>
      </c>
      <c r="AW744">
        <v>0</v>
      </c>
      <c r="AX744" t="s">
        <v>7360</v>
      </c>
      <c r="AY744" t="s">
        <v>7362</v>
      </c>
      <c r="BA744">
        <v>0</v>
      </c>
      <c r="BB744" s="20">
        <v>45012</v>
      </c>
      <c r="BC744">
        <v>0</v>
      </c>
      <c r="BD744" t="s">
        <v>7360</v>
      </c>
      <c r="BF744" s="20">
        <v>45012</v>
      </c>
      <c r="BG744">
        <v>0</v>
      </c>
      <c r="BH744" t="s">
        <v>7363</v>
      </c>
      <c r="BJ744" t="s">
        <v>7362</v>
      </c>
      <c r="BK744">
        <v>169</v>
      </c>
      <c r="BL744">
        <v>11</v>
      </c>
      <c r="BM744">
        <v>1</v>
      </c>
      <c r="BN744" t="s">
        <v>7364</v>
      </c>
      <c r="BO744">
        <v>169</v>
      </c>
      <c r="BP744">
        <v>11</v>
      </c>
      <c r="BQ744">
        <v>1</v>
      </c>
      <c r="BR744" t="s">
        <v>7364</v>
      </c>
      <c r="BS744" t="s">
        <v>7365</v>
      </c>
      <c r="BT744" t="s">
        <v>7360</v>
      </c>
      <c r="BU744" t="s">
        <v>7360</v>
      </c>
      <c r="BV744" t="s">
        <v>7360</v>
      </c>
      <c r="BX744" t="s">
        <v>7391</v>
      </c>
      <c r="BY744">
        <v>74</v>
      </c>
      <c r="BZ744" t="s">
        <v>7360</v>
      </c>
      <c r="CA744" t="s">
        <v>7360</v>
      </c>
      <c r="CB744">
        <v>3380666</v>
      </c>
      <c r="CC744" s="21">
        <v>45012.360509259262</v>
      </c>
      <c r="CE744" t="s">
        <v>7392</v>
      </c>
      <c r="CF744">
        <v>1100101</v>
      </c>
      <c r="CG744">
        <v>51669</v>
      </c>
      <c r="CH744">
        <v>51669</v>
      </c>
      <c r="CI744" s="21">
        <v>45012.361435185187</v>
      </c>
      <c r="CJ744" t="s">
        <v>7406</v>
      </c>
      <c r="CK744" t="s">
        <v>7406</v>
      </c>
      <c r="CL744" t="s">
        <v>7407</v>
      </c>
      <c r="CM744" t="s">
        <v>7407</v>
      </c>
      <c r="CS744" t="s">
        <v>7361</v>
      </c>
      <c r="CT744" t="s">
        <v>7362</v>
      </c>
      <c r="CU744" t="s">
        <v>7362</v>
      </c>
      <c r="CV744" t="s">
        <v>7362</v>
      </c>
      <c r="CW744" t="s">
        <v>7362</v>
      </c>
      <c r="CX744">
        <v>2712000</v>
      </c>
      <c r="DA744">
        <v>0</v>
      </c>
    </row>
    <row r="745" spans="1:110" x14ac:dyDescent="0.3">
      <c r="A745">
        <v>1360</v>
      </c>
      <c r="B745" t="s">
        <v>7401</v>
      </c>
      <c r="C745">
        <v>378</v>
      </c>
      <c r="D745" s="20">
        <v>44973</v>
      </c>
      <c r="E745" t="s">
        <v>7356</v>
      </c>
      <c r="F745" t="s">
        <v>4652</v>
      </c>
      <c r="G745" t="s">
        <v>7357</v>
      </c>
      <c r="H745">
        <v>1</v>
      </c>
      <c r="I745" t="s">
        <v>7358</v>
      </c>
      <c r="J745">
        <v>1</v>
      </c>
      <c r="K745" s="20">
        <v>44973</v>
      </c>
      <c r="L745" s="23">
        <v>50028566</v>
      </c>
      <c r="M745" t="s">
        <v>7359</v>
      </c>
      <c r="N745" t="s">
        <v>7360</v>
      </c>
      <c r="O745">
        <v>0</v>
      </c>
      <c r="P745">
        <v>12427</v>
      </c>
      <c r="Q745">
        <v>436001</v>
      </c>
      <c r="R745">
        <v>0</v>
      </c>
      <c r="S745">
        <v>20230216</v>
      </c>
      <c r="T745">
        <v>0</v>
      </c>
      <c r="U745" t="s">
        <v>7361</v>
      </c>
      <c r="V745" t="s">
        <v>7360</v>
      </c>
      <c r="W745" t="s">
        <v>7360</v>
      </c>
      <c r="X745" t="s">
        <v>7360</v>
      </c>
      <c r="Y745" t="s">
        <v>7360</v>
      </c>
      <c r="Z745" t="s">
        <v>7360</v>
      </c>
      <c r="AA745" t="s">
        <v>7362</v>
      </c>
      <c r="AB745" t="s">
        <v>7360</v>
      </c>
      <c r="AC745" t="s">
        <v>7360</v>
      </c>
      <c r="AD745" t="s">
        <v>7360</v>
      </c>
      <c r="AE745" t="s">
        <v>7360</v>
      </c>
      <c r="AF745" t="s">
        <v>1684</v>
      </c>
      <c r="AG745">
        <v>0</v>
      </c>
      <c r="AH745">
        <v>0</v>
      </c>
      <c r="AI745">
        <v>0</v>
      </c>
      <c r="AJ745">
        <v>0</v>
      </c>
      <c r="AK745">
        <v>0</v>
      </c>
      <c r="AL745" t="s">
        <v>7360</v>
      </c>
      <c r="AM745">
        <v>0</v>
      </c>
      <c r="AN745" s="20">
        <v>44973</v>
      </c>
      <c r="AO745" s="20">
        <v>44973</v>
      </c>
      <c r="AP745" s="20">
        <v>44973</v>
      </c>
      <c r="AQ745">
        <v>0</v>
      </c>
      <c r="AR745">
        <v>0</v>
      </c>
      <c r="AS745">
        <v>0</v>
      </c>
      <c r="AT745">
        <v>0</v>
      </c>
      <c r="AU745">
        <v>0</v>
      </c>
      <c r="AV745" t="s">
        <v>7360</v>
      </c>
      <c r="AW745">
        <v>0</v>
      </c>
      <c r="AX745" t="s">
        <v>7360</v>
      </c>
      <c r="AY745" t="s">
        <v>7363</v>
      </c>
      <c r="BA745">
        <v>0</v>
      </c>
      <c r="BB745" s="20">
        <v>44973</v>
      </c>
      <c r="BC745">
        <v>0</v>
      </c>
      <c r="BD745" t="s">
        <v>7360</v>
      </c>
      <c r="BF745" s="20">
        <v>44973</v>
      </c>
      <c r="BG745">
        <v>0</v>
      </c>
      <c r="BH745" t="s">
        <v>7363</v>
      </c>
      <c r="BJ745" t="s">
        <v>7362</v>
      </c>
      <c r="BK745">
        <v>0</v>
      </c>
      <c r="BL745">
        <v>0</v>
      </c>
      <c r="BM745">
        <v>0</v>
      </c>
      <c r="BN745">
        <v>0</v>
      </c>
      <c r="BO745">
        <v>169</v>
      </c>
      <c r="BP745">
        <v>11</v>
      </c>
      <c r="BQ745">
        <v>1</v>
      </c>
      <c r="BR745" t="s">
        <v>7364</v>
      </c>
      <c r="BS745" t="s">
        <v>7386</v>
      </c>
      <c r="BT745" t="s">
        <v>7360</v>
      </c>
      <c r="BU745" t="s">
        <v>7360</v>
      </c>
      <c r="BV745" t="s">
        <v>7360</v>
      </c>
      <c r="BX745">
        <v>0</v>
      </c>
      <c r="BY745">
        <v>0</v>
      </c>
      <c r="BZ745" t="s">
        <v>7360</v>
      </c>
      <c r="CA745" t="s">
        <v>7360</v>
      </c>
      <c r="CB745">
        <v>3380666</v>
      </c>
      <c r="CC745" s="21">
        <v>44973.846643518518</v>
      </c>
      <c r="CE745" t="s">
        <v>7366</v>
      </c>
      <c r="CF745">
        <v>0</v>
      </c>
      <c r="CG745">
        <v>702002</v>
      </c>
      <c r="CH745">
        <v>702002</v>
      </c>
      <c r="CI745" s="21">
        <v>44973.868425925924</v>
      </c>
      <c r="CJ745" t="s">
        <v>7367</v>
      </c>
      <c r="CK745" t="s">
        <v>7367</v>
      </c>
      <c r="CL745" t="s">
        <v>7368</v>
      </c>
      <c r="CM745" t="s">
        <v>7368</v>
      </c>
      <c r="CS745" t="s">
        <v>7361</v>
      </c>
      <c r="CT745" t="s">
        <v>7362</v>
      </c>
      <c r="CU745" t="s">
        <v>7362</v>
      </c>
      <c r="CV745" t="s">
        <v>7362</v>
      </c>
      <c r="CW745" t="s">
        <v>7362</v>
      </c>
      <c r="CX745">
        <v>50028566</v>
      </c>
      <c r="DA745">
        <v>0</v>
      </c>
    </row>
    <row r="746" spans="1:110" x14ac:dyDescent="0.3">
      <c r="A746">
        <v>1360</v>
      </c>
      <c r="B746" t="s">
        <v>7401</v>
      </c>
      <c r="C746">
        <v>826</v>
      </c>
      <c r="D746" s="20">
        <v>45014</v>
      </c>
      <c r="E746" t="s">
        <v>7372</v>
      </c>
      <c r="F746" t="s">
        <v>4657</v>
      </c>
      <c r="G746" t="s">
        <v>7357</v>
      </c>
      <c r="H746">
        <v>1</v>
      </c>
      <c r="I746" t="s">
        <v>7358</v>
      </c>
      <c r="J746">
        <v>1</v>
      </c>
      <c r="K746" s="20">
        <v>45014</v>
      </c>
      <c r="L746" s="23">
        <v>51084205</v>
      </c>
      <c r="M746" t="s">
        <v>7403</v>
      </c>
      <c r="N746" t="s">
        <v>7360</v>
      </c>
      <c r="O746">
        <v>0</v>
      </c>
      <c r="P746">
        <v>13085</v>
      </c>
      <c r="Q746">
        <v>144004</v>
      </c>
      <c r="R746">
        <v>0</v>
      </c>
      <c r="S746">
        <v>20230329</v>
      </c>
      <c r="T746">
        <v>0</v>
      </c>
      <c r="U746" t="s">
        <v>7362</v>
      </c>
      <c r="V746" t="s">
        <v>7360</v>
      </c>
      <c r="W746" t="s">
        <v>7360</v>
      </c>
      <c r="X746" t="s">
        <v>7360</v>
      </c>
      <c r="Y746" t="s">
        <v>7360</v>
      </c>
      <c r="Z746" t="s">
        <v>7360</v>
      </c>
      <c r="AA746" t="s">
        <v>7362</v>
      </c>
      <c r="AB746" t="s">
        <v>7360</v>
      </c>
      <c r="AC746" t="s">
        <v>7360</v>
      </c>
      <c r="AD746" t="s">
        <v>7360</v>
      </c>
      <c r="AE746" t="s">
        <v>7360</v>
      </c>
      <c r="AF746" t="s">
        <v>1684</v>
      </c>
      <c r="AG746">
        <v>0</v>
      </c>
      <c r="AH746">
        <v>0</v>
      </c>
      <c r="AI746">
        <v>0</v>
      </c>
      <c r="AJ746">
        <v>0</v>
      </c>
      <c r="AK746">
        <v>0</v>
      </c>
      <c r="AL746" t="s">
        <v>7360</v>
      </c>
      <c r="AM746">
        <v>0</v>
      </c>
      <c r="AN746" s="20">
        <v>45014</v>
      </c>
      <c r="AO746" s="20">
        <v>45014</v>
      </c>
      <c r="AP746" s="20">
        <v>45014</v>
      </c>
      <c r="AQ746">
        <v>0</v>
      </c>
      <c r="AR746">
        <v>0</v>
      </c>
      <c r="AS746">
        <v>0</v>
      </c>
      <c r="AT746">
        <v>0</v>
      </c>
      <c r="AU746">
        <v>0</v>
      </c>
      <c r="AV746" t="s">
        <v>7360</v>
      </c>
      <c r="AW746">
        <v>0</v>
      </c>
      <c r="AX746" t="s">
        <v>7360</v>
      </c>
      <c r="AY746" t="s">
        <v>7362</v>
      </c>
      <c r="BA746">
        <v>0</v>
      </c>
      <c r="BB746" s="20">
        <v>45014</v>
      </c>
      <c r="BC746">
        <v>0</v>
      </c>
      <c r="BD746" t="s">
        <v>7360</v>
      </c>
      <c r="BE746">
        <v>133</v>
      </c>
      <c r="BF746" s="20">
        <v>45014</v>
      </c>
      <c r="BG746">
        <v>0</v>
      </c>
      <c r="BH746" t="s">
        <v>7363</v>
      </c>
      <c r="BJ746" t="s">
        <v>7362</v>
      </c>
      <c r="BK746">
        <v>169</v>
      </c>
      <c r="BL746">
        <v>11</v>
      </c>
      <c r="BM746">
        <v>1</v>
      </c>
      <c r="BN746" t="s">
        <v>7364</v>
      </c>
      <c r="BO746">
        <v>169</v>
      </c>
      <c r="BP746">
        <v>11</v>
      </c>
      <c r="BQ746">
        <v>1</v>
      </c>
      <c r="BR746" t="s">
        <v>7364</v>
      </c>
      <c r="BS746" t="s">
        <v>7472</v>
      </c>
      <c r="BT746" t="s">
        <v>7360</v>
      </c>
      <c r="BU746" t="s">
        <v>7360</v>
      </c>
      <c r="BV746" t="s">
        <v>7360</v>
      </c>
      <c r="BX746" t="s">
        <v>7391</v>
      </c>
      <c r="BY746">
        <v>74</v>
      </c>
      <c r="BZ746" t="s">
        <v>7360</v>
      </c>
      <c r="CA746" t="s">
        <v>7360</v>
      </c>
      <c r="CB746">
        <v>3380666</v>
      </c>
      <c r="CC746" s="21">
        <v>45014.522997685184</v>
      </c>
      <c r="CE746" t="s">
        <v>7392</v>
      </c>
      <c r="CF746">
        <v>1100101</v>
      </c>
      <c r="CG746">
        <v>51669</v>
      </c>
      <c r="CH746">
        <v>51669</v>
      </c>
      <c r="CI746" s="21">
        <v>45014.526493055557</v>
      </c>
      <c r="CJ746" t="s">
        <v>7406</v>
      </c>
      <c r="CK746" t="s">
        <v>7406</v>
      </c>
      <c r="CL746" t="s">
        <v>7407</v>
      </c>
      <c r="CM746" t="s">
        <v>7407</v>
      </c>
      <c r="CS746" t="s">
        <v>7361</v>
      </c>
      <c r="CT746" t="s">
        <v>7362</v>
      </c>
      <c r="CU746" t="s">
        <v>7362</v>
      </c>
      <c r="CV746" t="s">
        <v>7362</v>
      </c>
      <c r="CW746" t="s">
        <v>7362</v>
      </c>
      <c r="CX746">
        <v>51084205</v>
      </c>
      <c r="DA746">
        <v>0</v>
      </c>
      <c r="DB746">
        <v>144004</v>
      </c>
      <c r="DF746" t="s">
        <v>7473</v>
      </c>
    </row>
    <row r="747" spans="1:110" x14ac:dyDescent="0.3">
      <c r="A747">
        <v>1352</v>
      </c>
      <c r="B747" t="s">
        <v>7416</v>
      </c>
      <c r="C747">
        <v>780</v>
      </c>
      <c r="D747" s="20">
        <v>45012</v>
      </c>
      <c r="E747" t="s">
        <v>7372</v>
      </c>
      <c r="F747" t="s">
        <v>4662</v>
      </c>
      <c r="G747" t="s">
        <v>7357</v>
      </c>
      <c r="H747">
        <v>1</v>
      </c>
      <c r="I747" t="s">
        <v>7358</v>
      </c>
      <c r="J747">
        <v>1</v>
      </c>
      <c r="K747" s="20">
        <v>45012</v>
      </c>
      <c r="L747" s="23">
        <v>850000</v>
      </c>
      <c r="M747" t="s">
        <v>7359</v>
      </c>
      <c r="N747" t="s">
        <v>7360</v>
      </c>
      <c r="O747">
        <v>0</v>
      </c>
      <c r="P747">
        <v>13451</v>
      </c>
      <c r="Q747">
        <v>460021</v>
      </c>
      <c r="R747">
        <v>0</v>
      </c>
      <c r="S747">
        <v>20230327</v>
      </c>
      <c r="T747">
        <v>0</v>
      </c>
      <c r="U747" t="s">
        <v>7362</v>
      </c>
      <c r="V747" t="s">
        <v>7360</v>
      </c>
      <c r="W747" t="s">
        <v>7360</v>
      </c>
      <c r="X747" t="s">
        <v>7360</v>
      </c>
      <c r="Y747" t="s">
        <v>7360</v>
      </c>
      <c r="Z747" t="s">
        <v>7360</v>
      </c>
      <c r="AA747" t="s">
        <v>7362</v>
      </c>
      <c r="AB747" t="s">
        <v>7360</v>
      </c>
      <c r="AC747" t="s">
        <v>7360</v>
      </c>
      <c r="AD747" t="s">
        <v>7360</v>
      </c>
      <c r="AE747" t="s">
        <v>7360</v>
      </c>
      <c r="AF747" t="s">
        <v>1684</v>
      </c>
      <c r="AG747">
        <v>0</v>
      </c>
      <c r="AH747">
        <v>0</v>
      </c>
      <c r="AI747">
        <v>0</v>
      </c>
      <c r="AJ747">
        <v>0</v>
      </c>
      <c r="AK747">
        <v>0</v>
      </c>
      <c r="AL747" t="s">
        <v>7360</v>
      </c>
      <c r="AM747">
        <v>0</v>
      </c>
      <c r="AN747" s="20">
        <v>45012</v>
      </c>
      <c r="AO747" s="20">
        <v>45012</v>
      </c>
      <c r="AP747" s="20">
        <v>45012</v>
      </c>
      <c r="AQ747">
        <v>0</v>
      </c>
      <c r="AR747">
        <v>0</v>
      </c>
      <c r="AS747">
        <v>0</v>
      </c>
      <c r="AT747">
        <v>0</v>
      </c>
      <c r="AU747">
        <v>0</v>
      </c>
      <c r="AV747" t="s">
        <v>7360</v>
      </c>
      <c r="AW747">
        <v>0</v>
      </c>
      <c r="AX747" t="s">
        <v>7360</v>
      </c>
      <c r="AY747" t="s">
        <v>7362</v>
      </c>
      <c r="BA747">
        <v>0</v>
      </c>
      <c r="BB747" s="20">
        <v>45012</v>
      </c>
      <c r="BC747">
        <v>0</v>
      </c>
      <c r="BD747" t="s">
        <v>7360</v>
      </c>
      <c r="BF747" s="20">
        <v>45012</v>
      </c>
      <c r="BG747">
        <v>0</v>
      </c>
      <c r="BH747" t="s">
        <v>7363</v>
      </c>
      <c r="BJ747" t="s">
        <v>7362</v>
      </c>
      <c r="BK747">
        <v>0</v>
      </c>
      <c r="BL747">
        <v>0</v>
      </c>
      <c r="BM747">
        <v>0</v>
      </c>
      <c r="BN747">
        <v>0</v>
      </c>
      <c r="BO747">
        <v>169</v>
      </c>
      <c r="BP747">
        <v>11</v>
      </c>
      <c r="BQ747">
        <v>1</v>
      </c>
      <c r="BR747" t="s">
        <v>7364</v>
      </c>
      <c r="BS747" t="s">
        <v>61</v>
      </c>
      <c r="BT747" t="s">
        <v>7360</v>
      </c>
      <c r="BU747" t="s">
        <v>7360</v>
      </c>
      <c r="BV747" t="s">
        <v>7360</v>
      </c>
      <c r="BX747">
        <v>0</v>
      </c>
      <c r="BY747">
        <v>0</v>
      </c>
      <c r="BZ747" t="s">
        <v>7360</v>
      </c>
      <c r="CA747" t="s">
        <v>7360</v>
      </c>
      <c r="CB747">
        <v>3380666</v>
      </c>
      <c r="CC747" s="21">
        <v>45012.364479166667</v>
      </c>
      <c r="CE747" t="s">
        <v>7366</v>
      </c>
      <c r="CF747">
        <v>0</v>
      </c>
      <c r="CG747">
        <v>702002</v>
      </c>
      <c r="CH747">
        <v>702002</v>
      </c>
      <c r="CI747" s="21">
        <v>45012.377800925926</v>
      </c>
      <c r="CJ747" t="s">
        <v>7367</v>
      </c>
      <c r="CK747" t="s">
        <v>7367</v>
      </c>
      <c r="CL747" t="s">
        <v>7368</v>
      </c>
      <c r="CM747" t="s">
        <v>7368</v>
      </c>
      <c r="CS747" t="s">
        <v>7361</v>
      </c>
      <c r="CT747" t="s">
        <v>7362</v>
      </c>
      <c r="CU747" t="s">
        <v>7362</v>
      </c>
      <c r="CV747" t="s">
        <v>7362</v>
      </c>
      <c r="CW747" t="s">
        <v>7362</v>
      </c>
      <c r="CX747">
        <v>850000</v>
      </c>
      <c r="DA747">
        <v>0</v>
      </c>
    </row>
    <row r="748" spans="1:110" x14ac:dyDescent="0.3">
      <c r="A748">
        <v>1357</v>
      </c>
      <c r="B748" t="s">
        <v>7405</v>
      </c>
      <c r="C748">
        <v>781</v>
      </c>
      <c r="D748" s="20">
        <v>45012</v>
      </c>
      <c r="E748" t="s">
        <v>7372</v>
      </c>
      <c r="F748" t="s">
        <v>4668</v>
      </c>
      <c r="G748" t="s">
        <v>7357</v>
      </c>
      <c r="H748">
        <v>1</v>
      </c>
      <c r="I748" t="s">
        <v>7358</v>
      </c>
      <c r="J748">
        <v>1</v>
      </c>
      <c r="K748" s="20">
        <v>45012</v>
      </c>
      <c r="L748" s="23">
        <v>1154300</v>
      </c>
      <c r="M748" t="s">
        <v>7359</v>
      </c>
      <c r="N748" t="s">
        <v>7360</v>
      </c>
      <c r="O748">
        <v>0</v>
      </c>
      <c r="P748">
        <v>13427</v>
      </c>
      <c r="Q748">
        <v>460015</v>
      </c>
      <c r="R748">
        <v>0</v>
      </c>
      <c r="S748">
        <v>20230327</v>
      </c>
      <c r="T748">
        <v>0</v>
      </c>
      <c r="U748" t="s">
        <v>7362</v>
      </c>
      <c r="V748" t="s">
        <v>7360</v>
      </c>
      <c r="W748" t="s">
        <v>7360</v>
      </c>
      <c r="X748" t="s">
        <v>7360</v>
      </c>
      <c r="Y748" t="s">
        <v>7360</v>
      </c>
      <c r="Z748" t="s">
        <v>7360</v>
      </c>
      <c r="AA748" t="s">
        <v>7362</v>
      </c>
      <c r="AB748" t="s">
        <v>7360</v>
      </c>
      <c r="AC748" t="s">
        <v>7360</v>
      </c>
      <c r="AD748" t="s">
        <v>7360</v>
      </c>
      <c r="AE748" t="s">
        <v>7360</v>
      </c>
      <c r="AF748" t="s">
        <v>1684</v>
      </c>
      <c r="AG748">
        <v>0</v>
      </c>
      <c r="AH748">
        <v>0</v>
      </c>
      <c r="AI748">
        <v>0</v>
      </c>
      <c r="AJ748">
        <v>0</v>
      </c>
      <c r="AK748">
        <v>0</v>
      </c>
      <c r="AL748" t="s">
        <v>7360</v>
      </c>
      <c r="AM748">
        <v>0</v>
      </c>
      <c r="AN748" s="20">
        <v>45012</v>
      </c>
      <c r="AO748" s="20">
        <v>45012</v>
      </c>
      <c r="AP748" s="20">
        <v>45012</v>
      </c>
      <c r="AQ748">
        <v>0</v>
      </c>
      <c r="AR748">
        <v>0</v>
      </c>
      <c r="AS748">
        <v>0</v>
      </c>
      <c r="AT748">
        <v>0</v>
      </c>
      <c r="AU748">
        <v>0</v>
      </c>
      <c r="AV748" t="s">
        <v>7360</v>
      </c>
      <c r="AW748">
        <v>0</v>
      </c>
      <c r="AX748" t="s">
        <v>7360</v>
      </c>
      <c r="AY748" t="s">
        <v>7362</v>
      </c>
      <c r="BA748">
        <v>0</v>
      </c>
      <c r="BB748" s="20">
        <v>45012</v>
      </c>
      <c r="BC748">
        <v>0</v>
      </c>
      <c r="BD748" t="s">
        <v>7360</v>
      </c>
      <c r="BF748" s="20">
        <v>45012</v>
      </c>
      <c r="BG748">
        <v>0</v>
      </c>
      <c r="BH748" t="s">
        <v>1684</v>
      </c>
      <c r="BJ748" t="s">
        <v>7362</v>
      </c>
      <c r="BK748">
        <v>169</v>
      </c>
      <c r="BL748">
        <v>11</v>
      </c>
      <c r="BM748">
        <v>1</v>
      </c>
      <c r="BN748" t="s">
        <v>7364</v>
      </c>
      <c r="BO748">
        <v>169</v>
      </c>
      <c r="BP748">
        <v>11</v>
      </c>
      <c r="BQ748">
        <v>1</v>
      </c>
      <c r="BR748" t="s">
        <v>7364</v>
      </c>
      <c r="BS748" t="s">
        <v>7454</v>
      </c>
      <c r="BT748" t="s">
        <v>7360</v>
      </c>
      <c r="BU748" t="s">
        <v>7360</v>
      </c>
      <c r="BV748" t="s">
        <v>7360</v>
      </c>
      <c r="BX748" t="s">
        <v>7391</v>
      </c>
      <c r="BY748">
        <v>74</v>
      </c>
      <c r="BZ748" t="s">
        <v>7360</v>
      </c>
      <c r="CA748" t="s">
        <v>7360</v>
      </c>
      <c r="CB748">
        <v>3156020026</v>
      </c>
      <c r="CC748" s="21">
        <v>45012.42087962963</v>
      </c>
      <c r="CE748" t="s">
        <v>7392</v>
      </c>
      <c r="CF748">
        <v>1100101</v>
      </c>
      <c r="CG748">
        <v>50947</v>
      </c>
      <c r="CH748">
        <v>50947</v>
      </c>
      <c r="CI748" s="21">
        <v>45012.42324074074</v>
      </c>
      <c r="CJ748" t="s">
        <v>7442</v>
      </c>
      <c r="CK748" t="s">
        <v>7442</v>
      </c>
      <c r="CL748" t="s">
        <v>7443</v>
      </c>
      <c r="CM748" t="s">
        <v>7443</v>
      </c>
      <c r="CS748" t="s">
        <v>7361</v>
      </c>
      <c r="CT748" t="s">
        <v>7362</v>
      </c>
      <c r="CU748" t="s">
        <v>7362</v>
      </c>
      <c r="CV748" t="s">
        <v>7362</v>
      </c>
      <c r="CW748" t="s">
        <v>7362</v>
      </c>
      <c r="CX748">
        <v>1154300</v>
      </c>
      <c r="DA748">
        <v>0</v>
      </c>
    </row>
    <row r="749" spans="1:110" x14ac:dyDescent="0.3">
      <c r="A749">
        <v>1366</v>
      </c>
      <c r="B749" t="s">
        <v>7380</v>
      </c>
      <c r="C749">
        <v>782</v>
      </c>
      <c r="D749" s="20">
        <v>45012</v>
      </c>
      <c r="E749" t="s">
        <v>7372</v>
      </c>
      <c r="F749" t="s">
        <v>4673</v>
      </c>
      <c r="G749" t="s">
        <v>7357</v>
      </c>
      <c r="H749">
        <v>1</v>
      </c>
      <c r="I749" t="s">
        <v>7358</v>
      </c>
      <c r="J749">
        <v>1</v>
      </c>
      <c r="K749" s="20">
        <v>45012</v>
      </c>
      <c r="L749" s="23">
        <v>6700722</v>
      </c>
      <c r="M749" t="s">
        <v>7359</v>
      </c>
      <c r="N749" t="s">
        <v>7360</v>
      </c>
      <c r="O749">
        <v>0</v>
      </c>
      <c r="P749">
        <v>13439</v>
      </c>
      <c r="Q749">
        <v>460020</v>
      </c>
      <c r="R749">
        <v>0</v>
      </c>
      <c r="S749">
        <v>20230327</v>
      </c>
      <c r="T749">
        <v>0</v>
      </c>
      <c r="U749" t="s">
        <v>7362</v>
      </c>
      <c r="V749" t="s">
        <v>7360</v>
      </c>
      <c r="W749" t="s">
        <v>7360</v>
      </c>
      <c r="X749" t="s">
        <v>7360</v>
      </c>
      <c r="Y749" t="s">
        <v>7360</v>
      </c>
      <c r="Z749" t="s">
        <v>7360</v>
      </c>
      <c r="AA749" t="s">
        <v>7362</v>
      </c>
      <c r="AB749" t="s">
        <v>7360</v>
      </c>
      <c r="AC749" t="s">
        <v>7360</v>
      </c>
      <c r="AD749" t="s">
        <v>7360</v>
      </c>
      <c r="AE749" t="s">
        <v>7360</v>
      </c>
      <c r="AF749" t="s">
        <v>1684</v>
      </c>
      <c r="AG749">
        <v>0</v>
      </c>
      <c r="AH749">
        <v>0</v>
      </c>
      <c r="AI749">
        <v>0</v>
      </c>
      <c r="AJ749">
        <v>0</v>
      </c>
      <c r="AK749">
        <v>0</v>
      </c>
      <c r="AL749" t="s">
        <v>7360</v>
      </c>
      <c r="AM749">
        <v>0</v>
      </c>
      <c r="AN749" s="20">
        <v>45012</v>
      </c>
      <c r="AO749" s="20">
        <v>45012</v>
      </c>
      <c r="AP749" s="20">
        <v>45012</v>
      </c>
      <c r="AQ749">
        <v>0</v>
      </c>
      <c r="AR749">
        <v>0</v>
      </c>
      <c r="AS749">
        <v>0</v>
      </c>
      <c r="AT749">
        <v>0</v>
      </c>
      <c r="AU749">
        <v>0</v>
      </c>
      <c r="AV749" t="s">
        <v>7360</v>
      </c>
      <c r="AW749">
        <v>0</v>
      </c>
      <c r="AX749" t="s">
        <v>7360</v>
      </c>
      <c r="AY749" t="s">
        <v>7362</v>
      </c>
      <c r="BA749">
        <v>0</v>
      </c>
      <c r="BB749" s="20">
        <v>45012</v>
      </c>
      <c r="BC749">
        <v>0</v>
      </c>
      <c r="BD749" t="s">
        <v>7360</v>
      </c>
      <c r="BF749" s="20">
        <v>45012</v>
      </c>
      <c r="BG749">
        <v>0</v>
      </c>
      <c r="BH749" t="s">
        <v>7363</v>
      </c>
      <c r="BJ749" t="s">
        <v>7362</v>
      </c>
      <c r="BK749">
        <v>169</v>
      </c>
      <c r="BL749">
        <v>11</v>
      </c>
      <c r="BM749">
        <v>1</v>
      </c>
      <c r="BN749" t="s">
        <v>7364</v>
      </c>
      <c r="BO749">
        <v>0</v>
      </c>
      <c r="BP749">
        <v>0</v>
      </c>
      <c r="BQ749">
        <v>0</v>
      </c>
      <c r="BR749">
        <v>0</v>
      </c>
      <c r="BS749" t="s">
        <v>7387</v>
      </c>
      <c r="BT749" t="s">
        <v>7360</v>
      </c>
      <c r="BU749" t="s">
        <v>7360</v>
      </c>
      <c r="BV749" t="s">
        <v>7360</v>
      </c>
      <c r="BX749" t="s">
        <v>7391</v>
      </c>
      <c r="BY749">
        <v>74</v>
      </c>
      <c r="BZ749" t="s">
        <v>7360</v>
      </c>
      <c r="CA749" t="s">
        <v>7360</v>
      </c>
      <c r="CB749">
        <v>5558210</v>
      </c>
      <c r="CC749" s="21">
        <v>45012.422025462962</v>
      </c>
      <c r="CE749" t="s">
        <v>7392</v>
      </c>
      <c r="CF749">
        <v>1100101</v>
      </c>
      <c r="CG749">
        <v>53575</v>
      </c>
      <c r="CH749">
        <v>53575</v>
      </c>
      <c r="CI749" s="21">
        <v>45012.422881944447</v>
      </c>
      <c r="CJ749" t="s">
        <v>7393</v>
      </c>
      <c r="CK749" t="s">
        <v>7393</v>
      </c>
      <c r="CL749" t="s">
        <v>7394</v>
      </c>
      <c r="CM749" t="s">
        <v>7394</v>
      </c>
      <c r="CS749" t="s">
        <v>7361</v>
      </c>
      <c r="CT749" t="s">
        <v>7362</v>
      </c>
      <c r="CU749" t="s">
        <v>7362</v>
      </c>
      <c r="CV749" t="s">
        <v>7362</v>
      </c>
      <c r="CW749" t="s">
        <v>7362</v>
      </c>
      <c r="CX749">
        <v>6700722</v>
      </c>
      <c r="DA749">
        <v>0</v>
      </c>
    </row>
    <row r="750" spans="1:110" x14ac:dyDescent="0.3">
      <c r="A750">
        <v>1357</v>
      </c>
      <c r="B750" t="s">
        <v>7405</v>
      </c>
      <c r="C750">
        <v>783</v>
      </c>
      <c r="D750" s="20">
        <v>45012</v>
      </c>
      <c r="E750" t="s">
        <v>7372</v>
      </c>
      <c r="F750" t="s">
        <v>4678</v>
      </c>
      <c r="G750" t="s">
        <v>7357</v>
      </c>
      <c r="H750">
        <v>1</v>
      </c>
      <c r="I750" t="s">
        <v>7358</v>
      </c>
      <c r="J750">
        <v>1</v>
      </c>
      <c r="K750" s="20">
        <v>45012</v>
      </c>
      <c r="L750" s="23">
        <v>3520787</v>
      </c>
      <c r="M750" t="s">
        <v>7359</v>
      </c>
      <c r="N750" t="s">
        <v>7360</v>
      </c>
      <c r="O750">
        <v>0</v>
      </c>
      <c r="P750">
        <v>13428</v>
      </c>
      <c r="Q750">
        <v>460016</v>
      </c>
      <c r="R750">
        <v>0</v>
      </c>
      <c r="S750">
        <v>20230327</v>
      </c>
      <c r="T750">
        <v>0</v>
      </c>
      <c r="U750" t="s">
        <v>7362</v>
      </c>
      <c r="V750" t="s">
        <v>7360</v>
      </c>
      <c r="W750" t="s">
        <v>7360</v>
      </c>
      <c r="X750" t="s">
        <v>7360</v>
      </c>
      <c r="Y750" t="s">
        <v>7360</v>
      </c>
      <c r="Z750" t="s">
        <v>7360</v>
      </c>
      <c r="AA750" t="s">
        <v>7362</v>
      </c>
      <c r="AB750" t="s">
        <v>7360</v>
      </c>
      <c r="AC750" t="s">
        <v>7360</v>
      </c>
      <c r="AD750" t="s">
        <v>7360</v>
      </c>
      <c r="AE750" t="s">
        <v>7360</v>
      </c>
      <c r="AF750" t="s">
        <v>1684</v>
      </c>
      <c r="AG750">
        <v>0</v>
      </c>
      <c r="AH750">
        <v>0</v>
      </c>
      <c r="AI750">
        <v>0</v>
      </c>
      <c r="AJ750">
        <v>0</v>
      </c>
      <c r="AK750">
        <v>0</v>
      </c>
      <c r="AL750" t="s">
        <v>7360</v>
      </c>
      <c r="AM750">
        <v>0</v>
      </c>
      <c r="AN750" s="20">
        <v>45012</v>
      </c>
      <c r="AO750" s="20">
        <v>45012</v>
      </c>
      <c r="AP750" s="20">
        <v>45012</v>
      </c>
      <c r="AQ750">
        <v>0</v>
      </c>
      <c r="AR750">
        <v>0</v>
      </c>
      <c r="AS750">
        <v>0</v>
      </c>
      <c r="AT750">
        <v>0</v>
      </c>
      <c r="AU750">
        <v>0</v>
      </c>
      <c r="AV750" t="s">
        <v>7360</v>
      </c>
      <c r="AW750">
        <v>0</v>
      </c>
      <c r="AX750" t="s">
        <v>7360</v>
      </c>
      <c r="AY750" t="s">
        <v>7362</v>
      </c>
      <c r="BA750">
        <v>0</v>
      </c>
      <c r="BB750" s="20">
        <v>45012</v>
      </c>
      <c r="BC750">
        <v>0</v>
      </c>
      <c r="BD750" t="s">
        <v>7360</v>
      </c>
      <c r="BF750" s="20">
        <v>45012</v>
      </c>
      <c r="BG750">
        <v>0</v>
      </c>
      <c r="BH750" t="s">
        <v>1684</v>
      </c>
      <c r="BJ750" t="s">
        <v>7362</v>
      </c>
      <c r="BK750">
        <v>169</v>
      </c>
      <c r="BL750">
        <v>11</v>
      </c>
      <c r="BM750">
        <v>1</v>
      </c>
      <c r="BN750" t="s">
        <v>7364</v>
      </c>
      <c r="BO750">
        <v>169</v>
      </c>
      <c r="BP750">
        <v>11</v>
      </c>
      <c r="BQ750">
        <v>1</v>
      </c>
      <c r="BR750" t="s">
        <v>7364</v>
      </c>
      <c r="BS750" t="s">
        <v>7454</v>
      </c>
      <c r="BT750" t="s">
        <v>7360</v>
      </c>
      <c r="BU750" t="s">
        <v>7360</v>
      </c>
      <c r="BV750" t="s">
        <v>7360</v>
      </c>
      <c r="BX750" t="s">
        <v>7391</v>
      </c>
      <c r="BY750">
        <v>74</v>
      </c>
      <c r="BZ750" t="s">
        <v>7360</v>
      </c>
      <c r="CA750" t="s">
        <v>7360</v>
      </c>
      <c r="CB750" t="s">
        <v>7360</v>
      </c>
      <c r="CC750" s="21">
        <v>45012.428472222222</v>
      </c>
      <c r="CE750" t="s">
        <v>7392</v>
      </c>
      <c r="CF750">
        <v>1100101</v>
      </c>
      <c r="CG750">
        <v>50947</v>
      </c>
      <c r="CH750">
        <v>50947</v>
      </c>
      <c r="CI750" s="21">
        <v>45012.441944444443</v>
      </c>
      <c r="CJ750" t="s">
        <v>7442</v>
      </c>
      <c r="CK750" t="s">
        <v>7442</v>
      </c>
      <c r="CL750" t="s">
        <v>7443</v>
      </c>
      <c r="CM750" t="s">
        <v>7443</v>
      </c>
      <c r="CS750" t="s">
        <v>7361</v>
      </c>
      <c r="CT750" t="s">
        <v>7362</v>
      </c>
      <c r="CU750" t="s">
        <v>7362</v>
      </c>
      <c r="CV750" t="s">
        <v>7362</v>
      </c>
      <c r="CW750" t="s">
        <v>7362</v>
      </c>
      <c r="CX750">
        <v>3520787</v>
      </c>
      <c r="DA750">
        <v>0</v>
      </c>
    </row>
    <row r="751" spans="1:110" x14ac:dyDescent="0.3">
      <c r="A751">
        <v>1366</v>
      </c>
      <c r="B751" t="s">
        <v>7380</v>
      </c>
      <c r="C751">
        <v>784</v>
      </c>
      <c r="D751" s="20">
        <v>45012</v>
      </c>
      <c r="E751" t="s">
        <v>7372</v>
      </c>
      <c r="F751" t="s">
        <v>4684</v>
      </c>
      <c r="G751" t="s">
        <v>7357</v>
      </c>
      <c r="H751">
        <v>1</v>
      </c>
      <c r="I751" t="s">
        <v>7358</v>
      </c>
      <c r="J751">
        <v>1</v>
      </c>
      <c r="K751" s="20">
        <v>45012</v>
      </c>
      <c r="L751" s="23">
        <v>373500</v>
      </c>
      <c r="M751" t="s">
        <v>7359</v>
      </c>
      <c r="N751" t="s">
        <v>7360</v>
      </c>
      <c r="O751">
        <v>0</v>
      </c>
      <c r="P751">
        <v>13420</v>
      </c>
      <c r="Q751">
        <v>460013</v>
      </c>
      <c r="R751">
        <v>0</v>
      </c>
      <c r="S751">
        <v>20230327</v>
      </c>
      <c r="T751">
        <v>0</v>
      </c>
      <c r="U751" t="s">
        <v>7362</v>
      </c>
      <c r="V751" t="s">
        <v>7360</v>
      </c>
      <c r="W751" t="s">
        <v>7360</v>
      </c>
      <c r="X751" t="s">
        <v>7360</v>
      </c>
      <c r="Y751" t="s">
        <v>7360</v>
      </c>
      <c r="Z751" t="s">
        <v>7360</v>
      </c>
      <c r="AA751" t="s">
        <v>7362</v>
      </c>
      <c r="AB751" t="s">
        <v>7360</v>
      </c>
      <c r="AC751" t="s">
        <v>7360</v>
      </c>
      <c r="AD751" t="s">
        <v>7360</v>
      </c>
      <c r="AE751" t="s">
        <v>7360</v>
      </c>
      <c r="AF751" t="s">
        <v>1684</v>
      </c>
      <c r="AG751">
        <v>0</v>
      </c>
      <c r="AH751">
        <v>0</v>
      </c>
      <c r="AI751">
        <v>0</v>
      </c>
      <c r="AJ751">
        <v>0</v>
      </c>
      <c r="AK751">
        <v>0</v>
      </c>
      <c r="AL751" t="s">
        <v>7360</v>
      </c>
      <c r="AM751">
        <v>0</v>
      </c>
      <c r="AN751" s="20">
        <v>45012</v>
      </c>
      <c r="AO751" s="20">
        <v>45012</v>
      </c>
      <c r="AP751" s="20">
        <v>45012</v>
      </c>
      <c r="AQ751">
        <v>0</v>
      </c>
      <c r="AR751">
        <v>0</v>
      </c>
      <c r="AS751">
        <v>0</v>
      </c>
      <c r="AT751">
        <v>0</v>
      </c>
      <c r="AU751">
        <v>0</v>
      </c>
      <c r="AV751" t="s">
        <v>7360</v>
      </c>
      <c r="AW751">
        <v>0</v>
      </c>
      <c r="AX751" t="s">
        <v>7360</v>
      </c>
      <c r="AY751" t="s">
        <v>7362</v>
      </c>
      <c r="BA751">
        <v>0</v>
      </c>
      <c r="BB751" s="20">
        <v>45012</v>
      </c>
      <c r="BC751">
        <v>0</v>
      </c>
      <c r="BD751" t="s">
        <v>7360</v>
      </c>
      <c r="BF751" s="20">
        <v>45012</v>
      </c>
      <c r="BG751">
        <v>0</v>
      </c>
      <c r="BH751" t="s">
        <v>7363</v>
      </c>
      <c r="BJ751" t="s">
        <v>7362</v>
      </c>
      <c r="BK751">
        <v>169</v>
      </c>
      <c r="BL751">
        <v>11</v>
      </c>
      <c r="BM751">
        <v>1</v>
      </c>
      <c r="BN751" t="s">
        <v>7364</v>
      </c>
      <c r="BO751">
        <v>0</v>
      </c>
      <c r="BP751">
        <v>0</v>
      </c>
      <c r="BQ751">
        <v>0</v>
      </c>
      <c r="BR751">
        <v>0</v>
      </c>
      <c r="BS751" t="s">
        <v>7387</v>
      </c>
      <c r="BT751" t="s">
        <v>7360</v>
      </c>
      <c r="BU751" t="s">
        <v>7360</v>
      </c>
      <c r="BV751" t="s">
        <v>7360</v>
      </c>
      <c r="BX751" t="s">
        <v>7391</v>
      </c>
      <c r="BY751">
        <v>74</v>
      </c>
      <c r="BZ751" t="s">
        <v>7360</v>
      </c>
      <c r="CA751" t="s">
        <v>7360</v>
      </c>
      <c r="CB751">
        <v>5558210</v>
      </c>
      <c r="CC751" s="21">
        <v>45012.445625</v>
      </c>
      <c r="CE751" t="s">
        <v>7392</v>
      </c>
      <c r="CF751">
        <v>1100101</v>
      </c>
      <c r="CG751">
        <v>53575</v>
      </c>
      <c r="CH751">
        <v>53575</v>
      </c>
      <c r="CI751" s="21">
        <v>45012.447291666664</v>
      </c>
      <c r="CJ751" t="s">
        <v>7393</v>
      </c>
      <c r="CK751" t="s">
        <v>7393</v>
      </c>
      <c r="CL751" t="s">
        <v>7394</v>
      </c>
      <c r="CM751" t="s">
        <v>7394</v>
      </c>
      <c r="CS751" t="s">
        <v>7361</v>
      </c>
      <c r="CT751" t="s">
        <v>7362</v>
      </c>
      <c r="CU751" t="s">
        <v>7362</v>
      </c>
      <c r="CV751" t="s">
        <v>7362</v>
      </c>
      <c r="CW751" t="s">
        <v>7362</v>
      </c>
      <c r="CX751">
        <v>373500</v>
      </c>
      <c r="DA751">
        <v>0</v>
      </c>
    </row>
    <row r="752" spans="1:110" x14ac:dyDescent="0.3">
      <c r="A752">
        <v>1357</v>
      </c>
      <c r="B752" t="s">
        <v>7405</v>
      </c>
      <c r="C752">
        <v>785</v>
      </c>
      <c r="D752" s="20">
        <v>45012</v>
      </c>
      <c r="E752" t="s">
        <v>7372</v>
      </c>
      <c r="F752" t="s">
        <v>4689</v>
      </c>
      <c r="G752" t="s">
        <v>7357</v>
      </c>
      <c r="H752">
        <v>1</v>
      </c>
      <c r="I752" t="s">
        <v>7358</v>
      </c>
      <c r="J752">
        <v>1</v>
      </c>
      <c r="K752" s="20">
        <v>45012</v>
      </c>
      <c r="L752" s="23">
        <v>2756233</v>
      </c>
      <c r="M752" t="s">
        <v>7359</v>
      </c>
      <c r="N752" t="s">
        <v>7360</v>
      </c>
      <c r="O752">
        <v>0</v>
      </c>
      <c r="P752">
        <v>13431</v>
      </c>
      <c r="Q752">
        <v>460017</v>
      </c>
      <c r="R752">
        <v>0</v>
      </c>
      <c r="S752">
        <v>20230327</v>
      </c>
      <c r="T752">
        <v>0</v>
      </c>
      <c r="U752" t="s">
        <v>7362</v>
      </c>
      <c r="V752" t="s">
        <v>7360</v>
      </c>
      <c r="W752" t="s">
        <v>7360</v>
      </c>
      <c r="X752" t="s">
        <v>7360</v>
      </c>
      <c r="Y752" t="s">
        <v>7360</v>
      </c>
      <c r="Z752" t="s">
        <v>7360</v>
      </c>
      <c r="AA752" t="s">
        <v>7362</v>
      </c>
      <c r="AB752" t="s">
        <v>7360</v>
      </c>
      <c r="AC752" t="s">
        <v>7360</v>
      </c>
      <c r="AD752" t="s">
        <v>7360</v>
      </c>
      <c r="AE752" t="s">
        <v>7360</v>
      </c>
      <c r="AF752" t="s">
        <v>1684</v>
      </c>
      <c r="AG752">
        <v>0</v>
      </c>
      <c r="AH752">
        <v>0</v>
      </c>
      <c r="AI752">
        <v>0</v>
      </c>
      <c r="AJ752">
        <v>0</v>
      </c>
      <c r="AK752">
        <v>0</v>
      </c>
      <c r="AL752" t="s">
        <v>7360</v>
      </c>
      <c r="AM752">
        <v>0</v>
      </c>
      <c r="AN752" s="20">
        <v>45012</v>
      </c>
      <c r="AO752" s="20">
        <v>45012</v>
      </c>
      <c r="AP752" s="20">
        <v>45012</v>
      </c>
      <c r="AQ752">
        <v>0</v>
      </c>
      <c r="AR752">
        <v>0</v>
      </c>
      <c r="AS752">
        <v>0</v>
      </c>
      <c r="AT752">
        <v>0</v>
      </c>
      <c r="AU752">
        <v>0</v>
      </c>
      <c r="AV752" t="s">
        <v>7360</v>
      </c>
      <c r="AW752">
        <v>0</v>
      </c>
      <c r="AX752" t="s">
        <v>7360</v>
      </c>
      <c r="AY752" t="s">
        <v>7362</v>
      </c>
      <c r="BA752">
        <v>0</v>
      </c>
      <c r="BB752" s="20">
        <v>45012</v>
      </c>
      <c r="BC752">
        <v>0</v>
      </c>
      <c r="BD752" t="s">
        <v>7360</v>
      </c>
      <c r="BF752" s="20">
        <v>45012</v>
      </c>
      <c r="BG752">
        <v>0</v>
      </c>
      <c r="BH752" t="s">
        <v>1684</v>
      </c>
      <c r="BJ752" t="s">
        <v>7362</v>
      </c>
      <c r="BK752">
        <v>169</v>
      </c>
      <c r="BL752">
        <v>11</v>
      </c>
      <c r="BM752">
        <v>1</v>
      </c>
      <c r="BN752" t="s">
        <v>7364</v>
      </c>
      <c r="BO752">
        <v>169</v>
      </c>
      <c r="BP752">
        <v>11</v>
      </c>
      <c r="BQ752">
        <v>1</v>
      </c>
      <c r="BR752" t="s">
        <v>7364</v>
      </c>
      <c r="BS752" t="s">
        <v>7454</v>
      </c>
      <c r="BT752" t="s">
        <v>7360</v>
      </c>
      <c r="BU752" t="s">
        <v>7360</v>
      </c>
      <c r="BV752" t="s">
        <v>7360</v>
      </c>
      <c r="BX752" t="s">
        <v>7391</v>
      </c>
      <c r="BY752">
        <v>74</v>
      </c>
      <c r="BZ752" t="s">
        <v>7360</v>
      </c>
      <c r="CA752" t="s">
        <v>7360</v>
      </c>
      <c r="CB752">
        <v>3156020026</v>
      </c>
      <c r="CC752" s="21">
        <v>45012.447291666664</v>
      </c>
      <c r="CE752" t="s">
        <v>7392</v>
      </c>
      <c r="CF752">
        <v>1100101</v>
      </c>
      <c r="CG752">
        <v>50947</v>
      </c>
      <c r="CH752">
        <v>50947</v>
      </c>
      <c r="CI752" s="21">
        <v>45012.449155092596</v>
      </c>
      <c r="CJ752" t="s">
        <v>7442</v>
      </c>
      <c r="CK752" t="s">
        <v>7442</v>
      </c>
      <c r="CL752" t="s">
        <v>7443</v>
      </c>
      <c r="CM752" t="s">
        <v>7443</v>
      </c>
      <c r="CS752" t="s">
        <v>7361</v>
      </c>
      <c r="CT752" t="s">
        <v>7362</v>
      </c>
      <c r="CU752" t="s">
        <v>7362</v>
      </c>
      <c r="CV752" t="s">
        <v>7362</v>
      </c>
      <c r="CW752" t="s">
        <v>7362</v>
      </c>
      <c r="CX752">
        <v>2756233</v>
      </c>
      <c r="DA752">
        <v>0</v>
      </c>
    </row>
    <row r="753" spans="1:110" x14ac:dyDescent="0.3">
      <c r="A753">
        <v>1373</v>
      </c>
      <c r="B753" t="s">
        <v>7383</v>
      </c>
      <c r="C753">
        <v>786</v>
      </c>
      <c r="D753" s="20">
        <v>45012</v>
      </c>
      <c r="E753" t="s">
        <v>7372</v>
      </c>
      <c r="F753" t="s">
        <v>4694</v>
      </c>
      <c r="G753" t="s">
        <v>7357</v>
      </c>
      <c r="H753">
        <v>1</v>
      </c>
      <c r="I753" t="s">
        <v>7358</v>
      </c>
      <c r="J753">
        <v>1</v>
      </c>
      <c r="K753" s="20">
        <v>45012</v>
      </c>
      <c r="L753" s="23">
        <v>505440</v>
      </c>
      <c r="M753" t="s">
        <v>7359</v>
      </c>
      <c r="N753" t="s">
        <v>7360</v>
      </c>
      <c r="O753">
        <v>0</v>
      </c>
      <c r="P753">
        <v>13437</v>
      </c>
      <c r="Q753">
        <v>460019</v>
      </c>
      <c r="R753">
        <v>0</v>
      </c>
      <c r="S753">
        <v>20230327</v>
      </c>
      <c r="T753">
        <v>0</v>
      </c>
      <c r="U753" t="s">
        <v>7362</v>
      </c>
      <c r="V753" t="s">
        <v>7360</v>
      </c>
      <c r="W753" t="s">
        <v>7360</v>
      </c>
      <c r="X753" t="s">
        <v>7360</v>
      </c>
      <c r="Y753" t="s">
        <v>7360</v>
      </c>
      <c r="Z753" t="s">
        <v>7360</v>
      </c>
      <c r="AA753" t="s">
        <v>7362</v>
      </c>
      <c r="AB753" t="s">
        <v>7360</v>
      </c>
      <c r="AC753" t="s">
        <v>7360</v>
      </c>
      <c r="AD753" t="s">
        <v>7360</v>
      </c>
      <c r="AE753" t="s">
        <v>7360</v>
      </c>
      <c r="AF753" t="s">
        <v>1684</v>
      </c>
      <c r="AG753">
        <v>0</v>
      </c>
      <c r="AH753">
        <v>0</v>
      </c>
      <c r="AI753">
        <v>0</v>
      </c>
      <c r="AJ753">
        <v>0</v>
      </c>
      <c r="AK753">
        <v>0</v>
      </c>
      <c r="AL753" t="s">
        <v>7360</v>
      </c>
      <c r="AM753">
        <v>0</v>
      </c>
      <c r="AN753" s="20">
        <v>45012</v>
      </c>
      <c r="AO753" s="20">
        <v>45012</v>
      </c>
      <c r="AP753" s="20">
        <v>45012</v>
      </c>
      <c r="AQ753">
        <v>0</v>
      </c>
      <c r="AR753">
        <v>0</v>
      </c>
      <c r="AS753">
        <v>0</v>
      </c>
      <c r="AT753">
        <v>0</v>
      </c>
      <c r="AU753">
        <v>0</v>
      </c>
      <c r="AV753" t="s">
        <v>7360</v>
      </c>
      <c r="AW753">
        <v>0</v>
      </c>
      <c r="AX753" t="s">
        <v>7360</v>
      </c>
      <c r="AY753" t="s">
        <v>7362</v>
      </c>
      <c r="BA753">
        <v>0</v>
      </c>
      <c r="BB753" s="20">
        <v>45012</v>
      </c>
      <c r="BC753">
        <v>0</v>
      </c>
      <c r="BD753" t="s">
        <v>7360</v>
      </c>
      <c r="BF753" s="20">
        <v>45012</v>
      </c>
      <c r="BG753">
        <v>0</v>
      </c>
      <c r="BH753" t="s">
        <v>7363</v>
      </c>
      <c r="BJ753" t="s">
        <v>7362</v>
      </c>
      <c r="BK753">
        <v>169</v>
      </c>
      <c r="BL753">
        <v>11</v>
      </c>
      <c r="BM753">
        <v>1</v>
      </c>
      <c r="BN753" t="s">
        <v>7364</v>
      </c>
      <c r="BO753">
        <v>0</v>
      </c>
      <c r="BP753">
        <v>0</v>
      </c>
      <c r="BQ753">
        <v>0</v>
      </c>
      <c r="BR753">
        <v>0</v>
      </c>
      <c r="BS753" t="s">
        <v>7387</v>
      </c>
      <c r="BT753" t="s">
        <v>7360</v>
      </c>
      <c r="BU753" t="s">
        <v>7360</v>
      </c>
      <c r="BV753" t="s">
        <v>7360</v>
      </c>
      <c r="BX753" t="s">
        <v>7391</v>
      </c>
      <c r="BY753">
        <v>74</v>
      </c>
      <c r="BZ753" t="s">
        <v>7360</v>
      </c>
      <c r="CA753" t="s">
        <v>7360</v>
      </c>
      <c r="CB753">
        <v>5558210</v>
      </c>
      <c r="CC753" s="21">
        <v>45012.451307870368</v>
      </c>
      <c r="CE753" t="s">
        <v>7392</v>
      </c>
      <c r="CF753">
        <v>1100101</v>
      </c>
      <c r="CG753">
        <v>53575</v>
      </c>
      <c r="CH753">
        <v>53575</v>
      </c>
      <c r="CI753" s="21">
        <v>45012.452337962961</v>
      </c>
      <c r="CJ753" t="s">
        <v>7393</v>
      </c>
      <c r="CK753" t="s">
        <v>7393</v>
      </c>
      <c r="CL753" t="s">
        <v>7394</v>
      </c>
      <c r="CM753" t="s">
        <v>7394</v>
      </c>
      <c r="CS753" t="s">
        <v>7361</v>
      </c>
      <c r="CT753" t="s">
        <v>7362</v>
      </c>
      <c r="CU753" t="s">
        <v>7362</v>
      </c>
      <c r="CV753" t="s">
        <v>7362</v>
      </c>
      <c r="CW753" t="s">
        <v>7362</v>
      </c>
      <c r="CX753">
        <v>505440</v>
      </c>
      <c r="DA753">
        <v>0</v>
      </c>
    </row>
    <row r="754" spans="1:110" x14ac:dyDescent="0.3">
      <c r="A754">
        <v>1364</v>
      </c>
      <c r="B754" t="s">
        <v>7355</v>
      </c>
      <c r="C754">
        <v>787</v>
      </c>
      <c r="D754" s="20">
        <v>45012</v>
      </c>
      <c r="E754" t="s">
        <v>7372</v>
      </c>
      <c r="F754" t="s">
        <v>4700</v>
      </c>
      <c r="G754" t="s">
        <v>7357</v>
      </c>
      <c r="H754">
        <v>1</v>
      </c>
      <c r="I754" t="s">
        <v>7358</v>
      </c>
      <c r="J754">
        <v>1</v>
      </c>
      <c r="K754" s="20">
        <v>45012</v>
      </c>
      <c r="L754" s="23">
        <v>321300</v>
      </c>
      <c r="M754" t="s">
        <v>7359</v>
      </c>
      <c r="N754" t="s">
        <v>7360</v>
      </c>
      <c r="O754">
        <v>0</v>
      </c>
      <c r="P754">
        <v>13339</v>
      </c>
      <c r="Q754">
        <v>458014</v>
      </c>
      <c r="R754">
        <v>0</v>
      </c>
      <c r="S754">
        <v>20230327</v>
      </c>
      <c r="T754">
        <v>0</v>
      </c>
      <c r="U754" t="s">
        <v>7362</v>
      </c>
      <c r="V754" t="s">
        <v>7360</v>
      </c>
      <c r="W754" t="s">
        <v>7360</v>
      </c>
      <c r="X754" t="s">
        <v>7360</v>
      </c>
      <c r="Y754" t="s">
        <v>7360</v>
      </c>
      <c r="Z754" t="s">
        <v>7360</v>
      </c>
      <c r="AA754" t="s">
        <v>7362</v>
      </c>
      <c r="AB754" t="s">
        <v>7360</v>
      </c>
      <c r="AC754" t="s">
        <v>7360</v>
      </c>
      <c r="AD754" t="s">
        <v>7360</v>
      </c>
      <c r="AE754" t="s">
        <v>7360</v>
      </c>
      <c r="AF754" t="s">
        <v>1684</v>
      </c>
      <c r="AG754">
        <v>0</v>
      </c>
      <c r="AH754">
        <v>0</v>
      </c>
      <c r="AI754">
        <v>0</v>
      </c>
      <c r="AJ754">
        <v>0</v>
      </c>
      <c r="AK754">
        <v>0</v>
      </c>
      <c r="AL754" t="s">
        <v>7360</v>
      </c>
      <c r="AM754">
        <v>0</v>
      </c>
      <c r="AN754" s="20">
        <v>45012</v>
      </c>
      <c r="AO754" s="20">
        <v>45012</v>
      </c>
      <c r="AP754" s="20">
        <v>45012</v>
      </c>
      <c r="AQ754">
        <v>0</v>
      </c>
      <c r="AR754">
        <v>0</v>
      </c>
      <c r="AS754">
        <v>0</v>
      </c>
      <c r="AT754">
        <v>0</v>
      </c>
      <c r="AU754">
        <v>0</v>
      </c>
      <c r="AV754" t="s">
        <v>7360</v>
      </c>
      <c r="AW754">
        <v>0</v>
      </c>
      <c r="AX754" t="s">
        <v>7360</v>
      </c>
      <c r="AY754" t="s">
        <v>7362</v>
      </c>
      <c r="BA754">
        <v>0</v>
      </c>
      <c r="BB754" s="20">
        <v>45012</v>
      </c>
      <c r="BC754">
        <v>0</v>
      </c>
      <c r="BD754" t="s">
        <v>7360</v>
      </c>
      <c r="BF754" s="20">
        <v>45012</v>
      </c>
      <c r="BG754">
        <v>0</v>
      </c>
      <c r="BH754" t="s">
        <v>7363</v>
      </c>
      <c r="BJ754" t="s">
        <v>7362</v>
      </c>
      <c r="BK754">
        <v>169</v>
      </c>
      <c r="BL754">
        <v>11</v>
      </c>
      <c r="BM754">
        <v>1</v>
      </c>
      <c r="BN754" t="s">
        <v>7364</v>
      </c>
      <c r="BO754">
        <v>0</v>
      </c>
      <c r="BP754">
        <v>0</v>
      </c>
      <c r="BQ754">
        <v>0</v>
      </c>
      <c r="BR754">
        <v>0</v>
      </c>
      <c r="BS754" t="s">
        <v>7387</v>
      </c>
      <c r="BT754" t="s">
        <v>7360</v>
      </c>
      <c r="BU754" t="s">
        <v>7360</v>
      </c>
      <c r="BV754" t="s">
        <v>7360</v>
      </c>
      <c r="BX754" t="s">
        <v>7391</v>
      </c>
      <c r="BY754">
        <v>74</v>
      </c>
      <c r="BZ754" t="s">
        <v>7360</v>
      </c>
      <c r="CA754" t="s">
        <v>7360</v>
      </c>
      <c r="CB754" t="s">
        <v>7360</v>
      </c>
      <c r="CC754" s="21">
        <v>45012.474560185183</v>
      </c>
      <c r="CE754" t="s">
        <v>7392</v>
      </c>
      <c r="CF754">
        <v>1100101</v>
      </c>
      <c r="CG754">
        <v>53575</v>
      </c>
      <c r="CH754">
        <v>53575</v>
      </c>
      <c r="CI754" s="21">
        <v>45012.476203703707</v>
      </c>
      <c r="CJ754" t="s">
        <v>7393</v>
      </c>
      <c r="CK754" t="s">
        <v>7393</v>
      </c>
      <c r="CL754" t="s">
        <v>7394</v>
      </c>
      <c r="CM754" t="s">
        <v>7394</v>
      </c>
      <c r="CS754" t="s">
        <v>7361</v>
      </c>
      <c r="CT754" t="s">
        <v>7362</v>
      </c>
      <c r="CU754" t="s">
        <v>7362</v>
      </c>
      <c r="CV754" t="s">
        <v>7362</v>
      </c>
      <c r="CW754" t="s">
        <v>7362</v>
      </c>
      <c r="CX754">
        <v>321300</v>
      </c>
      <c r="DA754">
        <v>0</v>
      </c>
    </row>
    <row r="755" spans="1:110" x14ac:dyDescent="0.3">
      <c r="A755">
        <v>1361</v>
      </c>
      <c r="B755" t="s">
        <v>7376</v>
      </c>
      <c r="C755">
        <v>449</v>
      </c>
      <c r="D755" s="20">
        <v>44979</v>
      </c>
      <c r="E755" t="s">
        <v>7356</v>
      </c>
      <c r="F755" t="s">
        <v>4705</v>
      </c>
      <c r="G755" t="s">
        <v>7377</v>
      </c>
      <c r="H755">
        <v>1</v>
      </c>
      <c r="I755" t="s">
        <v>7358</v>
      </c>
      <c r="J755">
        <v>1</v>
      </c>
      <c r="K755" s="20">
        <v>44979</v>
      </c>
      <c r="L755" s="23">
        <v>54149400</v>
      </c>
      <c r="M755" t="s">
        <v>7359</v>
      </c>
      <c r="N755" t="s">
        <v>7360</v>
      </c>
      <c r="O755">
        <v>0</v>
      </c>
      <c r="P755">
        <v>12490</v>
      </c>
      <c r="Q755">
        <v>439008</v>
      </c>
      <c r="R755">
        <v>0</v>
      </c>
      <c r="S755">
        <v>20230222</v>
      </c>
      <c r="T755">
        <v>0</v>
      </c>
      <c r="U755" t="s">
        <v>7361</v>
      </c>
      <c r="V755" t="s">
        <v>7360</v>
      </c>
      <c r="W755" t="s">
        <v>7360</v>
      </c>
      <c r="X755" t="s">
        <v>7360</v>
      </c>
      <c r="Y755" t="s">
        <v>7360</v>
      </c>
      <c r="Z755" t="s">
        <v>7360</v>
      </c>
      <c r="AA755" t="s">
        <v>7362</v>
      </c>
      <c r="AB755" t="s">
        <v>7360</v>
      </c>
      <c r="AC755" t="s">
        <v>7360</v>
      </c>
      <c r="AD755" t="s">
        <v>7360</v>
      </c>
      <c r="AE755" t="s">
        <v>7360</v>
      </c>
      <c r="AF755" t="s">
        <v>1684</v>
      </c>
      <c r="AG755">
        <v>0</v>
      </c>
      <c r="AH755">
        <v>0</v>
      </c>
      <c r="AI755">
        <v>0</v>
      </c>
      <c r="AJ755">
        <v>0</v>
      </c>
      <c r="AK755">
        <v>0</v>
      </c>
      <c r="AL755" t="s">
        <v>7360</v>
      </c>
      <c r="AM755">
        <v>0</v>
      </c>
      <c r="AN755" s="20">
        <v>44979</v>
      </c>
      <c r="AO755" s="20">
        <v>44979</v>
      </c>
      <c r="AP755" s="20">
        <v>44979</v>
      </c>
      <c r="AQ755">
        <v>0</v>
      </c>
      <c r="AR755">
        <v>0</v>
      </c>
      <c r="AS755">
        <v>0</v>
      </c>
      <c r="AT755">
        <v>0</v>
      </c>
      <c r="AU755">
        <v>0</v>
      </c>
      <c r="AV755" t="s">
        <v>7360</v>
      </c>
      <c r="AW755">
        <v>0</v>
      </c>
      <c r="AX755" t="s">
        <v>7360</v>
      </c>
      <c r="AY755" t="s">
        <v>7363</v>
      </c>
      <c r="BA755">
        <v>0</v>
      </c>
      <c r="BB755" s="20">
        <v>44979</v>
      </c>
      <c r="BC755">
        <v>0</v>
      </c>
      <c r="BD755" t="s">
        <v>7360</v>
      </c>
      <c r="BF755" s="20">
        <v>44979</v>
      </c>
      <c r="BG755">
        <v>0</v>
      </c>
      <c r="BH755" t="s">
        <v>7363</v>
      </c>
      <c r="BJ755" t="s">
        <v>7362</v>
      </c>
      <c r="BK755">
        <v>169</v>
      </c>
      <c r="BL755">
        <v>11</v>
      </c>
      <c r="BM755">
        <v>1</v>
      </c>
      <c r="BN755" t="s">
        <v>7364</v>
      </c>
      <c r="BO755">
        <v>0</v>
      </c>
      <c r="BP755">
        <v>0</v>
      </c>
      <c r="BQ755">
        <v>0</v>
      </c>
      <c r="BR755">
        <v>0</v>
      </c>
      <c r="BS755" t="s">
        <v>7387</v>
      </c>
      <c r="BT755" t="s">
        <v>7360</v>
      </c>
      <c r="BU755" t="s">
        <v>7360</v>
      </c>
      <c r="BV755" t="s">
        <v>7360</v>
      </c>
      <c r="BX755" t="s">
        <v>7391</v>
      </c>
      <c r="BY755">
        <v>74</v>
      </c>
      <c r="BZ755" t="s">
        <v>7360</v>
      </c>
      <c r="CA755" t="s">
        <v>7360</v>
      </c>
      <c r="CB755" t="s">
        <v>7360</v>
      </c>
      <c r="CC755" s="21">
        <v>44979.640034722222</v>
      </c>
      <c r="CE755" t="s">
        <v>7392</v>
      </c>
      <c r="CF755">
        <v>1100101</v>
      </c>
      <c r="CG755">
        <v>53575</v>
      </c>
      <c r="CH755">
        <v>53575</v>
      </c>
      <c r="CI755" s="21">
        <v>44980.432199074072</v>
      </c>
      <c r="CJ755" t="s">
        <v>7393</v>
      </c>
      <c r="CK755" t="s">
        <v>7393</v>
      </c>
      <c r="CL755" t="s">
        <v>7394</v>
      </c>
      <c r="CM755" t="s">
        <v>7394</v>
      </c>
      <c r="CS755" t="s">
        <v>7361</v>
      </c>
      <c r="CT755" t="s">
        <v>7362</v>
      </c>
      <c r="CU755" t="s">
        <v>7362</v>
      </c>
      <c r="CV755" t="s">
        <v>7362</v>
      </c>
      <c r="CW755" t="s">
        <v>7362</v>
      </c>
      <c r="CX755">
        <v>54149400</v>
      </c>
      <c r="DA755">
        <v>0</v>
      </c>
    </row>
    <row r="756" spans="1:110" x14ac:dyDescent="0.3">
      <c r="A756">
        <v>1356</v>
      </c>
      <c r="B756" t="s">
        <v>7402</v>
      </c>
      <c r="C756">
        <v>789</v>
      </c>
      <c r="D756" s="20">
        <v>45012</v>
      </c>
      <c r="E756" t="s">
        <v>7372</v>
      </c>
      <c r="F756" t="s">
        <v>4710</v>
      </c>
      <c r="G756" t="s">
        <v>7357</v>
      </c>
      <c r="H756">
        <v>1</v>
      </c>
      <c r="I756" t="s">
        <v>7358</v>
      </c>
      <c r="J756">
        <v>1</v>
      </c>
      <c r="K756" s="20">
        <v>45012</v>
      </c>
      <c r="L756" s="23">
        <v>10750155</v>
      </c>
      <c r="M756" t="s">
        <v>7403</v>
      </c>
      <c r="N756" t="s">
        <v>7360</v>
      </c>
      <c r="O756">
        <v>0</v>
      </c>
      <c r="P756">
        <v>13064</v>
      </c>
      <c r="Q756">
        <v>142007</v>
      </c>
      <c r="R756">
        <v>0</v>
      </c>
      <c r="S756">
        <v>20230327</v>
      </c>
      <c r="T756">
        <v>0</v>
      </c>
      <c r="U756" t="s">
        <v>7362</v>
      </c>
      <c r="V756" t="s">
        <v>7360</v>
      </c>
      <c r="W756" t="s">
        <v>7360</v>
      </c>
      <c r="X756" t="s">
        <v>7360</v>
      </c>
      <c r="Y756" t="s">
        <v>7360</v>
      </c>
      <c r="Z756" t="s">
        <v>7360</v>
      </c>
      <c r="AA756" t="s">
        <v>7362</v>
      </c>
      <c r="AB756" t="s">
        <v>7360</v>
      </c>
      <c r="AC756" t="s">
        <v>7360</v>
      </c>
      <c r="AD756" t="s">
        <v>7360</v>
      </c>
      <c r="AE756" t="s">
        <v>7360</v>
      </c>
      <c r="AF756" t="s">
        <v>1684</v>
      </c>
      <c r="AG756">
        <v>0</v>
      </c>
      <c r="AH756">
        <v>0</v>
      </c>
      <c r="AI756">
        <v>0</v>
      </c>
      <c r="AJ756">
        <v>0</v>
      </c>
      <c r="AK756">
        <v>0</v>
      </c>
      <c r="AL756" t="s">
        <v>7360</v>
      </c>
      <c r="AM756">
        <v>0</v>
      </c>
      <c r="AN756" s="20">
        <v>45012</v>
      </c>
      <c r="AO756" s="20">
        <v>45012</v>
      </c>
      <c r="AP756" s="20">
        <v>45012</v>
      </c>
      <c r="AQ756">
        <v>0</v>
      </c>
      <c r="AR756">
        <v>0</v>
      </c>
      <c r="AS756">
        <v>0</v>
      </c>
      <c r="AT756">
        <v>0</v>
      </c>
      <c r="AU756">
        <v>0</v>
      </c>
      <c r="AV756" t="s">
        <v>7360</v>
      </c>
      <c r="AW756">
        <v>0</v>
      </c>
      <c r="AX756" t="s">
        <v>7360</v>
      </c>
      <c r="AY756" t="s">
        <v>7362</v>
      </c>
      <c r="BA756">
        <v>0</v>
      </c>
      <c r="BB756" s="20">
        <v>45012</v>
      </c>
      <c r="BC756">
        <v>0</v>
      </c>
      <c r="BD756" t="s">
        <v>7360</v>
      </c>
      <c r="BE756">
        <v>90</v>
      </c>
      <c r="BF756" s="20">
        <v>45012</v>
      </c>
      <c r="BG756">
        <v>0</v>
      </c>
      <c r="BH756" t="s">
        <v>1729</v>
      </c>
      <c r="BJ756" t="s">
        <v>7362</v>
      </c>
      <c r="BK756">
        <v>0</v>
      </c>
      <c r="BL756">
        <v>0</v>
      </c>
      <c r="BM756">
        <v>0</v>
      </c>
      <c r="BN756">
        <v>0</v>
      </c>
      <c r="BO756">
        <v>169</v>
      </c>
      <c r="BP756">
        <v>11</v>
      </c>
      <c r="BQ756">
        <v>1</v>
      </c>
      <c r="BR756" t="s">
        <v>7364</v>
      </c>
      <c r="BS756" t="s">
        <v>7386</v>
      </c>
      <c r="BT756" t="s">
        <v>7360</v>
      </c>
      <c r="BU756" t="s">
        <v>7360</v>
      </c>
      <c r="BV756" t="s">
        <v>7360</v>
      </c>
      <c r="BX756">
        <v>0</v>
      </c>
      <c r="BY756">
        <v>0</v>
      </c>
      <c r="BZ756" t="s">
        <v>7360</v>
      </c>
      <c r="CA756" t="s">
        <v>7360</v>
      </c>
      <c r="CB756">
        <v>3380666</v>
      </c>
      <c r="CC756" s="21">
        <v>45012.485277777778</v>
      </c>
      <c r="CE756" t="s">
        <v>7366</v>
      </c>
      <c r="CF756">
        <v>0</v>
      </c>
      <c r="CG756">
        <v>702002</v>
      </c>
      <c r="CH756">
        <v>702002</v>
      </c>
      <c r="CI756" s="21">
        <v>45012.640023148146</v>
      </c>
      <c r="CJ756" t="s">
        <v>7367</v>
      </c>
      <c r="CK756" t="s">
        <v>7367</v>
      </c>
      <c r="CL756" t="s">
        <v>7368</v>
      </c>
      <c r="CM756" t="s">
        <v>7368</v>
      </c>
      <c r="CS756" t="s">
        <v>7361</v>
      </c>
      <c r="CT756" t="s">
        <v>7362</v>
      </c>
      <c r="CU756" t="s">
        <v>7362</v>
      </c>
      <c r="CV756" t="s">
        <v>7362</v>
      </c>
      <c r="CW756" t="s">
        <v>7362</v>
      </c>
      <c r="CX756">
        <v>10750155</v>
      </c>
      <c r="DA756">
        <v>0</v>
      </c>
      <c r="DB756">
        <v>142007</v>
      </c>
    </row>
    <row r="757" spans="1:110" x14ac:dyDescent="0.3">
      <c r="A757">
        <v>1362</v>
      </c>
      <c r="B757" t="s">
        <v>7371</v>
      </c>
      <c r="C757">
        <v>790</v>
      </c>
      <c r="D757" s="20">
        <v>45026</v>
      </c>
      <c r="E757" t="s">
        <v>7397</v>
      </c>
      <c r="F757" t="s">
        <v>4716</v>
      </c>
      <c r="G757" t="s">
        <v>7357</v>
      </c>
      <c r="H757">
        <v>1</v>
      </c>
      <c r="I757" t="s">
        <v>7358</v>
      </c>
      <c r="J757">
        <v>1</v>
      </c>
      <c r="K757" s="20">
        <v>45012</v>
      </c>
      <c r="L757" s="23">
        <v>257436929</v>
      </c>
      <c r="M757" t="s">
        <v>7398</v>
      </c>
      <c r="N757" t="s">
        <v>7360</v>
      </c>
      <c r="O757">
        <v>0</v>
      </c>
      <c r="P757">
        <v>11798</v>
      </c>
      <c r="R757">
        <v>0</v>
      </c>
      <c r="S757">
        <v>20230410</v>
      </c>
      <c r="T757">
        <v>0</v>
      </c>
      <c r="U757" t="s">
        <v>7362</v>
      </c>
      <c r="V757" t="s">
        <v>7360</v>
      </c>
      <c r="W757" t="s">
        <v>7360</v>
      </c>
      <c r="X757" t="s">
        <v>7360</v>
      </c>
      <c r="Y757" t="s">
        <v>7360</v>
      </c>
      <c r="Z757" t="s">
        <v>7360</v>
      </c>
      <c r="AA757" t="s">
        <v>1684</v>
      </c>
      <c r="AB757" t="s">
        <v>7360</v>
      </c>
      <c r="AC757" t="s">
        <v>7360</v>
      </c>
      <c r="AD757" t="s">
        <v>7360</v>
      </c>
      <c r="AE757" t="s">
        <v>7360</v>
      </c>
      <c r="AF757" t="s">
        <v>1684</v>
      </c>
      <c r="AG757">
        <v>0</v>
      </c>
      <c r="AH757">
        <v>0</v>
      </c>
      <c r="AI757">
        <v>0</v>
      </c>
      <c r="AJ757">
        <v>0</v>
      </c>
      <c r="AK757">
        <v>0</v>
      </c>
      <c r="AL757" t="s">
        <v>7360</v>
      </c>
      <c r="AM757">
        <v>0</v>
      </c>
      <c r="AN757" s="20">
        <v>45012</v>
      </c>
      <c r="AO757" s="20">
        <v>45012</v>
      </c>
      <c r="AP757" s="20">
        <v>45012</v>
      </c>
      <c r="AQ757">
        <v>0</v>
      </c>
      <c r="AR757">
        <v>0</v>
      </c>
      <c r="AS757">
        <v>0</v>
      </c>
      <c r="AT757">
        <v>0</v>
      </c>
      <c r="AU757">
        <v>0</v>
      </c>
      <c r="AV757" t="s">
        <v>7360</v>
      </c>
      <c r="AW757">
        <v>0</v>
      </c>
      <c r="AX757" t="s">
        <v>7360</v>
      </c>
      <c r="AY757" t="s">
        <v>7362</v>
      </c>
      <c r="BA757">
        <v>0</v>
      </c>
      <c r="BB757" s="20">
        <v>45012</v>
      </c>
      <c r="BC757">
        <v>0</v>
      </c>
      <c r="BD757" t="s">
        <v>7360</v>
      </c>
      <c r="BF757" s="20">
        <v>45012</v>
      </c>
      <c r="BG757">
        <v>0</v>
      </c>
      <c r="BH757" t="s">
        <v>7363</v>
      </c>
      <c r="BJ757" t="s">
        <v>7362</v>
      </c>
      <c r="BK757">
        <v>0</v>
      </c>
      <c r="BL757">
        <v>0</v>
      </c>
      <c r="BM757">
        <v>0</v>
      </c>
      <c r="BN757">
        <v>0</v>
      </c>
      <c r="BO757">
        <v>169</v>
      </c>
      <c r="BP757">
        <v>11</v>
      </c>
      <c r="BQ757">
        <v>1</v>
      </c>
      <c r="BR757" t="s">
        <v>7364</v>
      </c>
      <c r="BS757" t="s">
        <v>7374</v>
      </c>
      <c r="BT757" t="s">
        <v>7360</v>
      </c>
      <c r="BU757" t="s">
        <v>7360</v>
      </c>
      <c r="BV757" t="s">
        <v>7360</v>
      </c>
      <c r="BX757">
        <v>0</v>
      </c>
      <c r="BY757">
        <v>0</v>
      </c>
      <c r="BZ757" t="s">
        <v>7360</v>
      </c>
      <c r="CA757" t="s">
        <v>7360</v>
      </c>
      <c r="CB757">
        <v>3380666</v>
      </c>
      <c r="CC757" s="21">
        <v>45012.507245370369</v>
      </c>
      <c r="CE757" t="s">
        <v>7366</v>
      </c>
      <c r="CF757">
        <v>0</v>
      </c>
      <c r="CG757">
        <v>702002</v>
      </c>
      <c r="CH757">
        <v>702002</v>
      </c>
      <c r="CI757" s="21">
        <v>45012.524108796293</v>
      </c>
      <c r="CJ757" t="s">
        <v>7367</v>
      </c>
      <c r="CK757" t="s">
        <v>7367</v>
      </c>
      <c r="CL757" t="s">
        <v>7368</v>
      </c>
      <c r="CM757" t="s">
        <v>7368</v>
      </c>
      <c r="CS757" t="s">
        <v>7361</v>
      </c>
      <c r="CT757" t="s">
        <v>7362</v>
      </c>
      <c r="CU757" t="s">
        <v>7362</v>
      </c>
      <c r="CV757" t="s">
        <v>7362</v>
      </c>
      <c r="CW757" t="s">
        <v>7362</v>
      </c>
      <c r="CX757">
        <v>257436929</v>
      </c>
      <c r="DA757">
        <v>0</v>
      </c>
      <c r="DB757">
        <v>142011</v>
      </c>
    </row>
    <row r="758" spans="1:110" x14ac:dyDescent="0.3">
      <c r="A758">
        <v>1352</v>
      </c>
      <c r="B758" t="s">
        <v>7416</v>
      </c>
      <c r="C758">
        <v>791</v>
      </c>
      <c r="D758" s="20">
        <v>45012</v>
      </c>
      <c r="E758" t="s">
        <v>7372</v>
      </c>
      <c r="F758" t="s">
        <v>4721</v>
      </c>
      <c r="G758" t="s">
        <v>7357</v>
      </c>
      <c r="H758">
        <v>1</v>
      </c>
      <c r="I758" t="s">
        <v>7358</v>
      </c>
      <c r="J758">
        <v>1</v>
      </c>
      <c r="K758" s="20">
        <v>45012</v>
      </c>
      <c r="L758" s="23">
        <v>2784550</v>
      </c>
      <c r="M758" t="s">
        <v>7359</v>
      </c>
      <c r="N758" t="s">
        <v>7360</v>
      </c>
      <c r="O758">
        <v>0</v>
      </c>
      <c r="P758">
        <v>13462</v>
      </c>
      <c r="Q758">
        <v>460029</v>
      </c>
      <c r="R758">
        <v>0</v>
      </c>
      <c r="S758">
        <v>20230327</v>
      </c>
      <c r="T758">
        <v>0</v>
      </c>
      <c r="U758" t="s">
        <v>7362</v>
      </c>
      <c r="V758" t="s">
        <v>7360</v>
      </c>
      <c r="W758" t="s">
        <v>7360</v>
      </c>
      <c r="X758" t="s">
        <v>7360</v>
      </c>
      <c r="Y758" t="s">
        <v>7360</v>
      </c>
      <c r="Z758" t="s">
        <v>7360</v>
      </c>
      <c r="AA758" t="s">
        <v>7362</v>
      </c>
      <c r="AB758" t="s">
        <v>7360</v>
      </c>
      <c r="AC758" t="s">
        <v>7360</v>
      </c>
      <c r="AD758" t="s">
        <v>7360</v>
      </c>
      <c r="AE758" t="s">
        <v>7360</v>
      </c>
      <c r="AF758" t="s">
        <v>1684</v>
      </c>
      <c r="AG758">
        <v>0</v>
      </c>
      <c r="AH758">
        <v>0</v>
      </c>
      <c r="AI758">
        <v>0</v>
      </c>
      <c r="AJ758">
        <v>0</v>
      </c>
      <c r="AK758">
        <v>0</v>
      </c>
      <c r="AL758" t="s">
        <v>7360</v>
      </c>
      <c r="AM758">
        <v>0</v>
      </c>
      <c r="AN758" s="20">
        <v>45012</v>
      </c>
      <c r="AO758" s="20">
        <v>45012</v>
      </c>
      <c r="AP758" s="20">
        <v>45012</v>
      </c>
      <c r="AQ758">
        <v>0</v>
      </c>
      <c r="AR758">
        <v>0</v>
      </c>
      <c r="AS758">
        <v>0</v>
      </c>
      <c r="AT758">
        <v>0</v>
      </c>
      <c r="AU758">
        <v>0</v>
      </c>
      <c r="AV758" t="s">
        <v>7360</v>
      </c>
      <c r="AW758">
        <v>0</v>
      </c>
      <c r="AX758" t="s">
        <v>7360</v>
      </c>
      <c r="AY758" t="s">
        <v>7362</v>
      </c>
      <c r="BA758">
        <v>0</v>
      </c>
      <c r="BB758" s="20">
        <v>45012</v>
      </c>
      <c r="BC758">
        <v>0</v>
      </c>
      <c r="BD758" t="s">
        <v>7360</v>
      </c>
      <c r="BF758" s="20">
        <v>45012</v>
      </c>
      <c r="BG758">
        <v>0</v>
      </c>
      <c r="BH758" t="s">
        <v>7363</v>
      </c>
      <c r="BJ758" t="s">
        <v>7362</v>
      </c>
      <c r="BK758">
        <v>169</v>
      </c>
      <c r="BL758">
        <v>11</v>
      </c>
      <c r="BM758">
        <v>1</v>
      </c>
      <c r="BN758" t="s">
        <v>7364</v>
      </c>
      <c r="BO758">
        <v>169</v>
      </c>
      <c r="BP758">
        <v>11</v>
      </c>
      <c r="BQ758">
        <v>1</v>
      </c>
      <c r="BR758" t="s">
        <v>7364</v>
      </c>
      <c r="BS758" t="s">
        <v>61</v>
      </c>
      <c r="BT758" t="s">
        <v>7360</v>
      </c>
      <c r="BU758" t="s">
        <v>7360</v>
      </c>
      <c r="BV758" t="s">
        <v>7360</v>
      </c>
      <c r="BX758" t="s">
        <v>7391</v>
      </c>
      <c r="BY758">
        <v>74</v>
      </c>
      <c r="BZ758" t="s">
        <v>7360</v>
      </c>
      <c r="CA758" t="s">
        <v>7360</v>
      </c>
      <c r="CB758">
        <v>3380666</v>
      </c>
      <c r="CC758" s="21">
        <v>45012.520914351851</v>
      </c>
      <c r="CE758" t="s">
        <v>7392</v>
      </c>
      <c r="CF758">
        <v>1100101</v>
      </c>
      <c r="CG758">
        <v>51669</v>
      </c>
      <c r="CH758">
        <v>51669</v>
      </c>
      <c r="CI758" s="21">
        <v>45012.522870370369</v>
      </c>
      <c r="CJ758" t="s">
        <v>7406</v>
      </c>
      <c r="CK758" t="s">
        <v>7406</v>
      </c>
      <c r="CL758" t="s">
        <v>7407</v>
      </c>
      <c r="CM758" t="s">
        <v>7407</v>
      </c>
      <c r="CS758" t="s">
        <v>7361</v>
      </c>
      <c r="CT758" t="s">
        <v>7362</v>
      </c>
      <c r="CU758" t="s">
        <v>7362</v>
      </c>
      <c r="CV758" t="s">
        <v>7362</v>
      </c>
      <c r="CW758" t="s">
        <v>7362</v>
      </c>
      <c r="CX758">
        <v>2784550</v>
      </c>
      <c r="DA758">
        <v>0</v>
      </c>
    </row>
    <row r="759" spans="1:110" x14ac:dyDescent="0.3">
      <c r="A759">
        <v>1364</v>
      </c>
      <c r="B759" t="s">
        <v>7355</v>
      </c>
      <c r="C759">
        <v>792</v>
      </c>
      <c r="D759" s="20">
        <v>45012</v>
      </c>
      <c r="E759" t="s">
        <v>7372</v>
      </c>
      <c r="F759" t="s">
        <v>4620</v>
      </c>
      <c r="G759" t="s">
        <v>7357</v>
      </c>
      <c r="H759">
        <v>1</v>
      </c>
      <c r="I759" t="s">
        <v>7358</v>
      </c>
      <c r="J759">
        <v>1</v>
      </c>
      <c r="K759" s="20">
        <v>45012</v>
      </c>
      <c r="L759" s="23">
        <v>321300</v>
      </c>
      <c r="M759" t="s">
        <v>7359</v>
      </c>
      <c r="N759" t="s">
        <v>7360</v>
      </c>
      <c r="O759">
        <v>0</v>
      </c>
      <c r="P759">
        <v>13318</v>
      </c>
      <c r="Q759">
        <v>456015</v>
      </c>
      <c r="R759">
        <v>0</v>
      </c>
      <c r="S759">
        <v>20230327</v>
      </c>
      <c r="T759">
        <v>0</v>
      </c>
      <c r="U759" t="s">
        <v>7362</v>
      </c>
      <c r="V759" t="s">
        <v>7360</v>
      </c>
      <c r="W759" t="s">
        <v>7360</v>
      </c>
      <c r="X759" t="s">
        <v>7360</v>
      </c>
      <c r="Y759" t="s">
        <v>7360</v>
      </c>
      <c r="Z759" t="s">
        <v>7360</v>
      </c>
      <c r="AA759" t="s">
        <v>7362</v>
      </c>
      <c r="AB759" t="s">
        <v>7360</v>
      </c>
      <c r="AC759" t="s">
        <v>7360</v>
      </c>
      <c r="AD759" t="s">
        <v>7360</v>
      </c>
      <c r="AE759" t="s">
        <v>7360</v>
      </c>
      <c r="AF759" t="s">
        <v>1684</v>
      </c>
      <c r="AG759">
        <v>0</v>
      </c>
      <c r="AH759">
        <v>0</v>
      </c>
      <c r="AI759">
        <v>0</v>
      </c>
      <c r="AJ759">
        <v>0</v>
      </c>
      <c r="AK759">
        <v>0</v>
      </c>
      <c r="AL759" t="s">
        <v>7360</v>
      </c>
      <c r="AM759">
        <v>0</v>
      </c>
      <c r="AN759" s="20">
        <v>45012</v>
      </c>
      <c r="AO759" s="20">
        <v>45012</v>
      </c>
      <c r="AP759" s="20">
        <v>45012</v>
      </c>
      <c r="AQ759">
        <v>0</v>
      </c>
      <c r="AR759">
        <v>0</v>
      </c>
      <c r="AS759">
        <v>0</v>
      </c>
      <c r="AT759">
        <v>0</v>
      </c>
      <c r="AU759">
        <v>0</v>
      </c>
      <c r="AV759" t="s">
        <v>7360</v>
      </c>
      <c r="AW759">
        <v>0</v>
      </c>
      <c r="AX759" t="s">
        <v>7360</v>
      </c>
      <c r="AY759" t="s">
        <v>7362</v>
      </c>
      <c r="BA759">
        <v>0</v>
      </c>
      <c r="BB759" s="20">
        <v>45012</v>
      </c>
      <c r="BC759">
        <v>0</v>
      </c>
      <c r="BD759" t="s">
        <v>7360</v>
      </c>
      <c r="BF759" s="20">
        <v>45012</v>
      </c>
      <c r="BG759">
        <v>0</v>
      </c>
      <c r="BH759" t="s">
        <v>7363</v>
      </c>
      <c r="BJ759" t="s">
        <v>7362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 t="s">
        <v>7387</v>
      </c>
      <c r="BT759" t="s">
        <v>7360</v>
      </c>
      <c r="BU759" t="s">
        <v>7360</v>
      </c>
      <c r="BV759" t="s">
        <v>7360</v>
      </c>
      <c r="BX759">
        <v>0</v>
      </c>
      <c r="BY759">
        <v>76</v>
      </c>
      <c r="BZ759">
        <v>0</v>
      </c>
      <c r="CA759">
        <v>0</v>
      </c>
      <c r="CB759" t="s">
        <v>7360</v>
      </c>
      <c r="CC759" s="20">
        <v>45016</v>
      </c>
      <c r="CE759" t="s">
        <v>7408</v>
      </c>
      <c r="CF759">
        <v>1105001</v>
      </c>
      <c r="CG759">
        <v>53575</v>
      </c>
      <c r="CH759">
        <v>53575</v>
      </c>
      <c r="CI759" s="21">
        <v>45012.638252314813</v>
      </c>
      <c r="CJ759" t="s">
        <v>7393</v>
      </c>
      <c r="CK759" t="s">
        <v>7393</v>
      </c>
      <c r="CL759" t="s">
        <v>7394</v>
      </c>
      <c r="CM759" t="s">
        <v>7394</v>
      </c>
      <c r="CS759" t="s">
        <v>7361</v>
      </c>
      <c r="CT759" t="s">
        <v>7362</v>
      </c>
      <c r="CU759" t="s">
        <v>7362</v>
      </c>
      <c r="CV759" t="s">
        <v>7362</v>
      </c>
      <c r="CW759" t="s">
        <v>7362</v>
      </c>
      <c r="CX759">
        <v>321300</v>
      </c>
      <c r="DA759">
        <v>0</v>
      </c>
    </row>
    <row r="760" spans="1:110" x14ac:dyDescent="0.3">
      <c r="A760">
        <v>1356</v>
      </c>
      <c r="B760" t="s">
        <v>7402</v>
      </c>
      <c r="C760">
        <v>793</v>
      </c>
      <c r="D760" s="20">
        <v>45012</v>
      </c>
      <c r="E760" t="s">
        <v>7372</v>
      </c>
      <c r="F760" t="s">
        <v>4625</v>
      </c>
      <c r="G760" t="s">
        <v>7377</v>
      </c>
      <c r="H760">
        <v>1</v>
      </c>
      <c r="I760" t="s">
        <v>7358</v>
      </c>
      <c r="J760">
        <v>1</v>
      </c>
      <c r="K760" s="20">
        <v>45012</v>
      </c>
      <c r="L760" s="23">
        <v>1320500</v>
      </c>
      <c r="M760" t="s">
        <v>7403</v>
      </c>
      <c r="N760" t="s">
        <v>7360</v>
      </c>
      <c r="O760">
        <v>0</v>
      </c>
      <c r="P760">
        <v>13376</v>
      </c>
      <c r="Q760">
        <v>142008</v>
      </c>
      <c r="R760">
        <v>0</v>
      </c>
      <c r="S760">
        <v>20230327</v>
      </c>
      <c r="T760">
        <v>0</v>
      </c>
      <c r="U760" t="s">
        <v>7362</v>
      </c>
      <c r="V760" t="s">
        <v>7360</v>
      </c>
      <c r="W760" t="s">
        <v>7360</v>
      </c>
      <c r="X760" t="s">
        <v>7360</v>
      </c>
      <c r="Y760" t="s">
        <v>7360</v>
      </c>
      <c r="Z760" t="s">
        <v>7360</v>
      </c>
      <c r="AA760" t="s">
        <v>7362</v>
      </c>
      <c r="AB760" t="s">
        <v>7360</v>
      </c>
      <c r="AC760" t="s">
        <v>7360</v>
      </c>
      <c r="AD760" t="s">
        <v>7360</v>
      </c>
      <c r="AE760" t="s">
        <v>7360</v>
      </c>
      <c r="AF760" t="s">
        <v>1684</v>
      </c>
      <c r="AG760">
        <v>0</v>
      </c>
      <c r="AH760">
        <v>0</v>
      </c>
      <c r="AI760">
        <v>0</v>
      </c>
      <c r="AJ760">
        <v>0</v>
      </c>
      <c r="AK760">
        <v>0</v>
      </c>
      <c r="AL760" t="s">
        <v>7360</v>
      </c>
      <c r="AM760">
        <v>0</v>
      </c>
      <c r="AN760" s="20">
        <v>45012</v>
      </c>
      <c r="AO760" s="20">
        <v>45012</v>
      </c>
      <c r="AP760" s="20">
        <v>45012</v>
      </c>
      <c r="AQ760">
        <v>0</v>
      </c>
      <c r="AR760">
        <v>0</v>
      </c>
      <c r="AS760">
        <v>0</v>
      </c>
      <c r="AT760">
        <v>0</v>
      </c>
      <c r="AU760">
        <v>0</v>
      </c>
      <c r="AV760" t="s">
        <v>7360</v>
      </c>
      <c r="AW760">
        <v>0</v>
      </c>
      <c r="AX760" t="s">
        <v>7360</v>
      </c>
      <c r="AY760" t="s">
        <v>7362</v>
      </c>
      <c r="BA760">
        <v>0</v>
      </c>
      <c r="BB760" s="20">
        <v>45012</v>
      </c>
      <c r="BC760">
        <v>0</v>
      </c>
      <c r="BD760" t="s">
        <v>7360</v>
      </c>
      <c r="BE760">
        <v>85</v>
      </c>
      <c r="BF760" s="20">
        <v>45012</v>
      </c>
      <c r="BG760">
        <v>0</v>
      </c>
      <c r="BH760" t="s">
        <v>1729</v>
      </c>
      <c r="BJ760" t="s">
        <v>7362</v>
      </c>
      <c r="BK760">
        <v>0</v>
      </c>
      <c r="BL760">
        <v>0</v>
      </c>
      <c r="BM760">
        <v>0</v>
      </c>
      <c r="BN760">
        <v>0</v>
      </c>
      <c r="BO760">
        <v>169</v>
      </c>
      <c r="BP760">
        <v>11</v>
      </c>
      <c r="BQ760">
        <v>1</v>
      </c>
      <c r="BR760" t="s">
        <v>7364</v>
      </c>
      <c r="BS760" t="s">
        <v>7386</v>
      </c>
      <c r="BT760" t="s">
        <v>7360</v>
      </c>
      <c r="BU760" t="s">
        <v>7360</v>
      </c>
      <c r="BV760" t="s">
        <v>7360</v>
      </c>
      <c r="BX760">
        <v>0</v>
      </c>
      <c r="BY760">
        <v>0</v>
      </c>
      <c r="BZ760" t="s">
        <v>7360</v>
      </c>
      <c r="CA760" t="s">
        <v>7360</v>
      </c>
      <c r="CB760">
        <v>3380666</v>
      </c>
      <c r="CC760" s="21">
        <v>45012.662083333336</v>
      </c>
      <c r="CE760" t="s">
        <v>7366</v>
      </c>
      <c r="CF760">
        <v>0</v>
      </c>
      <c r="CG760">
        <v>702002</v>
      </c>
      <c r="CH760">
        <v>702002</v>
      </c>
      <c r="CI760" s="21">
        <v>45012.666909722226</v>
      </c>
      <c r="CJ760" t="s">
        <v>7367</v>
      </c>
      <c r="CK760" t="s">
        <v>7367</v>
      </c>
      <c r="CL760" t="s">
        <v>7368</v>
      </c>
      <c r="CM760" t="s">
        <v>7368</v>
      </c>
      <c r="CS760" t="s">
        <v>7361</v>
      </c>
      <c r="CT760" t="s">
        <v>7362</v>
      </c>
      <c r="CU760" t="s">
        <v>7362</v>
      </c>
      <c r="CV760" t="s">
        <v>7362</v>
      </c>
      <c r="CW760" t="s">
        <v>7362</v>
      </c>
      <c r="CX760">
        <v>1320500</v>
      </c>
      <c r="DA760">
        <v>0</v>
      </c>
      <c r="DB760">
        <v>142008</v>
      </c>
    </row>
    <row r="761" spans="1:110" x14ac:dyDescent="0.3">
      <c r="A761">
        <v>1356</v>
      </c>
      <c r="B761" t="s">
        <v>7402</v>
      </c>
      <c r="C761">
        <v>794</v>
      </c>
      <c r="D761" s="20">
        <v>45012</v>
      </c>
      <c r="E761" t="s">
        <v>7372</v>
      </c>
      <c r="F761" t="s">
        <v>4630</v>
      </c>
      <c r="G761" t="s">
        <v>7377</v>
      </c>
      <c r="H761">
        <v>1</v>
      </c>
      <c r="I761" t="s">
        <v>7358</v>
      </c>
      <c r="J761">
        <v>1</v>
      </c>
      <c r="K761" s="20">
        <v>45012</v>
      </c>
      <c r="L761" s="23">
        <v>1320500</v>
      </c>
      <c r="M761" t="s">
        <v>7403</v>
      </c>
      <c r="N761" t="s">
        <v>7360</v>
      </c>
      <c r="O761">
        <v>0</v>
      </c>
      <c r="P761">
        <v>13373</v>
      </c>
      <c r="Q761">
        <v>142005</v>
      </c>
      <c r="R761">
        <v>0</v>
      </c>
      <c r="S761">
        <v>20230327</v>
      </c>
      <c r="T761">
        <v>0</v>
      </c>
      <c r="U761" t="s">
        <v>7362</v>
      </c>
      <c r="V761" t="s">
        <v>7360</v>
      </c>
      <c r="W761" t="s">
        <v>7360</v>
      </c>
      <c r="X761" t="s">
        <v>7360</v>
      </c>
      <c r="Y761" t="s">
        <v>7360</v>
      </c>
      <c r="Z761" t="s">
        <v>7360</v>
      </c>
      <c r="AA761" t="s">
        <v>7362</v>
      </c>
      <c r="AB761" t="s">
        <v>7360</v>
      </c>
      <c r="AC761" t="s">
        <v>7360</v>
      </c>
      <c r="AD761" t="s">
        <v>7360</v>
      </c>
      <c r="AE761" t="s">
        <v>7360</v>
      </c>
      <c r="AF761" t="s">
        <v>1684</v>
      </c>
      <c r="AG761">
        <v>0</v>
      </c>
      <c r="AH761">
        <v>0</v>
      </c>
      <c r="AI761">
        <v>0</v>
      </c>
      <c r="AJ761">
        <v>0</v>
      </c>
      <c r="AK761">
        <v>0</v>
      </c>
      <c r="AL761" t="s">
        <v>7360</v>
      </c>
      <c r="AM761">
        <v>0</v>
      </c>
      <c r="AN761" s="20">
        <v>45012</v>
      </c>
      <c r="AO761" s="20">
        <v>45012</v>
      </c>
      <c r="AP761" s="20">
        <v>45012</v>
      </c>
      <c r="AQ761">
        <v>0</v>
      </c>
      <c r="AR761">
        <v>0</v>
      </c>
      <c r="AS761">
        <v>0</v>
      </c>
      <c r="AT761">
        <v>0</v>
      </c>
      <c r="AU761">
        <v>0</v>
      </c>
      <c r="AV761" t="s">
        <v>7360</v>
      </c>
      <c r="AW761">
        <v>0</v>
      </c>
      <c r="AX761" t="s">
        <v>7360</v>
      </c>
      <c r="AY761" t="s">
        <v>7362</v>
      </c>
      <c r="BA761">
        <v>0</v>
      </c>
      <c r="BB761" s="20">
        <v>45012</v>
      </c>
      <c r="BC761">
        <v>0</v>
      </c>
      <c r="BD761" t="s">
        <v>7360</v>
      </c>
      <c r="BE761">
        <v>84</v>
      </c>
      <c r="BF761" s="20">
        <v>45012</v>
      </c>
      <c r="BG761">
        <v>0</v>
      </c>
      <c r="BH761" t="s">
        <v>1729</v>
      </c>
      <c r="BJ761" t="s">
        <v>7362</v>
      </c>
      <c r="BK761">
        <v>0</v>
      </c>
      <c r="BL761">
        <v>0</v>
      </c>
      <c r="BM761">
        <v>0</v>
      </c>
      <c r="BN761">
        <v>0</v>
      </c>
      <c r="BO761">
        <v>169</v>
      </c>
      <c r="BP761">
        <v>11</v>
      </c>
      <c r="BQ761">
        <v>1</v>
      </c>
      <c r="BR761" t="s">
        <v>7364</v>
      </c>
      <c r="BS761" t="s">
        <v>7386</v>
      </c>
      <c r="BT761" t="s">
        <v>7360</v>
      </c>
      <c r="BU761" t="s">
        <v>7360</v>
      </c>
      <c r="BV761" t="s">
        <v>7360</v>
      </c>
      <c r="BX761">
        <v>0</v>
      </c>
      <c r="BY761">
        <v>0</v>
      </c>
      <c r="BZ761" t="s">
        <v>7360</v>
      </c>
      <c r="CA761" t="s">
        <v>7360</v>
      </c>
      <c r="CB761">
        <v>3380666</v>
      </c>
      <c r="CC761" s="21">
        <v>45012.672453703701</v>
      </c>
      <c r="CE761" t="s">
        <v>7366</v>
      </c>
      <c r="CF761">
        <v>0</v>
      </c>
      <c r="CG761">
        <v>702002</v>
      </c>
      <c r="CH761">
        <v>702002</v>
      </c>
      <c r="CI761" s="21">
        <v>45012.67392361111</v>
      </c>
      <c r="CJ761" t="s">
        <v>7367</v>
      </c>
      <c r="CK761" t="s">
        <v>7367</v>
      </c>
      <c r="CL761" t="s">
        <v>7368</v>
      </c>
      <c r="CM761" t="s">
        <v>7368</v>
      </c>
      <c r="CS761" t="s">
        <v>7361</v>
      </c>
      <c r="CT761" t="s">
        <v>7362</v>
      </c>
      <c r="CU761" t="s">
        <v>7362</v>
      </c>
      <c r="CV761" t="s">
        <v>7362</v>
      </c>
      <c r="CW761" t="s">
        <v>7362</v>
      </c>
      <c r="CX761">
        <v>1320500</v>
      </c>
      <c r="DA761">
        <v>0</v>
      </c>
      <c r="DB761">
        <v>142005</v>
      </c>
    </row>
    <row r="762" spans="1:110" x14ac:dyDescent="0.3">
      <c r="A762">
        <v>1366</v>
      </c>
      <c r="B762" t="s">
        <v>7380</v>
      </c>
      <c r="C762">
        <v>795</v>
      </c>
      <c r="D762" s="20">
        <v>45012</v>
      </c>
      <c r="E762" t="s">
        <v>7372</v>
      </c>
      <c r="F762" t="s">
        <v>4636</v>
      </c>
      <c r="G762" t="s">
        <v>7357</v>
      </c>
      <c r="H762">
        <v>1</v>
      </c>
      <c r="I762" t="s">
        <v>7358</v>
      </c>
      <c r="J762">
        <v>1</v>
      </c>
      <c r="K762" s="20">
        <v>45012</v>
      </c>
      <c r="L762" s="23">
        <v>1988014</v>
      </c>
      <c r="M762" t="s">
        <v>7359</v>
      </c>
      <c r="N762" t="s">
        <v>7360</v>
      </c>
      <c r="O762">
        <v>0</v>
      </c>
      <c r="P762">
        <v>12826</v>
      </c>
      <c r="Q762">
        <v>450004</v>
      </c>
      <c r="R762">
        <v>0</v>
      </c>
      <c r="S762">
        <v>20230327</v>
      </c>
      <c r="T762">
        <v>0</v>
      </c>
      <c r="U762" t="s">
        <v>7362</v>
      </c>
      <c r="V762" t="s">
        <v>7360</v>
      </c>
      <c r="W762" t="s">
        <v>7360</v>
      </c>
      <c r="X762" t="s">
        <v>7360</v>
      </c>
      <c r="Y762" t="s">
        <v>7360</v>
      </c>
      <c r="Z762" t="s">
        <v>7360</v>
      </c>
      <c r="AA762" t="s">
        <v>7362</v>
      </c>
      <c r="AB762" t="s">
        <v>7360</v>
      </c>
      <c r="AC762" t="s">
        <v>7360</v>
      </c>
      <c r="AD762" t="s">
        <v>7360</v>
      </c>
      <c r="AE762" t="s">
        <v>7360</v>
      </c>
      <c r="AF762" t="s">
        <v>1684</v>
      </c>
      <c r="AG762">
        <v>0</v>
      </c>
      <c r="AH762">
        <v>0</v>
      </c>
      <c r="AI762">
        <v>0</v>
      </c>
      <c r="AJ762">
        <v>0</v>
      </c>
      <c r="AK762">
        <v>0</v>
      </c>
      <c r="AL762" t="s">
        <v>7360</v>
      </c>
      <c r="AM762">
        <v>0</v>
      </c>
      <c r="AN762" s="20">
        <v>45012</v>
      </c>
      <c r="AO762" s="20">
        <v>45012</v>
      </c>
      <c r="AP762" s="20">
        <v>45012</v>
      </c>
      <c r="AQ762">
        <v>0</v>
      </c>
      <c r="AR762">
        <v>0</v>
      </c>
      <c r="AS762">
        <v>0</v>
      </c>
      <c r="AT762">
        <v>0</v>
      </c>
      <c r="AU762">
        <v>0</v>
      </c>
      <c r="AV762" t="s">
        <v>7360</v>
      </c>
      <c r="AW762">
        <v>0</v>
      </c>
      <c r="AX762" t="s">
        <v>7360</v>
      </c>
      <c r="AY762" t="s">
        <v>7362</v>
      </c>
      <c r="BA762">
        <v>0</v>
      </c>
      <c r="BB762" s="20">
        <v>45012</v>
      </c>
      <c r="BC762">
        <v>0</v>
      </c>
      <c r="BD762" t="s">
        <v>7360</v>
      </c>
      <c r="BF762" s="20">
        <v>45012</v>
      </c>
      <c r="BG762">
        <v>0</v>
      </c>
      <c r="BH762" t="s">
        <v>7363</v>
      </c>
      <c r="BJ762" t="s">
        <v>7362</v>
      </c>
      <c r="BK762">
        <v>169</v>
      </c>
      <c r="BL762">
        <v>11</v>
      </c>
      <c r="BM762">
        <v>1</v>
      </c>
      <c r="BN762" t="s">
        <v>7364</v>
      </c>
      <c r="BO762">
        <v>169</v>
      </c>
      <c r="BP762">
        <v>11</v>
      </c>
      <c r="BQ762">
        <v>1</v>
      </c>
      <c r="BR762" t="s">
        <v>7364</v>
      </c>
      <c r="BS762" t="s">
        <v>7454</v>
      </c>
      <c r="BT762" t="s">
        <v>7360</v>
      </c>
      <c r="BU762" t="s">
        <v>7360</v>
      </c>
      <c r="BV762" t="s">
        <v>7360</v>
      </c>
      <c r="BX762" t="s">
        <v>7391</v>
      </c>
      <c r="BY762">
        <v>74</v>
      </c>
      <c r="BZ762" t="s">
        <v>7360</v>
      </c>
      <c r="CA762" t="s">
        <v>7360</v>
      </c>
      <c r="CB762">
        <v>3156020026</v>
      </c>
      <c r="CC762" s="21">
        <v>45012.674444444441</v>
      </c>
      <c r="CE762" t="s">
        <v>7392</v>
      </c>
      <c r="CF762">
        <v>1100101</v>
      </c>
      <c r="CG762">
        <v>51669</v>
      </c>
      <c r="CH762">
        <v>51669</v>
      </c>
      <c r="CI762" s="21">
        <v>45012.677789351852</v>
      </c>
      <c r="CJ762" t="s">
        <v>7406</v>
      </c>
      <c r="CK762" t="s">
        <v>7406</v>
      </c>
      <c r="CL762" t="s">
        <v>7407</v>
      </c>
      <c r="CM762" t="s">
        <v>7407</v>
      </c>
      <c r="CS762" t="s">
        <v>7361</v>
      </c>
      <c r="CT762" t="s">
        <v>7362</v>
      </c>
      <c r="CU762" t="s">
        <v>7362</v>
      </c>
      <c r="CV762" t="s">
        <v>7362</v>
      </c>
      <c r="CW762" t="s">
        <v>7362</v>
      </c>
      <c r="CX762">
        <v>1988014</v>
      </c>
      <c r="DA762">
        <v>0</v>
      </c>
    </row>
    <row r="763" spans="1:110" x14ac:dyDescent="0.3">
      <c r="A763">
        <v>1375</v>
      </c>
      <c r="B763" t="s">
        <v>7399</v>
      </c>
      <c r="C763">
        <v>519</v>
      </c>
      <c r="D763" s="20">
        <v>44987</v>
      </c>
      <c r="E763" t="s">
        <v>7356</v>
      </c>
      <c r="F763" t="s">
        <v>4641</v>
      </c>
      <c r="G763" t="s">
        <v>7357</v>
      </c>
      <c r="H763">
        <v>1</v>
      </c>
      <c r="I763" t="s">
        <v>7358</v>
      </c>
      <c r="J763">
        <v>1</v>
      </c>
      <c r="K763" s="20">
        <v>44987</v>
      </c>
      <c r="L763" s="23">
        <v>57462887</v>
      </c>
      <c r="M763" t="s">
        <v>7403</v>
      </c>
      <c r="N763" t="s">
        <v>7360</v>
      </c>
      <c r="O763">
        <v>0</v>
      </c>
      <c r="P763">
        <v>12141</v>
      </c>
      <c r="Q763">
        <v>135001</v>
      </c>
      <c r="R763">
        <v>0</v>
      </c>
      <c r="S763">
        <v>20230302</v>
      </c>
      <c r="T763">
        <v>0</v>
      </c>
      <c r="U763" t="s">
        <v>7361</v>
      </c>
      <c r="V763" t="s">
        <v>7360</v>
      </c>
      <c r="W763" t="s">
        <v>7360</v>
      </c>
      <c r="X763" t="s">
        <v>7360</v>
      </c>
      <c r="Y763" t="s">
        <v>7360</v>
      </c>
      <c r="Z763" t="s">
        <v>7360</v>
      </c>
      <c r="AA763" t="s">
        <v>7362</v>
      </c>
      <c r="AB763" t="s">
        <v>7360</v>
      </c>
      <c r="AC763" t="s">
        <v>7360</v>
      </c>
      <c r="AD763" t="s">
        <v>7360</v>
      </c>
      <c r="AE763" t="s">
        <v>7360</v>
      </c>
      <c r="AF763" t="s">
        <v>1684</v>
      </c>
      <c r="AG763">
        <v>0</v>
      </c>
      <c r="AH763">
        <v>0</v>
      </c>
      <c r="AI763">
        <v>0</v>
      </c>
      <c r="AJ763">
        <v>0</v>
      </c>
      <c r="AK763">
        <v>0</v>
      </c>
      <c r="AL763" t="s">
        <v>7360</v>
      </c>
      <c r="AM763">
        <v>0</v>
      </c>
      <c r="AN763" s="20">
        <v>44987</v>
      </c>
      <c r="AO763" s="20">
        <v>44987</v>
      </c>
      <c r="AP763" s="20">
        <v>44987</v>
      </c>
      <c r="AQ763">
        <v>0</v>
      </c>
      <c r="AR763">
        <v>0</v>
      </c>
      <c r="AS763">
        <v>0</v>
      </c>
      <c r="AT763">
        <v>0</v>
      </c>
      <c r="AU763">
        <v>0</v>
      </c>
      <c r="AV763" t="s">
        <v>7360</v>
      </c>
      <c r="AW763">
        <v>0</v>
      </c>
      <c r="AX763" t="s">
        <v>7360</v>
      </c>
      <c r="AY763" t="s">
        <v>7363</v>
      </c>
      <c r="BA763">
        <v>0</v>
      </c>
      <c r="BB763" s="20">
        <v>44987</v>
      </c>
      <c r="BC763">
        <v>0</v>
      </c>
      <c r="BD763" t="s">
        <v>7360</v>
      </c>
      <c r="BE763">
        <v>231</v>
      </c>
      <c r="BF763" s="20">
        <v>44987</v>
      </c>
      <c r="BG763">
        <v>0</v>
      </c>
      <c r="BH763" t="s">
        <v>7363</v>
      </c>
      <c r="BJ763" t="s">
        <v>7362</v>
      </c>
      <c r="BK763">
        <v>169</v>
      </c>
      <c r="BL763">
        <v>11</v>
      </c>
      <c r="BM763">
        <v>1</v>
      </c>
      <c r="BN763" t="s">
        <v>7364</v>
      </c>
      <c r="BO763">
        <v>169</v>
      </c>
      <c r="BP763">
        <v>11</v>
      </c>
      <c r="BQ763">
        <v>1</v>
      </c>
      <c r="BR763" t="s">
        <v>7364</v>
      </c>
      <c r="BS763" t="s">
        <v>7430</v>
      </c>
      <c r="BT763" t="s">
        <v>7360</v>
      </c>
      <c r="BU763" t="s">
        <v>7360</v>
      </c>
      <c r="BV763" t="s">
        <v>7360</v>
      </c>
      <c r="BX763" t="s">
        <v>7391</v>
      </c>
      <c r="BY763">
        <v>74</v>
      </c>
      <c r="BZ763" t="s">
        <v>7360</v>
      </c>
      <c r="CA763" t="s">
        <v>7360</v>
      </c>
      <c r="CC763" s="21">
        <v>44987.492418981485</v>
      </c>
      <c r="CE763" t="s">
        <v>7392</v>
      </c>
      <c r="CF763">
        <v>1100101</v>
      </c>
      <c r="CG763">
        <v>53575</v>
      </c>
      <c r="CH763">
        <v>53575</v>
      </c>
      <c r="CI763" s="21">
        <v>44987.497314814813</v>
      </c>
      <c r="CJ763" t="s">
        <v>7393</v>
      </c>
      <c r="CK763" t="s">
        <v>7393</v>
      </c>
      <c r="CL763" t="s">
        <v>7394</v>
      </c>
      <c r="CM763" t="s">
        <v>7394</v>
      </c>
      <c r="CS763" t="s">
        <v>7361</v>
      </c>
      <c r="CT763" t="s">
        <v>7362</v>
      </c>
      <c r="CU763" t="s">
        <v>7362</v>
      </c>
      <c r="CV763" t="s">
        <v>7362</v>
      </c>
      <c r="CW763" t="s">
        <v>7362</v>
      </c>
      <c r="CX763">
        <v>57462887</v>
      </c>
      <c r="DA763">
        <v>0</v>
      </c>
      <c r="DB763">
        <v>135001</v>
      </c>
      <c r="DF763" t="s">
        <v>7449</v>
      </c>
    </row>
    <row r="764" spans="1:110" x14ac:dyDescent="0.3">
      <c r="A764">
        <v>1355</v>
      </c>
      <c r="B764" t="s">
        <v>7409</v>
      </c>
      <c r="C764">
        <v>797</v>
      </c>
      <c r="D764" s="20">
        <v>45012</v>
      </c>
      <c r="E764" t="s">
        <v>7356</v>
      </c>
      <c r="F764" t="s">
        <v>4646</v>
      </c>
      <c r="G764" t="s">
        <v>7370</v>
      </c>
      <c r="H764">
        <v>1</v>
      </c>
      <c r="I764" t="s">
        <v>7358</v>
      </c>
      <c r="J764">
        <v>1</v>
      </c>
      <c r="K764" s="20">
        <v>45012</v>
      </c>
      <c r="L764" s="23">
        <v>5045988</v>
      </c>
      <c r="M764" t="s">
        <v>7359</v>
      </c>
      <c r="N764" t="s">
        <v>7360</v>
      </c>
      <c r="O764">
        <v>0</v>
      </c>
      <c r="P764">
        <v>13216</v>
      </c>
      <c r="Q764">
        <v>455017</v>
      </c>
      <c r="R764">
        <v>0</v>
      </c>
      <c r="S764">
        <v>20230327</v>
      </c>
      <c r="T764">
        <v>0</v>
      </c>
      <c r="U764" t="s">
        <v>7362</v>
      </c>
      <c r="V764" t="s">
        <v>7360</v>
      </c>
      <c r="W764" t="s">
        <v>7360</v>
      </c>
      <c r="X764" t="s">
        <v>7360</v>
      </c>
      <c r="Y764" t="s">
        <v>7360</v>
      </c>
      <c r="Z764" t="s">
        <v>7360</v>
      </c>
      <c r="AA764" t="s">
        <v>7362</v>
      </c>
      <c r="AB764" t="s">
        <v>7360</v>
      </c>
      <c r="AC764" t="s">
        <v>7360</v>
      </c>
      <c r="AD764" t="s">
        <v>7360</v>
      </c>
      <c r="AE764" t="s">
        <v>7360</v>
      </c>
      <c r="AF764" t="s">
        <v>1684</v>
      </c>
      <c r="AG764">
        <v>0</v>
      </c>
      <c r="AH764">
        <v>0</v>
      </c>
      <c r="AI764">
        <v>0</v>
      </c>
      <c r="AJ764">
        <v>0</v>
      </c>
      <c r="AK764">
        <v>0</v>
      </c>
      <c r="AL764" t="s">
        <v>7360</v>
      </c>
      <c r="AM764">
        <v>0</v>
      </c>
      <c r="AN764" s="20">
        <v>45012</v>
      </c>
      <c r="AO764" s="20">
        <v>45012</v>
      </c>
      <c r="AP764" s="20">
        <v>45012</v>
      </c>
      <c r="AQ764">
        <v>0</v>
      </c>
      <c r="AR764">
        <v>0</v>
      </c>
      <c r="AS764">
        <v>0</v>
      </c>
      <c r="AT764">
        <v>0</v>
      </c>
      <c r="AU764">
        <v>0</v>
      </c>
      <c r="AV764" t="s">
        <v>7360</v>
      </c>
      <c r="AW764">
        <v>0</v>
      </c>
      <c r="AX764" t="s">
        <v>7360</v>
      </c>
      <c r="AY764" t="s">
        <v>7362</v>
      </c>
      <c r="AZ764">
        <v>1384</v>
      </c>
      <c r="BA764">
        <v>79</v>
      </c>
      <c r="BB764" s="20">
        <v>45014</v>
      </c>
      <c r="BC764">
        <v>20230329</v>
      </c>
      <c r="BD764" t="s">
        <v>7474</v>
      </c>
      <c r="BF764" s="20">
        <v>45012</v>
      </c>
      <c r="BG764">
        <v>0</v>
      </c>
      <c r="BH764" t="s">
        <v>7363</v>
      </c>
      <c r="BJ764" t="s">
        <v>7362</v>
      </c>
      <c r="BK764">
        <v>169</v>
      </c>
      <c r="BL764">
        <v>11</v>
      </c>
      <c r="BM764">
        <v>1</v>
      </c>
      <c r="BN764" t="s">
        <v>7364</v>
      </c>
      <c r="BO764">
        <v>169</v>
      </c>
      <c r="BP764">
        <v>11</v>
      </c>
      <c r="BQ764">
        <v>1</v>
      </c>
      <c r="BR764" t="s">
        <v>7364</v>
      </c>
      <c r="BS764" t="s">
        <v>7411</v>
      </c>
      <c r="BT764" t="s">
        <v>7360</v>
      </c>
      <c r="BU764" t="s">
        <v>7360</v>
      </c>
      <c r="BV764" t="s">
        <v>7360</v>
      </c>
      <c r="BX764" t="s">
        <v>7391</v>
      </c>
      <c r="BY764">
        <v>74</v>
      </c>
      <c r="BZ764" t="s">
        <v>7360</v>
      </c>
      <c r="CA764" t="s">
        <v>7360</v>
      </c>
      <c r="CB764">
        <v>3380666</v>
      </c>
      <c r="CC764" s="21">
        <v>45012.685995370368</v>
      </c>
      <c r="CE764" t="s">
        <v>7392</v>
      </c>
      <c r="CF764">
        <v>1100101</v>
      </c>
      <c r="CG764">
        <v>51669</v>
      </c>
      <c r="CH764">
        <v>51669</v>
      </c>
      <c r="CI764" s="21">
        <v>45012.68677083333</v>
      </c>
      <c r="CJ764" t="s">
        <v>7406</v>
      </c>
      <c r="CK764" t="s">
        <v>7406</v>
      </c>
      <c r="CL764" t="s">
        <v>7407</v>
      </c>
      <c r="CM764" t="s">
        <v>7407</v>
      </c>
      <c r="CS764" t="s">
        <v>7361</v>
      </c>
      <c r="CT764" t="s">
        <v>7362</v>
      </c>
      <c r="CU764" t="s">
        <v>7362</v>
      </c>
      <c r="CV764" t="s">
        <v>7362</v>
      </c>
      <c r="CW764" t="s">
        <v>7362</v>
      </c>
      <c r="CX764">
        <v>5045988</v>
      </c>
      <c r="CY764" t="s">
        <v>1684</v>
      </c>
      <c r="DA764">
        <v>0</v>
      </c>
    </row>
    <row r="765" spans="1:110" x14ac:dyDescent="0.3">
      <c r="A765">
        <v>1356</v>
      </c>
      <c r="B765" t="s">
        <v>7402</v>
      </c>
      <c r="C765">
        <v>798</v>
      </c>
      <c r="D765" s="20">
        <v>45012</v>
      </c>
      <c r="E765" t="s">
        <v>7372</v>
      </c>
      <c r="F765" t="s">
        <v>4652</v>
      </c>
      <c r="G765" t="s">
        <v>7377</v>
      </c>
      <c r="H765">
        <v>1</v>
      </c>
      <c r="I765" t="s">
        <v>7358</v>
      </c>
      <c r="J765">
        <v>1</v>
      </c>
      <c r="K765" s="20">
        <v>45012</v>
      </c>
      <c r="L765" s="23">
        <v>2512548</v>
      </c>
      <c r="M765" t="s">
        <v>7403</v>
      </c>
      <c r="N765" t="s">
        <v>7360</v>
      </c>
      <c r="O765">
        <v>0</v>
      </c>
      <c r="P765">
        <v>13304</v>
      </c>
      <c r="Q765">
        <v>142002</v>
      </c>
      <c r="R765">
        <v>0</v>
      </c>
      <c r="S765">
        <v>20230327</v>
      </c>
      <c r="T765">
        <v>0</v>
      </c>
      <c r="U765" t="s">
        <v>7362</v>
      </c>
      <c r="V765" t="s">
        <v>7360</v>
      </c>
      <c r="W765" t="s">
        <v>7360</v>
      </c>
      <c r="X765" t="s">
        <v>7360</v>
      </c>
      <c r="Y765" t="s">
        <v>7360</v>
      </c>
      <c r="Z765" t="s">
        <v>7360</v>
      </c>
      <c r="AA765" t="s">
        <v>7362</v>
      </c>
      <c r="AB765" t="s">
        <v>7360</v>
      </c>
      <c r="AC765" t="s">
        <v>7360</v>
      </c>
      <c r="AD765" t="s">
        <v>7360</v>
      </c>
      <c r="AE765" t="s">
        <v>7360</v>
      </c>
      <c r="AF765" t="s">
        <v>1684</v>
      </c>
      <c r="AG765">
        <v>0</v>
      </c>
      <c r="AH765">
        <v>0</v>
      </c>
      <c r="AI765">
        <v>0</v>
      </c>
      <c r="AJ765">
        <v>0</v>
      </c>
      <c r="AK765">
        <v>0</v>
      </c>
      <c r="AL765" t="s">
        <v>7360</v>
      </c>
      <c r="AM765">
        <v>0</v>
      </c>
      <c r="AN765" s="20">
        <v>45012</v>
      </c>
      <c r="AO765" s="20">
        <v>45012</v>
      </c>
      <c r="AP765" s="20">
        <v>45012</v>
      </c>
      <c r="AQ765">
        <v>0</v>
      </c>
      <c r="AR765">
        <v>0</v>
      </c>
      <c r="AS765">
        <v>0</v>
      </c>
      <c r="AT765">
        <v>0</v>
      </c>
      <c r="AU765">
        <v>0</v>
      </c>
      <c r="AV765" t="s">
        <v>7360</v>
      </c>
      <c r="AW765">
        <v>0</v>
      </c>
      <c r="AX765" t="s">
        <v>7360</v>
      </c>
      <c r="AY765" t="s">
        <v>7362</v>
      </c>
      <c r="BA765">
        <v>0</v>
      </c>
      <c r="BB765" s="20">
        <v>45012</v>
      </c>
      <c r="BC765">
        <v>0</v>
      </c>
      <c r="BD765" t="s">
        <v>7360</v>
      </c>
      <c r="BE765">
        <v>225</v>
      </c>
      <c r="BF765" s="20">
        <v>45012</v>
      </c>
      <c r="BG765">
        <v>0</v>
      </c>
      <c r="BH765" t="s">
        <v>1729</v>
      </c>
      <c r="BJ765" t="s">
        <v>7362</v>
      </c>
      <c r="BK765">
        <v>0</v>
      </c>
      <c r="BL765">
        <v>0</v>
      </c>
      <c r="BM765">
        <v>0</v>
      </c>
      <c r="BN765">
        <v>0</v>
      </c>
      <c r="BO765">
        <v>169</v>
      </c>
      <c r="BP765">
        <v>11</v>
      </c>
      <c r="BQ765">
        <v>1</v>
      </c>
      <c r="BR765" t="s">
        <v>7364</v>
      </c>
      <c r="BS765" t="s">
        <v>7386</v>
      </c>
      <c r="BT765" t="s">
        <v>7360</v>
      </c>
      <c r="BU765" t="s">
        <v>7360</v>
      </c>
      <c r="BV765" t="s">
        <v>7360</v>
      </c>
      <c r="BX765">
        <v>0</v>
      </c>
      <c r="BY765">
        <v>0</v>
      </c>
      <c r="BZ765" t="s">
        <v>7360</v>
      </c>
      <c r="CA765" t="s">
        <v>7360</v>
      </c>
      <c r="CB765">
        <v>3380666</v>
      </c>
      <c r="CC765" s="21">
        <v>45012.685879629629</v>
      </c>
      <c r="CE765" t="s">
        <v>7366</v>
      </c>
      <c r="CF765">
        <v>0</v>
      </c>
      <c r="CG765">
        <v>702002</v>
      </c>
      <c r="CH765">
        <v>702002</v>
      </c>
      <c r="CI765" s="21">
        <v>45012.688958333332</v>
      </c>
      <c r="CJ765" t="s">
        <v>7367</v>
      </c>
      <c r="CK765" t="s">
        <v>7367</v>
      </c>
      <c r="CL765" t="s">
        <v>7368</v>
      </c>
      <c r="CM765" t="s">
        <v>7368</v>
      </c>
      <c r="CS765" t="s">
        <v>7361</v>
      </c>
      <c r="CT765" t="s">
        <v>7362</v>
      </c>
      <c r="CU765" t="s">
        <v>7362</v>
      </c>
      <c r="CV765" t="s">
        <v>7362</v>
      </c>
      <c r="CW765" t="s">
        <v>7362</v>
      </c>
      <c r="CX765">
        <v>2512548</v>
      </c>
      <c r="DA765">
        <v>0</v>
      </c>
      <c r="DB765">
        <v>142002</v>
      </c>
    </row>
    <row r="766" spans="1:110" x14ac:dyDescent="0.3">
      <c r="A766">
        <v>1354</v>
      </c>
      <c r="B766" t="s">
        <v>7396</v>
      </c>
      <c r="C766">
        <v>799</v>
      </c>
      <c r="D766" s="20">
        <v>45012</v>
      </c>
      <c r="E766" t="s">
        <v>7372</v>
      </c>
      <c r="F766" t="s">
        <v>4657</v>
      </c>
      <c r="G766" t="s">
        <v>7370</v>
      </c>
      <c r="H766">
        <v>1</v>
      </c>
      <c r="I766" t="s">
        <v>7358</v>
      </c>
      <c r="J766">
        <v>1</v>
      </c>
      <c r="K766" s="20">
        <v>45012</v>
      </c>
      <c r="L766" s="23">
        <v>3240000</v>
      </c>
      <c r="M766" t="s">
        <v>7359</v>
      </c>
      <c r="N766" t="s">
        <v>7360</v>
      </c>
      <c r="O766">
        <v>0</v>
      </c>
      <c r="P766">
        <v>13035</v>
      </c>
      <c r="Q766">
        <v>453058</v>
      </c>
      <c r="R766">
        <v>0</v>
      </c>
      <c r="S766">
        <v>20230327</v>
      </c>
      <c r="T766">
        <v>0</v>
      </c>
      <c r="U766" t="s">
        <v>7362</v>
      </c>
      <c r="V766" t="s">
        <v>7360</v>
      </c>
      <c r="W766" t="s">
        <v>7360</v>
      </c>
      <c r="X766" t="s">
        <v>7360</v>
      </c>
      <c r="Y766" t="s">
        <v>7360</v>
      </c>
      <c r="Z766" t="s">
        <v>7360</v>
      </c>
      <c r="AA766" t="s">
        <v>7362</v>
      </c>
      <c r="AB766" t="s">
        <v>7360</v>
      </c>
      <c r="AC766" t="s">
        <v>7360</v>
      </c>
      <c r="AD766" t="s">
        <v>7360</v>
      </c>
      <c r="AE766" t="s">
        <v>7360</v>
      </c>
      <c r="AF766" t="s">
        <v>1684</v>
      </c>
      <c r="AG766">
        <v>0</v>
      </c>
      <c r="AH766">
        <v>0</v>
      </c>
      <c r="AI766">
        <v>0</v>
      </c>
      <c r="AJ766">
        <v>0</v>
      </c>
      <c r="AK766">
        <v>0</v>
      </c>
      <c r="AL766" t="s">
        <v>7360</v>
      </c>
      <c r="AM766">
        <v>0</v>
      </c>
      <c r="AN766" s="20">
        <v>45012</v>
      </c>
      <c r="AO766" s="20">
        <v>45012</v>
      </c>
      <c r="AP766" s="20">
        <v>45012</v>
      </c>
      <c r="AQ766">
        <v>0</v>
      </c>
      <c r="AR766">
        <v>0</v>
      </c>
      <c r="AS766">
        <v>0</v>
      </c>
      <c r="AT766">
        <v>0</v>
      </c>
      <c r="AU766">
        <v>0</v>
      </c>
      <c r="AV766" t="s">
        <v>7360</v>
      </c>
      <c r="AW766">
        <v>0</v>
      </c>
      <c r="AX766" t="s">
        <v>7360</v>
      </c>
      <c r="AY766" t="s">
        <v>7362</v>
      </c>
      <c r="BA766">
        <v>0</v>
      </c>
      <c r="BB766" s="20">
        <v>45012</v>
      </c>
      <c r="BC766">
        <v>0</v>
      </c>
      <c r="BD766" t="s">
        <v>7360</v>
      </c>
      <c r="BF766" s="20">
        <v>45012</v>
      </c>
      <c r="BG766">
        <v>0</v>
      </c>
      <c r="BH766" t="s">
        <v>7363</v>
      </c>
      <c r="BJ766" t="s">
        <v>7362</v>
      </c>
      <c r="BK766">
        <v>169</v>
      </c>
      <c r="BL766">
        <v>11</v>
      </c>
      <c r="BM766">
        <v>1</v>
      </c>
      <c r="BN766" t="s">
        <v>7364</v>
      </c>
      <c r="BO766">
        <v>169</v>
      </c>
      <c r="BP766">
        <v>11</v>
      </c>
      <c r="BQ766">
        <v>1</v>
      </c>
      <c r="BR766" t="s">
        <v>7364</v>
      </c>
      <c r="BS766" t="s">
        <v>7411</v>
      </c>
      <c r="BT766" t="s">
        <v>7360</v>
      </c>
      <c r="BU766" t="s">
        <v>7360</v>
      </c>
      <c r="BV766" t="s">
        <v>7360</v>
      </c>
      <c r="BX766" t="s">
        <v>7391</v>
      </c>
      <c r="BY766">
        <v>74</v>
      </c>
      <c r="BZ766" t="s">
        <v>7360</v>
      </c>
      <c r="CA766" t="s">
        <v>7360</v>
      </c>
      <c r="CB766" t="s">
        <v>7360</v>
      </c>
      <c r="CC766" s="21">
        <v>45012.689756944441</v>
      </c>
      <c r="CE766" t="s">
        <v>7392</v>
      </c>
      <c r="CF766">
        <v>1100101</v>
      </c>
      <c r="CG766">
        <v>50947</v>
      </c>
      <c r="CH766">
        <v>50947</v>
      </c>
      <c r="CI766" s="21">
        <v>45012.691168981481</v>
      </c>
      <c r="CJ766" t="s">
        <v>7442</v>
      </c>
      <c r="CK766" t="s">
        <v>7442</v>
      </c>
      <c r="CL766" t="s">
        <v>7443</v>
      </c>
      <c r="CM766" t="s">
        <v>7443</v>
      </c>
      <c r="CS766" t="s">
        <v>7361</v>
      </c>
      <c r="CT766" t="s">
        <v>7362</v>
      </c>
      <c r="CU766" t="s">
        <v>7362</v>
      </c>
      <c r="CV766" t="s">
        <v>7362</v>
      </c>
      <c r="CW766" t="s">
        <v>7362</v>
      </c>
      <c r="CX766">
        <v>3240000</v>
      </c>
      <c r="DA766">
        <v>0</v>
      </c>
    </row>
    <row r="767" spans="1:110" x14ac:dyDescent="0.3">
      <c r="A767">
        <v>1364</v>
      </c>
      <c r="B767" t="s">
        <v>7355</v>
      </c>
      <c r="C767">
        <v>800</v>
      </c>
      <c r="D767" s="20">
        <v>45012</v>
      </c>
      <c r="E767" t="s">
        <v>7372</v>
      </c>
      <c r="F767" t="s">
        <v>4662</v>
      </c>
      <c r="G767" t="s">
        <v>7357</v>
      </c>
      <c r="H767">
        <v>1</v>
      </c>
      <c r="I767" t="s">
        <v>7358</v>
      </c>
      <c r="J767">
        <v>1</v>
      </c>
      <c r="K767" s="20">
        <v>45012</v>
      </c>
      <c r="L767" s="23">
        <v>321300</v>
      </c>
      <c r="M767" t="s">
        <v>7359</v>
      </c>
      <c r="N767" t="s">
        <v>7360</v>
      </c>
      <c r="O767">
        <v>0</v>
      </c>
      <c r="P767">
        <v>13338</v>
      </c>
      <c r="Q767">
        <v>458013</v>
      </c>
      <c r="R767">
        <v>0</v>
      </c>
      <c r="S767">
        <v>20230327</v>
      </c>
      <c r="T767">
        <v>0</v>
      </c>
      <c r="U767" t="s">
        <v>7362</v>
      </c>
      <c r="V767" t="s">
        <v>7360</v>
      </c>
      <c r="W767" t="s">
        <v>7360</v>
      </c>
      <c r="X767" t="s">
        <v>7360</v>
      </c>
      <c r="Y767" t="s">
        <v>7360</v>
      </c>
      <c r="Z767" t="s">
        <v>7360</v>
      </c>
      <c r="AA767" t="s">
        <v>7362</v>
      </c>
      <c r="AB767" t="s">
        <v>7360</v>
      </c>
      <c r="AC767" t="s">
        <v>7360</v>
      </c>
      <c r="AD767" t="s">
        <v>7360</v>
      </c>
      <c r="AE767" t="s">
        <v>7360</v>
      </c>
      <c r="AF767" t="s">
        <v>1684</v>
      </c>
      <c r="AG767">
        <v>0</v>
      </c>
      <c r="AH767">
        <v>0</v>
      </c>
      <c r="AI767">
        <v>0</v>
      </c>
      <c r="AJ767">
        <v>0</v>
      </c>
      <c r="AK767">
        <v>0</v>
      </c>
      <c r="AL767" t="s">
        <v>7360</v>
      </c>
      <c r="AM767">
        <v>0</v>
      </c>
      <c r="AN767" s="20">
        <v>45012</v>
      </c>
      <c r="AO767" s="20">
        <v>45012</v>
      </c>
      <c r="AP767" s="20">
        <v>45012</v>
      </c>
      <c r="AQ767">
        <v>0</v>
      </c>
      <c r="AR767">
        <v>0</v>
      </c>
      <c r="AS767">
        <v>0</v>
      </c>
      <c r="AT767">
        <v>0</v>
      </c>
      <c r="AU767">
        <v>0</v>
      </c>
      <c r="AV767" t="s">
        <v>7360</v>
      </c>
      <c r="AW767">
        <v>0</v>
      </c>
      <c r="AX767" t="s">
        <v>7360</v>
      </c>
      <c r="AY767" t="s">
        <v>7362</v>
      </c>
      <c r="BA767">
        <v>0</v>
      </c>
      <c r="BB767" s="20">
        <v>45012</v>
      </c>
      <c r="BC767">
        <v>0</v>
      </c>
      <c r="BD767" t="s">
        <v>7360</v>
      </c>
      <c r="BF767" s="20">
        <v>45012</v>
      </c>
      <c r="BG767">
        <v>0</v>
      </c>
      <c r="BH767" t="s">
        <v>7363</v>
      </c>
      <c r="BJ767" t="s">
        <v>7362</v>
      </c>
      <c r="BK767">
        <v>169</v>
      </c>
      <c r="BL767">
        <v>11</v>
      </c>
      <c r="BM767">
        <v>1</v>
      </c>
      <c r="BN767" t="s">
        <v>7364</v>
      </c>
      <c r="BO767">
        <v>169</v>
      </c>
      <c r="BP767">
        <v>11</v>
      </c>
      <c r="BQ767">
        <v>1</v>
      </c>
      <c r="BR767" t="s">
        <v>7364</v>
      </c>
      <c r="BS767" t="s">
        <v>7387</v>
      </c>
      <c r="BT767" t="s">
        <v>7360</v>
      </c>
      <c r="BU767" t="s">
        <v>7360</v>
      </c>
      <c r="BV767" t="s">
        <v>7360</v>
      </c>
      <c r="BX767" t="s">
        <v>7391</v>
      </c>
      <c r="BY767">
        <v>74</v>
      </c>
      <c r="BZ767" t="s">
        <v>7360</v>
      </c>
      <c r="CA767" t="s">
        <v>7360</v>
      </c>
      <c r="CB767">
        <v>3380666</v>
      </c>
      <c r="CC767" s="21">
        <v>45012.689976851849</v>
      </c>
      <c r="CE767" t="s">
        <v>7392</v>
      </c>
      <c r="CF767">
        <v>1100101</v>
      </c>
      <c r="CG767">
        <v>51669</v>
      </c>
      <c r="CH767">
        <v>51669</v>
      </c>
      <c r="CI767" s="21">
        <v>45013.607685185183</v>
      </c>
      <c r="CJ767" t="s">
        <v>7406</v>
      </c>
      <c r="CK767" t="s">
        <v>7406</v>
      </c>
      <c r="CL767" t="s">
        <v>7407</v>
      </c>
      <c r="CM767" t="s">
        <v>7407</v>
      </c>
      <c r="CS767" t="s">
        <v>7361</v>
      </c>
      <c r="CT767" t="s">
        <v>7362</v>
      </c>
      <c r="CU767" t="s">
        <v>7362</v>
      </c>
      <c r="CV767" t="s">
        <v>7362</v>
      </c>
      <c r="CW767" t="s">
        <v>7362</v>
      </c>
      <c r="CX767">
        <v>321300</v>
      </c>
      <c r="DA767">
        <v>0</v>
      </c>
    </row>
    <row r="768" spans="1:110" x14ac:dyDescent="0.3">
      <c r="A768">
        <v>1364</v>
      </c>
      <c r="B768" t="s">
        <v>7355</v>
      </c>
      <c r="C768">
        <v>801</v>
      </c>
      <c r="D768" s="20">
        <v>45012</v>
      </c>
      <c r="E768" t="s">
        <v>7372</v>
      </c>
      <c r="F768" t="s">
        <v>4668</v>
      </c>
      <c r="G768" t="s">
        <v>7357</v>
      </c>
      <c r="H768">
        <v>1</v>
      </c>
      <c r="I768" t="s">
        <v>7358</v>
      </c>
      <c r="J768">
        <v>1</v>
      </c>
      <c r="K768" s="20">
        <v>45012</v>
      </c>
      <c r="L768" s="23">
        <v>1400000</v>
      </c>
      <c r="M768" t="s">
        <v>7359</v>
      </c>
      <c r="N768" t="s">
        <v>7360</v>
      </c>
      <c r="O768">
        <v>0</v>
      </c>
      <c r="P768">
        <v>13361</v>
      </c>
      <c r="Q768">
        <v>458020</v>
      </c>
      <c r="R768">
        <v>0</v>
      </c>
      <c r="S768">
        <v>20230327</v>
      </c>
      <c r="T768">
        <v>0</v>
      </c>
      <c r="U768" t="s">
        <v>7362</v>
      </c>
      <c r="V768" t="s">
        <v>7360</v>
      </c>
      <c r="W768" t="s">
        <v>7360</v>
      </c>
      <c r="X768" t="s">
        <v>7360</v>
      </c>
      <c r="Y768" t="s">
        <v>7360</v>
      </c>
      <c r="Z768" t="s">
        <v>7360</v>
      </c>
      <c r="AA768" t="s">
        <v>7362</v>
      </c>
      <c r="AB768" t="s">
        <v>7360</v>
      </c>
      <c r="AC768" t="s">
        <v>7360</v>
      </c>
      <c r="AD768" t="s">
        <v>7360</v>
      </c>
      <c r="AE768" t="s">
        <v>7360</v>
      </c>
      <c r="AF768" t="s">
        <v>1684</v>
      </c>
      <c r="AG768">
        <v>0</v>
      </c>
      <c r="AH768">
        <v>0</v>
      </c>
      <c r="AI768">
        <v>0</v>
      </c>
      <c r="AJ768">
        <v>0</v>
      </c>
      <c r="AK768">
        <v>0</v>
      </c>
      <c r="AL768" t="s">
        <v>7360</v>
      </c>
      <c r="AM768">
        <v>0</v>
      </c>
      <c r="AN768" s="20">
        <v>45012</v>
      </c>
      <c r="AO768" s="20">
        <v>45012</v>
      </c>
      <c r="AP768" s="20">
        <v>45012</v>
      </c>
      <c r="AQ768">
        <v>0</v>
      </c>
      <c r="AR768">
        <v>0</v>
      </c>
      <c r="AS768">
        <v>0</v>
      </c>
      <c r="AT768">
        <v>0</v>
      </c>
      <c r="AU768">
        <v>0</v>
      </c>
      <c r="AV768" t="s">
        <v>7360</v>
      </c>
      <c r="AW768">
        <v>0</v>
      </c>
      <c r="AX768" t="s">
        <v>7360</v>
      </c>
      <c r="AY768" t="s">
        <v>7362</v>
      </c>
      <c r="BA768">
        <v>0</v>
      </c>
      <c r="BB768" s="20">
        <v>45012</v>
      </c>
      <c r="BC768">
        <v>0</v>
      </c>
      <c r="BD768" t="s">
        <v>7360</v>
      </c>
      <c r="BF768" s="20">
        <v>45012</v>
      </c>
      <c r="BG768">
        <v>0</v>
      </c>
      <c r="BH768" t="s">
        <v>7363</v>
      </c>
      <c r="BJ768" t="s">
        <v>7362</v>
      </c>
      <c r="BK768">
        <v>169</v>
      </c>
      <c r="BL768">
        <v>11</v>
      </c>
      <c r="BM768">
        <v>1</v>
      </c>
      <c r="BN768" t="s">
        <v>7364</v>
      </c>
      <c r="BO768">
        <v>169</v>
      </c>
      <c r="BP768">
        <v>11</v>
      </c>
      <c r="BQ768">
        <v>1</v>
      </c>
      <c r="BR768" t="s">
        <v>7364</v>
      </c>
      <c r="BS768" t="s">
        <v>7387</v>
      </c>
      <c r="BT768" t="s">
        <v>7360</v>
      </c>
      <c r="BU768" t="s">
        <v>7360</v>
      </c>
      <c r="BV768" t="s">
        <v>7360</v>
      </c>
      <c r="BX768" t="s">
        <v>7391</v>
      </c>
      <c r="BY768">
        <v>74</v>
      </c>
      <c r="BZ768" t="s">
        <v>7360</v>
      </c>
      <c r="CA768" t="s">
        <v>7360</v>
      </c>
      <c r="CB768">
        <v>3380666</v>
      </c>
      <c r="CC768" s="21">
        <v>45012.695381944446</v>
      </c>
      <c r="CE768" t="s">
        <v>7392</v>
      </c>
      <c r="CF768">
        <v>1100101</v>
      </c>
      <c r="CG768">
        <v>51669</v>
      </c>
      <c r="CH768">
        <v>51669</v>
      </c>
      <c r="CI768" s="21">
        <v>45012.696608796294</v>
      </c>
      <c r="CJ768" t="s">
        <v>7406</v>
      </c>
      <c r="CK768" t="s">
        <v>7406</v>
      </c>
      <c r="CL768" t="s">
        <v>7407</v>
      </c>
      <c r="CM768" t="s">
        <v>7407</v>
      </c>
      <c r="CS768" t="s">
        <v>7361</v>
      </c>
      <c r="CT768" t="s">
        <v>7362</v>
      </c>
      <c r="CU768" t="s">
        <v>7362</v>
      </c>
      <c r="CV768" t="s">
        <v>7362</v>
      </c>
      <c r="CW768" t="s">
        <v>7362</v>
      </c>
      <c r="CX768">
        <v>1400000</v>
      </c>
      <c r="DA768">
        <v>0</v>
      </c>
    </row>
    <row r="769" spans="1:110" x14ac:dyDescent="0.3">
      <c r="A769">
        <v>1364</v>
      </c>
      <c r="B769" t="s">
        <v>7355</v>
      </c>
      <c r="C769">
        <v>802</v>
      </c>
      <c r="D769" s="20">
        <v>45012</v>
      </c>
      <c r="E769" t="s">
        <v>7372</v>
      </c>
      <c r="F769" t="s">
        <v>4673</v>
      </c>
      <c r="G769" t="s">
        <v>7357</v>
      </c>
      <c r="H769">
        <v>1</v>
      </c>
      <c r="I769" t="s">
        <v>7358</v>
      </c>
      <c r="J769">
        <v>1</v>
      </c>
      <c r="K769" s="20">
        <v>45012</v>
      </c>
      <c r="L769" s="23">
        <v>649740</v>
      </c>
      <c r="M769" t="s">
        <v>7359</v>
      </c>
      <c r="N769" t="s">
        <v>7360</v>
      </c>
      <c r="O769">
        <v>0</v>
      </c>
      <c r="P769">
        <v>13213</v>
      </c>
      <c r="Q769">
        <v>455013</v>
      </c>
      <c r="R769">
        <v>0</v>
      </c>
      <c r="S769">
        <v>20230327</v>
      </c>
      <c r="T769">
        <v>0</v>
      </c>
      <c r="U769" t="s">
        <v>7362</v>
      </c>
      <c r="V769" t="s">
        <v>7360</v>
      </c>
      <c r="W769" t="s">
        <v>7360</v>
      </c>
      <c r="X769" t="s">
        <v>7360</v>
      </c>
      <c r="Y769" t="s">
        <v>7360</v>
      </c>
      <c r="Z769" t="s">
        <v>7360</v>
      </c>
      <c r="AA769" t="s">
        <v>7362</v>
      </c>
      <c r="AB769" t="s">
        <v>7360</v>
      </c>
      <c r="AC769" t="s">
        <v>7360</v>
      </c>
      <c r="AD769" t="s">
        <v>7360</v>
      </c>
      <c r="AE769" t="s">
        <v>7360</v>
      </c>
      <c r="AF769" t="s">
        <v>1684</v>
      </c>
      <c r="AG769">
        <v>0</v>
      </c>
      <c r="AH769">
        <v>0</v>
      </c>
      <c r="AI769">
        <v>0</v>
      </c>
      <c r="AJ769">
        <v>0</v>
      </c>
      <c r="AK769">
        <v>0</v>
      </c>
      <c r="AL769" t="s">
        <v>7360</v>
      </c>
      <c r="AM769">
        <v>0</v>
      </c>
      <c r="AN769" s="20">
        <v>45012</v>
      </c>
      <c r="AO769" s="20">
        <v>45012</v>
      </c>
      <c r="AP769" s="20">
        <v>45012</v>
      </c>
      <c r="AQ769">
        <v>0</v>
      </c>
      <c r="AR769">
        <v>0</v>
      </c>
      <c r="AS769">
        <v>0</v>
      </c>
      <c r="AT769">
        <v>0</v>
      </c>
      <c r="AU769">
        <v>0</v>
      </c>
      <c r="AV769" t="s">
        <v>7360</v>
      </c>
      <c r="AW769">
        <v>0</v>
      </c>
      <c r="AX769" t="s">
        <v>7360</v>
      </c>
      <c r="AY769" t="s">
        <v>7362</v>
      </c>
      <c r="BA769">
        <v>0</v>
      </c>
      <c r="BB769" s="20">
        <v>45012</v>
      </c>
      <c r="BC769">
        <v>0</v>
      </c>
      <c r="BD769" t="s">
        <v>7360</v>
      </c>
      <c r="BF769" s="20">
        <v>45012</v>
      </c>
      <c r="BG769">
        <v>0</v>
      </c>
      <c r="BH769" t="s">
        <v>7363</v>
      </c>
      <c r="BJ769" t="s">
        <v>7362</v>
      </c>
      <c r="BK769">
        <v>0</v>
      </c>
      <c r="BL769">
        <v>0</v>
      </c>
      <c r="BM769">
        <v>0</v>
      </c>
      <c r="BN769">
        <v>0</v>
      </c>
      <c r="BO769">
        <v>169</v>
      </c>
      <c r="BP769">
        <v>11</v>
      </c>
      <c r="BQ769">
        <v>1</v>
      </c>
      <c r="BR769" t="s">
        <v>7364</v>
      </c>
      <c r="BS769" t="s">
        <v>7365</v>
      </c>
      <c r="BT769" t="s">
        <v>7360</v>
      </c>
      <c r="BU769" t="s">
        <v>7360</v>
      </c>
      <c r="BV769" t="s">
        <v>7360</v>
      </c>
      <c r="BX769">
        <v>0</v>
      </c>
      <c r="BY769">
        <v>0</v>
      </c>
      <c r="BZ769" t="s">
        <v>7360</v>
      </c>
      <c r="CA769" t="s">
        <v>7360</v>
      </c>
      <c r="CB769">
        <v>3380666</v>
      </c>
      <c r="CC769" s="21">
        <v>45012.695879629631</v>
      </c>
      <c r="CE769" t="s">
        <v>7366</v>
      </c>
      <c r="CF769">
        <v>0</v>
      </c>
      <c r="CG769">
        <v>702002</v>
      </c>
      <c r="CH769">
        <v>702002</v>
      </c>
      <c r="CI769" s="21">
        <v>45012.697592592594</v>
      </c>
      <c r="CJ769" t="s">
        <v>7367</v>
      </c>
      <c r="CK769" t="s">
        <v>7367</v>
      </c>
      <c r="CL769" t="s">
        <v>7368</v>
      </c>
      <c r="CM769" t="s">
        <v>7368</v>
      </c>
      <c r="CS769" t="s">
        <v>7361</v>
      </c>
      <c r="CT769" t="s">
        <v>7362</v>
      </c>
      <c r="CU769" t="s">
        <v>7362</v>
      </c>
      <c r="CV769" t="s">
        <v>7362</v>
      </c>
      <c r="CW769" t="s">
        <v>7362</v>
      </c>
      <c r="CX769">
        <v>649740</v>
      </c>
      <c r="DA769">
        <v>0</v>
      </c>
    </row>
    <row r="770" spans="1:110" x14ac:dyDescent="0.3">
      <c r="A770">
        <v>1364</v>
      </c>
      <c r="B770" t="s">
        <v>7355</v>
      </c>
      <c r="C770">
        <v>803</v>
      </c>
      <c r="D770" s="20">
        <v>45012</v>
      </c>
      <c r="E770" t="s">
        <v>7372</v>
      </c>
      <c r="F770" t="s">
        <v>4678</v>
      </c>
      <c r="G770" t="s">
        <v>7357</v>
      </c>
      <c r="H770">
        <v>1</v>
      </c>
      <c r="I770" t="s">
        <v>7358</v>
      </c>
      <c r="J770">
        <v>1</v>
      </c>
      <c r="K770" s="20">
        <v>45012</v>
      </c>
      <c r="L770" s="23">
        <v>321300</v>
      </c>
      <c r="M770" t="s">
        <v>7359</v>
      </c>
      <c r="N770" t="s">
        <v>7360</v>
      </c>
      <c r="O770">
        <v>0</v>
      </c>
      <c r="P770">
        <v>13362</v>
      </c>
      <c r="Q770">
        <v>458021</v>
      </c>
      <c r="R770">
        <v>0</v>
      </c>
      <c r="S770">
        <v>20230327</v>
      </c>
      <c r="T770">
        <v>0</v>
      </c>
      <c r="U770" t="s">
        <v>7362</v>
      </c>
      <c r="V770" t="s">
        <v>7360</v>
      </c>
      <c r="W770" t="s">
        <v>7360</v>
      </c>
      <c r="X770" t="s">
        <v>7360</v>
      </c>
      <c r="Y770" t="s">
        <v>7360</v>
      </c>
      <c r="Z770" t="s">
        <v>7360</v>
      </c>
      <c r="AA770" t="s">
        <v>7362</v>
      </c>
      <c r="AB770" t="s">
        <v>7360</v>
      </c>
      <c r="AC770" t="s">
        <v>7360</v>
      </c>
      <c r="AD770" t="s">
        <v>7360</v>
      </c>
      <c r="AE770" t="s">
        <v>7360</v>
      </c>
      <c r="AF770" t="s">
        <v>1684</v>
      </c>
      <c r="AG770">
        <v>0</v>
      </c>
      <c r="AH770">
        <v>0</v>
      </c>
      <c r="AI770">
        <v>0</v>
      </c>
      <c r="AJ770">
        <v>0</v>
      </c>
      <c r="AK770">
        <v>0</v>
      </c>
      <c r="AL770" t="s">
        <v>7360</v>
      </c>
      <c r="AM770">
        <v>0</v>
      </c>
      <c r="AN770" s="20">
        <v>45012</v>
      </c>
      <c r="AO770" s="20">
        <v>45012</v>
      </c>
      <c r="AP770" s="20">
        <v>45012</v>
      </c>
      <c r="AQ770">
        <v>0</v>
      </c>
      <c r="AR770">
        <v>0</v>
      </c>
      <c r="AS770">
        <v>0</v>
      </c>
      <c r="AT770">
        <v>0</v>
      </c>
      <c r="AU770">
        <v>0</v>
      </c>
      <c r="AV770" t="s">
        <v>7360</v>
      </c>
      <c r="AW770">
        <v>0</v>
      </c>
      <c r="AX770" t="s">
        <v>7360</v>
      </c>
      <c r="AY770" t="s">
        <v>7362</v>
      </c>
      <c r="BA770">
        <v>0</v>
      </c>
      <c r="BB770" s="20">
        <v>45012</v>
      </c>
      <c r="BC770">
        <v>0</v>
      </c>
      <c r="BD770" t="s">
        <v>7360</v>
      </c>
      <c r="BF770" s="20">
        <v>45012</v>
      </c>
      <c r="BG770">
        <v>0</v>
      </c>
      <c r="BH770" t="s">
        <v>7363</v>
      </c>
      <c r="BJ770" t="s">
        <v>7362</v>
      </c>
      <c r="BK770">
        <v>169</v>
      </c>
      <c r="BL770">
        <v>11</v>
      </c>
      <c r="BM770">
        <v>1</v>
      </c>
      <c r="BN770" t="s">
        <v>7364</v>
      </c>
      <c r="BO770">
        <v>169</v>
      </c>
      <c r="BP770">
        <v>11</v>
      </c>
      <c r="BQ770">
        <v>1</v>
      </c>
      <c r="BR770" t="s">
        <v>7364</v>
      </c>
      <c r="BS770" t="s">
        <v>7475</v>
      </c>
      <c r="BT770" t="s">
        <v>7360</v>
      </c>
      <c r="BU770" t="s">
        <v>7360</v>
      </c>
      <c r="BV770" t="s">
        <v>7360</v>
      </c>
      <c r="BX770" t="s">
        <v>7391</v>
      </c>
      <c r="BY770">
        <v>74</v>
      </c>
      <c r="BZ770" t="s">
        <v>7360</v>
      </c>
      <c r="CA770" t="s">
        <v>7360</v>
      </c>
      <c r="CB770">
        <v>3380666</v>
      </c>
      <c r="CC770" s="21">
        <v>45012.699490740742</v>
      </c>
      <c r="CE770" t="s">
        <v>7392</v>
      </c>
      <c r="CF770">
        <v>1100101</v>
      </c>
      <c r="CG770">
        <v>51669</v>
      </c>
      <c r="CH770">
        <v>51669</v>
      </c>
      <c r="CI770" s="21">
        <v>45013.602835648147</v>
      </c>
      <c r="CJ770" t="s">
        <v>7406</v>
      </c>
      <c r="CK770" t="s">
        <v>7406</v>
      </c>
      <c r="CL770" t="s">
        <v>7407</v>
      </c>
      <c r="CM770" t="s">
        <v>7407</v>
      </c>
      <c r="CS770" t="s">
        <v>7361</v>
      </c>
      <c r="CT770" t="s">
        <v>7362</v>
      </c>
      <c r="CU770" t="s">
        <v>7362</v>
      </c>
      <c r="CV770" t="s">
        <v>7362</v>
      </c>
      <c r="CW770" t="s">
        <v>7362</v>
      </c>
      <c r="CX770">
        <v>321300</v>
      </c>
      <c r="DA770">
        <v>0</v>
      </c>
    </row>
    <row r="771" spans="1:110" x14ac:dyDescent="0.3">
      <c r="A771">
        <v>1362</v>
      </c>
      <c r="B771" t="s">
        <v>7371</v>
      </c>
      <c r="C771">
        <v>161</v>
      </c>
      <c r="D771" s="20">
        <v>44952</v>
      </c>
      <c r="E771" t="s">
        <v>7356</v>
      </c>
      <c r="F771" t="s">
        <v>4684</v>
      </c>
      <c r="G771" t="s">
        <v>7357</v>
      </c>
      <c r="H771">
        <v>2</v>
      </c>
      <c r="I771" t="s">
        <v>7428</v>
      </c>
      <c r="J771" t="s">
        <v>7476</v>
      </c>
      <c r="K771" s="20">
        <v>44952</v>
      </c>
      <c r="L771" s="23">
        <f>17390.6*4538.91</f>
        <v>78934368.245999992</v>
      </c>
      <c r="M771" t="s">
        <v>7403</v>
      </c>
      <c r="N771" t="s">
        <v>7360</v>
      </c>
      <c r="O771">
        <v>0</v>
      </c>
      <c r="P771">
        <v>11870</v>
      </c>
      <c r="Q771">
        <v>129011</v>
      </c>
      <c r="R771">
        <v>0</v>
      </c>
      <c r="S771">
        <v>20230126</v>
      </c>
      <c r="T771">
        <v>0</v>
      </c>
      <c r="U771" t="s">
        <v>7361</v>
      </c>
      <c r="V771" t="s">
        <v>7360</v>
      </c>
      <c r="W771" t="s">
        <v>7360</v>
      </c>
      <c r="X771" t="s">
        <v>7360</v>
      </c>
      <c r="Y771" t="s">
        <v>7360</v>
      </c>
      <c r="Z771" t="s">
        <v>7360</v>
      </c>
      <c r="AA771" t="s">
        <v>7362</v>
      </c>
      <c r="AB771" t="s">
        <v>7360</v>
      </c>
      <c r="AC771" t="s">
        <v>7360</v>
      </c>
      <c r="AD771" t="s">
        <v>7360</v>
      </c>
      <c r="AE771" t="s">
        <v>7360</v>
      </c>
      <c r="AF771" t="s">
        <v>1684</v>
      </c>
      <c r="AG771">
        <v>0</v>
      </c>
      <c r="AH771">
        <v>0</v>
      </c>
      <c r="AI771">
        <v>0</v>
      </c>
      <c r="AJ771">
        <v>0</v>
      </c>
      <c r="AK771">
        <v>0</v>
      </c>
      <c r="AL771" t="s">
        <v>7360</v>
      </c>
      <c r="AM771">
        <v>0</v>
      </c>
      <c r="AN771" s="20">
        <v>44952</v>
      </c>
      <c r="AO771" s="20">
        <v>44952</v>
      </c>
      <c r="AP771" s="20">
        <v>44952</v>
      </c>
      <c r="AQ771">
        <v>0</v>
      </c>
      <c r="AR771">
        <v>0</v>
      </c>
      <c r="AS771">
        <v>0</v>
      </c>
      <c r="AT771">
        <v>0</v>
      </c>
      <c r="AU771">
        <v>0</v>
      </c>
      <c r="AV771" t="s">
        <v>7360</v>
      </c>
      <c r="AW771">
        <v>0</v>
      </c>
      <c r="AX771" t="s">
        <v>7360</v>
      </c>
      <c r="AY771" t="s">
        <v>7363</v>
      </c>
      <c r="BA771">
        <v>0</v>
      </c>
      <c r="BB771" s="20">
        <v>44952</v>
      </c>
      <c r="BC771">
        <v>0</v>
      </c>
      <c r="BD771" t="s">
        <v>7360</v>
      </c>
      <c r="BE771">
        <v>109</v>
      </c>
      <c r="BF771" s="20">
        <v>44952</v>
      </c>
      <c r="BG771">
        <v>0</v>
      </c>
      <c r="BH771" t="s">
        <v>7363</v>
      </c>
      <c r="BJ771" t="s">
        <v>7362</v>
      </c>
      <c r="BK771">
        <v>0</v>
      </c>
      <c r="BL771">
        <v>0</v>
      </c>
      <c r="BM771">
        <v>0</v>
      </c>
      <c r="BN771">
        <v>0</v>
      </c>
      <c r="BO771">
        <v>169</v>
      </c>
      <c r="BP771">
        <v>11</v>
      </c>
      <c r="BQ771">
        <v>1</v>
      </c>
      <c r="BR771" t="s">
        <v>7364</v>
      </c>
      <c r="BS771" t="s">
        <v>7374</v>
      </c>
      <c r="BT771" t="s">
        <v>7360</v>
      </c>
      <c r="BU771" t="s">
        <v>7360</v>
      </c>
      <c r="BV771" t="s">
        <v>7360</v>
      </c>
      <c r="BX771">
        <v>0</v>
      </c>
      <c r="BY771">
        <v>0</v>
      </c>
      <c r="BZ771" t="s">
        <v>7360</v>
      </c>
      <c r="CA771" t="s">
        <v>7360</v>
      </c>
      <c r="CB771">
        <v>3380666</v>
      </c>
      <c r="CC771" s="21">
        <v>44952.787881944445</v>
      </c>
      <c r="CE771" t="s">
        <v>7366</v>
      </c>
      <c r="CF771">
        <v>0</v>
      </c>
      <c r="CG771">
        <v>702002</v>
      </c>
      <c r="CH771">
        <v>702002</v>
      </c>
      <c r="CI771" s="21">
        <v>44952.802766203706</v>
      </c>
      <c r="CJ771" t="s">
        <v>7367</v>
      </c>
      <c r="CK771" t="s">
        <v>7367</v>
      </c>
      <c r="CL771" t="s">
        <v>7368</v>
      </c>
      <c r="CM771" t="s">
        <v>7368</v>
      </c>
      <c r="CS771" t="s">
        <v>7361</v>
      </c>
      <c r="CT771" t="s">
        <v>7362</v>
      </c>
      <c r="CU771" t="s">
        <v>7362</v>
      </c>
      <c r="CV771" t="s">
        <v>7362</v>
      </c>
      <c r="CW771" t="s">
        <v>7362</v>
      </c>
      <c r="CX771" t="s">
        <v>7477</v>
      </c>
      <c r="DA771">
        <v>0</v>
      </c>
      <c r="DB771">
        <v>129011</v>
      </c>
    </row>
    <row r="772" spans="1:110" x14ac:dyDescent="0.3">
      <c r="A772">
        <v>1366</v>
      </c>
      <c r="B772" t="s">
        <v>7380</v>
      </c>
      <c r="C772">
        <v>805</v>
      </c>
      <c r="D772" s="20">
        <v>45012</v>
      </c>
      <c r="E772" t="s">
        <v>7372</v>
      </c>
      <c r="F772" t="s">
        <v>4689</v>
      </c>
      <c r="G772" t="s">
        <v>7357</v>
      </c>
      <c r="H772">
        <v>1</v>
      </c>
      <c r="I772" t="s">
        <v>7358</v>
      </c>
      <c r="J772">
        <v>1</v>
      </c>
      <c r="K772" s="20">
        <v>45012</v>
      </c>
      <c r="L772" s="23">
        <v>1454000</v>
      </c>
      <c r="M772" t="s">
        <v>7359</v>
      </c>
      <c r="N772" t="s">
        <v>7360</v>
      </c>
      <c r="O772">
        <v>0</v>
      </c>
      <c r="P772">
        <v>13405</v>
      </c>
      <c r="Q772">
        <v>460001</v>
      </c>
      <c r="R772">
        <v>0</v>
      </c>
      <c r="S772">
        <v>20230327</v>
      </c>
      <c r="T772">
        <v>0</v>
      </c>
      <c r="U772" t="s">
        <v>7362</v>
      </c>
      <c r="V772" t="s">
        <v>7360</v>
      </c>
      <c r="W772" t="s">
        <v>7360</v>
      </c>
      <c r="X772" t="s">
        <v>7360</v>
      </c>
      <c r="Y772" t="s">
        <v>7360</v>
      </c>
      <c r="Z772" t="s">
        <v>7360</v>
      </c>
      <c r="AA772" t="s">
        <v>7362</v>
      </c>
      <c r="AB772" t="s">
        <v>7360</v>
      </c>
      <c r="AC772" t="s">
        <v>7360</v>
      </c>
      <c r="AD772" t="s">
        <v>7360</v>
      </c>
      <c r="AE772" t="s">
        <v>7360</v>
      </c>
      <c r="AF772" t="s">
        <v>1684</v>
      </c>
      <c r="AG772">
        <v>0</v>
      </c>
      <c r="AH772">
        <v>0</v>
      </c>
      <c r="AI772">
        <v>0</v>
      </c>
      <c r="AJ772">
        <v>0</v>
      </c>
      <c r="AK772">
        <v>0</v>
      </c>
      <c r="AL772" t="s">
        <v>7360</v>
      </c>
      <c r="AM772">
        <v>0</v>
      </c>
      <c r="AN772" s="20">
        <v>45012</v>
      </c>
      <c r="AO772" s="20">
        <v>45012</v>
      </c>
      <c r="AP772" s="20">
        <v>45012</v>
      </c>
      <c r="AQ772">
        <v>0</v>
      </c>
      <c r="AR772">
        <v>0</v>
      </c>
      <c r="AS772">
        <v>0</v>
      </c>
      <c r="AT772">
        <v>0</v>
      </c>
      <c r="AU772">
        <v>0</v>
      </c>
      <c r="AV772" t="s">
        <v>7360</v>
      </c>
      <c r="AW772">
        <v>0</v>
      </c>
      <c r="AX772" t="s">
        <v>7360</v>
      </c>
      <c r="AY772" t="s">
        <v>7362</v>
      </c>
      <c r="BA772">
        <v>0</v>
      </c>
      <c r="BB772" s="20">
        <v>45012</v>
      </c>
      <c r="BC772">
        <v>0</v>
      </c>
      <c r="BD772" t="s">
        <v>7360</v>
      </c>
      <c r="BF772" s="20">
        <v>45012</v>
      </c>
      <c r="BG772">
        <v>0</v>
      </c>
      <c r="BH772" t="s">
        <v>7363</v>
      </c>
      <c r="BJ772" t="s">
        <v>7362</v>
      </c>
      <c r="BK772">
        <v>169</v>
      </c>
      <c r="BL772">
        <v>11</v>
      </c>
      <c r="BM772">
        <v>1</v>
      </c>
      <c r="BN772" t="s">
        <v>7364</v>
      </c>
      <c r="BO772">
        <v>169</v>
      </c>
      <c r="BP772">
        <v>11</v>
      </c>
      <c r="BQ772">
        <v>1</v>
      </c>
      <c r="BR772" t="s">
        <v>7364</v>
      </c>
      <c r="BS772" t="s">
        <v>7387</v>
      </c>
      <c r="BT772" t="s">
        <v>7360</v>
      </c>
      <c r="BU772" t="s">
        <v>7360</v>
      </c>
      <c r="BV772" t="s">
        <v>7360</v>
      </c>
      <c r="BX772" t="s">
        <v>7391</v>
      </c>
      <c r="BY772">
        <v>74</v>
      </c>
      <c r="BZ772" t="s">
        <v>7360</v>
      </c>
      <c r="CA772" t="s">
        <v>7360</v>
      </c>
      <c r="CB772">
        <v>3380666</v>
      </c>
      <c r="CC772" s="21">
        <v>45012.703993055555</v>
      </c>
      <c r="CE772" t="s">
        <v>7392</v>
      </c>
      <c r="CF772">
        <v>1100101</v>
      </c>
      <c r="CG772">
        <v>51669</v>
      </c>
      <c r="CH772">
        <v>51669</v>
      </c>
      <c r="CI772" s="21">
        <v>45012.70480324074</v>
      </c>
      <c r="CJ772" t="s">
        <v>7406</v>
      </c>
      <c r="CK772" t="s">
        <v>7406</v>
      </c>
      <c r="CL772" t="s">
        <v>7407</v>
      </c>
      <c r="CM772" t="s">
        <v>7407</v>
      </c>
      <c r="CS772" t="s">
        <v>7361</v>
      </c>
      <c r="CT772" t="s">
        <v>7362</v>
      </c>
      <c r="CU772" t="s">
        <v>7362</v>
      </c>
      <c r="CV772" t="s">
        <v>7362</v>
      </c>
      <c r="CW772" t="s">
        <v>7362</v>
      </c>
      <c r="CX772">
        <v>1454000</v>
      </c>
      <c r="DA772">
        <v>0</v>
      </c>
    </row>
    <row r="773" spans="1:110" x14ac:dyDescent="0.3">
      <c r="A773">
        <v>1372</v>
      </c>
      <c r="B773" t="s">
        <v>7369</v>
      </c>
      <c r="C773">
        <v>806</v>
      </c>
      <c r="D773" s="20">
        <v>45012</v>
      </c>
      <c r="E773" t="s">
        <v>7372</v>
      </c>
      <c r="F773" t="s">
        <v>4694</v>
      </c>
      <c r="G773" t="s">
        <v>7357</v>
      </c>
      <c r="H773">
        <v>1</v>
      </c>
      <c r="I773" t="s">
        <v>7358</v>
      </c>
      <c r="J773">
        <v>1</v>
      </c>
      <c r="K773" s="20">
        <v>45012</v>
      </c>
      <c r="L773" s="23">
        <v>2881219</v>
      </c>
      <c r="M773" t="s">
        <v>7359</v>
      </c>
      <c r="N773" t="s">
        <v>7360</v>
      </c>
      <c r="O773">
        <v>0</v>
      </c>
      <c r="P773">
        <v>13276</v>
      </c>
      <c r="Q773">
        <v>455042</v>
      </c>
      <c r="R773">
        <v>0</v>
      </c>
      <c r="S773">
        <v>20230327</v>
      </c>
      <c r="T773">
        <v>0</v>
      </c>
      <c r="U773" t="s">
        <v>7362</v>
      </c>
      <c r="V773" t="s">
        <v>7360</v>
      </c>
      <c r="W773" t="s">
        <v>7360</v>
      </c>
      <c r="X773" t="s">
        <v>7360</v>
      </c>
      <c r="Y773" t="s">
        <v>7360</v>
      </c>
      <c r="Z773" t="s">
        <v>7360</v>
      </c>
      <c r="AA773" t="s">
        <v>7362</v>
      </c>
      <c r="AB773" t="s">
        <v>7360</v>
      </c>
      <c r="AC773" t="s">
        <v>7360</v>
      </c>
      <c r="AD773" t="s">
        <v>7360</v>
      </c>
      <c r="AE773" t="s">
        <v>7360</v>
      </c>
      <c r="AF773" t="s">
        <v>1684</v>
      </c>
      <c r="AG773">
        <v>0</v>
      </c>
      <c r="AH773">
        <v>0</v>
      </c>
      <c r="AI773">
        <v>0</v>
      </c>
      <c r="AJ773">
        <v>0</v>
      </c>
      <c r="AK773">
        <v>0</v>
      </c>
      <c r="AL773" t="s">
        <v>7360</v>
      </c>
      <c r="AM773">
        <v>0</v>
      </c>
      <c r="AN773" s="20">
        <v>45012</v>
      </c>
      <c r="AO773" s="20">
        <v>45012</v>
      </c>
      <c r="AP773" s="20">
        <v>45012</v>
      </c>
      <c r="AQ773">
        <v>0</v>
      </c>
      <c r="AR773">
        <v>0</v>
      </c>
      <c r="AS773">
        <v>0</v>
      </c>
      <c r="AT773">
        <v>0</v>
      </c>
      <c r="AU773">
        <v>0</v>
      </c>
      <c r="AV773" t="s">
        <v>7360</v>
      </c>
      <c r="AW773">
        <v>0</v>
      </c>
      <c r="AX773" t="s">
        <v>7360</v>
      </c>
      <c r="AY773" t="s">
        <v>7362</v>
      </c>
      <c r="BA773">
        <v>0</v>
      </c>
      <c r="BB773" s="20">
        <v>45012</v>
      </c>
      <c r="BC773">
        <v>0</v>
      </c>
      <c r="BD773" t="s">
        <v>7360</v>
      </c>
      <c r="BF773" s="20">
        <v>45012</v>
      </c>
      <c r="BG773">
        <v>0</v>
      </c>
      <c r="BH773" t="s">
        <v>7363</v>
      </c>
      <c r="BJ773" t="s">
        <v>7362</v>
      </c>
      <c r="BK773">
        <v>0</v>
      </c>
      <c r="BL773">
        <v>0</v>
      </c>
      <c r="BM773">
        <v>0</v>
      </c>
      <c r="BN773">
        <v>0</v>
      </c>
      <c r="BO773">
        <v>169</v>
      </c>
      <c r="BP773">
        <v>11</v>
      </c>
      <c r="BQ773">
        <v>1</v>
      </c>
      <c r="BR773" t="s">
        <v>7364</v>
      </c>
      <c r="BS773" t="s">
        <v>7365</v>
      </c>
      <c r="BT773" t="s">
        <v>7360</v>
      </c>
      <c r="BU773" t="s">
        <v>7360</v>
      </c>
      <c r="BV773" t="s">
        <v>7360</v>
      </c>
      <c r="BX773">
        <v>0</v>
      </c>
      <c r="BY773">
        <v>0</v>
      </c>
      <c r="BZ773" t="s">
        <v>7360</v>
      </c>
      <c r="CA773" t="s">
        <v>7360</v>
      </c>
      <c r="CB773">
        <v>3380666</v>
      </c>
      <c r="CC773" s="21">
        <v>45012.70857638889</v>
      </c>
      <c r="CE773" t="s">
        <v>7366</v>
      </c>
      <c r="CF773">
        <v>0</v>
      </c>
      <c r="CG773">
        <v>702002</v>
      </c>
      <c r="CH773">
        <v>702002</v>
      </c>
      <c r="CI773" s="21">
        <v>45012.712777777779</v>
      </c>
      <c r="CJ773" t="s">
        <v>7367</v>
      </c>
      <c r="CK773" t="s">
        <v>7367</v>
      </c>
      <c r="CL773" t="s">
        <v>7368</v>
      </c>
      <c r="CM773" t="s">
        <v>7368</v>
      </c>
      <c r="CS773" t="s">
        <v>7361</v>
      </c>
      <c r="CT773" t="s">
        <v>7362</v>
      </c>
      <c r="CU773" t="s">
        <v>7362</v>
      </c>
      <c r="CV773" t="s">
        <v>7362</v>
      </c>
      <c r="CW773" t="s">
        <v>7362</v>
      </c>
      <c r="CX773">
        <v>2881219</v>
      </c>
      <c r="DA773">
        <v>0</v>
      </c>
    </row>
    <row r="774" spans="1:110" x14ac:dyDescent="0.3">
      <c r="A774">
        <v>1356</v>
      </c>
      <c r="B774" t="s">
        <v>7402</v>
      </c>
      <c r="C774">
        <v>807</v>
      </c>
      <c r="D774" s="20">
        <v>45012</v>
      </c>
      <c r="E774" t="s">
        <v>7372</v>
      </c>
      <c r="F774" t="s">
        <v>4700</v>
      </c>
      <c r="G774" t="s">
        <v>7377</v>
      </c>
      <c r="H774">
        <v>1</v>
      </c>
      <c r="I774" t="s">
        <v>7358</v>
      </c>
      <c r="J774">
        <v>1</v>
      </c>
      <c r="K774" s="20">
        <v>45012</v>
      </c>
      <c r="L774" s="23">
        <v>2925481</v>
      </c>
      <c r="M774" t="s">
        <v>7403</v>
      </c>
      <c r="N774" t="s">
        <v>7360</v>
      </c>
      <c r="O774">
        <v>0</v>
      </c>
      <c r="P774">
        <v>13062</v>
      </c>
      <c r="Q774">
        <v>142006</v>
      </c>
      <c r="R774">
        <v>0</v>
      </c>
      <c r="S774">
        <v>20230327</v>
      </c>
      <c r="T774">
        <v>0</v>
      </c>
      <c r="U774" t="s">
        <v>7362</v>
      </c>
      <c r="V774" t="s">
        <v>7360</v>
      </c>
      <c r="W774" t="s">
        <v>7360</v>
      </c>
      <c r="X774" t="s">
        <v>7360</v>
      </c>
      <c r="Y774" t="s">
        <v>7360</v>
      </c>
      <c r="Z774" t="s">
        <v>7360</v>
      </c>
      <c r="AA774" t="s">
        <v>7362</v>
      </c>
      <c r="AB774" t="s">
        <v>7360</v>
      </c>
      <c r="AC774" t="s">
        <v>7360</v>
      </c>
      <c r="AD774" t="s">
        <v>7360</v>
      </c>
      <c r="AE774" t="s">
        <v>7360</v>
      </c>
      <c r="AF774" t="s">
        <v>1684</v>
      </c>
      <c r="AG774">
        <v>0</v>
      </c>
      <c r="AH774">
        <v>0</v>
      </c>
      <c r="AI774">
        <v>0</v>
      </c>
      <c r="AJ774">
        <v>0</v>
      </c>
      <c r="AK774">
        <v>0</v>
      </c>
      <c r="AL774" t="s">
        <v>7360</v>
      </c>
      <c r="AM774">
        <v>0</v>
      </c>
      <c r="AN774" s="20">
        <v>45012</v>
      </c>
      <c r="AO774" s="20">
        <v>45012</v>
      </c>
      <c r="AP774" s="20">
        <v>45012</v>
      </c>
      <c r="AQ774">
        <v>0</v>
      </c>
      <c r="AR774">
        <v>0</v>
      </c>
      <c r="AS774">
        <v>0</v>
      </c>
      <c r="AT774">
        <v>0</v>
      </c>
      <c r="AU774">
        <v>0</v>
      </c>
      <c r="AV774" t="s">
        <v>7360</v>
      </c>
      <c r="AW774">
        <v>0</v>
      </c>
      <c r="AX774" t="s">
        <v>7360</v>
      </c>
      <c r="AY774" t="s">
        <v>7362</v>
      </c>
      <c r="BA774">
        <v>0</v>
      </c>
      <c r="BB774" s="20">
        <v>45012</v>
      </c>
      <c r="BC774">
        <v>0</v>
      </c>
      <c r="BD774" t="s">
        <v>7360</v>
      </c>
      <c r="BE774">
        <v>13</v>
      </c>
      <c r="BF774" s="20">
        <v>45012</v>
      </c>
      <c r="BG774">
        <v>0</v>
      </c>
      <c r="BH774" t="s">
        <v>1729</v>
      </c>
      <c r="BJ774" t="s">
        <v>7362</v>
      </c>
      <c r="BK774">
        <v>0</v>
      </c>
      <c r="BL774">
        <v>0</v>
      </c>
      <c r="BM774">
        <v>0</v>
      </c>
      <c r="BN774">
        <v>0</v>
      </c>
      <c r="BO774">
        <v>169</v>
      </c>
      <c r="BP774">
        <v>11</v>
      </c>
      <c r="BQ774">
        <v>1</v>
      </c>
      <c r="BR774" t="s">
        <v>7364</v>
      </c>
      <c r="BS774" t="s">
        <v>7386</v>
      </c>
      <c r="BT774" t="s">
        <v>7360</v>
      </c>
      <c r="BU774" t="s">
        <v>7360</v>
      </c>
      <c r="BV774" t="s">
        <v>7360</v>
      </c>
      <c r="BX774">
        <v>0</v>
      </c>
      <c r="BY774">
        <v>0</v>
      </c>
      <c r="BZ774" t="s">
        <v>7360</v>
      </c>
      <c r="CA774" t="s">
        <v>7360</v>
      </c>
      <c r="CB774">
        <v>3380666</v>
      </c>
      <c r="CC774" s="21">
        <v>45012.717881944445</v>
      </c>
      <c r="CE774" t="s">
        <v>7366</v>
      </c>
      <c r="CF774">
        <v>0</v>
      </c>
      <c r="CG774">
        <v>702002</v>
      </c>
      <c r="CH774">
        <v>702002</v>
      </c>
      <c r="CI774" s="21">
        <v>45012.720312500001</v>
      </c>
      <c r="CJ774" t="s">
        <v>7367</v>
      </c>
      <c r="CK774" t="s">
        <v>7367</v>
      </c>
      <c r="CL774" t="s">
        <v>7368</v>
      </c>
      <c r="CM774" t="s">
        <v>7368</v>
      </c>
      <c r="CS774" t="s">
        <v>7361</v>
      </c>
      <c r="CT774" t="s">
        <v>7362</v>
      </c>
      <c r="CU774" t="s">
        <v>7362</v>
      </c>
      <c r="CV774" t="s">
        <v>7362</v>
      </c>
      <c r="CW774" t="s">
        <v>7362</v>
      </c>
      <c r="CX774">
        <v>2925481</v>
      </c>
      <c r="DA774">
        <v>0</v>
      </c>
      <c r="DB774">
        <v>142006</v>
      </c>
    </row>
    <row r="775" spans="1:110" x14ac:dyDescent="0.3">
      <c r="A775">
        <v>1355</v>
      </c>
      <c r="B775" t="s">
        <v>7409</v>
      </c>
      <c r="C775">
        <v>808</v>
      </c>
      <c r="D775" s="20">
        <v>45012</v>
      </c>
      <c r="E775" t="s">
        <v>7372</v>
      </c>
      <c r="F775" t="s">
        <v>4705</v>
      </c>
      <c r="G775" t="s">
        <v>7370</v>
      </c>
      <c r="H775">
        <v>1</v>
      </c>
      <c r="I775" t="s">
        <v>7358</v>
      </c>
      <c r="J775">
        <v>1</v>
      </c>
      <c r="K775" s="20">
        <v>45012</v>
      </c>
      <c r="L775" s="23">
        <v>3000000</v>
      </c>
      <c r="M775" t="s">
        <v>7359</v>
      </c>
      <c r="N775" t="s">
        <v>7360</v>
      </c>
      <c r="O775">
        <v>0</v>
      </c>
      <c r="P775">
        <v>13455</v>
      </c>
      <c r="Q775">
        <v>460023</v>
      </c>
      <c r="R775">
        <v>0</v>
      </c>
      <c r="S775">
        <v>20230327</v>
      </c>
      <c r="T775">
        <v>0</v>
      </c>
      <c r="U775" t="s">
        <v>7362</v>
      </c>
      <c r="V775" t="s">
        <v>7360</v>
      </c>
      <c r="W775" t="s">
        <v>7360</v>
      </c>
      <c r="X775" t="s">
        <v>7360</v>
      </c>
      <c r="Y775" t="s">
        <v>7360</v>
      </c>
      <c r="Z775" t="s">
        <v>7360</v>
      </c>
      <c r="AA775" t="s">
        <v>7362</v>
      </c>
      <c r="AB775" t="s">
        <v>7360</v>
      </c>
      <c r="AC775" t="s">
        <v>7360</v>
      </c>
      <c r="AD775" t="s">
        <v>7360</v>
      </c>
      <c r="AE775" t="s">
        <v>7360</v>
      </c>
      <c r="AF775" t="s">
        <v>1684</v>
      </c>
      <c r="AG775">
        <v>0</v>
      </c>
      <c r="AH775">
        <v>0</v>
      </c>
      <c r="AI775">
        <v>0</v>
      </c>
      <c r="AJ775">
        <v>0</v>
      </c>
      <c r="AK775">
        <v>0</v>
      </c>
      <c r="AL775" t="s">
        <v>7360</v>
      </c>
      <c r="AM775">
        <v>0</v>
      </c>
      <c r="AN775" s="20">
        <v>45012</v>
      </c>
      <c r="AO775" s="20">
        <v>45012</v>
      </c>
      <c r="AP775" s="20">
        <v>45012</v>
      </c>
      <c r="AQ775">
        <v>0</v>
      </c>
      <c r="AR775">
        <v>0</v>
      </c>
      <c r="AS775">
        <v>0</v>
      </c>
      <c r="AT775">
        <v>0</v>
      </c>
      <c r="AU775">
        <v>0</v>
      </c>
      <c r="AV775" t="s">
        <v>7360</v>
      </c>
      <c r="AW775">
        <v>0</v>
      </c>
      <c r="AX775" t="s">
        <v>7360</v>
      </c>
      <c r="AY775" t="s">
        <v>7362</v>
      </c>
      <c r="BA775">
        <v>0</v>
      </c>
      <c r="BB775" s="20">
        <v>45012</v>
      </c>
      <c r="BC775">
        <v>0</v>
      </c>
      <c r="BD775" t="s">
        <v>7360</v>
      </c>
      <c r="BF775" s="20">
        <v>45012</v>
      </c>
      <c r="BG775">
        <v>0</v>
      </c>
      <c r="BH775" t="s">
        <v>7363</v>
      </c>
      <c r="BJ775" t="s">
        <v>7362</v>
      </c>
      <c r="BK775">
        <v>169</v>
      </c>
      <c r="BL775">
        <v>11</v>
      </c>
      <c r="BM775">
        <v>1</v>
      </c>
      <c r="BN775" t="s">
        <v>7364</v>
      </c>
      <c r="BO775">
        <v>169</v>
      </c>
      <c r="BP775">
        <v>11</v>
      </c>
      <c r="BQ775">
        <v>1</v>
      </c>
      <c r="BR775" t="s">
        <v>7364</v>
      </c>
      <c r="BS775" t="s">
        <v>7478</v>
      </c>
      <c r="BT775" t="s">
        <v>7360</v>
      </c>
      <c r="BU775" t="s">
        <v>7360</v>
      </c>
      <c r="BV775" t="s">
        <v>7360</v>
      </c>
      <c r="BX775" t="s">
        <v>7391</v>
      </c>
      <c r="BY775">
        <v>74</v>
      </c>
      <c r="BZ775" t="s">
        <v>7360</v>
      </c>
      <c r="CA775" t="s">
        <v>7360</v>
      </c>
      <c r="CB775" t="s">
        <v>7360</v>
      </c>
      <c r="CC775" s="21">
        <v>45012.695324074077</v>
      </c>
      <c r="CE775" t="s">
        <v>7392</v>
      </c>
      <c r="CF775">
        <v>1100101</v>
      </c>
      <c r="CG775">
        <v>50947</v>
      </c>
      <c r="CH775">
        <v>50947</v>
      </c>
      <c r="CI775" s="21">
        <v>45012.742777777778</v>
      </c>
      <c r="CJ775" t="s">
        <v>7442</v>
      </c>
      <c r="CK775" t="s">
        <v>7442</v>
      </c>
      <c r="CL775" t="s">
        <v>7443</v>
      </c>
      <c r="CM775" t="s">
        <v>7443</v>
      </c>
      <c r="CS775" t="s">
        <v>7361</v>
      </c>
      <c r="CT775" t="s">
        <v>7362</v>
      </c>
      <c r="CU775" t="s">
        <v>7362</v>
      </c>
      <c r="CV775" t="s">
        <v>7362</v>
      </c>
      <c r="CW775" t="s">
        <v>7362</v>
      </c>
      <c r="CX775">
        <v>3000000</v>
      </c>
      <c r="DA775">
        <v>0</v>
      </c>
    </row>
    <row r="776" spans="1:110" x14ac:dyDescent="0.3">
      <c r="A776">
        <v>1354</v>
      </c>
      <c r="B776" t="s">
        <v>7396</v>
      </c>
      <c r="C776">
        <v>809</v>
      </c>
      <c r="D776" s="20">
        <v>45012</v>
      </c>
      <c r="E776" t="s">
        <v>7372</v>
      </c>
      <c r="F776" t="s">
        <v>4710</v>
      </c>
      <c r="G776" t="s">
        <v>7370</v>
      </c>
      <c r="H776">
        <v>1</v>
      </c>
      <c r="I776" t="s">
        <v>7358</v>
      </c>
      <c r="J776">
        <v>1</v>
      </c>
      <c r="K776" s="20">
        <v>45012</v>
      </c>
      <c r="L776" s="23">
        <v>2940000</v>
      </c>
      <c r="M776" t="s">
        <v>7359</v>
      </c>
      <c r="N776" t="s">
        <v>7360</v>
      </c>
      <c r="O776">
        <v>0</v>
      </c>
      <c r="P776">
        <v>13457</v>
      </c>
      <c r="Q776">
        <v>460024</v>
      </c>
      <c r="R776">
        <v>0</v>
      </c>
      <c r="S776">
        <v>20230327</v>
      </c>
      <c r="T776">
        <v>0</v>
      </c>
      <c r="U776" t="s">
        <v>7362</v>
      </c>
      <c r="V776" t="s">
        <v>7360</v>
      </c>
      <c r="W776" t="s">
        <v>7360</v>
      </c>
      <c r="X776" t="s">
        <v>7360</v>
      </c>
      <c r="Y776" t="s">
        <v>7360</v>
      </c>
      <c r="Z776" t="s">
        <v>7360</v>
      </c>
      <c r="AA776" t="s">
        <v>7362</v>
      </c>
      <c r="AB776" t="s">
        <v>7360</v>
      </c>
      <c r="AC776" t="s">
        <v>7360</v>
      </c>
      <c r="AD776" t="s">
        <v>7360</v>
      </c>
      <c r="AE776" t="s">
        <v>7360</v>
      </c>
      <c r="AF776" t="s">
        <v>1684</v>
      </c>
      <c r="AG776">
        <v>0</v>
      </c>
      <c r="AH776">
        <v>0</v>
      </c>
      <c r="AI776">
        <v>0</v>
      </c>
      <c r="AJ776">
        <v>0</v>
      </c>
      <c r="AK776">
        <v>0</v>
      </c>
      <c r="AL776" t="s">
        <v>7360</v>
      </c>
      <c r="AM776">
        <v>0</v>
      </c>
      <c r="AN776" s="20">
        <v>45012</v>
      </c>
      <c r="AO776" s="20">
        <v>45012</v>
      </c>
      <c r="AP776" s="20">
        <v>45012</v>
      </c>
      <c r="AQ776">
        <v>0</v>
      </c>
      <c r="AR776">
        <v>0</v>
      </c>
      <c r="AS776">
        <v>0</v>
      </c>
      <c r="AT776">
        <v>0</v>
      </c>
      <c r="AU776">
        <v>0</v>
      </c>
      <c r="AV776" t="s">
        <v>7360</v>
      </c>
      <c r="AW776">
        <v>0</v>
      </c>
      <c r="AX776" t="s">
        <v>7360</v>
      </c>
      <c r="AY776" t="s">
        <v>7362</v>
      </c>
      <c r="BA776">
        <v>0</v>
      </c>
      <c r="BB776" s="20">
        <v>45012</v>
      </c>
      <c r="BC776">
        <v>0</v>
      </c>
      <c r="BD776" t="s">
        <v>7360</v>
      </c>
      <c r="BF776" s="20">
        <v>45012</v>
      </c>
      <c r="BG776">
        <v>0</v>
      </c>
      <c r="BH776" t="s">
        <v>7363</v>
      </c>
      <c r="BJ776" t="s">
        <v>7362</v>
      </c>
      <c r="BK776">
        <v>169</v>
      </c>
      <c r="BL776">
        <v>11</v>
      </c>
      <c r="BM776">
        <v>1</v>
      </c>
      <c r="BN776" t="s">
        <v>7364</v>
      </c>
      <c r="BO776">
        <v>169</v>
      </c>
      <c r="BP776">
        <v>11</v>
      </c>
      <c r="BQ776">
        <v>1</v>
      </c>
      <c r="BR776" t="s">
        <v>7364</v>
      </c>
      <c r="BS776" t="s">
        <v>7411</v>
      </c>
      <c r="BT776" t="s">
        <v>7360</v>
      </c>
      <c r="BU776" t="s">
        <v>7360</v>
      </c>
      <c r="BV776" t="s">
        <v>7360</v>
      </c>
      <c r="BX776" t="s">
        <v>7391</v>
      </c>
      <c r="BY776">
        <v>74</v>
      </c>
      <c r="BZ776" t="s">
        <v>7360</v>
      </c>
      <c r="CA776" t="s">
        <v>7360</v>
      </c>
      <c r="CB776" t="s">
        <v>7360</v>
      </c>
      <c r="CC776" s="21">
        <v>45012.747731481482</v>
      </c>
      <c r="CE776" t="s">
        <v>7392</v>
      </c>
      <c r="CF776">
        <v>1100101</v>
      </c>
      <c r="CG776">
        <v>50947</v>
      </c>
      <c r="CH776">
        <v>50947</v>
      </c>
      <c r="CI776" s="21">
        <v>45012.752951388888</v>
      </c>
      <c r="CJ776" t="s">
        <v>7442</v>
      </c>
      <c r="CK776" t="s">
        <v>7442</v>
      </c>
      <c r="CL776" t="s">
        <v>7443</v>
      </c>
      <c r="CM776" t="s">
        <v>7443</v>
      </c>
      <c r="CS776" t="s">
        <v>7361</v>
      </c>
      <c r="CT776" t="s">
        <v>7362</v>
      </c>
      <c r="CU776" t="s">
        <v>7362</v>
      </c>
      <c r="CV776" t="s">
        <v>7362</v>
      </c>
      <c r="CW776" t="s">
        <v>7362</v>
      </c>
      <c r="CX776">
        <v>2940000</v>
      </c>
      <c r="DA776">
        <v>0</v>
      </c>
    </row>
    <row r="777" spans="1:110" x14ac:dyDescent="0.3">
      <c r="A777">
        <v>1354</v>
      </c>
      <c r="B777" t="s">
        <v>7396</v>
      </c>
      <c r="C777">
        <v>810</v>
      </c>
      <c r="D777" s="20">
        <v>45012</v>
      </c>
      <c r="E777" t="s">
        <v>7372</v>
      </c>
      <c r="F777" t="s">
        <v>4716</v>
      </c>
      <c r="G777" t="s">
        <v>7370</v>
      </c>
      <c r="H777">
        <v>1</v>
      </c>
      <c r="I777" t="s">
        <v>7358</v>
      </c>
      <c r="J777">
        <v>1</v>
      </c>
      <c r="K777" s="20">
        <v>45012</v>
      </c>
      <c r="L777" s="23">
        <v>2820000</v>
      </c>
      <c r="M777" t="s">
        <v>7359</v>
      </c>
      <c r="N777" t="s">
        <v>7360</v>
      </c>
      <c r="O777">
        <v>0</v>
      </c>
      <c r="P777">
        <v>13459</v>
      </c>
      <c r="Q777">
        <v>460026</v>
      </c>
      <c r="R777">
        <v>0</v>
      </c>
      <c r="S777">
        <v>20230327</v>
      </c>
      <c r="T777">
        <v>0</v>
      </c>
      <c r="U777" t="s">
        <v>7362</v>
      </c>
      <c r="V777" t="s">
        <v>7360</v>
      </c>
      <c r="W777" t="s">
        <v>7360</v>
      </c>
      <c r="X777" t="s">
        <v>7360</v>
      </c>
      <c r="Y777" t="s">
        <v>7360</v>
      </c>
      <c r="Z777" t="s">
        <v>7360</v>
      </c>
      <c r="AA777" t="s">
        <v>7362</v>
      </c>
      <c r="AB777" t="s">
        <v>7360</v>
      </c>
      <c r="AC777" t="s">
        <v>7360</v>
      </c>
      <c r="AD777" t="s">
        <v>7360</v>
      </c>
      <c r="AE777" t="s">
        <v>7360</v>
      </c>
      <c r="AF777" t="s">
        <v>1684</v>
      </c>
      <c r="AG777">
        <v>0</v>
      </c>
      <c r="AH777">
        <v>0</v>
      </c>
      <c r="AI777">
        <v>0</v>
      </c>
      <c r="AJ777">
        <v>0</v>
      </c>
      <c r="AK777">
        <v>0</v>
      </c>
      <c r="AL777" t="s">
        <v>7360</v>
      </c>
      <c r="AM777">
        <v>0</v>
      </c>
      <c r="AN777" s="20">
        <v>45012</v>
      </c>
      <c r="AO777" s="20">
        <v>45012</v>
      </c>
      <c r="AP777" s="20">
        <v>45012</v>
      </c>
      <c r="AQ777">
        <v>0</v>
      </c>
      <c r="AR777">
        <v>0</v>
      </c>
      <c r="AS777">
        <v>0</v>
      </c>
      <c r="AT777">
        <v>0</v>
      </c>
      <c r="AU777">
        <v>0</v>
      </c>
      <c r="AV777" t="s">
        <v>7360</v>
      </c>
      <c r="AW777">
        <v>0</v>
      </c>
      <c r="AX777" t="s">
        <v>7360</v>
      </c>
      <c r="AY777" t="s">
        <v>7362</v>
      </c>
      <c r="BA777">
        <v>0</v>
      </c>
      <c r="BB777" s="20">
        <v>45012</v>
      </c>
      <c r="BC777">
        <v>0</v>
      </c>
      <c r="BD777" t="s">
        <v>7360</v>
      </c>
      <c r="BF777" s="20">
        <v>45012</v>
      </c>
      <c r="BG777">
        <v>0</v>
      </c>
      <c r="BH777" t="s">
        <v>7363</v>
      </c>
      <c r="BJ777" t="s">
        <v>7362</v>
      </c>
      <c r="BK777">
        <v>169</v>
      </c>
      <c r="BL777">
        <v>11</v>
      </c>
      <c r="BM777">
        <v>1</v>
      </c>
      <c r="BN777" t="s">
        <v>7364</v>
      </c>
      <c r="BO777">
        <v>169</v>
      </c>
      <c r="BP777">
        <v>11</v>
      </c>
      <c r="BQ777">
        <v>1</v>
      </c>
      <c r="BR777" t="s">
        <v>7364</v>
      </c>
      <c r="BS777" t="s">
        <v>7411</v>
      </c>
      <c r="BT777" t="s">
        <v>7360</v>
      </c>
      <c r="BU777" t="s">
        <v>7360</v>
      </c>
      <c r="BV777" t="s">
        <v>7360</v>
      </c>
      <c r="BX777" t="s">
        <v>7391</v>
      </c>
      <c r="BY777">
        <v>74</v>
      </c>
      <c r="BZ777" t="s">
        <v>7360</v>
      </c>
      <c r="CA777" t="s">
        <v>7360</v>
      </c>
      <c r="CB777" t="s">
        <v>7360</v>
      </c>
      <c r="CC777" s="21">
        <v>45012.757650462961</v>
      </c>
      <c r="CE777" t="s">
        <v>7392</v>
      </c>
      <c r="CF777">
        <v>1100101</v>
      </c>
      <c r="CG777">
        <v>50947</v>
      </c>
      <c r="CH777">
        <v>50947</v>
      </c>
      <c r="CI777" s="21">
        <v>45012.758576388886</v>
      </c>
      <c r="CJ777" t="s">
        <v>7442</v>
      </c>
      <c r="CK777" t="s">
        <v>7442</v>
      </c>
      <c r="CL777" t="s">
        <v>7443</v>
      </c>
      <c r="CM777" t="s">
        <v>7443</v>
      </c>
      <c r="CS777" t="s">
        <v>7361</v>
      </c>
      <c r="CT777" t="s">
        <v>7362</v>
      </c>
      <c r="CU777" t="s">
        <v>7362</v>
      </c>
      <c r="CV777" t="s">
        <v>7362</v>
      </c>
      <c r="CW777" t="s">
        <v>7362</v>
      </c>
      <c r="CX777">
        <v>2820000</v>
      </c>
      <c r="DA777">
        <v>0</v>
      </c>
    </row>
    <row r="778" spans="1:110" x14ac:dyDescent="0.3">
      <c r="A778">
        <v>1354</v>
      </c>
      <c r="B778" t="s">
        <v>7396</v>
      </c>
      <c r="C778">
        <v>811</v>
      </c>
      <c r="D778" s="20">
        <v>45012</v>
      </c>
      <c r="E778" t="s">
        <v>7372</v>
      </c>
      <c r="F778" t="s">
        <v>4721</v>
      </c>
      <c r="G778" t="s">
        <v>7370</v>
      </c>
      <c r="H778">
        <v>1</v>
      </c>
      <c r="I778" t="s">
        <v>7358</v>
      </c>
      <c r="J778">
        <v>1</v>
      </c>
      <c r="K778" s="20">
        <v>45012</v>
      </c>
      <c r="L778" s="23">
        <v>2820000</v>
      </c>
      <c r="M778" t="s">
        <v>7359</v>
      </c>
      <c r="N778" t="s">
        <v>7360</v>
      </c>
      <c r="O778">
        <v>0</v>
      </c>
      <c r="P778">
        <v>13461</v>
      </c>
      <c r="Q778">
        <v>460028</v>
      </c>
      <c r="R778">
        <v>0</v>
      </c>
      <c r="S778">
        <v>20230327</v>
      </c>
      <c r="T778">
        <v>0</v>
      </c>
      <c r="U778" t="s">
        <v>7362</v>
      </c>
      <c r="V778" t="s">
        <v>7360</v>
      </c>
      <c r="W778" t="s">
        <v>7360</v>
      </c>
      <c r="X778" t="s">
        <v>7360</v>
      </c>
      <c r="Y778" t="s">
        <v>7360</v>
      </c>
      <c r="Z778" t="s">
        <v>7360</v>
      </c>
      <c r="AA778" t="s">
        <v>7362</v>
      </c>
      <c r="AB778" t="s">
        <v>7360</v>
      </c>
      <c r="AC778" t="s">
        <v>7360</v>
      </c>
      <c r="AD778" t="s">
        <v>7360</v>
      </c>
      <c r="AE778" t="s">
        <v>7360</v>
      </c>
      <c r="AF778" t="s">
        <v>1684</v>
      </c>
      <c r="AG778">
        <v>0</v>
      </c>
      <c r="AH778">
        <v>0</v>
      </c>
      <c r="AI778">
        <v>0</v>
      </c>
      <c r="AJ778">
        <v>0</v>
      </c>
      <c r="AK778">
        <v>0</v>
      </c>
      <c r="AL778" t="s">
        <v>7360</v>
      </c>
      <c r="AM778">
        <v>0</v>
      </c>
      <c r="AN778" s="20">
        <v>45012</v>
      </c>
      <c r="AO778" s="20">
        <v>45012</v>
      </c>
      <c r="AP778" s="20">
        <v>45012</v>
      </c>
      <c r="AQ778">
        <v>0</v>
      </c>
      <c r="AR778">
        <v>0</v>
      </c>
      <c r="AS778">
        <v>0</v>
      </c>
      <c r="AT778">
        <v>0</v>
      </c>
      <c r="AU778">
        <v>0</v>
      </c>
      <c r="AV778" t="s">
        <v>7360</v>
      </c>
      <c r="AW778">
        <v>0</v>
      </c>
      <c r="AX778" t="s">
        <v>7360</v>
      </c>
      <c r="AY778" t="s">
        <v>7362</v>
      </c>
      <c r="BA778">
        <v>0</v>
      </c>
      <c r="BB778" s="20">
        <v>45012</v>
      </c>
      <c r="BC778">
        <v>0</v>
      </c>
      <c r="BD778" t="s">
        <v>7360</v>
      </c>
      <c r="BF778" s="20">
        <v>45012</v>
      </c>
      <c r="BG778">
        <v>0</v>
      </c>
      <c r="BH778" t="s">
        <v>7363</v>
      </c>
      <c r="BJ778" t="s">
        <v>7362</v>
      </c>
      <c r="BK778">
        <v>169</v>
      </c>
      <c r="BL778">
        <v>11</v>
      </c>
      <c r="BM778">
        <v>1</v>
      </c>
      <c r="BN778" t="s">
        <v>7364</v>
      </c>
      <c r="BO778">
        <v>169</v>
      </c>
      <c r="BP778">
        <v>11</v>
      </c>
      <c r="BQ778">
        <v>1</v>
      </c>
      <c r="BR778" t="s">
        <v>7364</v>
      </c>
      <c r="BS778" t="s">
        <v>7479</v>
      </c>
      <c r="BT778" t="s">
        <v>7360</v>
      </c>
      <c r="BU778" t="s">
        <v>7360</v>
      </c>
      <c r="BV778" t="s">
        <v>7360</v>
      </c>
      <c r="BX778" t="s">
        <v>7391</v>
      </c>
      <c r="BY778">
        <v>74</v>
      </c>
      <c r="BZ778" t="s">
        <v>7360</v>
      </c>
      <c r="CA778" t="s">
        <v>7360</v>
      </c>
      <c r="CB778" t="s">
        <v>7360</v>
      </c>
      <c r="CC778" s="21">
        <v>45012.761608796296</v>
      </c>
      <c r="CE778" t="s">
        <v>7392</v>
      </c>
      <c r="CF778">
        <v>1100101</v>
      </c>
      <c r="CG778">
        <v>50947</v>
      </c>
      <c r="CH778">
        <v>50947</v>
      </c>
      <c r="CI778" s="21">
        <v>45012.762615740743</v>
      </c>
      <c r="CJ778" t="s">
        <v>7442</v>
      </c>
      <c r="CK778" t="s">
        <v>7442</v>
      </c>
      <c r="CL778" t="s">
        <v>7443</v>
      </c>
      <c r="CM778" t="s">
        <v>7443</v>
      </c>
      <c r="CS778" t="s">
        <v>7361</v>
      </c>
      <c r="CT778" t="s">
        <v>7362</v>
      </c>
      <c r="CU778" t="s">
        <v>7362</v>
      </c>
      <c r="CV778" t="s">
        <v>7362</v>
      </c>
      <c r="CW778" t="s">
        <v>7362</v>
      </c>
      <c r="CX778">
        <v>2820000</v>
      </c>
      <c r="DA778">
        <v>0</v>
      </c>
    </row>
    <row r="779" spans="1:110" x14ac:dyDescent="0.3">
      <c r="A779">
        <v>1354</v>
      </c>
      <c r="B779" t="s">
        <v>7396</v>
      </c>
      <c r="C779">
        <v>812</v>
      </c>
      <c r="D779" s="20">
        <v>45012</v>
      </c>
      <c r="E779" t="s">
        <v>7372</v>
      </c>
      <c r="F779" t="s">
        <v>4620</v>
      </c>
      <c r="G779" t="s">
        <v>7370</v>
      </c>
      <c r="H779">
        <v>1</v>
      </c>
      <c r="I779" t="s">
        <v>7358</v>
      </c>
      <c r="J779">
        <v>1</v>
      </c>
      <c r="K779" s="20">
        <v>45012</v>
      </c>
      <c r="L779" s="23">
        <v>2820000</v>
      </c>
      <c r="M779" t="s">
        <v>7359</v>
      </c>
      <c r="N779" t="s">
        <v>7360</v>
      </c>
      <c r="O779">
        <v>0</v>
      </c>
      <c r="P779">
        <v>13018</v>
      </c>
      <c r="Q779">
        <v>453046</v>
      </c>
      <c r="R779">
        <v>0</v>
      </c>
      <c r="S779">
        <v>20230327</v>
      </c>
      <c r="T779">
        <v>0</v>
      </c>
      <c r="U779" t="s">
        <v>7362</v>
      </c>
      <c r="V779" t="s">
        <v>7360</v>
      </c>
      <c r="W779" t="s">
        <v>7360</v>
      </c>
      <c r="X779" t="s">
        <v>7360</v>
      </c>
      <c r="Y779" t="s">
        <v>7360</v>
      </c>
      <c r="Z779" t="s">
        <v>7360</v>
      </c>
      <c r="AA779" t="s">
        <v>7362</v>
      </c>
      <c r="AB779" t="s">
        <v>7360</v>
      </c>
      <c r="AC779" t="s">
        <v>7360</v>
      </c>
      <c r="AD779" t="s">
        <v>7360</v>
      </c>
      <c r="AE779" t="s">
        <v>7360</v>
      </c>
      <c r="AF779" t="s">
        <v>1684</v>
      </c>
      <c r="AG779">
        <v>0</v>
      </c>
      <c r="AH779">
        <v>0</v>
      </c>
      <c r="AI779">
        <v>0</v>
      </c>
      <c r="AJ779">
        <v>0</v>
      </c>
      <c r="AK779">
        <v>0</v>
      </c>
      <c r="AL779" t="s">
        <v>7360</v>
      </c>
      <c r="AM779">
        <v>0</v>
      </c>
      <c r="AN779" s="20">
        <v>45012</v>
      </c>
      <c r="AO779" s="20">
        <v>45012</v>
      </c>
      <c r="AP779" s="20">
        <v>45012</v>
      </c>
      <c r="AQ779">
        <v>0</v>
      </c>
      <c r="AR779">
        <v>0</v>
      </c>
      <c r="AS779">
        <v>0</v>
      </c>
      <c r="AT779">
        <v>0</v>
      </c>
      <c r="AU779">
        <v>0</v>
      </c>
      <c r="AV779" t="s">
        <v>7360</v>
      </c>
      <c r="AW779">
        <v>0</v>
      </c>
      <c r="AX779" t="s">
        <v>7360</v>
      </c>
      <c r="AY779" t="s">
        <v>7362</v>
      </c>
      <c r="BA779">
        <v>0</v>
      </c>
      <c r="BB779" s="20">
        <v>45012</v>
      </c>
      <c r="BC779">
        <v>0</v>
      </c>
      <c r="BD779" t="s">
        <v>7360</v>
      </c>
      <c r="BF779" s="20">
        <v>45012</v>
      </c>
      <c r="BG779">
        <v>0</v>
      </c>
      <c r="BH779" t="s">
        <v>7363</v>
      </c>
      <c r="BJ779" t="s">
        <v>7362</v>
      </c>
      <c r="BK779">
        <v>169</v>
      </c>
      <c r="BL779">
        <v>11</v>
      </c>
      <c r="BM779">
        <v>1</v>
      </c>
      <c r="BN779" t="s">
        <v>7364</v>
      </c>
      <c r="BO779">
        <v>169</v>
      </c>
      <c r="BP779">
        <v>11</v>
      </c>
      <c r="BQ779">
        <v>1</v>
      </c>
      <c r="BR779" t="s">
        <v>7364</v>
      </c>
      <c r="BS779" t="s">
        <v>7411</v>
      </c>
      <c r="BT779" t="s">
        <v>7360</v>
      </c>
      <c r="BU779" t="s">
        <v>7360</v>
      </c>
      <c r="BV779" t="s">
        <v>7360</v>
      </c>
      <c r="BX779" t="s">
        <v>7391</v>
      </c>
      <c r="BY779">
        <v>74</v>
      </c>
      <c r="BZ779" t="s">
        <v>7360</v>
      </c>
      <c r="CA779" t="s">
        <v>7360</v>
      </c>
      <c r="CB779" t="s">
        <v>7360</v>
      </c>
      <c r="CC779" s="21">
        <v>45012.767696759256</v>
      </c>
      <c r="CE779" t="s">
        <v>7392</v>
      </c>
      <c r="CF779">
        <v>1100101</v>
      </c>
      <c r="CG779">
        <v>50947</v>
      </c>
      <c r="CH779">
        <v>50947</v>
      </c>
      <c r="CI779" s="21">
        <v>45012.769363425927</v>
      </c>
      <c r="CJ779" t="s">
        <v>7442</v>
      </c>
      <c r="CK779" t="s">
        <v>7442</v>
      </c>
      <c r="CL779" t="s">
        <v>7443</v>
      </c>
      <c r="CM779" t="s">
        <v>7443</v>
      </c>
      <c r="CS779" t="s">
        <v>7361</v>
      </c>
      <c r="CT779" t="s">
        <v>7362</v>
      </c>
      <c r="CU779" t="s">
        <v>7362</v>
      </c>
      <c r="CV779" t="s">
        <v>7362</v>
      </c>
      <c r="CW779" t="s">
        <v>7362</v>
      </c>
      <c r="CX779">
        <v>2820000</v>
      </c>
      <c r="DA779">
        <v>0</v>
      </c>
    </row>
    <row r="780" spans="1:110" x14ac:dyDescent="0.3">
      <c r="A780">
        <v>1373</v>
      </c>
      <c r="B780" t="s">
        <v>7383</v>
      </c>
      <c r="C780">
        <v>813</v>
      </c>
      <c r="D780" s="20">
        <v>45012</v>
      </c>
      <c r="E780" t="s">
        <v>7372</v>
      </c>
      <c r="F780" t="s">
        <v>4625</v>
      </c>
      <c r="G780" t="s">
        <v>7357</v>
      </c>
      <c r="H780">
        <v>1</v>
      </c>
      <c r="I780" t="s">
        <v>7358</v>
      </c>
      <c r="J780">
        <v>1</v>
      </c>
      <c r="K780" s="20">
        <v>45012</v>
      </c>
      <c r="L780" s="23">
        <v>158544</v>
      </c>
      <c r="M780" t="s">
        <v>7359</v>
      </c>
      <c r="N780" t="s">
        <v>7360</v>
      </c>
      <c r="O780">
        <v>0</v>
      </c>
      <c r="P780">
        <v>13114</v>
      </c>
      <c r="Q780">
        <v>453098</v>
      </c>
      <c r="R780">
        <v>0</v>
      </c>
      <c r="S780">
        <v>20230327</v>
      </c>
      <c r="T780">
        <v>0</v>
      </c>
      <c r="U780" t="s">
        <v>7362</v>
      </c>
      <c r="V780" t="s">
        <v>7360</v>
      </c>
      <c r="W780" t="s">
        <v>7360</v>
      </c>
      <c r="X780" t="s">
        <v>7360</v>
      </c>
      <c r="Y780" t="s">
        <v>7360</v>
      </c>
      <c r="Z780" t="s">
        <v>7360</v>
      </c>
      <c r="AA780" t="s">
        <v>7362</v>
      </c>
      <c r="AB780" t="s">
        <v>7360</v>
      </c>
      <c r="AC780" t="s">
        <v>7360</v>
      </c>
      <c r="AD780" t="s">
        <v>7360</v>
      </c>
      <c r="AE780" t="s">
        <v>7360</v>
      </c>
      <c r="AF780" t="s">
        <v>1684</v>
      </c>
      <c r="AG780">
        <v>0</v>
      </c>
      <c r="AH780">
        <v>0</v>
      </c>
      <c r="AI780">
        <v>0</v>
      </c>
      <c r="AJ780">
        <v>0</v>
      </c>
      <c r="AK780">
        <v>0</v>
      </c>
      <c r="AL780" t="s">
        <v>7360</v>
      </c>
      <c r="AM780">
        <v>0</v>
      </c>
      <c r="AN780" s="20">
        <v>45012</v>
      </c>
      <c r="AO780" s="20">
        <v>45012</v>
      </c>
      <c r="AP780" s="20">
        <v>45012</v>
      </c>
      <c r="AQ780">
        <v>0</v>
      </c>
      <c r="AR780">
        <v>0</v>
      </c>
      <c r="AS780">
        <v>0</v>
      </c>
      <c r="AT780">
        <v>0</v>
      </c>
      <c r="AU780">
        <v>0</v>
      </c>
      <c r="AV780" t="s">
        <v>7360</v>
      </c>
      <c r="AW780">
        <v>0</v>
      </c>
      <c r="AX780" t="s">
        <v>7360</v>
      </c>
      <c r="AY780" t="s">
        <v>7362</v>
      </c>
      <c r="BA780">
        <v>0</v>
      </c>
      <c r="BB780" s="20">
        <v>45012</v>
      </c>
      <c r="BC780">
        <v>0</v>
      </c>
      <c r="BD780" t="s">
        <v>7360</v>
      </c>
      <c r="BF780" s="20">
        <v>45012</v>
      </c>
      <c r="BG780">
        <v>0</v>
      </c>
      <c r="BH780" t="s">
        <v>7363</v>
      </c>
      <c r="BJ780" t="s">
        <v>7362</v>
      </c>
      <c r="BK780">
        <v>169</v>
      </c>
      <c r="BL780">
        <v>11</v>
      </c>
      <c r="BM780">
        <v>1</v>
      </c>
      <c r="BN780" t="s">
        <v>7364</v>
      </c>
      <c r="BO780">
        <v>169</v>
      </c>
      <c r="BP780">
        <v>11</v>
      </c>
      <c r="BQ780">
        <v>1</v>
      </c>
      <c r="BR780" t="s">
        <v>7364</v>
      </c>
      <c r="BS780" t="s">
        <v>7480</v>
      </c>
      <c r="BT780" t="s">
        <v>7360</v>
      </c>
      <c r="BU780" t="s">
        <v>7360</v>
      </c>
      <c r="BV780" t="s">
        <v>7360</v>
      </c>
      <c r="BX780" t="s">
        <v>7391</v>
      </c>
      <c r="BY780">
        <v>74</v>
      </c>
      <c r="BZ780" t="s">
        <v>7360</v>
      </c>
      <c r="CA780" t="s">
        <v>7360</v>
      </c>
      <c r="CB780" t="s">
        <v>7360</v>
      </c>
      <c r="CC780" s="21">
        <v>45012.775578703702</v>
      </c>
      <c r="CE780" t="s">
        <v>7392</v>
      </c>
      <c r="CF780">
        <v>1100101</v>
      </c>
      <c r="CG780">
        <v>50947</v>
      </c>
      <c r="CH780">
        <v>50947</v>
      </c>
      <c r="CI780" s="21">
        <v>45012.777754629627</v>
      </c>
      <c r="CJ780" t="s">
        <v>7442</v>
      </c>
      <c r="CK780" t="s">
        <v>7442</v>
      </c>
      <c r="CL780" t="s">
        <v>7443</v>
      </c>
      <c r="CM780" t="s">
        <v>7443</v>
      </c>
      <c r="CS780" t="s">
        <v>7361</v>
      </c>
      <c r="CT780" t="s">
        <v>7362</v>
      </c>
      <c r="CU780" t="s">
        <v>7362</v>
      </c>
      <c r="CV780" t="s">
        <v>7362</v>
      </c>
      <c r="CW780" t="s">
        <v>7362</v>
      </c>
      <c r="CX780">
        <v>158544</v>
      </c>
      <c r="DA780">
        <v>0</v>
      </c>
    </row>
    <row r="781" spans="1:110" x14ac:dyDescent="0.3">
      <c r="A781">
        <v>1364</v>
      </c>
      <c r="B781" t="s">
        <v>7355</v>
      </c>
      <c r="C781">
        <v>814</v>
      </c>
      <c r="D781" s="20">
        <v>45013</v>
      </c>
      <c r="E781" t="s">
        <v>7372</v>
      </c>
      <c r="F781" t="s">
        <v>4630</v>
      </c>
      <c r="G781" t="s">
        <v>7357</v>
      </c>
      <c r="H781">
        <v>1</v>
      </c>
      <c r="I781" t="s">
        <v>7358</v>
      </c>
      <c r="J781">
        <v>1</v>
      </c>
      <c r="K781" s="20">
        <v>45013</v>
      </c>
      <c r="L781" s="23">
        <v>997803</v>
      </c>
      <c r="M781" t="s">
        <v>7359</v>
      </c>
      <c r="N781" t="s">
        <v>7360</v>
      </c>
      <c r="O781">
        <v>0</v>
      </c>
      <c r="P781">
        <v>13205</v>
      </c>
      <c r="Q781">
        <v>455006</v>
      </c>
      <c r="R781">
        <v>0</v>
      </c>
      <c r="S781">
        <v>20230328</v>
      </c>
      <c r="T781">
        <v>0</v>
      </c>
      <c r="U781" t="s">
        <v>7362</v>
      </c>
      <c r="V781" t="s">
        <v>7360</v>
      </c>
      <c r="W781" t="s">
        <v>7360</v>
      </c>
      <c r="X781" t="s">
        <v>7360</v>
      </c>
      <c r="Y781" t="s">
        <v>7360</v>
      </c>
      <c r="Z781" t="s">
        <v>7360</v>
      </c>
      <c r="AA781" t="s">
        <v>7362</v>
      </c>
      <c r="AB781" t="s">
        <v>7360</v>
      </c>
      <c r="AC781" t="s">
        <v>7360</v>
      </c>
      <c r="AD781" t="s">
        <v>7360</v>
      </c>
      <c r="AE781" t="s">
        <v>7360</v>
      </c>
      <c r="AF781" t="s">
        <v>1684</v>
      </c>
      <c r="AG781">
        <v>0</v>
      </c>
      <c r="AH781">
        <v>0</v>
      </c>
      <c r="AI781">
        <v>0</v>
      </c>
      <c r="AJ781">
        <v>0</v>
      </c>
      <c r="AK781">
        <v>0</v>
      </c>
      <c r="AL781" t="s">
        <v>7360</v>
      </c>
      <c r="AM781">
        <v>0</v>
      </c>
      <c r="AN781" s="20">
        <v>45013</v>
      </c>
      <c r="AO781" s="20">
        <v>45013</v>
      </c>
      <c r="AP781" s="20">
        <v>45013</v>
      </c>
      <c r="AQ781">
        <v>0</v>
      </c>
      <c r="AR781">
        <v>0</v>
      </c>
      <c r="AS781">
        <v>0</v>
      </c>
      <c r="AT781">
        <v>0</v>
      </c>
      <c r="AU781">
        <v>0</v>
      </c>
      <c r="AV781" t="s">
        <v>7360</v>
      </c>
      <c r="AW781">
        <v>0</v>
      </c>
      <c r="AX781" t="s">
        <v>7360</v>
      </c>
      <c r="AY781" t="s">
        <v>7362</v>
      </c>
      <c r="BA781">
        <v>0</v>
      </c>
      <c r="BB781" s="20">
        <v>45013</v>
      </c>
      <c r="BC781">
        <v>0</v>
      </c>
      <c r="BD781" t="s">
        <v>7360</v>
      </c>
      <c r="BF781" s="20">
        <v>45013</v>
      </c>
      <c r="BG781">
        <v>0</v>
      </c>
      <c r="BH781" t="s">
        <v>7363</v>
      </c>
      <c r="BJ781" t="s">
        <v>7362</v>
      </c>
      <c r="BK781">
        <v>0</v>
      </c>
      <c r="BL781">
        <v>0</v>
      </c>
      <c r="BM781">
        <v>0</v>
      </c>
      <c r="BN781">
        <v>0</v>
      </c>
      <c r="BO781">
        <v>169</v>
      </c>
      <c r="BP781">
        <v>11</v>
      </c>
      <c r="BQ781">
        <v>1</v>
      </c>
      <c r="BR781" t="s">
        <v>7364</v>
      </c>
      <c r="BS781" t="s">
        <v>7365</v>
      </c>
      <c r="BT781" t="s">
        <v>7360</v>
      </c>
      <c r="BU781" t="s">
        <v>7360</v>
      </c>
      <c r="BV781" t="s">
        <v>7360</v>
      </c>
      <c r="BX781">
        <v>0</v>
      </c>
      <c r="BY781">
        <v>0</v>
      </c>
      <c r="BZ781" t="s">
        <v>7360</v>
      </c>
      <c r="CA781" t="s">
        <v>7360</v>
      </c>
      <c r="CB781">
        <v>3380666</v>
      </c>
      <c r="CC781" s="21">
        <v>45013.503009259257</v>
      </c>
      <c r="CE781" t="s">
        <v>7366</v>
      </c>
      <c r="CF781">
        <v>0</v>
      </c>
      <c r="CG781">
        <v>702002</v>
      </c>
      <c r="CH781">
        <v>702002</v>
      </c>
      <c r="CI781" s="21">
        <v>45013.505833333336</v>
      </c>
      <c r="CJ781" t="s">
        <v>7367</v>
      </c>
      <c r="CK781" t="s">
        <v>7367</v>
      </c>
      <c r="CL781" t="s">
        <v>7368</v>
      </c>
      <c r="CM781" t="s">
        <v>7368</v>
      </c>
      <c r="CS781" t="s">
        <v>7361</v>
      </c>
      <c r="CT781" t="s">
        <v>7362</v>
      </c>
      <c r="CU781" t="s">
        <v>7362</v>
      </c>
      <c r="CV781" t="s">
        <v>7362</v>
      </c>
      <c r="CW781" t="s">
        <v>7362</v>
      </c>
      <c r="CX781">
        <v>997803</v>
      </c>
      <c r="DA781">
        <v>0</v>
      </c>
    </row>
    <row r="782" spans="1:110" x14ac:dyDescent="0.3">
      <c r="A782">
        <v>1366</v>
      </c>
      <c r="B782" t="s">
        <v>7380</v>
      </c>
      <c r="C782">
        <v>310</v>
      </c>
      <c r="D782" s="20">
        <v>44992</v>
      </c>
      <c r="E782" t="s">
        <v>7356</v>
      </c>
      <c r="F782" t="s">
        <v>4636</v>
      </c>
      <c r="G782" t="s">
        <v>7357</v>
      </c>
      <c r="H782">
        <v>1</v>
      </c>
      <c r="I782" t="s">
        <v>7358</v>
      </c>
      <c r="J782">
        <v>1</v>
      </c>
      <c r="K782" s="20">
        <v>44970</v>
      </c>
      <c r="L782" s="23">
        <v>119000000</v>
      </c>
      <c r="M782" t="s">
        <v>7403</v>
      </c>
      <c r="N782" t="s">
        <v>7360</v>
      </c>
      <c r="O782">
        <v>0</v>
      </c>
      <c r="P782">
        <v>12190</v>
      </c>
      <c r="Q782">
        <v>136002</v>
      </c>
      <c r="R782">
        <v>0</v>
      </c>
      <c r="S782">
        <v>20230307</v>
      </c>
      <c r="T782">
        <v>0</v>
      </c>
      <c r="U782" t="s">
        <v>7361</v>
      </c>
      <c r="V782" t="s">
        <v>7360</v>
      </c>
      <c r="W782" t="s">
        <v>7360</v>
      </c>
      <c r="X782" t="s">
        <v>7360</v>
      </c>
      <c r="Y782" t="s">
        <v>7360</v>
      </c>
      <c r="Z782" t="s">
        <v>7360</v>
      </c>
      <c r="AA782" t="s">
        <v>7362</v>
      </c>
      <c r="AB782" t="s">
        <v>7360</v>
      </c>
      <c r="AC782" t="s">
        <v>7360</v>
      </c>
      <c r="AD782" t="s">
        <v>7360</v>
      </c>
      <c r="AE782" t="s">
        <v>7360</v>
      </c>
      <c r="AF782" t="s">
        <v>1684</v>
      </c>
      <c r="AG782">
        <v>0</v>
      </c>
      <c r="AH782">
        <v>0</v>
      </c>
      <c r="AI782">
        <v>0</v>
      </c>
      <c r="AJ782">
        <v>0</v>
      </c>
      <c r="AK782">
        <v>0</v>
      </c>
      <c r="AL782" t="s">
        <v>7360</v>
      </c>
      <c r="AM782">
        <v>0</v>
      </c>
      <c r="AN782" s="20">
        <v>44970</v>
      </c>
      <c r="AO782" s="20">
        <v>44970</v>
      </c>
      <c r="AP782" s="20">
        <v>44970</v>
      </c>
      <c r="AQ782">
        <v>0</v>
      </c>
      <c r="AR782">
        <v>0</v>
      </c>
      <c r="AS782">
        <v>0</v>
      </c>
      <c r="AT782">
        <v>0</v>
      </c>
      <c r="AU782">
        <v>0</v>
      </c>
      <c r="AV782" t="s">
        <v>7360</v>
      </c>
      <c r="AW782">
        <v>0</v>
      </c>
      <c r="AX782" t="s">
        <v>7360</v>
      </c>
      <c r="AY782" t="s">
        <v>7363</v>
      </c>
      <c r="BA782">
        <v>0</v>
      </c>
      <c r="BB782" s="20">
        <v>44970</v>
      </c>
      <c r="BC782">
        <v>0</v>
      </c>
      <c r="BD782" t="s">
        <v>7360</v>
      </c>
      <c r="BE782">
        <v>236</v>
      </c>
      <c r="BF782" s="20">
        <v>44970</v>
      </c>
      <c r="BG782">
        <v>0</v>
      </c>
      <c r="BH782" t="s">
        <v>7363</v>
      </c>
      <c r="BJ782" t="s">
        <v>7362</v>
      </c>
      <c r="BK782">
        <v>169</v>
      </c>
      <c r="BL782">
        <v>11</v>
      </c>
      <c r="BM782">
        <v>1</v>
      </c>
      <c r="BN782" t="s">
        <v>7364</v>
      </c>
      <c r="BO782">
        <v>0</v>
      </c>
      <c r="BP782">
        <v>0</v>
      </c>
      <c r="BQ782">
        <v>0</v>
      </c>
      <c r="BR782">
        <v>0</v>
      </c>
      <c r="BS782" t="s">
        <v>7481</v>
      </c>
      <c r="BT782" t="s">
        <v>7360</v>
      </c>
      <c r="BU782" t="s">
        <v>7360</v>
      </c>
      <c r="BV782" t="s">
        <v>7360</v>
      </c>
      <c r="BX782" t="s">
        <v>7391</v>
      </c>
      <c r="BY782">
        <v>74</v>
      </c>
      <c r="BZ782" t="s">
        <v>7360</v>
      </c>
      <c r="CA782" t="s">
        <v>7360</v>
      </c>
      <c r="CC782" s="20">
        <v>44998</v>
      </c>
      <c r="CE782" t="s">
        <v>7392</v>
      </c>
      <c r="CF782">
        <v>1100101</v>
      </c>
      <c r="CG782">
        <v>53575</v>
      </c>
      <c r="CH782">
        <v>53575</v>
      </c>
      <c r="CI782" s="21">
        <v>44995.446886574071</v>
      </c>
      <c r="CJ782" t="s">
        <v>7393</v>
      </c>
      <c r="CK782" t="s">
        <v>7393</v>
      </c>
      <c r="CL782" t="s">
        <v>7394</v>
      </c>
      <c r="CM782" t="s">
        <v>7394</v>
      </c>
      <c r="CS782" t="s">
        <v>7361</v>
      </c>
      <c r="CT782" t="s">
        <v>7362</v>
      </c>
      <c r="CU782" t="s">
        <v>7362</v>
      </c>
      <c r="CV782" t="s">
        <v>7362</v>
      </c>
      <c r="CW782" t="s">
        <v>7362</v>
      </c>
      <c r="CX782">
        <v>119000000</v>
      </c>
      <c r="DA782">
        <v>0</v>
      </c>
      <c r="DB782">
        <v>136002</v>
      </c>
      <c r="DF782" t="s">
        <v>7482</v>
      </c>
    </row>
    <row r="783" spans="1:110" x14ac:dyDescent="0.3">
      <c r="A783">
        <v>1364</v>
      </c>
      <c r="B783" t="s">
        <v>7355</v>
      </c>
      <c r="C783">
        <v>816</v>
      </c>
      <c r="D783" s="20">
        <v>45013</v>
      </c>
      <c r="E783" t="s">
        <v>7372</v>
      </c>
      <c r="F783" t="s">
        <v>4641</v>
      </c>
      <c r="G783" t="s">
        <v>7357</v>
      </c>
      <c r="H783">
        <v>1</v>
      </c>
      <c r="I783" t="s">
        <v>7358</v>
      </c>
      <c r="J783">
        <v>1</v>
      </c>
      <c r="K783" s="20">
        <v>45013</v>
      </c>
      <c r="L783" s="23">
        <v>963900</v>
      </c>
      <c r="M783" t="s">
        <v>7359</v>
      </c>
      <c r="N783" t="s">
        <v>7360</v>
      </c>
      <c r="O783">
        <v>0</v>
      </c>
      <c r="P783">
        <v>13206</v>
      </c>
      <c r="Q783">
        <v>455007</v>
      </c>
      <c r="R783">
        <v>0</v>
      </c>
      <c r="S783">
        <v>20230328</v>
      </c>
      <c r="T783">
        <v>0</v>
      </c>
      <c r="U783" t="s">
        <v>7362</v>
      </c>
      <c r="V783" t="s">
        <v>7360</v>
      </c>
      <c r="W783" t="s">
        <v>7360</v>
      </c>
      <c r="X783" t="s">
        <v>7360</v>
      </c>
      <c r="Y783" t="s">
        <v>7360</v>
      </c>
      <c r="Z783" t="s">
        <v>7360</v>
      </c>
      <c r="AA783" t="s">
        <v>7362</v>
      </c>
      <c r="AB783" t="s">
        <v>7360</v>
      </c>
      <c r="AC783" t="s">
        <v>7360</v>
      </c>
      <c r="AD783" t="s">
        <v>7360</v>
      </c>
      <c r="AE783" t="s">
        <v>7360</v>
      </c>
      <c r="AF783" t="s">
        <v>1684</v>
      </c>
      <c r="AG783">
        <v>0</v>
      </c>
      <c r="AH783">
        <v>0</v>
      </c>
      <c r="AI783">
        <v>0</v>
      </c>
      <c r="AJ783">
        <v>0</v>
      </c>
      <c r="AK783">
        <v>0</v>
      </c>
      <c r="AL783" t="s">
        <v>7360</v>
      </c>
      <c r="AM783">
        <v>0</v>
      </c>
      <c r="AN783" s="20">
        <v>45013</v>
      </c>
      <c r="AO783" s="20">
        <v>45013</v>
      </c>
      <c r="AP783" s="20">
        <v>45013</v>
      </c>
      <c r="AQ783">
        <v>0</v>
      </c>
      <c r="AR783">
        <v>0</v>
      </c>
      <c r="AS783">
        <v>0</v>
      </c>
      <c r="AT783">
        <v>0</v>
      </c>
      <c r="AU783">
        <v>0</v>
      </c>
      <c r="AV783" t="s">
        <v>7360</v>
      </c>
      <c r="AW783">
        <v>0</v>
      </c>
      <c r="AX783" t="s">
        <v>7360</v>
      </c>
      <c r="AY783" t="s">
        <v>7362</v>
      </c>
      <c r="BA783">
        <v>0</v>
      </c>
      <c r="BB783" s="20">
        <v>45013</v>
      </c>
      <c r="BC783">
        <v>0</v>
      </c>
      <c r="BD783" t="s">
        <v>7360</v>
      </c>
      <c r="BF783" s="20">
        <v>45013</v>
      </c>
      <c r="BG783">
        <v>0</v>
      </c>
      <c r="BH783" t="s">
        <v>7363</v>
      </c>
      <c r="BJ783" t="s">
        <v>7362</v>
      </c>
      <c r="BK783">
        <v>0</v>
      </c>
      <c r="BL783">
        <v>0</v>
      </c>
      <c r="BM783">
        <v>0</v>
      </c>
      <c r="BN783">
        <v>0</v>
      </c>
      <c r="BO783">
        <v>169</v>
      </c>
      <c r="BP783">
        <v>11</v>
      </c>
      <c r="BQ783">
        <v>1</v>
      </c>
      <c r="BR783" t="s">
        <v>7364</v>
      </c>
      <c r="BS783" t="s">
        <v>7365</v>
      </c>
      <c r="BT783" t="s">
        <v>7360</v>
      </c>
      <c r="BU783" t="s">
        <v>7360</v>
      </c>
      <c r="BV783" t="s">
        <v>7360</v>
      </c>
      <c r="BX783">
        <v>0</v>
      </c>
      <c r="BY783">
        <v>0</v>
      </c>
      <c r="BZ783" t="s">
        <v>7360</v>
      </c>
      <c r="CA783" t="s">
        <v>7360</v>
      </c>
      <c r="CB783">
        <v>3380666</v>
      </c>
      <c r="CC783" s="21">
        <v>45013.597881944443</v>
      </c>
      <c r="CE783" t="s">
        <v>7366</v>
      </c>
      <c r="CF783">
        <v>0</v>
      </c>
      <c r="CG783">
        <v>702002</v>
      </c>
      <c r="CH783">
        <v>702002</v>
      </c>
      <c r="CI783" s="21">
        <v>45013.601134259261</v>
      </c>
      <c r="CJ783" t="s">
        <v>7367</v>
      </c>
      <c r="CK783" t="s">
        <v>7367</v>
      </c>
      <c r="CL783" t="s">
        <v>7368</v>
      </c>
      <c r="CM783" t="s">
        <v>7368</v>
      </c>
      <c r="CS783" t="s">
        <v>7361</v>
      </c>
      <c r="CT783" t="s">
        <v>7362</v>
      </c>
      <c r="CU783" t="s">
        <v>7362</v>
      </c>
      <c r="CV783" t="s">
        <v>7362</v>
      </c>
      <c r="CW783" t="s">
        <v>7362</v>
      </c>
      <c r="CX783">
        <v>963900</v>
      </c>
      <c r="DA783">
        <v>0</v>
      </c>
    </row>
    <row r="784" spans="1:110" x14ac:dyDescent="0.3">
      <c r="A784">
        <v>1359</v>
      </c>
      <c r="B784" t="s">
        <v>7425</v>
      </c>
      <c r="C784">
        <v>817</v>
      </c>
      <c r="D784" s="20">
        <v>45013</v>
      </c>
      <c r="E784" t="s">
        <v>7372</v>
      </c>
      <c r="F784" t="s">
        <v>4646</v>
      </c>
      <c r="G784" t="s">
        <v>7357</v>
      </c>
      <c r="H784">
        <v>1</v>
      </c>
      <c r="I784" t="s">
        <v>7358</v>
      </c>
      <c r="J784">
        <v>1</v>
      </c>
      <c r="K784" s="20">
        <v>45013</v>
      </c>
      <c r="L784" s="23">
        <v>1832128</v>
      </c>
      <c r="M784" t="s">
        <v>7359</v>
      </c>
      <c r="N784" t="s">
        <v>7360</v>
      </c>
      <c r="O784">
        <v>0</v>
      </c>
      <c r="P784">
        <v>13398</v>
      </c>
      <c r="Q784">
        <v>459023</v>
      </c>
      <c r="R784">
        <v>0</v>
      </c>
      <c r="S784">
        <v>20230328</v>
      </c>
      <c r="T784">
        <v>0</v>
      </c>
      <c r="U784" t="s">
        <v>7362</v>
      </c>
      <c r="V784" t="s">
        <v>7360</v>
      </c>
      <c r="W784" t="s">
        <v>7360</v>
      </c>
      <c r="X784" t="s">
        <v>7360</v>
      </c>
      <c r="Y784" t="s">
        <v>7360</v>
      </c>
      <c r="Z784" t="s">
        <v>7360</v>
      </c>
      <c r="AA784" t="s">
        <v>7362</v>
      </c>
      <c r="AB784" t="s">
        <v>7360</v>
      </c>
      <c r="AC784" t="s">
        <v>7360</v>
      </c>
      <c r="AD784" t="s">
        <v>7360</v>
      </c>
      <c r="AE784" t="s">
        <v>7360</v>
      </c>
      <c r="AF784" t="s">
        <v>1684</v>
      </c>
      <c r="AG784">
        <v>0</v>
      </c>
      <c r="AH784">
        <v>0</v>
      </c>
      <c r="AI784">
        <v>0</v>
      </c>
      <c r="AJ784">
        <v>0</v>
      </c>
      <c r="AK784">
        <v>0</v>
      </c>
      <c r="AL784" t="s">
        <v>7360</v>
      </c>
      <c r="AM784">
        <v>0</v>
      </c>
      <c r="AN784" s="20">
        <v>45013</v>
      </c>
      <c r="AO784" s="20">
        <v>45013</v>
      </c>
      <c r="AP784" s="20">
        <v>45013</v>
      </c>
      <c r="AQ784">
        <v>0</v>
      </c>
      <c r="AR784">
        <v>0</v>
      </c>
      <c r="AS784">
        <v>0</v>
      </c>
      <c r="AT784">
        <v>0</v>
      </c>
      <c r="AU784">
        <v>0</v>
      </c>
      <c r="AV784" t="s">
        <v>7360</v>
      </c>
      <c r="AW784">
        <v>0</v>
      </c>
      <c r="AX784" t="s">
        <v>7360</v>
      </c>
      <c r="AY784" t="s">
        <v>7362</v>
      </c>
      <c r="BA784">
        <v>0</v>
      </c>
      <c r="BB784" s="20">
        <v>45013</v>
      </c>
      <c r="BC784">
        <v>0</v>
      </c>
      <c r="BD784" t="s">
        <v>7360</v>
      </c>
      <c r="BF784" s="20">
        <v>45013</v>
      </c>
      <c r="BG784">
        <v>0</v>
      </c>
      <c r="BH784" t="s">
        <v>7363</v>
      </c>
      <c r="BJ784" t="s">
        <v>7362</v>
      </c>
      <c r="BK784">
        <v>0</v>
      </c>
      <c r="BL784">
        <v>0</v>
      </c>
      <c r="BM784">
        <v>0</v>
      </c>
      <c r="BN784">
        <v>0</v>
      </c>
      <c r="BO784">
        <v>169</v>
      </c>
      <c r="BP784">
        <v>11</v>
      </c>
      <c r="BQ784">
        <v>1</v>
      </c>
      <c r="BR784" t="s">
        <v>7364</v>
      </c>
      <c r="BS784" t="s">
        <v>7483</v>
      </c>
      <c r="BT784" t="s">
        <v>7360</v>
      </c>
      <c r="BU784" t="s">
        <v>7360</v>
      </c>
      <c r="BV784" t="s">
        <v>7360</v>
      </c>
      <c r="BX784">
        <v>0</v>
      </c>
      <c r="BY784">
        <v>0</v>
      </c>
      <c r="BZ784" t="s">
        <v>7360</v>
      </c>
      <c r="CA784" t="s">
        <v>7360</v>
      </c>
      <c r="CB784">
        <v>3380666</v>
      </c>
      <c r="CC784" s="21">
        <v>45013.607476851852</v>
      </c>
      <c r="CE784" t="s">
        <v>7366</v>
      </c>
      <c r="CF784">
        <v>0</v>
      </c>
      <c r="CG784">
        <v>702002</v>
      </c>
      <c r="CH784">
        <v>702002</v>
      </c>
      <c r="CI784" s="21">
        <v>45013.610381944447</v>
      </c>
      <c r="CJ784" t="s">
        <v>7367</v>
      </c>
      <c r="CK784" t="s">
        <v>7367</v>
      </c>
      <c r="CL784" t="s">
        <v>7368</v>
      </c>
      <c r="CM784" t="s">
        <v>7368</v>
      </c>
      <c r="CS784" t="s">
        <v>7361</v>
      </c>
      <c r="CT784" t="s">
        <v>7362</v>
      </c>
      <c r="CU784" t="s">
        <v>7362</v>
      </c>
      <c r="CV784" t="s">
        <v>7362</v>
      </c>
      <c r="CW784" t="s">
        <v>7362</v>
      </c>
      <c r="CX784">
        <v>1832128</v>
      </c>
      <c r="DA784">
        <v>0</v>
      </c>
    </row>
    <row r="785" spans="1:106" x14ac:dyDescent="0.3">
      <c r="A785">
        <v>1360</v>
      </c>
      <c r="B785" t="s">
        <v>7401</v>
      </c>
      <c r="C785">
        <v>818</v>
      </c>
      <c r="D785" s="20">
        <v>45013</v>
      </c>
      <c r="E785" t="s">
        <v>7372</v>
      </c>
      <c r="F785" t="s">
        <v>4652</v>
      </c>
      <c r="G785" t="s">
        <v>7357</v>
      </c>
      <c r="H785">
        <v>1</v>
      </c>
      <c r="I785" t="s">
        <v>7358</v>
      </c>
      <c r="J785">
        <v>1</v>
      </c>
      <c r="K785" s="20">
        <v>45013</v>
      </c>
      <c r="L785" s="23">
        <v>3079324</v>
      </c>
      <c r="M785" t="s">
        <v>7359</v>
      </c>
      <c r="N785" t="s">
        <v>7360</v>
      </c>
      <c r="O785">
        <v>0</v>
      </c>
      <c r="P785">
        <v>13086</v>
      </c>
      <c r="Q785">
        <v>453081</v>
      </c>
      <c r="R785">
        <v>0</v>
      </c>
      <c r="S785">
        <v>20230328</v>
      </c>
      <c r="T785">
        <v>0</v>
      </c>
      <c r="U785" t="s">
        <v>7362</v>
      </c>
      <c r="V785" t="s">
        <v>7360</v>
      </c>
      <c r="W785" t="s">
        <v>7360</v>
      </c>
      <c r="X785" t="s">
        <v>7360</v>
      </c>
      <c r="Y785" t="s">
        <v>7360</v>
      </c>
      <c r="Z785" t="s">
        <v>7360</v>
      </c>
      <c r="AA785" t="s">
        <v>7362</v>
      </c>
      <c r="AB785" t="s">
        <v>7360</v>
      </c>
      <c r="AC785" t="s">
        <v>7360</v>
      </c>
      <c r="AD785" t="s">
        <v>7360</v>
      </c>
      <c r="AE785" t="s">
        <v>7360</v>
      </c>
      <c r="AF785" t="s">
        <v>1684</v>
      </c>
      <c r="AG785">
        <v>0</v>
      </c>
      <c r="AH785">
        <v>0</v>
      </c>
      <c r="AI785">
        <v>0</v>
      </c>
      <c r="AJ785">
        <v>0</v>
      </c>
      <c r="AK785">
        <v>0</v>
      </c>
      <c r="AL785" t="s">
        <v>7360</v>
      </c>
      <c r="AM785">
        <v>0</v>
      </c>
      <c r="AN785" s="20">
        <v>45013</v>
      </c>
      <c r="AO785" s="20">
        <v>45013</v>
      </c>
      <c r="AP785" s="20">
        <v>45013</v>
      </c>
      <c r="AQ785">
        <v>0</v>
      </c>
      <c r="AR785">
        <v>0</v>
      </c>
      <c r="AS785">
        <v>0</v>
      </c>
      <c r="AT785">
        <v>0</v>
      </c>
      <c r="AU785">
        <v>0</v>
      </c>
      <c r="AV785" t="s">
        <v>7360</v>
      </c>
      <c r="AW785">
        <v>0</v>
      </c>
      <c r="AX785" t="s">
        <v>7360</v>
      </c>
      <c r="AY785" t="s">
        <v>7362</v>
      </c>
      <c r="BA785">
        <v>0</v>
      </c>
      <c r="BB785" s="20">
        <v>45013</v>
      </c>
      <c r="BC785">
        <v>0</v>
      </c>
      <c r="BD785" t="s">
        <v>7360</v>
      </c>
      <c r="BF785" s="20">
        <v>45013</v>
      </c>
      <c r="BG785">
        <v>0</v>
      </c>
      <c r="BH785" t="s">
        <v>7363</v>
      </c>
      <c r="BJ785" t="s">
        <v>7362</v>
      </c>
      <c r="BK785">
        <v>0</v>
      </c>
      <c r="BL785">
        <v>0</v>
      </c>
      <c r="BM785">
        <v>0</v>
      </c>
      <c r="BN785">
        <v>0</v>
      </c>
      <c r="BO785">
        <v>169</v>
      </c>
      <c r="BP785">
        <v>11</v>
      </c>
      <c r="BQ785">
        <v>1</v>
      </c>
      <c r="BR785" t="s">
        <v>7364</v>
      </c>
      <c r="BS785" t="s">
        <v>7472</v>
      </c>
      <c r="BT785" t="s">
        <v>7360</v>
      </c>
      <c r="BU785" t="s">
        <v>7360</v>
      </c>
      <c r="BV785" t="s">
        <v>7360</v>
      </c>
      <c r="BX785">
        <v>0</v>
      </c>
      <c r="BY785">
        <v>0</v>
      </c>
      <c r="BZ785" t="s">
        <v>7360</v>
      </c>
      <c r="CA785" t="s">
        <v>7360</v>
      </c>
      <c r="CB785">
        <v>3380666</v>
      </c>
      <c r="CC785" s="21">
        <v>45013.705729166664</v>
      </c>
      <c r="CE785" t="s">
        <v>7366</v>
      </c>
      <c r="CF785">
        <v>0</v>
      </c>
      <c r="CG785">
        <v>702002</v>
      </c>
      <c r="CH785">
        <v>702002</v>
      </c>
      <c r="CI785" s="21">
        <v>45013.708518518521</v>
      </c>
      <c r="CJ785" t="s">
        <v>7367</v>
      </c>
      <c r="CK785" t="s">
        <v>7367</v>
      </c>
      <c r="CL785" t="s">
        <v>7368</v>
      </c>
      <c r="CM785" t="s">
        <v>7368</v>
      </c>
      <c r="CS785" t="s">
        <v>7361</v>
      </c>
      <c r="CT785" t="s">
        <v>7362</v>
      </c>
      <c r="CU785" t="s">
        <v>7362</v>
      </c>
      <c r="CV785" t="s">
        <v>7362</v>
      </c>
      <c r="CW785" t="s">
        <v>7362</v>
      </c>
      <c r="CX785">
        <v>3079324</v>
      </c>
      <c r="DA785">
        <v>0</v>
      </c>
    </row>
    <row r="786" spans="1:106" x14ac:dyDescent="0.3">
      <c r="A786">
        <v>1372</v>
      </c>
      <c r="B786" t="s">
        <v>7369</v>
      </c>
      <c r="C786">
        <v>819</v>
      </c>
      <c r="D786" s="20">
        <v>45014</v>
      </c>
      <c r="E786" t="s">
        <v>7372</v>
      </c>
      <c r="F786" t="s">
        <v>4657</v>
      </c>
      <c r="G786" t="s">
        <v>7357</v>
      </c>
      <c r="H786">
        <v>1</v>
      </c>
      <c r="I786" t="s">
        <v>7358</v>
      </c>
      <c r="J786">
        <v>1</v>
      </c>
      <c r="K786" s="20">
        <v>45014</v>
      </c>
      <c r="L786" s="23">
        <v>2881221</v>
      </c>
      <c r="M786" t="s">
        <v>7359</v>
      </c>
      <c r="N786" t="s">
        <v>7360</v>
      </c>
      <c r="O786">
        <v>0</v>
      </c>
      <c r="P786">
        <v>13507</v>
      </c>
      <c r="Q786">
        <v>461002</v>
      </c>
      <c r="R786">
        <v>0</v>
      </c>
      <c r="S786">
        <v>20230329</v>
      </c>
      <c r="T786">
        <v>0</v>
      </c>
      <c r="U786" t="s">
        <v>7362</v>
      </c>
      <c r="V786" t="s">
        <v>7360</v>
      </c>
      <c r="W786" t="s">
        <v>7360</v>
      </c>
      <c r="X786" t="s">
        <v>7360</v>
      </c>
      <c r="Y786" t="s">
        <v>7360</v>
      </c>
      <c r="Z786" t="s">
        <v>7360</v>
      </c>
      <c r="AA786" t="s">
        <v>7362</v>
      </c>
      <c r="AB786" t="s">
        <v>7360</v>
      </c>
      <c r="AC786" t="s">
        <v>7360</v>
      </c>
      <c r="AD786" t="s">
        <v>7360</v>
      </c>
      <c r="AE786" t="s">
        <v>7360</v>
      </c>
      <c r="AF786" t="s">
        <v>1684</v>
      </c>
      <c r="AG786">
        <v>0</v>
      </c>
      <c r="AH786">
        <v>0</v>
      </c>
      <c r="AI786">
        <v>0</v>
      </c>
      <c r="AJ786">
        <v>0</v>
      </c>
      <c r="AK786">
        <v>0</v>
      </c>
      <c r="AL786" t="s">
        <v>7360</v>
      </c>
      <c r="AM786">
        <v>0</v>
      </c>
      <c r="AN786" s="20">
        <v>45014</v>
      </c>
      <c r="AO786" s="20">
        <v>45014</v>
      </c>
      <c r="AP786" s="20">
        <v>45014</v>
      </c>
      <c r="AQ786">
        <v>0</v>
      </c>
      <c r="AR786">
        <v>0</v>
      </c>
      <c r="AS786">
        <v>0</v>
      </c>
      <c r="AT786">
        <v>0</v>
      </c>
      <c r="AU786">
        <v>0</v>
      </c>
      <c r="AV786" t="s">
        <v>7360</v>
      </c>
      <c r="AW786">
        <v>0</v>
      </c>
      <c r="AX786" t="s">
        <v>7360</v>
      </c>
      <c r="AY786" t="s">
        <v>7362</v>
      </c>
      <c r="BA786">
        <v>0</v>
      </c>
      <c r="BB786" s="20">
        <v>45014</v>
      </c>
      <c r="BC786">
        <v>0</v>
      </c>
      <c r="BD786" t="s">
        <v>7360</v>
      </c>
      <c r="BF786" s="20">
        <v>45014</v>
      </c>
      <c r="BG786">
        <v>0</v>
      </c>
      <c r="BH786" t="s">
        <v>7363</v>
      </c>
      <c r="BJ786" t="s">
        <v>7362</v>
      </c>
      <c r="BK786">
        <v>169</v>
      </c>
      <c r="BL786">
        <v>11</v>
      </c>
      <c r="BM786">
        <v>1</v>
      </c>
      <c r="BN786" t="s">
        <v>7364</v>
      </c>
      <c r="BO786">
        <v>0</v>
      </c>
      <c r="BP786">
        <v>0</v>
      </c>
      <c r="BQ786">
        <v>0</v>
      </c>
      <c r="BR786">
        <v>0</v>
      </c>
      <c r="BS786" t="s">
        <v>7430</v>
      </c>
      <c r="BT786" t="s">
        <v>7360</v>
      </c>
      <c r="BU786" t="s">
        <v>7360</v>
      </c>
      <c r="BV786" t="s">
        <v>7360</v>
      </c>
      <c r="BX786" t="s">
        <v>7391</v>
      </c>
      <c r="BY786">
        <v>74</v>
      </c>
      <c r="BZ786" t="s">
        <v>7360</v>
      </c>
      <c r="CA786" t="s">
        <v>7360</v>
      </c>
      <c r="CB786">
        <v>5558210</v>
      </c>
      <c r="CC786" s="20">
        <v>45027</v>
      </c>
      <c r="CD786" t="s">
        <v>7484</v>
      </c>
      <c r="CE786" t="s">
        <v>7392</v>
      </c>
      <c r="CF786">
        <v>1100101</v>
      </c>
      <c r="CG786">
        <v>53575</v>
      </c>
      <c r="CH786">
        <v>53575</v>
      </c>
      <c r="CI786" s="21">
        <v>45014.352164351854</v>
      </c>
      <c r="CJ786" t="s">
        <v>7393</v>
      </c>
      <c r="CK786" t="s">
        <v>7393</v>
      </c>
      <c r="CL786" t="s">
        <v>7394</v>
      </c>
      <c r="CM786" t="s">
        <v>7394</v>
      </c>
      <c r="CS786" t="s">
        <v>7361</v>
      </c>
      <c r="CT786" t="s">
        <v>7362</v>
      </c>
      <c r="CU786" t="s">
        <v>7362</v>
      </c>
      <c r="CV786" t="s">
        <v>7362</v>
      </c>
      <c r="CW786" t="s">
        <v>7362</v>
      </c>
      <c r="CX786">
        <v>2881221</v>
      </c>
      <c r="DA786">
        <v>0</v>
      </c>
    </row>
    <row r="787" spans="1:106" x14ac:dyDescent="0.3">
      <c r="A787">
        <v>1362</v>
      </c>
      <c r="B787" t="s">
        <v>7371</v>
      </c>
      <c r="C787">
        <v>293</v>
      </c>
      <c r="D787" s="20">
        <v>44966</v>
      </c>
      <c r="E787" t="s">
        <v>7372</v>
      </c>
      <c r="F787" t="s">
        <v>4662</v>
      </c>
      <c r="G787" t="s">
        <v>7357</v>
      </c>
      <c r="H787">
        <v>1</v>
      </c>
      <c r="I787" t="s">
        <v>7358</v>
      </c>
      <c r="J787">
        <v>1</v>
      </c>
      <c r="K787" s="20">
        <v>44966</v>
      </c>
      <c r="L787" s="23">
        <v>130900000</v>
      </c>
      <c r="M787" t="s">
        <v>7403</v>
      </c>
      <c r="N787" t="s">
        <v>7360</v>
      </c>
      <c r="O787">
        <v>0</v>
      </c>
      <c r="P787">
        <v>12083</v>
      </c>
      <c r="Q787">
        <v>132008</v>
      </c>
      <c r="R787">
        <v>0</v>
      </c>
      <c r="S787">
        <v>20230209</v>
      </c>
      <c r="T787">
        <v>0</v>
      </c>
      <c r="U787" t="s">
        <v>7362</v>
      </c>
      <c r="V787" t="s">
        <v>7360</v>
      </c>
      <c r="W787" t="s">
        <v>7360</v>
      </c>
      <c r="X787" t="s">
        <v>7360</v>
      </c>
      <c r="Y787" t="s">
        <v>7360</v>
      </c>
      <c r="Z787" t="s">
        <v>7360</v>
      </c>
      <c r="AA787" t="s">
        <v>7362</v>
      </c>
      <c r="AB787" t="s">
        <v>7360</v>
      </c>
      <c r="AC787" t="s">
        <v>7360</v>
      </c>
      <c r="AD787" t="s">
        <v>7360</v>
      </c>
      <c r="AE787" t="s">
        <v>7360</v>
      </c>
      <c r="AF787" t="s">
        <v>1684</v>
      </c>
      <c r="AG787">
        <v>0</v>
      </c>
      <c r="AH787">
        <v>0</v>
      </c>
      <c r="AI787">
        <v>0</v>
      </c>
      <c r="AJ787">
        <v>0</v>
      </c>
      <c r="AK787">
        <v>0</v>
      </c>
      <c r="AL787" t="s">
        <v>7360</v>
      </c>
      <c r="AM787">
        <v>0</v>
      </c>
      <c r="AN787" s="20">
        <v>44966</v>
      </c>
      <c r="AO787" s="20">
        <v>44966</v>
      </c>
      <c r="AP787" s="20">
        <v>44966</v>
      </c>
      <c r="AQ787">
        <v>0</v>
      </c>
      <c r="AR787">
        <v>0</v>
      </c>
      <c r="AS787">
        <v>0</v>
      </c>
      <c r="AT787">
        <v>0</v>
      </c>
      <c r="AU787">
        <v>0</v>
      </c>
      <c r="AV787" t="s">
        <v>7360</v>
      </c>
      <c r="AW787">
        <v>0</v>
      </c>
      <c r="AX787" t="s">
        <v>7360</v>
      </c>
      <c r="AY787" t="s">
        <v>7373</v>
      </c>
      <c r="BA787">
        <v>0</v>
      </c>
      <c r="BB787" s="20">
        <v>44966</v>
      </c>
      <c r="BC787">
        <v>0</v>
      </c>
      <c r="BD787" t="s">
        <v>7360</v>
      </c>
      <c r="BE787">
        <v>115</v>
      </c>
      <c r="BF787" s="20">
        <v>44966</v>
      </c>
      <c r="BG787">
        <v>0</v>
      </c>
      <c r="BH787" t="s">
        <v>7363</v>
      </c>
      <c r="BJ787" t="s">
        <v>7362</v>
      </c>
      <c r="BK787">
        <v>0</v>
      </c>
      <c r="BL787">
        <v>0</v>
      </c>
      <c r="BM787">
        <v>0</v>
      </c>
      <c r="BN787">
        <v>0</v>
      </c>
      <c r="BO787">
        <v>169</v>
      </c>
      <c r="BP787">
        <v>11</v>
      </c>
      <c r="BQ787">
        <v>1</v>
      </c>
      <c r="BR787" t="s">
        <v>7364</v>
      </c>
      <c r="BS787" t="s">
        <v>7374</v>
      </c>
      <c r="BT787" t="s">
        <v>7360</v>
      </c>
      <c r="BU787" t="s">
        <v>7360</v>
      </c>
      <c r="BV787" t="s">
        <v>7360</v>
      </c>
      <c r="BX787">
        <v>0</v>
      </c>
      <c r="BY787">
        <v>0</v>
      </c>
      <c r="BZ787" t="s">
        <v>7360</v>
      </c>
      <c r="CA787" t="s">
        <v>7360</v>
      </c>
      <c r="CB787">
        <v>3380666</v>
      </c>
      <c r="CC787" s="21">
        <v>44966.868483796294</v>
      </c>
      <c r="CE787" t="s">
        <v>7366</v>
      </c>
      <c r="CF787">
        <v>0</v>
      </c>
      <c r="CG787">
        <v>702002</v>
      </c>
      <c r="CH787">
        <v>702002</v>
      </c>
      <c r="CI787" s="21">
        <v>44966.878912037035</v>
      </c>
      <c r="CJ787" t="s">
        <v>7367</v>
      </c>
      <c r="CK787" t="s">
        <v>7367</v>
      </c>
      <c r="CL787" t="s">
        <v>7368</v>
      </c>
      <c r="CM787" t="s">
        <v>7368</v>
      </c>
      <c r="CS787" t="s">
        <v>7361</v>
      </c>
      <c r="CT787" t="s">
        <v>7362</v>
      </c>
      <c r="CU787" t="s">
        <v>7362</v>
      </c>
      <c r="CV787" t="s">
        <v>7362</v>
      </c>
      <c r="CW787" t="s">
        <v>7362</v>
      </c>
      <c r="CX787">
        <v>130900000</v>
      </c>
      <c r="DA787">
        <v>0</v>
      </c>
      <c r="DB787">
        <v>132008</v>
      </c>
    </row>
    <row r="788" spans="1:106" x14ac:dyDescent="0.3">
      <c r="A788">
        <v>1362</v>
      </c>
      <c r="B788" t="s">
        <v>7371</v>
      </c>
      <c r="C788">
        <v>778</v>
      </c>
      <c r="D788" s="20">
        <v>45012</v>
      </c>
      <c r="E788" t="s">
        <v>7372</v>
      </c>
      <c r="F788" t="s">
        <v>4668</v>
      </c>
      <c r="G788" t="s">
        <v>7357</v>
      </c>
      <c r="H788">
        <v>1</v>
      </c>
      <c r="I788" t="s">
        <v>7358</v>
      </c>
      <c r="J788">
        <v>1</v>
      </c>
      <c r="K788" s="20">
        <v>45012</v>
      </c>
      <c r="L788" s="23">
        <v>190000000</v>
      </c>
      <c r="M788" t="s">
        <v>7403</v>
      </c>
      <c r="N788" t="s">
        <v>7360</v>
      </c>
      <c r="O788">
        <v>0</v>
      </c>
      <c r="P788">
        <v>11915</v>
      </c>
      <c r="Q788">
        <v>136001</v>
      </c>
      <c r="R788">
        <v>0</v>
      </c>
      <c r="S788">
        <v>20230327</v>
      </c>
      <c r="T788">
        <v>0</v>
      </c>
      <c r="U788" t="s">
        <v>7362</v>
      </c>
      <c r="V788" t="s">
        <v>7360</v>
      </c>
      <c r="W788" t="s">
        <v>7360</v>
      </c>
      <c r="X788" t="s">
        <v>7360</v>
      </c>
      <c r="Y788" t="s">
        <v>7360</v>
      </c>
      <c r="Z788" t="s">
        <v>7360</v>
      </c>
      <c r="AA788" t="s">
        <v>7362</v>
      </c>
      <c r="AB788" t="s">
        <v>7360</v>
      </c>
      <c r="AC788" t="s">
        <v>7360</v>
      </c>
      <c r="AD788" t="s">
        <v>7360</v>
      </c>
      <c r="AE788" t="s">
        <v>7360</v>
      </c>
      <c r="AF788" t="s">
        <v>1684</v>
      </c>
      <c r="AG788">
        <v>0</v>
      </c>
      <c r="AH788">
        <v>0</v>
      </c>
      <c r="AI788">
        <v>0</v>
      </c>
      <c r="AJ788">
        <v>0</v>
      </c>
      <c r="AK788">
        <v>0</v>
      </c>
      <c r="AL788" t="s">
        <v>7360</v>
      </c>
      <c r="AM788">
        <v>0</v>
      </c>
      <c r="AN788" s="20">
        <v>45012</v>
      </c>
      <c r="AO788" s="20">
        <v>45012</v>
      </c>
      <c r="AP788" s="20">
        <v>45012</v>
      </c>
      <c r="AQ788">
        <v>0</v>
      </c>
      <c r="AR788">
        <v>0</v>
      </c>
      <c r="AS788">
        <v>0</v>
      </c>
      <c r="AT788">
        <v>0</v>
      </c>
      <c r="AU788">
        <v>0</v>
      </c>
      <c r="AV788" t="s">
        <v>7360</v>
      </c>
      <c r="AW788">
        <v>0</v>
      </c>
      <c r="AX788" t="s">
        <v>7360</v>
      </c>
      <c r="AY788" t="s">
        <v>7362</v>
      </c>
      <c r="BA788">
        <v>0</v>
      </c>
      <c r="BB788" s="20">
        <v>45012</v>
      </c>
      <c r="BC788">
        <v>0</v>
      </c>
      <c r="BD788" t="s">
        <v>7360</v>
      </c>
      <c r="BE788">
        <v>235</v>
      </c>
      <c r="BF788" s="20">
        <v>45012</v>
      </c>
      <c r="BG788">
        <v>0</v>
      </c>
      <c r="BH788" t="s">
        <v>7363</v>
      </c>
      <c r="BJ788" t="s">
        <v>7362</v>
      </c>
      <c r="BK788">
        <v>169</v>
      </c>
      <c r="BL788">
        <v>11</v>
      </c>
      <c r="BM788">
        <v>1</v>
      </c>
      <c r="BN788" t="s">
        <v>7364</v>
      </c>
      <c r="BO788">
        <v>169</v>
      </c>
      <c r="BP788">
        <v>11</v>
      </c>
      <c r="BQ788">
        <v>1</v>
      </c>
      <c r="BR788" t="s">
        <v>7364</v>
      </c>
      <c r="BS788" t="s">
        <v>7374</v>
      </c>
      <c r="BT788" t="s">
        <v>7360</v>
      </c>
      <c r="BU788" t="s">
        <v>7360</v>
      </c>
      <c r="BV788" t="s">
        <v>7360</v>
      </c>
      <c r="BX788" t="s">
        <v>7391</v>
      </c>
      <c r="BY788">
        <v>74</v>
      </c>
      <c r="BZ788" t="s">
        <v>7360</v>
      </c>
      <c r="CA788" t="s">
        <v>7360</v>
      </c>
      <c r="CB788" t="s">
        <v>7360</v>
      </c>
      <c r="CC788" s="21">
        <v>45012.3593287037</v>
      </c>
      <c r="CE788" t="s">
        <v>7392</v>
      </c>
      <c r="CF788">
        <v>1100101</v>
      </c>
      <c r="CG788">
        <v>50947</v>
      </c>
      <c r="CH788">
        <v>50947</v>
      </c>
      <c r="CI788" s="21">
        <v>45012.417719907404</v>
      </c>
      <c r="CJ788" t="s">
        <v>7442</v>
      </c>
      <c r="CK788" t="s">
        <v>7442</v>
      </c>
      <c r="CL788" t="s">
        <v>7443</v>
      </c>
      <c r="CM788" t="s">
        <v>7443</v>
      </c>
      <c r="CS788" t="s">
        <v>7361</v>
      </c>
      <c r="CT788" t="s">
        <v>7362</v>
      </c>
      <c r="CU788" t="s">
        <v>7362</v>
      </c>
      <c r="CV788" t="s">
        <v>7362</v>
      </c>
      <c r="CW788" t="s">
        <v>7362</v>
      </c>
      <c r="CX788">
        <v>190000000</v>
      </c>
      <c r="DA788">
        <v>0</v>
      </c>
      <c r="DB788">
        <v>136001</v>
      </c>
    </row>
    <row r="789" spans="1:106" x14ac:dyDescent="0.3">
      <c r="A789">
        <v>1362</v>
      </c>
      <c r="B789" t="s">
        <v>7371</v>
      </c>
      <c r="C789">
        <v>162</v>
      </c>
      <c r="D789" s="20">
        <v>44952</v>
      </c>
      <c r="E789" t="s">
        <v>7356</v>
      </c>
      <c r="F789" t="s">
        <v>4673</v>
      </c>
      <c r="G789" t="s">
        <v>7357</v>
      </c>
      <c r="H789">
        <v>2</v>
      </c>
      <c r="I789" t="s">
        <v>7428</v>
      </c>
      <c r="J789" t="s">
        <v>7485</v>
      </c>
      <c r="K789" s="20">
        <v>44953</v>
      </c>
      <c r="L789" s="23">
        <f>48064.06*4531.75</f>
        <v>217814303.905</v>
      </c>
      <c r="M789" t="s">
        <v>7403</v>
      </c>
      <c r="N789" t="s">
        <v>7360</v>
      </c>
      <c r="O789">
        <v>0</v>
      </c>
      <c r="P789">
        <v>11871</v>
      </c>
      <c r="Q789">
        <v>129010</v>
      </c>
      <c r="R789">
        <v>0</v>
      </c>
      <c r="S789">
        <v>20230126</v>
      </c>
      <c r="T789">
        <v>0</v>
      </c>
      <c r="U789" t="s">
        <v>7361</v>
      </c>
      <c r="V789" t="s">
        <v>7360</v>
      </c>
      <c r="W789" t="s">
        <v>7360</v>
      </c>
      <c r="X789" t="s">
        <v>7360</v>
      </c>
      <c r="Y789" t="s">
        <v>7360</v>
      </c>
      <c r="Z789" t="s">
        <v>7360</v>
      </c>
      <c r="AA789" t="s">
        <v>7362</v>
      </c>
      <c r="AB789" t="s">
        <v>7360</v>
      </c>
      <c r="AC789" t="s">
        <v>7360</v>
      </c>
      <c r="AD789" t="s">
        <v>7360</v>
      </c>
      <c r="AE789" t="s">
        <v>7360</v>
      </c>
      <c r="AF789" t="s">
        <v>1684</v>
      </c>
      <c r="AG789">
        <v>0</v>
      </c>
      <c r="AH789">
        <v>0</v>
      </c>
      <c r="AI789">
        <v>0</v>
      </c>
      <c r="AJ789">
        <v>0</v>
      </c>
      <c r="AK789">
        <v>0</v>
      </c>
      <c r="AL789" t="s">
        <v>7360</v>
      </c>
      <c r="AM789">
        <v>0</v>
      </c>
      <c r="AN789" s="20">
        <v>44952</v>
      </c>
      <c r="AO789" s="20">
        <v>44952</v>
      </c>
      <c r="AP789" s="20">
        <v>44952</v>
      </c>
      <c r="AQ789">
        <v>0</v>
      </c>
      <c r="AR789">
        <v>0</v>
      </c>
      <c r="AS789">
        <v>0</v>
      </c>
      <c r="AT789">
        <v>0</v>
      </c>
      <c r="AU789">
        <v>0</v>
      </c>
      <c r="AV789" t="s">
        <v>7360</v>
      </c>
      <c r="AW789">
        <v>0</v>
      </c>
      <c r="AX789" t="s">
        <v>7360</v>
      </c>
      <c r="AY789" t="s">
        <v>7363</v>
      </c>
      <c r="BA789">
        <v>0</v>
      </c>
      <c r="BB789" s="20">
        <v>44952</v>
      </c>
      <c r="BC789">
        <v>0</v>
      </c>
      <c r="BD789" t="s">
        <v>7360</v>
      </c>
      <c r="BE789">
        <v>109</v>
      </c>
      <c r="BF789" s="20">
        <v>44952</v>
      </c>
      <c r="BG789">
        <v>0</v>
      </c>
      <c r="BH789" t="s">
        <v>7363</v>
      </c>
      <c r="BJ789" t="s">
        <v>7362</v>
      </c>
      <c r="BK789">
        <v>0</v>
      </c>
      <c r="BL789">
        <v>0</v>
      </c>
      <c r="BM789">
        <v>0</v>
      </c>
      <c r="BN789">
        <v>0</v>
      </c>
      <c r="BO789">
        <v>169</v>
      </c>
      <c r="BP789">
        <v>11</v>
      </c>
      <c r="BQ789">
        <v>1</v>
      </c>
      <c r="BR789" t="s">
        <v>7364</v>
      </c>
      <c r="BS789" t="s">
        <v>7374</v>
      </c>
      <c r="BT789" t="s">
        <v>7360</v>
      </c>
      <c r="BU789" t="s">
        <v>7360</v>
      </c>
      <c r="BV789" t="s">
        <v>7360</v>
      </c>
      <c r="BX789">
        <v>0</v>
      </c>
      <c r="BY789">
        <v>0</v>
      </c>
      <c r="BZ789" t="s">
        <v>7360</v>
      </c>
      <c r="CA789" t="s">
        <v>7360</v>
      </c>
      <c r="CB789">
        <v>3380666</v>
      </c>
      <c r="CC789" s="21">
        <v>44952.794340277775</v>
      </c>
      <c r="CE789" t="s">
        <v>7366</v>
      </c>
      <c r="CF789">
        <v>0</v>
      </c>
      <c r="CG789">
        <v>702002</v>
      </c>
      <c r="CH789">
        <v>702002</v>
      </c>
      <c r="CI789" s="21">
        <v>44953.380219907405</v>
      </c>
      <c r="CJ789" t="s">
        <v>7367</v>
      </c>
      <c r="CK789" t="s">
        <v>7367</v>
      </c>
      <c r="CL789" t="s">
        <v>7368</v>
      </c>
      <c r="CM789" t="s">
        <v>7368</v>
      </c>
      <c r="CS789" t="s">
        <v>7361</v>
      </c>
      <c r="CT789" t="s">
        <v>7362</v>
      </c>
      <c r="CU789" t="s">
        <v>7362</v>
      </c>
      <c r="CV789" t="s">
        <v>7362</v>
      </c>
      <c r="CW789" t="s">
        <v>7362</v>
      </c>
      <c r="CX789" t="s">
        <v>7486</v>
      </c>
      <c r="DA789">
        <v>0</v>
      </c>
      <c r="DB789">
        <v>129010</v>
      </c>
    </row>
    <row r="790" spans="1:106" x14ac:dyDescent="0.3">
      <c r="A790">
        <v>1356</v>
      </c>
      <c r="B790" t="s">
        <v>7402</v>
      </c>
      <c r="C790">
        <v>462</v>
      </c>
      <c r="D790" s="20">
        <v>44979</v>
      </c>
      <c r="E790" t="s">
        <v>7372</v>
      </c>
      <c r="F790" t="s">
        <v>4678</v>
      </c>
      <c r="G790" t="s">
        <v>7377</v>
      </c>
      <c r="H790">
        <v>1</v>
      </c>
      <c r="I790" t="s">
        <v>7358</v>
      </c>
      <c r="J790">
        <v>1</v>
      </c>
      <c r="K790" s="20">
        <v>44979</v>
      </c>
      <c r="L790" s="23">
        <v>291550000</v>
      </c>
      <c r="M790" t="s">
        <v>7403</v>
      </c>
      <c r="N790" t="s">
        <v>7360</v>
      </c>
      <c r="O790">
        <v>0</v>
      </c>
      <c r="P790">
        <v>12610</v>
      </c>
      <c r="Q790">
        <v>134006</v>
      </c>
      <c r="R790">
        <v>0</v>
      </c>
      <c r="S790">
        <v>20230222</v>
      </c>
      <c r="T790">
        <v>0</v>
      </c>
      <c r="U790" t="s">
        <v>7362</v>
      </c>
      <c r="V790" t="s">
        <v>7360</v>
      </c>
      <c r="W790" t="s">
        <v>7360</v>
      </c>
      <c r="X790" t="s">
        <v>7360</v>
      </c>
      <c r="Y790" t="s">
        <v>7360</v>
      </c>
      <c r="Z790" t="s">
        <v>7360</v>
      </c>
      <c r="AA790" t="s">
        <v>7362</v>
      </c>
      <c r="AB790" t="s">
        <v>7360</v>
      </c>
      <c r="AC790" t="s">
        <v>7360</v>
      </c>
      <c r="AD790" t="s">
        <v>7360</v>
      </c>
      <c r="AE790" t="s">
        <v>7360</v>
      </c>
      <c r="AF790" t="s">
        <v>1684</v>
      </c>
      <c r="AG790">
        <v>0</v>
      </c>
      <c r="AH790">
        <v>0</v>
      </c>
      <c r="AI790">
        <v>0</v>
      </c>
      <c r="AJ790">
        <v>0</v>
      </c>
      <c r="AK790">
        <v>0</v>
      </c>
      <c r="AL790" t="s">
        <v>7360</v>
      </c>
      <c r="AM790">
        <v>0</v>
      </c>
      <c r="AN790" s="20">
        <v>44979</v>
      </c>
      <c r="AO790" s="20">
        <v>44979</v>
      </c>
      <c r="AP790" s="20">
        <v>44979</v>
      </c>
      <c r="AQ790">
        <v>0</v>
      </c>
      <c r="AR790">
        <v>0</v>
      </c>
      <c r="AS790">
        <v>0</v>
      </c>
      <c r="AT790">
        <v>0</v>
      </c>
      <c r="AU790">
        <v>0</v>
      </c>
      <c r="AV790" t="s">
        <v>7360</v>
      </c>
      <c r="AW790">
        <v>0</v>
      </c>
      <c r="AX790" t="s">
        <v>7360</v>
      </c>
      <c r="AY790" t="s">
        <v>7373</v>
      </c>
      <c r="BA790">
        <v>0</v>
      </c>
      <c r="BB790" s="20">
        <v>44979</v>
      </c>
      <c r="BC790">
        <v>0</v>
      </c>
      <c r="BD790" t="s">
        <v>7360</v>
      </c>
      <c r="BE790">
        <v>226</v>
      </c>
      <c r="BF790" s="20">
        <v>44979</v>
      </c>
      <c r="BG790">
        <v>0</v>
      </c>
      <c r="BH790" t="s">
        <v>1729</v>
      </c>
      <c r="BJ790" t="s">
        <v>7362</v>
      </c>
      <c r="BK790">
        <v>0</v>
      </c>
      <c r="BL790">
        <v>0</v>
      </c>
      <c r="BM790">
        <v>0</v>
      </c>
      <c r="BN790">
        <v>0</v>
      </c>
      <c r="BO790">
        <v>169</v>
      </c>
      <c r="BP790">
        <v>11</v>
      </c>
      <c r="BQ790">
        <v>1</v>
      </c>
      <c r="BR790" t="s">
        <v>7364</v>
      </c>
      <c r="BS790" t="s">
        <v>7386</v>
      </c>
      <c r="BT790" t="s">
        <v>7360</v>
      </c>
      <c r="BU790" t="s">
        <v>7360</v>
      </c>
      <c r="BV790" t="s">
        <v>7360</v>
      </c>
      <c r="BX790">
        <v>0</v>
      </c>
      <c r="BY790">
        <v>0</v>
      </c>
      <c r="BZ790" t="s">
        <v>7360</v>
      </c>
      <c r="CA790" t="s">
        <v>7360</v>
      </c>
      <c r="CB790">
        <v>3380666</v>
      </c>
      <c r="CC790" s="21">
        <v>44979.839560185188</v>
      </c>
      <c r="CE790" t="s">
        <v>7366</v>
      </c>
      <c r="CF790">
        <v>0</v>
      </c>
      <c r="CG790">
        <v>702002</v>
      </c>
      <c r="CH790">
        <v>53575</v>
      </c>
      <c r="CI790" s="21">
        <v>44981.629247685189</v>
      </c>
      <c r="CJ790" t="s">
        <v>7367</v>
      </c>
      <c r="CK790" t="s">
        <v>7393</v>
      </c>
      <c r="CL790" t="s">
        <v>7368</v>
      </c>
      <c r="CM790" t="s">
        <v>7394</v>
      </c>
      <c r="CS790" t="s">
        <v>7361</v>
      </c>
      <c r="CT790" t="s">
        <v>7362</v>
      </c>
      <c r="CU790" t="s">
        <v>7362</v>
      </c>
      <c r="CV790" t="s">
        <v>7362</v>
      </c>
      <c r="CW790" t="s">
        <v>7362</v>
      </c>
      <c r="CX790">
        <v>291550000</v>
      </c>
      <c r="DA790">
        <v>0</v>
      </c>
      <c r="DB790">
        <v>134006</v>
      </c>
    </row>
    <row r="791" spans="1:106" x14ac:dyDescent="0.3">
      <c r="A791">
        <v>1356</v>
      </c>
      <c r="B791" t="s">
        <v>7402</v>
      </c>
      <c r="C791">
        <v>824</v>
      </c>
      <c r="D791" s="20">
        <v>45014</v>
      </c>
      <c r="E791" t="s">
        <v>7372</v>
      </c>
      <c r="F791" t="s">
        <v>4684</v>
      </c>
      <c r="G791" t="s">
        <v>7377</v>
      </c>
      <c r="H791">
        <v>1</v>
      </c>
      <c r="I791" t="s">
        <v>7358</v>
      </c>
      <c r="J791">
        <v>1</v>
      </c>
      <c r="K791" s="20">
        <v>45014</v>
      </c>
      <c r="L791" s="23">
        <v>2925481</v>
      </c>
      <c r="M791" t="s">
        <v>7403</v>
      </c>
      <c r="N791" t="s">
        <v>7360</v>
      </c>
      <c r="O791">
        <v>0</v>
      </c>
      <c r="P791">
        <v>13026</v>
      </c>
      <c r="Q791">
        <v>144001</v>
      </c>
      <c r="R791">
        <v>0</v>
      </c>
      <c r="S791">
        <v>20230329</v>
      </c>
      <c r="T791">
        <v>0</v>
      </c>
      <c r="U791" t="s">
        <v>7362</v>
      </c>
      <c r="V791" t="s">
        <v>7360</v>
      </c>
      <c r="W791" t="s">
        <v>7360</v>
      </c>
      <c r="X791" t="s">
        <v>7360</v>
      </c>
      <c r="Y791" t="s">
        <v>7360</v>
      </c>
      <c r="Z791" t="s">
        <v>7360</v>
      </c>
      <c r="AA791" t="s">
        <v>7362</v>
      </c>
      <c r="AB791" t="s">
        <v>7360</v>
      </c>
      <c r="AC791" t="s">
        <v>7360</v>
      </c>
      <c r="AD791" t="s">
        <v>7360</v>
      </c>
      <c r="AE791" t="s">
        <v>7360</v>
      </c>
      <c r="AF791" t="s">
        <v>1684</v>
      </c>
      <c r="AG791">
        <v>0</v>
      </c>
      <c r="AH791">
        <v>0</v>
      </c>
      <c r="AI791">
        <v>0</v>
      </c>
      <c r="AJ791">
        <v>0</v>
      </c>
      <c r="AK791">
        <v>0</v>
      </c>
      <c r="AL791" t="s">
        <v>7360</v>
      </c>
      <c r="AM791">
        <v>0</v>
      </c>
      <c r="AN791" s="20">
        <v>45014</v>
      </c>
      <c r="AO791" s="20">
        <v>45014</v>
      </c>
      <c r="AP791" s="20">
        <v>45014</v>
      </c>
      <c r="AQ791">
        <v>0</v>
      </c>
      <c r="AR791">
        <v>0</v>
      </c>
      <c r="AS791">
        <v>0</v>
      </c>
      <c r="AT791">
        <v>0</v>
      </c>
      <c r="AU791">
        <v>0</v>
      </c>
      <c r="AV791" t="s">
        <v>7360</v>
      </c>
      <c r="AW791">
        <v>0</v>
      </c>
      <c r="AX791" t="s">
        <v>7360</v>
      </c>
      <c r="AY791" t="s">
        <v>7362</v>
      </c>
      <c r="BA791">
        <v>0</v>
      </c>
      <c r="BB791" s="20">
        <v>45014</v>
      </c>
      <c r="BC791">
        <v>0</v>
      </c>
      <c r="BD791" t="s">
        <v>7360</v>
      </c>
      <c r="BE791">
        <v>14</v>
      </c>
      <c r="BF791" s="20">
        <v>45014</v>
      </c>
      <c r="BG791">
        <v>0</v>
      </c>
      <c r="BH791" t="s">
        <v>1729</v>
      </c>
      <c r="BJ791" t="s">
        <v>7362</v>
      </c>
      <c r="BK791">
        <v>0</v>
      </c>
      <c r="BL791">
        <v>0</v>
      </c>
      <c r="BM791">
        <v>0</v>
      </c>
      <c r="BN791">
        <v>0</v>
      </c>
      <c r="BO791">
        <v>169</v>
      </c>
      <c r="BP791">
        <v>11</v>
      </c>
      <c r="BQ791">
        <v>1</v>
      </c>
      <c r="BR791" t="s">
        <v>7364</v>
      </c>
      <c r="BS791" t="s">
        <v>7386</v>
      </c>
      <c r="BT791" t="s">
        <v>7360</v>
      </c>
      <c r="BU791" t="s">
        <v>7360</v>
      </c>
      <c r="BV791" t="s">
        <v>7360</v>
      </c>
      <c r="BX791">
        <v>0</v>
      </c>
      <c r="BY791">
        <v>0</v>
      </c>
      <c r="BZ791" t="s">
        <v>7360</v>
      </c>
      <c r="CA791" t="s">
        <v>7360</v>
      </c>
      <c r="CB791">
        <v>3380666</v>
      </c>
      <c r="CC791" s="21">
        <v>45014.440509259257</v>
      </c>
      <c r="CE791" t="s">
        <v>7366</v>
      </c>
      <c r="CF791">
        <v>0</v>
      </c>
      <c r="CG791">
        <v>702002</v>
      </c>
      <c r="CH791">
        <v>51669</v>
      </c>
      <c r="CI791" s="21">
        <v>45014.508518518516</v>
      </c>
      <c r="CJ791" t="s">
        <v>7367</v>
      </c>
      <c r="CK791" t="s">
        <v>7406</v>
      </c>
      <c r="CL791" t="s">
        <v>7368</v>
      </c>
      <c r="CM791" t="s">
        <v>7407</v>
      </c>
      <c r="CS791" t="s">
        <v>7361</v>
      </c>
      <c r="CT791" t="s">
        <v>7362</v>
      </c>
      <c r="CU791" t="s">
        <v>7362</v>
      </c>
      <c r="CV791" t="s">
        <v>7362</v>
      </c>
      <c r="CW791" t="s">
        <v>7362</v>
      </c>
      <c r="CX791">
        <v>2925481</v>
      </c>
      <c r="DA791">
        <v>0</v>
      </c>
      <c r="DB791">
        <v>144001</v>
      </c>
    </row>
    <row r="792" spans="1:106" x14ac:dyDescent="0.3">
      <c r="A792">
        <v>1362</v>
      </c>
      <c r="B792" t="s">
        <v>7371</v>
      </c>
      <c r="C792">
        <v>246</v>
      </c>
      <c r="D792" s="20">
        <v>44964</v>
      </c>
      <c r="E792" t="s">
        <v>7372</v>
      </c>
      <c r="F792" t="s">
        <v>4689</v>
      </c>
      <c r="G792" t="s">
        <v>7357</v>
      </c>
      <c r="H792">
        <v>1</v>
      </c>
      <c r="I792" t="s">
        <v>7358</v>
      </c>
      <c r="J792">
        <v>1</v>
      </c>
      <c r="K792" s="20">
        <v>44961</v>
      </c>
      <c r="L792" s="23">
        <v>312501376</v>
      </c>
      <c r="M792" t="s">
        <v>7403</v>
      </c>
      <c r="N792" t="s">
        <v>7360</v>
      </c>
      <c r="O792">
        <v>0</v>
      </c>
      <c r="P792">
        <v>11713</v>
      </c>
      <c r="Q792">
        <v>131001</v>
      </c>
      <c r="R792">
        <v>0</v>
      </c>
      <c r="S792">
        <v>20230207</v>
      </c>
      <c r="T792">
        <v>0</v>
      </c>
      <c r="U792" t="s">
        <v>7362</v>
      </c>
      <c r="V792" t="s">
        <v>7360</v>
      </c>
      <c r="W792" t="s">
        <v>7360</v>
      </c>
      <c r="X792" t="s">
        <v>7360</v>
      </c>
      <c r="Y792" t="s">
        <v>7360</v>
      </c>
      <c r="Z792" t="s">
        <v>7360</v>
      </c>
      <c r="AA792" t="s">
        <v>7362</v>
      </c>
      <c r="AB792" t="s">
        <v>7360</v>
      </c>
      <c r="AC792" t="s">
        <v>7360</v>
      </c>
      <c r="AD792" t="s">
        <v>7360</v>
      </c>
      <c r="AE792" t="s">
        <v>7360</v>
      </c>
      <c r="AF792" t="s">
        <v>1684</v>
      </c>
      <c r="AG792">
        <v>0</v>
      </c>
      <c r="AH792">
        <v>0</v>
      </c>
      <c r="AI792">
        <v>0</v>
      </c>
      <c r="AJ792">
        <v>0</v>
      </c>
      <c r="AK792">
        <v>0</v>
      </c>
      <c r="AL792" t="s">
        <v>7360</v>
      </c>
      <c r="AM792">
        <v>0</v>
      </c>
      <c r="AN792" s="20">
        <v>44961</v>
      </c>
      <c r="AO792" s="20">
        <v>44961</v>
      </c>
      <c r="AP792" s="20">
        <v>44961</v>
      </c>
      <c r="AQ792">
        <v>0</v>
      </c>
      <c r="AR792">
        <v>0</v>
      </c>
      <c r="AS792">
        <v>0</v>
      </c>
      <c r="AT792">
        <v>0</v>
      </c>
      <c r="AU792">
        <v>0</v>
      </c>
      <c r="AV792" t="s">
        <v>7360</v>
      </c>
      <c r="AW792">
        <v>0</v>
      </c>
      <c r="AX792" t="s">
        <v>7360</v>
      </c>
      <c r="AY792" t="s">
        <v>7373</v>
      </c>
      <c r="BA792">
        <v>0</v>
      </c>
      <c r="BB792" s="20">
        <v>44961</v>
      </c>
      <c r="BC792">
        <v>0</v>
      </c>
      <c r="BD792" t="s">
        <v>7360</v>
      </c>
      <c r="BE792">
        <v>227</v>
      </c>
      <c r="BF792" s="20">
        <v>44961</v>
      </c>
      <c r="BG792">
        <v>0</v>
      </c>
      <c r="BH792" t="s">
        <v>7363</v>
      </c>
      <c r="BJ792" t="s">
        <v>7362</v>
      </c>
      <c r="BK792">
        <v>0</v>
      </c>
      <c r="BL792">
        <v>0</v>
      </c>
      <c r="BM792">
        <v>0</v>
      </c>
      <c r="BN792">
        <v>0</v>
      </c>
      <c r="BO792">
        <v>169</v>
      </c>
      <c r="BP792">
        <v>11</v>
      </c>
      <c r="BQ792">
        <v>1</v>
      </c>
      <c r="BR792" t="s">
        <v>7364</v>
      </c>
      <c r="BS792" t="s">
        <v>7374</v>
      </c>
      <c r="BT792" t="s">
        <v>7360</v>
      </c>
      <c r="BU792" t="s">
        <v>7360</v>
      </c>
      <c r="BV792" t="s">
        <v>7360</v>
      </c>
      <c r="BX792">
        <v>0</v>
      </c>
      <c r="BY792">
        <v>0</v>
      </c>
      <c r="BZ792" t="s">
        <v>7360</v>
      </c>
      <c r="CA792" t="s">
        <v>7360</v>
      </c>
      <c r="CB792">
        <v>3380666</v>
      </c>
      <c r="CC792" s="21">
        <v>44961.914988425924</v>
      </c>
      <c r="CE792" t="s">
        <v>7366</v>
      </c>
      <c r="CF792">
        <v>0</v>
      </c>
      <c r="CG792">
        <v>702002</v>
      </c>
      <c r="CH792">
        <v>702002</v>
      </c>
      <c r="CI792" s="21">
        <v>44964.464421296296</v>
      </c>
      <c r="CJ792" t="s">
        <v>7367</v>
      </c>
      <c r="CK792" t="s">
        <v>7367</v>
      </c>
      <c r="CL792" t="s">
        <v>7368</v>
      </c>
      <c r="CM792" t="s">
        <v>7368</v>
      </c>
      <c r="CS792" t="s">
        <v>7361</v>
      </c>
      <c r="CT792" t="s">
        <v>7362</v>
      </c>
      <c r="CU792" t="s">
        <v>7362</v>
      </c>
      <c r="CV792" t="s">
        <v>7362</v>
      </c>
      <c r="CW792" t="s">
        <v>7362</v>
      </c>
      <c r="CX792">
        <v>312501376</v>
      </c>
      <c r="DA792">
        <v>0</v>
      </c>
      <c r="DB792">
        <v>131001</v>
      </c>
    </row>
    <row r="793" spans="1:106" x14ac:dyDescent="0.3">
      <c r="A793">
        <v>1365</v>
      </c>
      <c r="B793" t="s">
        <v>7384</v>
      </c>
      <c r="C793">
        <v>352</v>
      </c>
      <c r="D793" s="20">
        <v>44973</v>
      </c>
      <c r="E793" t="s">
        <v>7372</v>
      </c>
      <c r="F793" t="s">
        <v>4694</v>
      </c>
      <c r="G793" t="s">
        <v>7357</v>
      </c>
      <c r="H793">
        <v>1</v>
      </c>
      <c r="I793" t="s">
        <v>7358</v>
      </c>
      <c r="J793">
        <v>1</v>
      </c>
      <c r="K793" s="20">
        <v>44973</v>
      </c>
      <c r="L793" s="23">
        <v>958828396</v>
      </c>
      <c r="M793" t="s">
        <v>7403</v>
      </c>
      <c r="N793" t="s">
        <v>7360</v>
      </c>
      <c r="O793">
        <v>0</v>
      </c>
      <c r="P793">
        <v>12296</v>
      </c>
      <c r="Q793">
        <v>133002</v>
      </c>
      <c r="R793">
        <v>0</v>
      </c>
      <c r="S793">
        <v>20230216</v>
      </c>
      <c r="T793">
        <v>0</v>
      </c>
      <c r="U793" t="s">
        <v>7362</v>
      </c>
      <c r="V793" t="s">
        <v>7360</v>
      </c>
      <c r="W793" t="s">
        <v>7360</v>
      </c>
      <c r="X793" t="s">
        <v>7360</v>
      </c>
      <c r="Y793" t="s">
        <v>7360</v>
      </c>
      <c r="Z793" t="s">
        <v>7360</v>
      </c>
      <c r="AA793" t="s">
        <v>7362</v>
      </c>
      <c r="AB793" t="s">
        <v>7360</v>
      </c>
      <c r="AC793" t="s">
        <v>7360</v>
      </c>
      <c r="AD793" t="s">
        <v>7360</v>
      </c>
      <c r="AE793" t="s">
        <v>7360</v>
      </c>
      <c r="AF793" t="s">
        <v>1684</v>
      </c>
      <c r="AG793">
        <v>0</v>
      </c>
      <c r="AH793">
        <v>0</v>
      </c>
      <c r="AI793">
        <v>0</v>
      </c>
      <c r="AJ793">
        <v>0</v>
      </c>
      <c r="AK793">
        <v>0</v>
      </c>
      <c r="AL793" t="s">
        <v>7360</v>
      </c>
      <c r="AM793">
        <v>0</v>
      </c>
      <c r="AN793" s="20">
        <v>44973</v>
      </c>
      <c r="AO793" s="20">
        <v>44973</v>
      </c>
      <c r="AP793" s="20">
        <v>44973</v>
      </c>
      <c r="AQ793">
        <v>0</v>
      </c>
      <c r="AR793">
        <v>0</v>
      </c>
      <c r="AS793">
        <v>0</v>
      </c>
      <c r="AT793">
        <v>0</v>
      </c>
      <c r="AU793">
        <v>0</v>
      </c>
      <c r="AV793" t="s">
        <v>7360</v>
      </c>
      <c r="AW793">
        <v>0</v>
      </c>
      <c r="AX793" t="s">
        <v>7360</v>
      </c>
      <c r="AY793" t="s">
        <v>7373</v>
      </c>
      <c r="BA793">
        <v>0</v>
      </c>
      <c r="BB793" s="20">
        <v>44973</v>
      </c>
      <c r="BC793">
        <v>0</v>
      </c>
      <c r="BD793" t="s">
        <v>7360</v>
      </c>
      <c r="BE793">
        <v>230</v>
      </c>
      <c r="BF793" s="20">
        <v>44973</v>
      </c>
      <c r="BG793">
        <v>0</v>
      </c>
      <c r="BH793" t="s">
        <v>7363</v>
      </c>
      <c r="BJ793" t="s">
        <v>7362</v>
      </c>
      <c r="BK793">
        <v>169</v>
      </c>
      <c r="BL793">
        <v>11</v>
      </c>
      <c r="BM793">
        <v>1</v>
      </c>
      <c r="BN793" t="s">
        <v>7364</v>
      </c>
      <c r="BO793">
        <v>0</v>
      </c>
      <c r="BP793">
        <v>0</v>
      </c>
      <c r="BQ793">
        <v>0</v>
      </c>
      <c r="BR793">
        <v>0</v>
      </c>
      <c r="BS793" t="s">
        <v>7385</v>
      </c>
      <c r="BT793" t="s">
        <v>7360</v>
      </c>
      <c r="BU793" t="s">
        <v>7360</v>
      </c>
      <c r="BV793" t="s">
        <v>7360</v>
      </c>
      <c r="BX793" t="s">
        <v>7391</v>
      </c>
      <c r="BY793">
        <v>74</v>
      </c>
      <c r="BZ793" t="s">
        <v>7360</v>
      </c>
      <c r="CA793" t="s">
        <v>7360</v>
      </c>
      <c r="CB793">
        <v>5558210</v>
      </c>
      <c r="CC793" s="21">
        <v>44973.517094907409</v>
      </c>
      <c r="CE793" t="s">
        <v>7392</v>
      </c>
      <c r="CF793">
        <v>1100101</v>
      </c>
      <c r="CG793">
        <v>53575</v>
      </c>
      <c r="CH793">
        <v>53575</v>
      </c>
      <c r="CI793" s="21">
        <v>44973.522905092592</v>
      </c>
      <c r="CJ793" t="s">
        <v>7393</v>
      </c>
      <c r="CK793" t="s">
        <v>7393</v>
      </c>
      <c r="CL793" t="s">
        <v>7394</v>
      </c>
      <c r="CM793" t="s">
        <v>7394</v>
      </c>
      <c r="CS793" t="s">
        <v>7361</v>
      </c>
      <c r="CT793" t="s">
        <v>7362</v>
      </c>
      <c r="CU793" t="s">
        <v>7362</v>
      </c>
      <c r="CV793" t="s">
        <v>7362</v>
      </c>
      <c r="CW793" t="s">
        <v>7362</v>
      </c>
      <c r="CX793">
        <v>958828396</v>
      </c>
      <c r="DA793">
        <v>0</v>
      </c>
      <c r="DB793">
        <v>133002</v>
      </c>
    </row>
    <row r="794" spans="1:106" x14ac:dyDescent="0.3">
      <c r="A794">
        <v>1362</v>
      </c>
      <c r="B794" t="s">
        <v>7371</v>
      </c>
      <c r="C794">
        <v>300</v>
      </c>
      <c r="D794" s="20">
        <v>44970</v>
      </c>
      <c r="E794" t="s">
        <v>7356</v>
      </c>
      <c r="F794" t="s">
        <v>4700</v>
      </c>
      <c r="G794" t="s">
        <v>7357</v>
      </c>
      <c r="H794">
        <v>1</v>
      </c>
      <c r="I794" t="s">
        <v>7358</v>
      </c>
      <c r="J794">
        <v>1</v>
      </c>
      <c r="K794" s="20">
        <v>44970</v>
      </c>
      <c r="L794" s="23">
        <v>1110750435</v>
      </c>
      <c r="M794" t="s">
        <v>7403</v>
      </c>
      <c r="N794" t="s">
        <v>7360</v>
      </c>
      <c r="O794">
        <v>0</v>
      </c>
      <c r="P794">
        <v>12348</v>
      </c>
      <c r="Q794">
        <v>133001</v>
      </c>
      <c r="R794">
        <v>0</v>
      </c>
      <c r="S794">
        <v>20230213</v>
      </c>
      <c r="T794">
        <v>0</v>
      </c>
      <c r="U794" t="s">
        <v>7361</v>
      </c>
      <c r="V794" t="s">
        <v>7360</v>
      </c>
      <c r="W794" t="s">
        <v>7360</v>
      </c>
      <c r="X794" t="s">
        <v>7360</v>
      </c>
      <c r="Y794" t="s">
        <v>7360</v>
      </c>
      <c r="Z794" t="s">
        <v>7360</v>
      </c>
      <c r="AA794" t="s">
        <v>7362</v>
      </c>
      <c r="AB794" t="s">
        <v>7360</v>
      </c>
      <c r="AC794" t="s">
        <v>7360</v>
      </c>
      <c r="AD794" t="s">
        <v>7360</v>
      </c>
      <c r="AE794" t="s">
        <v>7360</v>
      </c>
      <c r="AF794" t="s">
        <v>1684</v>
      </c>
      <c r="AG794">
        <v>0</v>
      </c>
      <c r="AH794">
        <v>0</v>
      </c>
      <c r="AI794">
        <v>0</v>
      </c>
      <c r="AJ794">
        <v>0</v>
      </c>
      <c r="AK794">
        <v>0</v>
      </c>
      <c r="AL794" t="s">
        <v>7360</v>
      </c>
      <c r="AM794">
        <v>0</v>
      </c>
      <c r="AN794" s="20">
        <v>44970</v>
      </c>
      <c r="AO794" s="20">
        <v>44970</v>
      </c>
      <c r="AP794" s="20">
        <v>44970</v>
      </c>
      <c r="AQ794">
        <v>0</v>
      </c>
      <c r="AR794">
        <v>0</v>
      </c>
      <c r="AS794">
        <v>0</v>
      </c>
      <c r="AT794">
        <v>0</v>
      </c>
      <c r="AU794">
        <v>0</v>
      </c>
      <c r="AV794" t="s">
        <v>7360</v>
      </c>
      <c r="AW794">
        <v>0</v>
      </c>
      <c r="AX794" t="s">
        <v>7360</v>
      </c>
      <c r="AY794" t="s">
        <v>7363</v>
      </c>
      <c r="BA794">
        <v>0</v>
      </c>
      <c r="BB794" s="20">
        <v>44970</v>
      </c>
      <c r="BC794">
        <v>0</v>
      </c>
      <c r="BD794" t="s">
        <v>7360</v>
      </c>
      <c r="BE794">
        <v>229</v>
      </c>
      <c r="BF794" s="20">
        <v>44970</v>
      </c>
      <c r="BG794">
        <v>0</v>
      </c>
      <c r="BH794" t="s">
        <v>7363</v>
      </c>
      <c r="BJ794" t="s">
        <v>7362</v>
      </c>
      <c r="BK794">
        <v>0</v>
      </c>
      <c r="BL794">
        <v>0</v>
      </c>
      <c r="BM794">
        <v>0</v>
      </c>
      <c r="BN794">
        <v>0</v>
      </c>
      <c r="BO794">
        <v>169</v>
      </c>
      <c r="BP794">
        <v>11</v>
      </c>
      <c r="BQ794">
        <v>1</v>
      </c>
      <c r="BR794" t="s">
        <v>7364</v>
      </c>
      <c r="BS794" t="s">
        <v>7374</v>
      </c>
      <c r="BT794" t="s">
        <v>7360</v>
      </c>
      <c r="BU794" t="s">
        <v>7360</v>
      </c>
      <c r="BV794" t="s">
        <v>7360</v>
      </c>
      <c r="BX794">
        <v>0</v>
      </c>
      <c r="BY794">
        <v>0</v>
      </c>
      <c r="BZ794" t="s">
        <v>7360</v>
      </c>
      <c r="CA794" t="s">
        <v>7360</v>
      </c>
      <c r="CB794">
        <v>3380666</v>
      </c>
      <c r="CC794" s="21">
        <v>44970.474224537036</v>
      </c>
      <c r="CE794" t="s">
        <v>7366</v>
      </c>
      <c r="CF794">
        <v>0</v>
      </c>
      <c r="CG794">
        <v>702002</v>
      </c>
      <c r="CH794">
        <v>702002</v>
      </c>
      <c r="CI794" s="21">
        <v>44974.712222222224</v>
      </c>
      <c r="CJ794" t="s">
        <v>7367</v>
      </c>
      <c r="CK794" t="s">
        <v>7367</v>
      </c>
      <c r="CL794" t="s">
        <v>7368</v>
      </c>
      <c r="CM794" t="s">
        <v>7368</v>
      </c>
      <c r="CS794" t="s">
        <v>7361</v>
      </c>
      <c r="CT794" t="s">
        <v>7362</v>
      </c>
      <c r="CU794" t="s">
        <v>7362</v>
      </c>
      <c r="CV794" t="s">
        <v>7362</v>
      </c>
      <c r="CW794" t="s">
        <v>7362</v>
      </c>
      <c r="CX794">
        <v>1110750435</v>
      </c>
      <c r="DA794">
        <v>0</v>
      </c>
      <c r="DB794">
        <v>133001</v>
      </c>
    </row>
    <row r="795" spans="1:106" x14ac:dyDescent="0.3">
      <c r="A795">
        <v>1356</v>
      </c>
      <c r="B795" t="s">
        <v>7402</v>
      </c>
      <c r="C795">
        <v>828</v>
      </c>
      <c r="D795" s="20">
        <v>45014</v>
      </c>
      <c r="E795" t="s">
        <v>7372</v>
      </c>
      <c r="F795" t="s">
        <v>4705</v>
      </c>
      <c r="G795" t="s">
        <v>7377</v>
      </c>
      <c r="H795">
        <v>1</v>
      </c>
      <c r="I795" t="s">
        <v>7358</v>
      </c>
      <c r="J795">
        <v>1</v>
      </c>
      <c r="K795" s="20">
        <v>45014</v>
      </c>
      <c r="L795" s="23">
        <v>2640500</v>
      </c>
      <c r="M795" t="s">
        <v>7403</v>
      </c>
      <c r="N795" t="s">
        <v>7360</v>
      </c>
      <c r="O795">
        <v>0</v>
      </c>
      <c r="P795">
        <v>13371</v>
      </c>
      <c r="Q795">
        <v>142004</v>
      </c>
      <c r="R795">
        <v>0</v>
      </c>
      <c r="S795">
        <v>20230329</v>
      </c>
      <c r="T795">
        <v>0</v>
      </c>
      <c r="U795" t="s">
        <v>7362</v>
      </c>
      <c r="V795" t="s">
        <v>7360</v>
      </c>
      <c r="W795" t="s">
        <v>7360</v>
      </c>
      <c r="X795" t="s">
        <v>7360</v>
      </c>
      <c r="Y795" t="s">
        <v>7360</v>
      </c>
      <c r="Z795" t="s">
        <v>7360</v>
      </c>
      <c r="AA795" t="s">
        <v>7362</v>
      </c>
      <c r="AB795" t="s">
        <v>7360</v>
      </c>
      <c r="AC795" t="s">
        <v>7360</v>
      </c>
      <c r="AD795" t="s">
        <v>7360</v>
      </c>
      <c r="AE795" t="s">
        <v>7360</v>
      </c>
      <c r="AF795" t="s">
        <v>1684</v>
      </c>
      <c r="AG795">
        <v>0</v>
      </c>
      <c r="AH795">
        <v>0</v>
      </c>
      <c r="AI795">
        <v>0</v>
      </c>
      <c r="AJ795">
        <v>0</v>
      </c>
      <c r="AK795">
        <v>0</v>
      </c>
      <c r="AL795" t="s">
        <v>7360</v>
      </c>
      <c r="AM795">
        <v>0</v>
      </c>
      <c r="AN795" s="20">
        <v>45014</v>
      </c>
      <c r="AO795" s="20">
        <v>45014</v>
      </c>
      <c r="AP795" s="20">
        <v>45014</v>
      </c>
      <c r="AQ795">
        <v>0</v>
      </c>
      <c r="AR795">
        <v>0</v>
      </c>
      <c r="AS795">
        <v>0</v>
      </c>
      <c r="AT795">
        <v>0</v>
      </c>
      <c r="AU795">
        <v>0</v>
      </c>
      <c r="AV795" t="s">
        <v>7360</v>
      </c>
      <c r="AW795">
        <v>0</v>
      </c>
      <c r="AX795" t="s">
        <v>7360</v>
      </c>
      <c r="AY795" t="s">
        <v>7362</v>
      </c>
      <c r="BA795">
        <v>0</v>
      </c>
      <c r="BB795" s="20">
        <v>45014</v>
      </c>
      <c r="BC795">
        <v>0</v>
      </c>
      <c r="BD795" t="s">
        <v>7360</v>
      </c>
      <c r="BE795">
        <v>83</v>
      </c>
      <c r="BF795" s="20">
        <v>45014</v>
      </c>
      <c r="BG795">
        <v>0</v>
      </c>
      <c r="BH795" t="s">
        <v>1729</v>
      </c>
      <c r="BJ795" t="s">
        <v>7362</v>
      </c>
      <c r="BK795">
        <v>169</v>
      </c>
      <c r="BL795">
        <v>11</v>
      </c>
      <c r="BM795">
        <v>1</v>
      </c>
      <c r="BN795" t="s">
        <v>7364</v>
      </c>
      <c r="BO795">
        <v>169</v>
      </c>
      <c r="BP795">
        <v>11</v>
      </c>
      <c r="BQ795">
        <v>1</v>
      </c>
      <c r="BR795" t="s">
        <v>7364</v>
      </c>
      <c r="BS795" t="s">
        <v>7386</v>
      </c>
      <c r="BT795" t="s">
        <v>7360</v>
      </c>
      <c r="BU795" t="s">
        <v>7360</v>
      </c>
      <c r="BV795" t="s">
        <v>7360</v>
      </c>
      <c r="BX795" t="s">
        <v>7391</v>
      </c>
      <c r="BY795">
        <v>74</v>
      </c>
      <c r="BZ795" t="s">
        <v>7360</v>
      </c>
      <c r="CA795" t="s">
        <v>7360</v>
      </c>
      <c r="CB795">
        <v>3380666</v>
      </c>
      <c r="CC795" s="21">
        <v>45014.602951388886</v>
      </c>
      <c r="CE795" t="s">
        <v>7392</v>
      </c>
      <c r="CF795">
        <v>1100101</v>
      </c>
      <c r="CG795">
        <v>51669</v>
      </c>
      <c r="CH795">
        <v>51669</v>
      </c>
      <c r="CI795" s="21">
        <v>45014.607430555552</v>
      </c>
      <c r="CJ795" t="s">
        <v>7406</v>
      </c>
      <c r="CK795" t="s">
        <v>7406</v>
      </c>
      <c r="CL795" t="s">
        <v>7407</v>
      </c>
      <c r="CM795" t="s">
        <v>7407</v>
      </c>
      <c r="CS795" t="s">
        <v>7361</v>
      </c>
      <c r="CT795" t="s">
        <v>7362</v>
      </c>
      <c r="CU795" t="s">
        <v>7362</v>
      </c>
      <c r="CV795" t="s">
        <v>7362</v>
      </c>
      <c r="CW795" t="s">
        <v>7362</v>
      </c>
      <c r="CX795">
        <v>2640500</v>
      </c>
      <c r="DA795">
        <v>0</v>
      </c>
      <c r="DB795">
        <v>142004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02133-6D3E-47B6-A692-00C4C7CDB9B5}">
  <dimension ref="A1:I1000"/>
  <sheetViews>
    <sheetView workbookViewId="0">
      <pane ySplit="1" topLeftCell="A492" activePane="bottomLeft" state="frozen"/>
      <selection pane="bottomLeft" activeCell="A493" sqref="A493"/>
    </sheetView>
  </sheetViews>
  <sheetFormatPr baseColWidth="10" defaultRowHeight="14.4" x14ac:dyDescent="0.3"/>
  <cols>
    <col min="1" max="1" width="6.109375" bestFit="1" customWidth="1"/>
    <col min="2" max="2" width="32.6640625" customWidth="1"/>
    <col min="3" max="3" width="21.6640625" bestFit="1" customWidth="1"/>
    <col min="4" max="4" width="27.33203125" customWidth="1"/>
    <col min="5" max="5" width="30.109375" bestFit="1" customWidth="1"/>
    <col min="6" max="6" width="13.5546875" bestFit="1" customWidth="1"/>
    <col min="7" max="7" width="25.88671875" bestFit="1" customWidth="1"/>
    <col min="8" max="8" width="15.6640625" bestFit="1" customWidth="1"/>
    <col min="9" max="9" width="21.44140625" style="22" bestFit="1" customWidth="1"/>
  </cols>
  <sheetData>
    <row r="1" spans="1:9" s="18" customFormat="1" x14ac:dyDescent="0.3">
      <c r="A1" s="18" t="s">
        <v>0</v>
      </c>
      <c r="B1" s="18" t="s">
        <v>1670</v>
      </c>
      <c r="C1" s="18" t="s">
        <v>1671</v>
      </c>
      <c r="D1" s="18" t="s">
        <v>1672</v>
      </c>
      <c r="E1" s="18" t="s">
        <v>1673</v>
      </c>
      <c r="F1" s="18" t="s">
        <v>1674</v>
      </c>
      <c r="G1" s="18" t="s">
        <v>1675</v>
      </c>
      <c r="H1" s="18" t="s">
        <v>1676</v>
      </c>
      <c r="I1" s="19" t="s">
        <v>1677</v>
      </c>
    </row>
    <row r="2" spans="1:9" x14ac:dyDescent="0.3">
      <c r="A2" t="s">
        <v>1678</v>
      </c>
      <c r="B2" t="s">
        <v>1679</v>
      </c>
      <c r="C2" s="20">
        <v>31024</v>
      </c>
      <c r="D2" t="s">
        <v>1680</v>
      </c>
      <c r="E2" t="s">
        <v>1681</v>
      </c>
      <c r="F2" t="s">
        <v>1682</v>
      </c>
      <c r="G2" t="s">
        <v>1683</v>
      </c>
      <c r="H2" s="21">
        <v>40927.605914351851</v>
      </c>
      <c r="I2" s="22" t="s">
        <v>1684</v>
      </c>
    </row>
    <row r="3" spans="1:9" x14ac:dyDescent="0.3">
      <c r="A3" t="s">
        <v>1685</v>
      </c>
      <c r="B3" t="s">
        <v>1686</v>
      </c>
      <c r="C3" s="20">
        <v>31636</v>
      </c>
      <c r="D3" t="s">
        <v>1687</v>
      </c>
      <c r="E3" t="s">
        <v>1688</v>
      </c>
      <c r="F3" t="s">
        <v>1689</v>
      </c>
      <c r="G3" t="s">
        <v>1690</v>
      </c>
      <c r="H3" s="21">
        <v>38433.654305555552</v>
      </c>
      <c r="I3" s="22" t="s">
        <v>1691</v>
      </c>
    </row>
    <row r="4" spans="1:9" x14ac:dyDescent="0.3">
      <c r="A4" t="s">
        <v>1692</v>
      </c>
      <c r="B4" t="s">
        <v>1693</v>
      </c>
      <c r="C4" s="20">
        <v>32979</v>
      </c>
      <c r="D4" t="s">
        <v>1694</v>
      </c>
      <c r="E4" t="s">
        <v>1695</v>
      </c>
      <c r="F4" t="s">
        <v>1696</v>
      </c>
      <c r="G4" t="s">
        <v>1697</v>
      </c>
      <c r="H4" s="21">
        <v>39340.125821759262</v>
      </c>
      <c r="I4" s="22" t="s">
        <v>1691</v>
      </c>
    </row>
    <row r="5" spans="1:9" x14ac:dyDescent="0.3">
      <c r="A5" t="s">
        <v>1698</v>
      </c>
      <c r="B5" t="s">
        <v>1699</v>
      </c>
      <c r="C5" s="20">
        <v>35401</v>
      </c>
      <c r="D5" t="s">
        <v>1700</v>
      </c>
      <c r="E5" t="s">
        <v>1701</v>
      </c>
      <c r="F5" t="s">
        <v>1702</v>
      </c>
      <c r="G5" t="s">
        <v>1703</v>
      </c>
      <c r="H5" s="21">
        <v>40884.640856481485</v>
      </c>
      <c r="I5" s="22" t="s">
        <v>1691</v>
      </c>
    </row>
    <row r="6" spans="1:9" x14ac:dyDescent="0.3">
      <c r="A6" t="s">
        <v>1704</v>
      </c>
      <c r="B6" t="s">
        <v>1705</v>
      </c>
      <c r="C6" s="20">
        <v>30816</v>
      </c>
      <c r="D6" t="s">
        <v>1706</v>
      </c>
      <c r="E6" t="s">
        <v>1707</v>
      </c>
      <c r="F6" t="s">
        <v>1708</v>
      </c>
      <c r="G6" t="s">
        <v>1709</v>
      </c>
      <c r="H6" s="21">
        <v>39627.290347222224</v>
      </c>
      <c r="I6" s="22" t="s">
        <v>1710</v>
      </c>
    </row>
    <row r="7" spans="1:9" x14ac:dyDescent="0.3">
      <c r="A7" t="s">
        <v>1711</v>
      </c>
      <c r="B7" t="s">
        <v>1712</v>
      </c>
      <c r="C7" s="20">
        <v>31885</v>
      </c>
      <c r="D7" t="s">
        <v>1713</v>
      </c>
      <c r="E7" t="s">
        <v>1714</v>
      </c>
      <c r="F7" t="s">
        <v>1715</v>
      </c>
      <c r="G7" t="s">
        <v>1716</v>
      </c>
      <c r="H7" s="21">
        <v>39564.845960648148</v>
      </c>
      <c r="I7" s="22" t="s">
        <v>1691</v>
      </c>
    </row>
    <row r="8" spans="1:9" x14ac:dyDescent="0.3">
      <c r="A8" t="s">
        <v>1717</v>
      </c>
      <c r="B8" t="s">
        <v>1718</v>
      </c>
      <c r="C8" s="20">
        <v>33204</v>
      </c>
      <c r="D8" t="s">
        <v>1719</v>
      </c>
      <c r="E8" t="s">
        <v>1720</v>
      </c>
      <c r="F8" t="s">
        <v>1721</v>
      </c>
      <c r="G8" t="s">
        <v>1722</v>
      </c>
      <c r="H8" s="21">
        <v>43746.669942129629</v>
      </c>
      <c r="I8" s="22" t="s">
        <v>1684</v>
      </c>
    </row>
    <row r="9" spans="1:9" x14ac:dyDescent="0.3">
      <c r="A9" t="s">
        <v>1723</v>
      </c>
      <c r="B9" t="s">
        <v>1724</v>
      </c>
      <c r="C9" s="20">
        <v>29651</v>
      </c>
      <c r="D9" t="s">
        <v>1725</v>
      </c>
      <c r="E9" t="s">
        <v>1726</v>
      </c>
      <c r="F9" t="s">
        <v>1727</v>
      </c>
      <c r="G9" t="s">
        <v>1728</v>
      </c>
      <c r="H9" s="21">
        <v>40041.359224537038</v>
      </c>
      <c r="I9" s="22" t="s">
        <v>1729</v>
      </c>
    </row>
    <row r="10" spans="1:9" x14ac:dyDescent="0.3">
      <c r="A10" t="s">
        <v>1730</v>
      </c>
      <c r="B10" t="s">
        <v>1731</v>
      </c>
      <c r="C10" s="20">
        <v>29339</v>
      </c>
      <c r="D10" t="s">
        <v>1732</v>
      </c>
      <c r="E10" t="s">
        <v>1733</v>
      </c>
      <c r="F10" t="s">
        <v>1734</v>
      </c>
      <c r="G10" t="s">
        <v>1735</v>
      </c>
      <c r="H10" s="21">
        <v>41279.909618055557</v>
      </c>
      <c r="I10" s="22" t="s">
        <v>1736</v>
      </c>
    </row>
    <row r="11" spans="1:9" x14ac:dyDescent="0.3">
      <c r="A11" t="s">
        <v>1737</v>
      </c>
      <c r="B11" t="s">
        <v>1738</v>
      </c>
      <c r="C11" s="20">
        <v>31781</v>
      </c>
      <c r="D11" t="s">
        <v>1739</v>
      </c>
      <c r="E11" t="s">
        <v>1740</v>
      </c>
      <c r="F11" t="s">
        <v>1741</v>
      </c>
      <c r="G11" t="s">
        <v>1742</v>
      </c>
      <c r="H11" s="21">
        <v>39445.145254629628</v>
      </c>
      <c r="I11" s="22" t="s">
        <v>1691</v>
      </c>
    </row>
    <row r="12" spans="1:9" x14ac:dyDescent="0.3">
      <c r="A12" t="s">
        <v>1743</v>
      </c>
      <c r="B12" t="s">
        <v>1744</v>
      </c>
      <c r="C12" s="20">
        <v>33211</v>
      </c>
      <c r="D12" t="s">
        <v>1745</v>
      </c>
      <c r="E12" t="s">
        <v>1746</v>
      </c>
      <c r="F12" t="s">
        <v>1747</v>
      </c>
      <c r="G12" t="s">
        <v>1748</v>
      </c>
      <c r="H12" s="21">
        <v>41513.763252314813</v>
      </c>
      <c r="I12" s="22" t="s">
        <v>1736</v>
      </c>
    </row>
    <row r="13" spans="1:9" x14ac:dyDescent="0.3">
      <c r="A13" t="s">
        <v>1749</v>
      </c>
      <c r="B13" t="s">
        <v>1750</v>
      </c>
      <c r="C13" s="20">
        <v>28418</v>
      </c>
      <c r="D13" t="s">
        <v>1751</v>
      </c>
      <c r="E13" t="s">
        <v>1752</v>
      </c>
      <c r="F13" t="s">
        <v>1753</v>
      </c>
      <c r="G13" t="s">
        <v>1754</v>
      </c>
      <c r="H13" s="21">
        <v>40963.031921296293</v>
      </c>
      <c r="I13" s="22" t="s">
        <v>1729</v>
      </c>
    </row>
    <row r="14" spans="1:9" x14ac:dyDescent="0.3">
      <c r="A14" t="s">
        <v>1755</v>
      </c>
      <c r="B14" t="s">
        <v>1756</v>
      </c>
      <c r="C14" s="20">
        <v>36577</v>
      </c>
      <c r="D14" t="s">
        <v>1757</v>
      </c>
      <c r="E14" t="s">
        <v>1758</v>
      </c>
      <c r="F14" t="s">
        <v>1759</v>
      </c>
      <c r="G14" t="s">
        <v>1760</v>
      </c>
      <c r="H14" s="21">
        <v>41997.460277777776</v>
      </c>
      <c r="I14" s="22" t="s">
        <v>1710</v>
      </c>
    </row>
    <row r="15" spans="1:9" x14ac:dyDescent="0.3">
      <c r="A15" t="s">
        <v>1761</v>
      </c>
      <c r="B15" t="s">
        <v>1762</v>
      </c>
      <c r="C15" s="20">
        <v>36296</v>
      </c>
      <c r="D15" t="s">
        <v>1763</v>
      </c>
      <c r="E15" t="s">
        <v>1764</v>
      </c>
      <c r="F15" t="s">
        <v>1765</v>
      </c>
      <c r="G15" t="s">
        <v>1766</v>
      </c>
      <c r="H15" s="21">
        <v>42672.280694444446</v>
      </c>
      <c r="I15" s="22" t="s">
        <v>1729</v>
      </c>
    </row>
    <row r="16" spans="1:9" x14ac:dyDescent="0.3">
      <c r="A16" t="s">
        <v>1767</v>
      </c>
      <c r="B16" t="s">
        <v>1768</v>
      </c>
      <c r="C16" s="20">
        <v>34406</v>
      </c>
      <c r="D16" t="s">
        <v>1769</v>
      </c>
      <c r="E16" t="s">
        <v>1770</v>
      </c>
      <c r="F16" t="s">
        <v>1771</v>
      </c>
      <c r="G16" t="s">
        <v>1772</v>
      </c>
      <c r="H16" s="21">
        <v>39178.261030092595</v>
      </c>
      <c r="I16" s="22" t="s">
        <v>1710</v>
      </c>
    </row>
    <row r="17" spans="1:9" x14ac:dyDescent="0.3">
      <c r="A17" t="s">
        <v>1773</v>
      </c>
      <c r="B17" t="s">
        <v>1774</v>
      </c>
      <c r="C17" s="20">
        <v>29329</v>
      </c>
      <c r="D17" t="s">
        <v>1775</v>
      </c>
      <c r="E17" t="s">
        <v>1776</v>
      </c>
      <c r="F17" t="s">
        <v>1777</v>
      </c>
      <c r="G17" t="s">
        <v>1778</v>
      </c>
      <c r="H17" s="21">
        <v>43779.048159722224</v>
      </c>
      <c r="I17" s="22" t="s">
        <v>1736</v>
      </c>
    </row>
    <row r="18" spans="1:9" x14ac:dyDescent="0.3">
      <c r="A18" t="s">
        <v>1779</v>
      </c>
      <c r="B18" t="s">
        <v>1780</v>
      </c>
      <c r="C18" s="20">
        <v>29283</v>
      </c>
      <c r="D18" t="s">
        <v>1781</v>
      </c>
      <c r="E18" t="s">
        <v>1782</v>
      </c>
      <c r="F18" t="s">
        <v>1783</v>
      </c>
      <c r="G18" t="s">
        <v>1784</v>
      </c>
      <c r="H18" s="21">
        <v>42753.587488425925</v>
      </c>
      <c r="I18" s="22" t="s">
        <v>1729</v>
      </c>
    </row>
    <row r="19" spans="1:9" x14ac:dyDescent="0.3">
      <c r="A19" t="s">
        <v>1785</v>
      </c>
      <c r="B19" t="s">
        <v>1786</v>
      </c>
      <c r="C19" s="20">
        <v>29680</v>
      </c>
      <c r="D19" t="s">
        <v>1787</v>
      </c>
      <c r="E19" t="s">
        <v>1788</v>
      </c>
      <c r="F19" t="s">
        <v>1789</v>
      </c>
      <c r="G19" t="s">
        <v>1790</v>
      </c>
      <c r="H19" s="21">
        <v>40310.165034722224</v>
      </c>
      <c r="I19" s="22" t="s">
        <v>1729</v>
      </c>
    </row>
    <row r="20" spans="1:9" x14ac:dyDescent="0.3">
      <c r="A20" t="s">
        <v>1791</v>
      </c>
      <c r="B20" t="s">
        <v>1792</v>
      </c>
      <c r="C20" s="20">
        <v>32306</v>
      </c>
      <c r="D20" t="s">
        <v>1793</v>
      </c>
      <c r="E20" t="s">
        <v>1794</v>
      </c>
      <c r="F20" t="s">
        <v>1795</v>
      </c>
      <c r="G20" t="s">
        <v>1796</v>
      </c>
      <c r="H20" s="21">
        <v>40963.318784722222</v>
      </c>
      <c r="I20" s="22" t="s">
        <v>1684</v>
      </c>
    </row>
    <row r="21" spans="1:9" x14ac:dyDescent="0.3">
      <c r="A21" t="s">
        <v>1797</v>
      </c>
      <c r="B21" t="s">
        <v>1798</v>
      </c>
      <c r="C21" s="20">
        <v>34355</v>
      </c>
      <c r="D21" t="s">
        <v>1799</v>
      </c>
      <c r="E21" t="s">
        <v>1800</v>
      </c>
      <c r="F21" t="s">
        <v>1801</v>
      </c>
      <c r="G21" t="s">
        <v>1802</v>
      </c>
      <c r="H21" s="21">
        <v>42506.381319444445</v>
      </c>
      <c r="I21" s="22" t="s">
        <v>1710</v>
      </c>
    </row>
    <row r="22" spans="1:9" x14ac:dyDescent="0.3">
      <c r="A22" t="s">
        <v>1803</v>
      </c>
      <c r="B22" t="s">
        <v>1804</v>
      </c>
      <c r="C22" s="20">
        <v>29037</v>
      </c>
      <c r="D22" t="s">
        <v>1805</v>
      </c>
      <c r="E22" t="s">
        <v>1806</v>
      </c>
      <c r="F22" t="s">
        <v>1807</v>
      </c>
      <c r="G22" t="s">
        <v>1808</v>
      </c>
      <c r="H22" s="21">
        <v>43147.552847222221</v>
      </c>
      <c r="I22" s="22" t="s">
        <v>1710</v>
      </c>
    </row>
    <row r="23" spans="1:9" x14ac:dyDescent="0.3">
      <c r="A23" t="s">
        <v>1809</v>
      </c>
      <c r="B23" t="s">
        <v>1810</v>
      </c>
      <c r="C23" s="20">
        <v>27741</v>
      </c>
      <c r="D23" t="s">
        <v>1811</v>
      </c>
      <c r="E23" t="s">
        <v>1812</v>
      </c>
      <c r="F23" t="s">
        <v>1813</v>
      </c>
      <c r="G23" t="s">
        <v>1814</v>
      </c>
      <c r="H23" s="21">
        <v>43522.384548611109</v>
      </c>
      <c r="I23" s="22" t="s">
        <v>1710</v>
      </c>
    </row>
    <row r="24" spans="1:9" x14ac:dyDescent="0.3">
      <c r="A24" t="s">
        <v>1815</v>
      </c>
      <c r="B24" t="s">
        <v>1816</v>
      </c>
      <c r="C24" s="20">
        <v>32080</v>
      </c>
      <c r="D24" t="s">
        <v>1817</v>
      </c>
      <c r="E24" t="s">
        <v>1818</v>
      </c>
      <c r="F24" t="s">
        <v>1819</v>
      </c>
      <c r="G24" t="s">
        <v>1820</v>
      </c>
      <c r="H24" s="21">
        <v>38402.09815972222</v>
      </c>
      <c r="I24" s="22" t="s">
        <v>1684</v>
      </c>
    </row>
    <row r="25" spans="1:9" x14ac:dyDescent="0.3">
      <c r="A25" t="s">
        <v>1821</v>
      </c>
      <c r="B25" t="s">
        <v>1822</v>
      </c>
      <c r="C25" s="20">
        <v>29038</v>
      </c>
      <c r="D25" t="s">
        <v>1823</v>
      </c>
      <c r="E25" t="s">
        <v>1824</v>
      </c>
      <c r="F25" t="s">
        <v>1825</v>
      </c>
      <c r="G25" t="s">
        <v>1826</v>
      </c>
      <c r="H25" s="21">
        <v>41731.770972222221</v>
      </c>
      <c r="I25" s="22" t="s">
        <v>1691</v>
      </c>
    </row>
    <row r="26" spans="1:9" x14ac:dyDescent="0.3">
      <c r="A26" t="s">
        <v>1827</v>
      </c>
      <c r="B26" t="s">
        <v>1828</v>
      </c>
      <c r="C26" s="20">
        <v>31653</v>
      </c>
      <c r="D26" t="s">
        <v>1829</v>
      </c>
      <c r="E26" t="s">
        <v>1830</v>
      </c>
      <c r="F26" t="s">
        <v>1831</v>
      </c>
      <c r="G26" t="s">
        <v>1832</v>
      </c>
      <c r="H26" s="21">
        <v>41159.130150462966</v>
      </c>
      <c r="I26" s="22" t="s">
        <v>1736</v>
      </c>
    </row>
    <row r="27" spans="1:9" x14ac:dyDescent="0.3">
      <c r="A27" t="s">
        <v>1833</v>
      </c>
      <c r="B27" t="s">
        <v>1834</v>
      </c>
      <c r="C27" s="20">
        <v>30954</v>
      </c>
      <c r="D27" t="s">
        <v>1835</v>
      </c>
      <c r="E27" t="s">
        <v>1836</v>
      </c>
      <c r="F27" t="s">
        <v>1837</v>
      </c>
      <c r="G27" t="s">
        <v>1838</v>
      </c>
      <c r="H27" s="21">
        <v>40361.62909722222</v>
      </c>
      <c r="I27" s="22" t="s">
        <v>1684</v>
      </c>
    </row>
    <row r="28" spans="1:9" x14ac:dyDescent="0.3">
      <c r="A28" t="s">
        <v>1839</v>
      </c>
      <c r="B28" t="s">
        <v>1840</v>
      </c>
      <c r="C28" s="20">
        <v>32613</v>
      </c>
      <c r="D28" t="s">
        <v>1841</v>
      </c>
      <c r="E28" t="s">
        <v>1842</v>
      </c>
      <c r="F28" t="s">
        <v>1843</v>
      </c>
      <c r="G28" t="s">
        <v>1844</v>
      </c>
      <c r="H28" s="21">
        <v>43593.501203703701</v>
      </c>
      <c r="I28" s="22" t="s">
        <v>1729</v>
      </c>
    </row>
    <row r="29" spans="1:9" x14ac:dyDescent="0.3">
      <c r="A29" t="s">
        <v>1845</v>
      </c>
      <c r="B29" t="s">
        <v>1846</v>
      </c>
      <c r="C29" s="20">
        <v>28575</v>
      </c>
      <c r="D29" t="s">
        <v>1847</v>
      </c>
      <c r="E29" t="s">
        <v>1848</v>
      </c>
      <c r="F29" t="s">
        <v>1849</v>
      </c>
      <c r="G29" t="s">
        <v>1850</v>
      </c>
      <c r="H29" s="21">
        <v>41598.835833333331</v>
      </c>
      <c r="I29" s="22" t="s">
        <v>1729</v>
      </c>
    </row>
    <row r="30" spans="1:9" x14ac:dyDescent="0.3">
      <c r="A30" t="s">
        <v>1851</v>
      </c>
      <c r="B30" t="s">
        <v>1852</v>
      </c>
      <c r="C30" s="20">
        <v>31584</v>
      </c>
      <c r="D30" t="s">
        <v>1853</v>
      </c>
      <c r="E30" t="s">
        <v>1854</v>
      </c>
      <c r="F30" t="s">
        <v>1855</v>
      </c>
      <c r="G30" t="s">
        <v>1856</v>
      </c>
      <c r="H30" s="21">
        <v>42687.620150462964</v>
      </c>
      <c r="I30" s="22" t="s">
        <v>1729</v>
      </c>
    </row>
    <row r="31" spans="1:9" x14ac:dyDescent="0.3">
      <c r="A31" t="s">
        <v>1857</v>
      </c>
      <c r="B31" t="s">
        <v>1858</v>
      </c>
      <c r="C31" s="20">
        <v>35503</v>
      </c>
      <c r="D31" t="s">
        <v>1859</v>
      </c>
      <c r="E31" t="s">
        <v>1860</v>
      </c>
      <c r="F31" t="s">
        <v>1861</v>
      </c>
      <c r="G31" t="s">
        <v>1862</v>
      </c>
      <c r="H31" s="21">
        <v>41422.539687500001</v>
      </c>
      <c r="I31" s="22" t="s">
        <v>1736</v>
      </c>
    </row>
    <row r="32" spans="1:9" x14ac:dyDescent="0.3">
      <c r="A32" t="s">
        <v>1863</v>
      </c>
      <c r="B32" t="s">
        <v>1864</v>
      </c>
      <c r="C32" s="20">
        <v>34263</v>
      </c>
      <c r="D32" t="s">
        <v>1865</v>
      </c>
      <c r="E32" t="s">
        <v>1866</v>
      </c>
      <c r="F32" t="s">
        <v>1867</v>
      </c>
      <c r="G32" t="s">
        <v>1868</v>
      </c>
      <c r="H32" s="21">
        <v>38728.033819444441</v>
      </c>
      <c r="I32" s="22" t="s">
        <v>1684</v>
      </c>
    </row>
    <row r="33" spans="1:9" x14ac:dyDescent="0.3">
      <c r="A33" t="s">
        <v>1869</v>
      </c>
      <c r="B33" t="s">
        <v>1870</v>
      </c>
      <c r="C33" s="20">
        <v>25839</v>
      </c>
      <c r="D33" t="s">
        <v>1871</v>
      </c>
      <c r="E33" t="s">
        <v>1872</v>
      </c>
      <c r="F33" t="s">
        <v>1873</v>
      </c>
      <c r="G33" t="s">
        <v>1874</v>
      </c>
      <c r="H33" s="21">
        <v>42824.765532407408</v>
      </c>
      <c r="I33" s="22" t="s">
        <v>1736</v>
      </c>
    </row>
    <row r="34" spans="1:9" x14ac:dyDescent="0.3">
      <c r="A34" t="s">
        <v>1875</v>
      </c>
      <c r="B34" t="s">
        <v>1876</v>
      </c>
      <c r="C34" s="20">
        <v>32650</v>
      </c>
      <c r="D34" t="s">
        <v>1877</v>
      </c>
      <c r="E34" t="s">
        <v>1878</v>
      </c>
      <c r="F34" t="s">
        <v>1879</v>
      </c>
      <c r="G34" t="s">
        <v>1880</v>
      </c>
      <c r="H34" s="21">
        <v>42754.807673611111</v>
      </c>
      <c r="I34" s="22" t="s">
        <v>1710</v>
      </c>
    </row>
    <row r="35" spans="1:9" x14ac:dyDescent="0.3">
      <c r="A35" t="s">
        <v>1881</v>
      </c>
      <c r="B35" t="s">
        <v>1882</v>
      </c>
      <c r="C35" s="20">
        <v>34301</v>
      </c>
      <c r="D35" t="s">
        <v>1883</v>
      </c>
      <c r="E35" t="s">
        <v>1884</v>
      </c>
      <c r="F35" t="s">
        <v>1885</v>
      </c>
      <c r="G35" t="s">
        <v>1886</v>
      </c>
      <c r="H35" s="21">
        <v>42042.795358796298</v>
      </c>
      <c r="I35" s="22" t="s">
        <v>1736</v>
      </c>
    </row>
    <row r="36" spans="1:9" x14ac:dyDescent="0.3">
      <c r="A36" t="s">
        <v>1887</v>
      </c>
      <c r="B36" t="s">
        <v>1888</v>
      </c>
      <c r="C36" s="20">
        <v>25830</v>
      </c>
      <c r="D36" t="s">
        <v>1889</v>
      </c>
      <c r="E36" t="s">
        <v>1890</v>
      </c>
      <c r="F36" t="s">
        <v>1891</v>
      </c>
      <c r="G36" t="s">
        <v>1892</v>
      </c>
      <c r="H36" s="21">
        <v>39093.650601851848</v>
      </c>
      <c r="I36" s="22" t="s">
        <v>1710</v>
      </c>
    </row>
    <row r="37" spans="1:9" x14ac:dyDescent="0.3">
      <c r="A37" t="s">
        <v>1893</v>
      </c>
      <c r="B37" t="s">
        <v>1894</v>
      </c>
      <c r="C37" s="20">
        <v>30715</v>
      </c>
      <c r="D37" t="s">
        <v>1895</v>
      </c>
      <c r="E37" t="s">
        <v>1896</v>
      </c>
      <c r="F37" t="s">
        <v>1897</v>
      </c>
      <c r="G37" t="s">
        <v>1898</v>
      </c>
      <c r="H37" s="21">
        <v>38946.407060185185</v>
      </c>
      <c r="I37" s="22" t="s">
        <v>1736</v>
      </c>
    </row>
    <row r="38" spans="1:9" x14ac:dyDescent="0.3">
      <c r="A38" t="s">
        <v>1899</v>
      </c>
      <c r="B38" t="s">
        <v>1900</v>
      </c>
      <c r="C38" s="20">
        <v>29565</v>
      </c>
      <c r="D38" t="s">
        <v>1901</v>
      </c>
      <c r="E38" t="s">
        <v>1902</v>
      </c>
      <c r="F38" t="s">
        <v>1903</v>
      </c>
      <c r="G38" t="s">
        <v>1904</v>
      </c>
      <c r="H38" s="21">
        <v>44278.575787037036</v>
      </c>
      <c r="I38" s="22" t="s">
        <v>1691</v>
      </c>
    </row>
    <row r="39" spans="1:9" x14ac:dyDescent="0.3">
      <c r="A39" t="s">
        <v>1905</v>
      </c>
      <c r="B39" t="s">
        <v>1906</v>
      </c>
      <c r="C39" s="20">
        <v>32471</v>
      </c>
      <c r="D39" t="s">
        <v>1907</v>
      </c>
      <c r="E39" t="s">
        <v>1908</v>
      </c>
      <c r="F39" t="s">
        <v>1909</v>
      </c>
      <c r="G39" t="s">
        <v>1910</v>
      </c>
      <c r="H39" s="21">
        <v>40063.243634259263</v>
      </c>
      <c r="I39" s="22" t="s">
        <v>1736</v>
      </c>
    </row>
    <row r="40" spans="1:9" x14ac:dyDescent="0.3">
      <c r="A40" t="s">
        <v>1911</v>
      </c>
      <c r="B40" t="s">
        <v>1912</v>
      </c>
      <c r="C40" s="20">
        <v>29692</v>
      </c>
      <c r="D40" t="s">
        <v>1913</v>
      </c>
      <c r="E40" t="s">
        <v>1914</v>
      </c>
      <c r="F40" t="s">
        <v>1915</v>
      </c>
      <c r="G40" t="s">
        <v>1916</v>
      </c>
      <c r="H40" s="21">
        <v>40677.36005787037</v>
      </c>
      <c r="I40" s="22" t="s">
        <v>1691</v>
      </c>
    </row>
    <row r="41" spans="1:9" x14ac:dyDescent="0.3">
      <c r="A41" t="s">
        <v>1917</v>
      </c>
      <c r="B41" t="s">
        <v>1918</v>
      </c>
      <c r="C41" s="20">
        <v>36289</v>
      </c>
      <c r="D41" t="s">
        <v>1919</v>
      </c>
      <c r="E41" t="s">
        <v>1920</v>
      </c>
      <c r="F41" t="s">
        <v>1921</v>
      </c>
      <c r="G41" t="s">
        <v>1922</v>
      </c>
      <c r="H41" s="21">
        <v>39818.013310185182</v>
      </c>
      <c r="I41" s="22" t="s">
        <v>1729</v>
      </c>
    </row>
    <row r="42" spans="1:9" x14ac:dyDescent="0.3">
      <c r="A42" t="s">
        <v>1923</v>
      </c>
      <c r="B42" t="s">
        <v>1924</v>
      </c>
      <c r="C42" s="20">
        <v>31587</v>
      </c>
      <c r="D42" t="s">
        <v>1925</v>
      </c>
      <c r="E42" t="s">
        <v>1926</v>
      </c>
      <c r="F42" t="s">
        <v>1927</v>
      </c>
      <c r="G42" t="s">
        <v>1928</v>
      </c>
      <c r="H42" s="21">
        <v>40534.30332175926</v>
      </c>
      <c r="I42" s="22" t="s">
        <v>1710</v>
      </c>
    </row>
    <row r="43" spans="1:9" x14ac:dyDescent="0.3">
      <c r="A43" t="s">
        <v>1929</v>
      </c>
      <c r="B43" t="s">
        <v>1930</v>
      </c>
      <c r="C43" s="20">
        <v>31131</v>
      </c>
      <c r="D43" t="s">
        <v>1931</v>
      </c>
      <c r="E43" t="s">
        <v>1932</v>
      </c>
      <c r="F43" t="s">
        <v>1933</v>
      </c>
      <c r="G43" t="s">
        <v>1934</v>
      </c>
      <c r="H43" s="21">
        <v>44141.284236111111</v>
      </c>
      <c r="I43" s="22" t="s">
        <v>1729</v>
      </c>
    </row>
    <row r="44" spans="1:9" x14ac:dyDescent="0.3">
      <c r="A44" t="s">
        <v>1935</v>
      </c>
      <c r="B44" t="s">
        <v>1936</v>
      </c>
      <c r="C44" s="20">
        <v>33507</v>
      </c>
      <c r="D44" t="s">
        <v>1937</v>
      </c>
      <c r="E44" t="s">
        <v>1938</v>
      </c>
      <c r="F44" t="s">
        <v>1939</v>
      </c>
      <c r="G44" t="s">
        <v>1940</v>
      </c>
      <c r="H44" s="21">
        <v>41834.06659722222</v>
      </c>
      <c r="I44" s="22" t="s">
        <v>1710</v>
      </c>
    </row>
    <row r="45" spans="1:9" x14ac:dyDescent="0.3">
      <c r="A45" t="s">
        <v>1941</v>
      </c>
      <c r="B45" t="s">
        <v>1942</v>
      </c>
      <c r="C45" s="20">
        <v>31210</v>
      </c>
      <c r="D45" t="s">
        <v>1943</v>
      </c>
      <c r="E45" t="s">
        <v>1944</v>
      </c>
      <c r="F45" t="s">
        <v>1945</v>
      </c>
      <c r="G45" t="s">
        <v>1946</v>
      </c>
      <c r="H45" s="21">
        <v>41294.17496527778</v>
      </c>
      <c r="I45" s="22" t="s">
        <v>1729</v>
      </c>
    </row>
    <row r="46" spans="1:9" x14ac:dyDescent="0.3">
      <c r="A46" t="s">
        <v>1947</v>
      </c>
      <c r="B46" t="s">
        <v>1948</v>
      </c>
      <c r="C46" s="20">
        <v>28423</v>
      </c>
      <c r="D46" t="s">
        <v>1949</v>
      </c>
      <c r="E46" t="s">
        <v>1950</v>
      </c>
      <c r="F46" t="s">
        <v>1951</v>
      </c>
      <c r="G46" t="s">
        <v>1952</v>
      </c>
      <c r="H46" s="21">
        <v>38806.385925925926</v>
      </c>
      <c r="I46" s="22" t="s">
        <v>1710</v>
      </c>
    </row>
    <row r="47" spans="1:9" x14ac:dyDescent="0.3">
      <c r="A47" t="s">
        <v>1953</v>
      </c>
      <c r="B47" t="s">
        <v>1954</v>
      </c>
      <c r="C47" s="20">
        <v>36594</v>
      </c>
      <c r="D47" t="s">
        <v>1955</v>
      </c>
      <c r="E47" t="s">
        <v>1956</v>
      </c>
      <c r="F47" t="s">
        <v>1957</v>
      </c>
      <c r="G47" t="s">
        <v>1958</v>
      </c>
      <c r="H47" s="21">
        <v>42987.803449074076</v>
      </c>
      <c r="I47" s="22" t="s">
        <v>1729</v>
      </c>
    </row>
    <row r="48" spans="1:9" x14ac:dyDescent="0.3">
      <c r="A48" t="s">
        <v>1959</v>
      </c>
      <c r="B48" t="s">
        <v>1960</v>
      </c>
      <c r="C48" s="20">
        <v>28587</v>
      </c>
      <c r="D48" t="s">
        <v>1961</v>
      </c>
      <c r="E48" t="s">
        <v>1962</v>
      </c>
      <c r="F48" t="s">
        <v>1963</v>
      </c>
      <c r="G48" t="s">
        <v>1964</v>
      </c>
      <c r="H48" s="21">
        <v>38933.363912037035</v>
      </c>
      <c r="I48" s="22" t="s">
        <v>1729</v>
      </c>
    </row>
    <row r="49" spans="1:9" x14ac:dyDescent="0.3">
      <c r="A49" t="s">
        <v>1965</v>
      </c>
      <c r="B49" t="s">
        <v>1966</v>
      </c>
      <c r="C49" s="20">
        <v>28102</v>
      </c>
      <c r="D49" t="s">
        <v>1967</v>
      </c>
      <c r="E49" t="s">
        <v>1968</v>
      </c>
      <c r="F49" t="s">
        <v>1969</v>
      </c>
      <c r="G49" t="s">
        <v>1970</v>
      </c>
      <c r="H49" s="21">
        <v>39359.736932870372</v>
      </c>
      <c r="I49" s="22" t="s">
        <v>1691</v>
      </c>
    </row>
    <row r="50" spans="1:9" x14ac:dyDescent="0.3">
      <c r="A50" t="s">
        <v>1971</v>
      </c>
      <c r="B50" t="s">
        <v>1972</v>
      </c>
      <c r="C50" s="20">
        <v>28874</v>
      </c>
      <c r="D50" t="s">
        <v>1973</v>
      </c>
      <c r="E50" t="s">
        <v>1974</v>
      </c>
      <c r="F50" t="s">
        <v>1975</v>
      </c>
      <c r="G50" t="s">
        <v>1976</v>
      </c>
      <c r="H50" s="21">
        <v>40874.840925925928</v>
      </c>
      <c r="I50" s="22" t="s">
        <v>1684</v>
      </c>
    </row>
    <row r="51" spans="1:9" x14ac:dyDescent="0.3">
      <c r="A51" t="s">
        <v>1977</v>
      </c>
      <c r="B51" t="s">
        <v>1978</v>
      </c>
      <c r="C51" s="20">
        <v>27279</v>
      </c>
      <c r="D51" t="s">
        <v>1979</v>
      </c>
      <c r="E51" t="s">
        <v>1980</v>
      </c>
      <c r="F51" t="s">
        <v>1981</v>
      </c>
      <c r="G51" t="s">
        <v>1982</v>
      </c>
      <c r="H51" s="21">
        <v>39982.265509259261</v>
      </c>
      <c r="I51" s="22" t="s">
        <v>1684</v>
      </c>
    </row>
    <row r="52" spans="1:9" x14ac:dyDescent="0.3">
      <c r="A52" t="s">
        <v>1983</v>
      </c>
      <c r="B52" t="s">
        <v>1984</v>
      </c>
      <c r="C52" s="20">
        <v>27862</v>
      </c>
      <c r="D52" t="s">
        <v>1985</v>
      </c>
      <c r="E52" t="s">
        <v>1986</v>
      </c>
      <c r="F52" t="s">
        <v>1987</v>
      </c>
      <c r="G52" t="s">
        <v>1988</v>
      </c>
      <c r="H52" s="21">
        <v>40307.522407407407</v>
      </c>
      <c r="I52" s="22" t="s">
        <v>1691</v>
      </c>
    </row>
    <row r="53" spans="1:9" x14ac:dyDescent="0.3">
      <c r="A53" t="s">
        <v>1989</v>
      </c>
      <c r="B53" t="s">
        <v>1990</v>
      </c>
      <c r="C53" s="20">
        <v>36116</v>
      </c>
      <c r="D53" t="s">
        <v>1991</v>
      </c>
      <c r="E53" t="s">
        <v>1992</v>
      </c>
      <c r="F53" t="s">
        <v>1993</v>
      </c>
      <c r="G53" t="s">
        <v>1994</v>
      </c>
      <c r="H53" s="21">
        <v>44010.445555555554</v>
      </c>
      <c r="I53" s="22" t="s">
        <v>1729</v>
      </c>
    </row>
    <row r="54" spans="1:9" x14ac:dyDescent="0.3">
      <c r="A54" t="s">
        <v>1995</v>
      </c>
      <c r="B54" t="s">
        <v>1996</v>
      </c>
      <c r="C54" s="20">
        <v>26192</v>
      </c>
      <c r="D54" t="s">
        <v>1997</v>
      </c>
      <c r="E54" t="s">
        <v>1998</v>
      </c>
      <c r="F54" t="s">
        <v>1999</v>
      </c>
      <c r="G54" t="s">
        <v>2000</v>
      </c>
      <c r="H54" s="21">
        <v>42521.074236111112</v>
      </c>
      <c r="I54" s="22" t="s">
        <v>1684</v>
      </c>
    </row>
    <row r="55" spans="1:9" x14ac:dyDescent="0.3">
      <c r="A55" t="s">
        <v>2001</v>
      </c>
      <c r="B55" t="s">
        <v>2002</v>
      </c>
      <c r="C55" s="20">
        <v>33770</v>
      </c>
      <c r="D55" t="s">
        <v>2003</v>
      </c>
      <c r="E55" t="s">
        <v>2004</v>
      </c>
      <c r="F55" t="s">
        <v>2005</v>
      </c>
      <c r="G55" t="s">
        <v>2006</v>
      </c>
      <c r="H55" s="21">
        <v>42977.750335648147</v>
      </c>
      <c r="I55" s="22" t="s">
        <v>1736</v>
      </c>
    </row>
    <row r="56" spans="1:9" x14ac:dyDescent="0.3">
      <c r="A56" t="s">
        <v>2007</v>
      </c>
      <c r="B56" t="s">
        <v>2008</v>
      </c>
      <c r="C56" s="20">
        <v>26904</v>
      </c>
      <c r="D56" t="s">
        <v>2009</v>
      </c>
      <c r="E56" t="s">
        <v>2010</v>
      </c>
      <c r="F56" t="s">
        <v>2011</v>
      </c>
      <c r="G56" t="s">
        <v>2012</v>
      </c>
      <c r="H56" s="21">
        <v>44126.775763888887</v>
      </c>
      <c r="I56" s="22" t="s">
        <v>1691</v>
      </c>
    </row>
    <row r="57" spans="1:9" x14ac:dyDescent="0.3">
      <c r="A57" t="s">
        <v>2013</v>
      </c>
      <c r="B57" t="s">
        <v>2014</v>
      </c>
      <c r="C57" s="20">
        <v>25827</v>
      </c>
      <c r="D57" t="s">
        <v>2015</v>
      </c>
      <c r="E57" t="s">
        <v>2016</v>
      </c>
      <c r="F57" t="s">
        <v>2017</v>
      </c>
      <c r="G57" t="s">
        <v>2018</v>
      </c>
      <c r="H57" s="21">
        <v>39893.562847222223</v>
      </c>
      <c r="I57" s="22" t="s">
        <v>1691</v>
      </c>
    </row>
    <row r="58" spans="1:9" x14ac:dyDescent="0.3">
      <c r="A58" t="s">
        <v>2019</v>
      </c>
      <c r="B58" t="s">
        <v>2020</v>
      </c>
      <c r="C58" s="20">
        <v>32865</v>
      </c>
      <c r="D58" t="s">
        <v>2021</v>
      </c>
      <c r="E58" t="s">
        <v>2022</v>
      </c>
      <c r="F58" t="s">
        <v>2023</v>
      </c>
      <c r="G58" t="s">
        <v>2024</v>
      </c>
      <c r="H58" s="21">
        <v>41651.195277777777</v>
      </c>
      <c r="I58" s="22" t="s">
        <v>1684</v>
      </c>
    </row>
    <row r="59" spans="1:9" x14ac:dyDescent="0.3">
      <c r="A59" t="s">
        <v>2025</v>
      </c>
      <c r="B59" t="s">
        <v>2026</v>
      </c>
      <c r="C59" s="20">
        <v>31253</v>
      </c>
      <c r="D59" t="s">
        <v>2027</v>
      </c>
      <c r="E59" t="s">
        <v>2028</v>
      </c>
      <c r="F59" t="s">
        <v>2029</v>
      </c>
      <c r="G59" t="s">
        <v>2030</v>
      </c>
      <c r="H59" s="21">
        <v>41924.948495370372</v>
      </c>
      <c r="I59" s="22" t="s">
        <v>1736</v>
      </c>
    </row>
    <row r="60" spans="1:9" x14ac:dyDescent="0.3">
      <c r="A60" t="s">
        <v>2031</v>
      </c>
      <c r="B60" t="s">
        <v>2032</v>
      </c>
      <c r="C60" s="20">
        <v>31885</v>
      </c>
      <c r="D60" t="s">
        <v>2033</v>
      </c>
      <c r="E60" t="s">
        <v>2034</v>
      </c>
      <c r="F60" t="s">
        <v>2035</v>
      </c>
      <c r="G60" t="s">
        <v>2036</v>
      </c>
      <c r="H60" s="21">
        <v>43461.374131944445</v>
      </c>
      <c r="I60" s="22" t="s">
        <v>1710</v>
      </c>
    </row>
    <row r="61" spans="1:9" x14ac:dyDescent="0.3">
      <c r="A61" t="s">
        <v>2037</v>
      </c>
      <c r="B61" t="s">
        <v>2038</v>
      </c>
      <c r="C61" s="20">
        <v>36212</v>
      </c>
      <c r="D61" t="s">
        <v>2039</v>
      </c>
      <c r="E61" t="s">
        <v>2040</v>
      </c>
      <c r="F61" t="s">
        <v>2041</v>
      </c>
      <c r="G61" t="s">
        <v>2042</v>
      </c>
      <c r="H61" s="21">
        <v>39528.279918981483</v>
      </c>
      <c r="I61" s="22" t="s">
        <v>1691</v>
      </c>
    </row>
    <row r="62" spans="1:9" x14ac:dyDescent="0.3">
      <c r="A62" t="s">
        <v>2043</v>
      </c>
      <c r="B62" t="s">
        <v>2044</v>
      </c>
      <c r="C62" s="20">
        <v>27835</v>
      </c>
      <c r="D62" t="s">
        <v>2045</v>
      </c>
      <c r="E62" t="s">
        <v>2046</v>
      </c>
      <c r="F62" t="s">
        <v>2047</v>
      </c>
      <c r="G62" t="s">
        <v>2048</v>
      </c>
      <c r="H62" s="21">
        <v>43170.143125000002</v>
      </c>
      <c r="I62" s="22" t="s">
        <v>1691</v>
      </c>
    </row>
    <row r="63" spans="1:9" x14ac:dyDescent="0.3">
      <c r="A63" t="s">
        <v>2049</v>
      </c>
      <c r="B63" t="s">
        <v>2050</v>
      </c>
      <c r="C63" s="20">
        <v>33379</v>
      </c>
      <c r="D63" t="s">
        <v>2051</v>
      </c>
      <c r="E63" t="s">
        <v>2052</v>
      </c>
      <c r="F63" t="s">
        <v>2053</v>
      </c>
      <c r="G63" t="s">
        <v>2054</v>
      </c>
      <c r="H63" s="21">
        <v>41759.093657407408</v>
      </c>
      <c r="I63" s="22" t="s">
        <v>1710</v>
      </c>
    </row>
    <row r="64" spans="1:9" x14ac:dyDescent="0.3">
      <c r="A64" t="s">
        <v>2055</v>
      </c>
      <c r="B64" t="s">
        <v>2056</v>
      </c>
      <c r="C64" s="20">
        <v>26064</v>
      </c>
      <c r="D64" t="s">
        <v>2057</v>
      </c>
      <c r="E64" t="s">
        <v>2058</v>
      </c>
      <c r="F64" t="s">
        <v>2059</v>
      </c>
      <c r="G64" t="s">
        <v>2060</v>
      </c>
      <c r="H64" s="21">
        <v>40462.889502314814</v>
      </c>
      <c r="I64" s="22" t="s">
        <v>1710</v>
      </c>
    </row>
    <row r="65" spans="1:9" x14ac:dyDescent="0.3">
      <c r="A65" t="s">
        <v>2061</v>
      </c>
      <c r="B65" t="s">
        <v>2062</v>
      </c>
      <c r="C65" s="20">
        <v>28225</v>
      </c>
      <c r="D65" t="s">
        <v>2063</v>
      </c>
      <c r="E65" t="s">
        <v>2064</v>
      </c>
      <c r="F65" t="s">
        <v>2065</v>
      </c>
      <c r="G65" t="s">
        <v>2066</v>
      </c>
      <c r="H65" s="21">
        <v>38993.321284722224</v>
      </c>
      <c r="I65" s="22" t="s">
        <v>1736</v>
      </c>
    </row>
    <row r="66" spans="1:9" x14ac:dyDescent="0.3">
      <c r="A66" t="s">
        <v>2067</v>
      </c>
      <c r="B66" t="s">
        <v>2068</v>
      </c>
      <c r="C66" s="20">
        <v>28736</v>
      </c>
      <c r="D66" t="s">
        <v>2069</v>
      </c>
      <c r="E66" t="s">
        <v>2070</v>
      </c>
      <c r="F66" t="s">
        <v>2071</v>
      </c>
      <c r="G66" t="s">
        <v>2072</v>
      </c>
      <c r="H66" s="21">
        <v>42120.501435185186</v>
      </c>
      <c r="I66" s="22" t="s">
        <v>1729</v>
      </c>
    </row>
    <row r="67" spans="1:9" x14ac:dyDescent="0.3">
      <c r="A67" t="s">
        <v>2073</v>
      </c>
      <c r="B67" t="s">
        <v>2074</v>
      </c>
      <c r="C67" s="20">
        <v>29414</v>
      </c>
      <c r="D67" t="s">
        <v>2075</v>
      </c>
      <c r="E67" t="s">
        <v>2076</v>
      </c>
      <c r="F67" t="s">
        <v>2077</v>
      </c>
      <c r="G67" t="s">
        <v>2078</v>
      </c>
      <c r="H67" s="21">
        <v>39865.150231481479</v>
      </c>
      <c r="I67" s="22" t="s">
        <v>1729</v>
      </c>
    </row>
    <row r="68" spans="1:9" x14ac:dyDescent="0.3">
      <c r="A68" t="s">
        <v>2079</v>
      </c>
      <c r="B68" t="s">
        <v>2080</v>
      </c>
      <c r="C68" s="20">
        <v>33957</v>
      </c>
      <c r="D68" t="s">
        <v>2081</v>
      </c>
      <c r="E68" t="s">
        <v>2082</v>
      </c>
      <c r="F68" t="s">
        <v>2083</v>
      </c>
      <c r="G68" t="s">
        <v>2084</v>
      </c>
      <c r="H68" s="21">
        <v>42931.600185185183</v>
      </c>
      <c r="I68" s="22" t="s">
        <v>1710</v>
      </c>
    </row>
    <row r="69" spans="1:9" x14ac:dyDescent="0.3">
      <c r="A69" t="s">
        <v>2085</v>
      </c>
      <c r="B69" t="s">
        <v>2086</v>
      </c>
      <c r="C69" s="20">
        <v>28438</v>
      </c>
      <c r="D69" t="s">
        <v>2087</v>
      </c>
      <c r="E69" t="s">
        <v>2088</v>
      </c>
      <c r="F69" t="s">
        <v>2089</v>
      </c>
      <c r="G69" t="s">
        <v>2090</v>
      </c>
      <c r="H69" s="21">
        <v>39018.031458333331</v>
      </c>
      <c r="I69" s="22" t="s">
        <v>1684</v>
      </c>
    </row>
    <row r="70" spans="1:9" x14ac:dyDescent="0.3">
      <c r="A70" t="s">
        <v>2091</v>
      </c>
      <c r="B70" t="s">
        <v>2092</v>
      </c>
      <c r="C70" s="20">
        <v>29260</v>
      </c>
      <c r="D70" t="s">
        <v>2093</v>
      </c>
      <c r="E70" t="s">
        <v>2094</v>
      </c>
      <c r="F70" t="s">
        <v>2095</v>
      </c>
      <c r="G70" t="s">
        <v>2096</v>
      </c>
      <c r="H70" s="21">
        <v>38760.850405092591</v>
      </c>
      <c r="I70" s="22" t="s">
        <v>1710</v>
      </c>
    </row>
    <row r="71" spans="1:9" x14ac:dyDescent="0.3">
      <c r="A71" t="s">
        <v>2097</v>
      </c>
      <c r="B71" t="s">
        <v>2098</v>
      </c>
      <c r="C71" s="20">
        <v>33899</v>
      </c>
      <c r="D71" t="s">
        <v>2099</v>
      </c>
      <c r="E71" t="s">
        <v>2100</v>
      </c>
      <c r="F71" t="s">
        <v>2101</v>
      </c>
      <c r="G71" t="s">
        <v>2102</v>
      </c>
      <c r="H71" s="21">
        <v>41777.592349537037</v>
      </c>
      <c r="I71" s="22" t="s">
        <v>1736</v>
      </c>
    </row>
    <row r="72" spans="1:9" x14ac:dyDescent="0.3">
      <c r="A72" t="s">
        <v>2103</v>
      </c>
      <c r="B72" t="s">
        <v>2104</v>
      </c>
      <c r="C72" s="20">
        <v>28021</v>
      </c>
      <c r="D72" t="s">
        <v>2105</v>
      </c>
      <c r="E72" t="s">
        <v>2106</v>
      </c>
      <c r="F72" t="s">
        <v>2107</v>
      </c>
      <c r="G72" t="s">
        <v>2108</v>
      </c>
      <c r="H72" s="21">
        <v>39442.242962962962</v>
      </c>
      <c r="I72" s="22" t="s">
        <v>1684</v>
      </c>
    </row>
    <row r="73" spans="1:9" x14ac:dyDescent="0.3">
      <c r="A73" t="s">
        <v>2109</v>
      </c>
      <c r="B73" t="s">
        <v>2110</v>
      </c>
      <c r="C73" s="20">
        <v>26751</v>
      </c>
      <c r="D73" t="s">
        <v>2111</v>
      </c>
      <c r="E73" t="s">
        <v>2112</v>
      </c>
      <c r="F73" t="s">
        <v>2113</v>
      </c>
      <c r="G73" t="s">
        <v>2114</v>
      </c>
      <c r="H73" s="21">
        <v>38535.210057870368</v>
      </c>
      <c r="I73" s="22" t="s">
        <v>1736</v>
      </c>
    </row>
    <row r="74" spans="1:9" x14ac:dyDescent="0.3">
      <c r="A74" t="s">
        <v>2115</v>
      </c>
      <c r="B74" t="s">
        <v>2116</v>
      </c>
      <c r="C74" s="20">
        <v>36628</v>
      </c>
      <c r="D74" t="s">
        <v>2117</v>
      </c>
      <c r="E74" t="s">
        <v>2118</v>
      </c>
      <c r="F74" t="s">
        <v>2119</v>
      </c>
      <c r="G74" t="s">
        <v>2120</v>
      </c>
      <c r="H74" s="21">
        <v>41175.734513888892</v>
      </c>
      <c r="I74" s="22" t="s">
        <v>1729</v>
      </c>
    </row>
    <row r="75" spans="1:9" x14ac:dyDescent="0.3">
      <c r="A75" t="s">
        <v>2121</v>
      </c>
      <c r="B75" t="s">
        <v>2122</v>
      </c>
      <c r="C75" s="20">
        <v>26346</v>
      </c>
      <c r="D75" t="s">
        <v>2123</v>
      </c>
      <c r="E75" t="s">
        <v>2124</v>
      </c>
      <c r="F75" t="s">
        <v>2125</v>
      </c>
      <c r="G75" t="s">
        <v>2126</v>
      </c>
      <c r="H75" s="21">
        <v>42268.358124999999</v>
      </c>
      <c r="I75" s="22" t="s">
        <v>1729</v>
      </c>
    </row>
    <row r="76" spans="1:9" x14ac:dyDescent="0.3">
      <c r="A76" t="s">
        <v>2127</v>
      </c>
      <c r="B76" t="s">
        <v>2128</v>
      </c>
      <c r="C76" s="20">
        <v>33469</v>
      </c>
      <c r="D76" t="s">
        <v>2129</v>
      </c>
      <c r="E76" t="s">
        <v>2130</v>
      </c>
      <c r="F76" t="s">
        <v>2131</v>
      </c>
      <c r="G76" t="s">
        <v>2132</v>
      </c>
      <c r="H76" s="21">
        <v>42234.621712962966</v>
      </c>
      <c r="I76" s="22" t="s">
        <v>1729</v>
      </c>
    </row>
    <row r="77" spans="1:9" x14ac:dyDescent="0.3">
      <c r="A77" t="s">
        <v>2133</v>
      </c>
      <c r="B77" t="s">
        <v>2134</v>
      </c>
      <c r="C77" s="20">
        <v>30170</v>
      </c>
      <c r="D77" t="s">
        <v>2135</v>
      </c>
      <c r="E77" t="s">
        <v>2136</v>
      </c>
      <c r="F77" t="s">
        <v>2137</v>
      </c>
      <c r="G77" t="s">
        <v>2138</v>
      </c>
      <c r="H77" s="21">
        <v>39561.8512962963</v>
      </c>
      <c r="I77" s="22" t="s">
        <v>1736</v>
      </c>
    </row>
    <row r="78" spans="1:9" x14ac:dyDescent="0.3">
      <c r="A78" t="s">
        <v>2139</v>
      </c>
      <c r="B78" t="s">
        <v>2140</v>
      </c>
      <c r="C78" s="20">
        <v>31024</v>
      </c>
      <c r="D78" t="s">
        <v>2141</v>
      </c>
      <c r="E78" t="s">
        <v>2142</v>
      </c>
      <c r="F78" t="s">
        <v>2143</v>
      </c>
      <c r="G78" t="s">
        <v>2144</v>
      </c>
      <c r="H78" s="21">
        <v>43588.045694444445</v>
      </c>
      <c r="I78" s="22" t="s">
        <v>1729</v>
      </c>
    </row>
    <row r="79" spans="1:9" x14ac:dyDescent="0.3">
      <c r="A79" t="s">
        <v>2145</v>
      </c>
      <c r="B79" t="s">
        <v>2146</v>
      </c>
      <c r="C79" s="20">
        <v>32694</v>
      </c>
      <c r="D79" t="s">
        <v>2147</v>
      </c>
      <c r="E79" t="s">
        <v>2148</v>
      </c>
      <c r="F79" t="s">
        <v>2149</v>
      </c>
      <c r="G79" t="s">
        <v>2150</v>
      </c>
      <c r="H79" s="21">
        <v>40549.198252314818</v>
      </c>
      <c r="I79" s="22" t="s">
        <v>1691</v>
      </c>
    </row>
    <row r="80" spans="1:9" x14ac:dyDescent="0.3">
      <c r="A80" t="s">
        <v>2151</v>
      </c>
      <c r="B80" t="s">
        <v>2152</v>
      </c>
      <c r="C80" s="20">
        <v>27063</v>
      </c>
      <c r="D80" t="s">
        <v>2153</v>
      </c>
      <c r="E80" t="s">
        <v>2154</v>
      </c>
      <c r="F80" t="s">
        <v>2155</v>
      </c>
      <c r="G80" t="s">
        <v>2156</v>
      </c>
      <c r="H80" s="21">
        <v>44185.448807870373</v>
      </c>
      <c r="I80" s="22" t="s">
        <v>1736</v>
      </c>
    </row>
    <row r="81" spans="1:9" x14ac:dyDescent="0.3">
      <c r="A81" t="s">
        <v>2157</v>
      </c>
      <c r="B81" t="s">
        <v>2158</v>
      </c>
      <c r="C81" s="20">
        <v>34433</v>
      </c>
      <c r="D81" t="s">
        <v>2159</v>
      </c>
      <c r="E81" t="s">
        <v>2160</v>
      </c>
      <c r="F81" t="s">
        <v>2161</v>
      </c>
      <c r="G81" t="s">
        <v>2162</v>
      </c>
      <c r="H81" s="21">
        <v>39817.509027777778</v>
      </c>
      <c r="I81" s="22" t="s">
        <v>1684</v>
      </c>
    </row>
    <row r="82" spans="1:9" x14ac:dyDescent="0.3">
      <c r="A82" t="s">
        <v>2163</v>
      </c>
      <c r="B82" t="s">
        <v>2164</v>
      </c>
      <c r="C82" s="20">
        <v>35890</v>
      </c>
      <c r="D82" t="s">
        <v>2165</v>
      </c>
      <c r="E82" t="s">
        <v>2166</v>
      </c>
      <c r="F82" t="s">
        <v>2167</v>
      </c>
      <c r="G82" t="s">
        <v>2168</v>
      </c>
      <c r="H82" s="21">
        <v>41643.007754629631</v>
      </c>
      <c r="I82" s="22" t="s">
        <v>1736</v>
      </c>
    </row>
    <row r="83" spans="1:9" x14ac:dyDescent="0.3">
      <c r="A83" t="s">
        <v>2169</v>
      </c>
      <c r="B83" t="s">
        <v>2170</v>
      </c>
      <c r="C83" s="20">
        <v>31273</v>
      </c>
      <c r="D83" t="s">
        <v>2171</v>
      </c>
      <c r="E83" t="s">
        <v>2172</v>
      </c>
      <c r="F83" t="s">
        <v>2173</v>
      </c>
      <c r="G83" t="s">
        <v>2174</v>
      </c>
      <c r="H83" s="21">
        <v>41403.350439814814</v>
      </c>
      <c r="I83" s="22" t="s">
        <v>1684</v>
      </c>
    </row>
    <row r="84" spans="1:9" x14ac:dyDescent="0.3">
      <c r="A84" t="s">
        <v>2175</v>
      </c>
      <c r="B84" t="s">
        <v>2176</v>
      </c>
      <c r="C84" s="20">
        <v>33040</v>
      </c>
      <c r="D84" t="s">
        <v>2177</v>
      </c>
      <c r="E84" t="s">
        <v>2178</v>
      </c>
      <c r="F84" t="s">
        <v>2179</v>
      </c>
      <c r="G84" t="s">
        <v>2180</v>
      </c>
      <c r="H84" s="21">
        <v>40251.064270833333</v>
      </c>
      <c r="I84" s="22" t="s">
        <v>1729</v>
      </c>
    </row>
    <row r="85" spans="1:9" x14ac:dyDescent="0.3">
      <c r="A85" t="s">
        <v>2181</v>
      </c>
      <c r="B85" t="s">
        <v>2182</v>
      </c>
      <c r="C85" s="20">
        <v>34050</v>
      </c>
      <c r="D85" t="s">
        <v>2183</v>
      </c>
      <c r="E85" t="s">
        <v>2184</v>
      </c>
      <c r="F85" t="s">
        <v>2185</v>
      </c>
      <c r="G85" t="s">
        <v>2186</v>
      </c>
      <c r="H85" s="21">
        <v>40933.466793981483</v>
      </c>
      <c r="I85" s="22" t="s">
        <v>1684</v>
      </c>
    </row>
    <row r="86" spans="1:9" x14ac:dyDescent="0.3">
      <c r="A86" t="s">
        <v>2187</v>
      </c>
      <c r="B86" t="s">
        <v>2188</v>
      </c>
      <c r="C86" s="20">
        <v>35432</v>
      </c>
      <c r="D86" t="s">
        <v>2189</v>
      </c>
      <c r="E86" t="s">
        <v>2190</v>
      </c>
      <c r="F86" t="s">
        <v>2191</v>
      </c>
      <c r="G86" t="s">
        <v>2192</v>
      </c>
      <c r="H86" s="21">
        <v>42938.151666666665</v>
      </c>
      <c r="I86" s="22" t="s">
        <v>1710</v>
      </c>
    </row>
    <row r="87" spans="1:9" x14ac:dyDescent="0.3">
      <c r="A87" t="s">
        <v>2193</v>
      </c>
      <c r="B87" t="s">
        <v>2194</v>
      </c>
      <c r="C87" s="20">
        <v>25991</v>
      </c>
      <c r="D87" t="s">
        <v>2195</v>
      </c>
      <c r="E87" t="s">
        <v>2196</v>
      </c>
      <c r="F87" t="s">
        <v>2197</v>
      </c>
      <c r="G87" t="s">
        <v>2198</v>
      </c>
      <c r="H87" s="21">
        <v>41851.90388888889</v>
      </c>
      <c r="I87" s="22" t="s">
        <v>1684</v>
      </c>
    </row>
    <row r="88" spans="1:9" x14ac:dyDescent="0.3">
      <c r="A88" t="s">
        <v>2199</v>
      </c>
      <c r="B88" t="s">
        <v>2200</v>
      </c>
      <c r="C88" s="20">
        <v>31588</v>
      </c>
      <c r="D88" t="s">
        <v>2201</v>
      </c>
      <c r="E88" t="s">
        <v>2202</v>
      </c>
      <c r="F88" t="s">
        <v>2203</v>
      </c>
      <c r="G88" t="s">
        <v>2204</v>
      </c>
      <c r="H88" s="21">
        <v>42630.124942129631</v>
      </c>
      <c r="I88" s="22" t="s">
        <v>1684</v>
      </c>
    </row>
    <row r="89" spans="1:9" x14ac:dyDescent="0.3">
      <c r="A89" t="s">
        <v>2205</v>
      </c>
      <c r="B89" t="s">
        <v>2206</v>
      </c>
      <c r="C89" s="20">
        <v>27148</v>
      </c>
      <c r="D89" t="s">
        <v>2207</v>
      </c>
      <c r="E89" t="s">
        <v>2208</v>
      </c>
      <c r="F89" t="s">
        <v>2209</v>
      </c>
      <c r="G89" t="s">
        <v>2210</v>
      </c>
      <c r="H89" s="21">
        <v>40308.601817129631</v>
      </c>
      <c r="I89" s="22" t="s">
        <v>1729</v>
      </c>
    </row>
    <row r="90" spans="1:9" x14ac:dyDescent="0.3">
      <c r="A90" t="s">
        <v>2211</v>
      </c>
      <c r="B90" t="s">
        <v>2212</v>
      </c>
      <c r="C90" s="20">
        <v>33060</v>
      </c>
      <c r="D90" t="s">
        <v>2213</v>
      </c>
      <c r="E90" t="s">
        <v>2214</v>
      </c>
      <c r="F90" t="s">
        <v>2215</v>
      </c>
      <c r="G90" t="s">
        <v>2216</v>
      </c>
      <c r="H90" s="21">
        <v>42624.166006944448</v>
      </c>
      <c r="I90" s="22" t="s">
        <v>1691</v>
      </c>
    </row>
    <row r="91" spans="1:9" x14ac:dyDescent="0.3">
      <c r="A91" t="s">
        <v>2217</v>
      </c>
      <c r="B91" t="s">
        <v>2218</v>
      </c>
      <c r="C91" s="20">
        <v>30162</v>
      </c>
      <c r="D91" t="s">
        <v>2219</v>
      </c>
      <c r="E91" t="s">
        <v>2220</v>
      </c>
      <c r="F91" t="s">
        <v>2221</v>
      </c>
      <c r="G91" t="s">
        <v>2222</v>
      </c>
      <c r="H91" s="21">
        <v>40490.906631944446</v>
      </c>
      <c r="I91" s="22" t="s">
        <v>1684</v>
      </c>
    </row>
    <row r="92" spans="1:9" x14ac:dyDescent="0.3">
      <c r="A92" t="s">
        <v>2223</v>
      </c>
      <c r="B92" t="s">
        <v>2224</v>
      </c>
      <c r="C92" s="20">
        <v>34715</v>
      </c>
      <c r="D92" t="s">
        <v>2225</v>
      </c>
      <c r="E92" t="s">
        <v>2226</v>
      </c>
      <c r="F92" t="s">
        <v>2227</v>
      </c>
      <c r="G92" t="s">
        <v>2228</v>
      </c>
      <c r="H92" s="21">
        <v>42343.866747685184</v>
      </c>
      <c r="I92" s="22" t="s">
        <v>1736</v>
      </c>
    </row>
    <row r="93" spans="1:9" x14ac:dyDescent="0.3">
      <c r="A93" t="s">
        <v>2229</v>
      </c>
      <c r="B93" t="s">
        <v>2230</v>
      </c>
      <c r="C93" s="20">
        <v>34167</v>
      </c>
      <c r="D93" t="s">
        <v>2231</v>
      </c>
      <c r="E93" t="s">
        <v>2232</v>
      </c>
      <c r="F93" t="s">
        <v>2233</v>
      </c>
      <c r="G93" t="s">
        <v>2234</v>
      </c>
      <c r="H93" s="21">
        <v>38417.753819444442</v>
      </c>
      <c r="I93" s="22" t="s">
        <v>1710</v>
      </c>
    </row>
    <row r="94" spans="1:9" x14ac:dyDescent="0.3">
      <c r="A94" t="s">
        <v>2235</v>
      </c>
      <c r="B94" t="s">
        <v>2236</v>
      </c>
      <c r="C94" s="20">
        <v>25821</v>
      </c>
      <c r="D94" t="s">
        <v>2237</v>
      </c>
      <c r="E94" t="s">
        <v>2238</v>
      </c>
      <c r="F94" t="s">
        <v>2239</v>
      </c>
      <c r="G94" t="s">
        <v>2240</v>
      </c>
      <c r="H94" s="21">
        <v>39039.910115740742</v>
      </c>
      <c r="I94" s="22" t="s">
        <v>1684</v>
      </c>
    </row>
    <row r="95" spans="1:9" x14ac:dyDescent="0.3">
      <c r="A95" t="s">
        <v>2241</v>
      </c>
      <c r="B95" t="s">
        <v>2242</v>
      </c>
      <c r="C95" s="20">
        <v>34743</v>
      </c>
      <c r="D95" t="s">
        <v>2243</v>
      </c>
      <c r="E95" t="s">
        <v>2244</v>
      </c>
      <c r="F95" t="s">
        <v>2245</v>
      </c>
      <c r="G95" t="s">
        <v>2246</v>
      </c>
      <c r="H95" s="21">
        <v>42393.10087962963</v>
      </c>
      <c r="I95" s="22" t="s">
        <v>1691</v>
      </c>
    </row>
    <row r="96" spans="1:9" x14ac:dyDescent="0.3">
      <c r="A96" t="s">
        <v>2247</v>
      </c>
      <c r="B96" t="s">
        <v>2248</v>
      </c>
      <c r="C96" s="20">
        <v>35166</v>
      </c>
      <c r="D96" t="s">
        <v>2249</v>
      </c>
      <c r="E96" t="s">
        <v>2250</v>
      </c>
      <c r="F96" t="s">
        <v>2251</v>
      </c>
      <c r="G96" t="s">
        <v>2252</v>
      </c>
      <c r="H96" s="21">
        <v>38527.38480324074</v>
      </c>
      <c r="I96" s="22" t="s">
        <v>1710</v>
      </c>
    </row>
    <row r="97" spans="1:9" x14ac:dyDescent="0.3">
      <c r="A97" t="s">
        <v>2253</v>
      </c>
      <c r="B97" t="s">
        <v>2254</v>
      </c>
      <c r="C97" s="20">
        <v>34774</v>
      </c>
      <c r="D97" t="s">
        <v>2255</v>
      </c>
      <c r="E97" t="s">
        <v>2256</v>
      </c>
      <c r="F97" t="s">
        <v>2257</v>
      </c>
      <c r="G97" t="s">
        <v>2258</v>
      </c>
      <c r="H97" s="21">
        <v>40048.343599537038</v>
      </c>
      <c r="I97" s="22" t="s">
        <v>1729</v>
      </c>
    </row>
    <row r="98" spans="1:9" x14ac:dyDescent="0.3">
      <c r="A98" t="s">
        <v>2259</v>
      </c>
      <c r="B98" t="s">
        <v>2260</v>
      </c>
      <c r="C98" s="20">
        <v>32023</v>
      </c>
      <c r="D98" t="s">
        <v>2261</v>
      </c>
      <c r="E98" t="s">
        <v>2262</v>
      </c>
      <c r="F98" t="s">
        <v>2263</v>
      </c>
      <c r="G98" t="s">
        <v>2264</v>
      </c>
      <c r="H98" s="21">
        <v>42370.476793981485</v>
      </c>
      <c r="I98" s="22" t="s">
        <v>1736</v>
      </c>
    </row>
    <row r="99" spans="1:9" x14ac:dyDescent="0.3">
      <c r="A99" t="s">
        <v>2265</v>
      </c>
      <c r="B99" t="s">
        <v>2266</v>
      </c>
      <c r="C99" s="20">
        <v>32148</v>
      </c>
      <c r="D99" t="s">
        <v>2267</v>
      </c>
      <c r="E99" t="s">
        <v>2268</v>
      </c>
      <c r="F99" t="s">
        <v>2269</v>
      </c>
      <c r="G99" t="s">
        <v>2270</v>
      </c>
      <c r="H99" s="21">
        <v>44258.098425925928</v>
      </c>
      <c r="I99" s="22" t="s">
        <v>1684</v>
      </c>
    </row>
    <row r="100" spans="1:9" x14ac:dyDescent="0.3">
      <c r="A100" t="s">
        <v>2271</v>
      </c>
      <c r="B100" t="s">
        <v>2272</v>
      </c>
      <c r="C100" s="20">
        <v>28363</v>
      </c>
      <c r="D100" t="s">
        <v>2273</v>
      </c>
      <c r="E100" t="s">
        <v>2274</v>
      </c>
      <c r="F100" t="s">
        <v>2275</v>
      </c>
      <c r="G100" t="s">
        <v>2276</v>
      </c>
      <c r="H100" s="21">
        <v>39815.474768518521</v>
      </c>
      <c r="I100" s="22" t="s">
        <v>1710</v>
      </c>
    </row>
    <row r="101" spans="1:9" x14ac:dyDescent="0.3">
      <c r="A101" t="s">
        <v>2277</v>
      </c>
      <c r="B101" t="s">
        <v>2278</v>
      </c>
      <c r="C101" s="20">
        <v>26882</v>
      </c>
      <c r="D101" t="s">
        <v>2279</v>
      </c>
      <c r="E101" t="s">
        <v>2280</v>
      </c>
      <c r="F101" t="s">
        <v>2281</v>
      </c>
      <c r="G101" t="s">
        <v>2282</v>
      </c>
      <c r="H101" s="21">
        <v>39333.156354166669</v>
      </c>
      <c r="I101" s="22" t="s">
        <v>1684</v>
      </c>
    </row>
    <row r="102" spans="1:9" x14ac:dyDescent="0.3">
      <c r="A102" t="s">
        <v>2283</v>
      </c>
      <c r="B102" t="s">
        <v>2284</v>
      </c>
      <c r="C102" s="20">
        <v>30189</v>
      </c>
      <c r="D102" t="s">
        <v>2285</v>
      </c>
      <c r="E102" t="s">
        <v>2286</v>
      </c>
      <c r="F102" t="s">
        <v>2287</v>
      </c>
      <c r="G102" t="s">
        <v>2288</v>
      </c>
      <c r="H102" s="21">
        <v>42178.660520833335</v>
      </c>
      <c r="I102" s="22" t="s">
        <v>1691</v>
      </c>
    </row>
    <row r="103" spans="1:9" x14ac:dyDescent="0.3">
      <c r="A103" t="s">
        <v>2289</v>
      </c>
      <c r="B103" t="s">
        <v>2290</v>
      </c>
      <c r="C103" s="20">
        <v>31963</v>
      </c>
      <c r="D103" t="s">
        <v>2291</v>
      </c>
      <c r="E103" t="s">
        <v>2292</v>
      </c>
      <c r="F103" t="s">
        <v>2293</v>
      </c>
      <c r="G103" t="s">
        <v>2294</v>
      </c>
      <c r="H103" s="21">
        <v>40774.870972222219</v>
      </c>
      <c r="I103" s="22" t="s">
        <v>1736</v>
      </c>
    </row>
    <row r="104" spans="1:9" x14ac:dyDescent="0.3">
      <c r="A104" t="s">
        <v>2295</v>
      </c>
      <c r="B104" t="s">
        <v>2296</v>
      </c>
      <c r="C104" s="20">
        <v>32884</v>
      </c>
      <c r="D104" t="s">
        <v>2297</v>
      </c>
      <c r="E104" t="s">
        <v>2298</v>
      </c>
      <c r="F104" t="s">
        <v>2299</v>
      </c>
      <c r="G104" t="s">
        <v>2300</v>
      </c>
      <c r="H104" s="21">
        <v>41535.754872685182</v>
      </c>
      <c r="I104" s="22" t="s">
        <v>1710</v>
      </c>
    </row>
    <row r="105" spans="1:9" x14ac:dyDescent="0.3">
      <c r="A105" t="s">
        <v>2301</v>
      </c>
      <c r="B105" t="s">
        <v>2302</v>
      </c>
      <c r="C105" s="20">
        <v>29851</v>
      </c>
      <c r="D105" t="s">
        <v>2303</v>
      </c>
      <c r="E105" t="s">
        <v>2304</v>
      </c>
      <c r="F105" t="s">
        <v>2305</v>
      </c>
      <c r="G105" t="s">
        <v>2306</v>
      </c>
      <c r="H105" s="21">
        <v>40947.09039351852</v>
      </c>
      <c r="I105" s="22" t="s">
        <v>1729</v>
      </c>
    </row>
    <row r="106" spans="1:9" x14ac:dyDescent="0.3">
      <c r="A106" t="s">
        <v>2307</v>
      </c>
      <c r="B106" t="s">
        <v>2308</v>
      </c>
      <c r="C106" s="20">
        <v>31236</v>
      </c>
      <c r="D106" t="s">
        <v>2309</v>
      </c>
      <c r="E106" t="s">
        <v>2310</v>
      </c>
      <c r="F106" t="s">
        <v>2311</v>
      </c>
      <c r="G106" t="s">
        <v>2312</v>
      </c>
      <c r="H106" s="21">
        <v>41472.462245370371</v>
      </c>
      <c r="I106" s="22" t="s">
        <v>1684</v>
      </c>
    </row>
    <row r="107" spans="1:9" x14ac:dyDescent="0.3">
      <c r="A107" t="s">
        <v>2313</v>
      </c>
      <c r="B107" t="s">
        <v>2314</v>
      </c>
      <c r="C107" s="20">
        <v>32906</v>
      </c>
      <c r="D107" t="s">
        <v>2315</v>
      </c>
      <c r="E107" t="s">
        <v>2316</v>
      </c>
      <c r="F107" t="s">
        <v>2317</v>
      </c>
      <c r="G107" t="s">
        <v>2318</v>
      </c>
      <c r="H107" s="21">
        <v>42062.179050925923</v>
      </c>
      <c r="I107" s="22" t="s">
        <v>1691</v>
      </c>
    </row>
    <row r="108" spans="1:9" x14ac:dyDescent="0.3">
      <c r="A108" t="s">
        <v>2319</v>
      </c>
      <c r="B108" t="s">
        <v>2320</v>
      </c>
      <c r="C108" s="20">
        <v>30250</v>
      </c>
      <c r="D108" t="s">
        <v>2321</v>
      </c>
      <c r="E108" t="s">
        <v>2322</v>
      </c>
      <c r="F108" t="s">
        <v>2323</v>
      </c>
      <c r="G108" t="s">
        <v>2324</v>
      </c>
      <c r="H108" s="21">
        <v>41565.198287037034</v>
      </c>
      <c r="I108" s="22" t="s">
        <v>1710</v>
      </c>
    </row>
    <row r="109" spans="1:9" x14ac:dyDescent="0.3">
      <c r="A109" t="s">
        <v>2325</v>
      </c>
      <c r="B109" t="s">
        <v>2326</v>
      </c>
      <c r="C109" s="20">
        <v>28945</v>
      </c>
      <c r="D109" t="s">
        <v>2327</v>
      </c>
      <c r="E109" t="s">
        <v>2328</v>
      </c>
      <c r="F109" t="s">
        <v>2329</v>
      </c>
      <c r="G109" t="s">
        <v>2330</v>
      </c>
      <c r="H109" s="21">
        <v>40625.545520833337</v>
      </c>
      <c r="I109" s="22" t="s">
        <v>1691</v>
      </c>
    </row>
    <row r="110" spans="1:9" x14ac:dyDescent="0.3">
      <c r="A110" t="s">
        <v>2331</v>
      </c>
      <c r="B110" t="s">
        <v>2332</v>
      </c>
      <c r="C110" s="20">
        <v>33363</v>
      </c>
      <c r="D110" t="s">
        <v>2333</v>
      </c>
      <c r="E110" t="s">
        <v>2334</v>
      </c>
      <c r="F110" t="s">
        <v>2335</v>
      </c>
      <c r="G110" t="s">
        <v>2336</v>
      </c>
      <c r="H110" s="21">
        <v>43651.827893518515</v>
      </c>
      <c r="I110" s="22" t="s">
        <v>1710</v>
      </c>
    </row>
    <row r="111" spans="1:9" x14ac:dyDescent="0.3">
      <c r="A111" t="s">
        <v>2337</v>
      </c>
      <c r="B111" t="s">
        <v>2338</v>
      </c>
      <c r="C111" s="20">
        <v>36328</v>
      </c>
      <c r="D111" t="s">
        <v>2339</v>
      </c>
      <c r="E111" t="s">
        <v>2340</v>
      </c>
      <c r="F111" t="s">
        <v>2341</v>
      </c>
      <c r="G111" t="s">
        <v>2342</v>
      </c>
      <c r="H111" s="21">
        <v>43889.649027777778</v>
      </c>
      <c r="I111" s="22" t="s">
        <v>1691</v>
      </c>
    </row>
    <row r="112" spans="1:9" x14ac:dyDescent="0.3">
      <c r="A112" t="s">
        <v>2343</v>
      </c>
      <c r="B112" t="s">
        <v>2344</v>
      </c>
      <c r="C112" s="20">
        <v>25591</v>
      </c>
      <c r="D112" t="s">
        <v>2345</v>
      </c>
      <c r="E112" t="s">
        <v>2346</v>
      </c>
      <c r="F112" t="s">
        <v>2347</v>
      </c>
      <c r="G112" t="s">
        <v>2348</v>
      </c>
      <c r="H112" s="21">
        <v>43441.407743055555</v>
      </c>
      <c r="I112" s="22" t="s">
        <v>1710</v>
      </c>
    </row>
    <row r="113" spans="1:9" x14ac:dyDescent="0.3">
      <c r="A113" t="s">
        <v>2349</v>
      </c>
      <c r="B113" t="s">
        <v>2350</v>
      </c>
      <c r="C113" s="20">
        <v>29394</v>
      </c>
      <c r="D113" t="s">
        <v>2351</v>
      </c>
      <c r="E113" t="s">
        <v>2352</v>
      </c>
      <c r="F113" t="s">
        <v>2353</v>
      </c>
      <c r="G113" t="s">
        <v>2354</v>
      </c>
      <c r="H113" s="21">
        <v>41832.124166666668</v>
      </c>
      <c r="I113" s="22" t="s">
        <v>1736</v>
      </c>
    </row>
    <row r="114" spans="1:9" x14ac:dyDescent="0.3">
      <c r="A114" t="s">
        <v>2355</v>
      </c>
      <c r="B114" t="s">
        <v>2356</v>
      </c>
      <c r="C114" s="20">
        <v>27233</v>
      </c>
      <c r="D114" t="s">
        <v>2357</v>
      </c>
      <c r="E114" t="s">
        <v>2358</v>
      </c>
      <c r="F114" t="s">
        <v>2359</v>
      </c>
      <c r="G114" t="s">
        <v>2360</v>
      </c>
      <c r="H114" s="21">
        <v>40716.750902777778</v>
      </c>
      <c r="I114" s="22" t="s">
        <v>1684</v>
      </c>
    </row>
    <row r="115" spans="1:9" x14ac:dyDescent="0.3">
      <c r="A115" t="s">
        <v>2361</v>
      </c>
      <c r="B115" t="s">
        <v>2362</v>
      </c>
      <c r="C115" s="20">
        <v>34000</v>
      </c>
      <c r="D115" t="s">
        <v>2363</v>
      </c>
      <c r="E115" t="s">
        <v>2364</v>
      </c>
      <c r="F115" t="s">
        <v>2365</v>
      </c>
      <c r="G115" t="s">
        <v>2366</v>
      </c>
      <c r="H115" s="21">
        <v>39559.83457175926</v>
      </c>
      <c r="I115" s="22" t="s">
        <v>1691</v>
      </c>
    </row>
    <row r="116" spans="1:9" x14ac:dyDescent="0.3">
      <c r="A116" t="s">
        <v>2367</v>
      </c>
      <c r="B116" t="s">
        <v>2368</v>
      </c>
      <c r="C116" s="20">
        <v>34730</v>
      </c>
      <c r="D116" t="s">
        <v>2369</v>
      </c>
      <c r="E116" t="s">
        <v>2370</v>
      </c>
      <c r="F116" t="s">
        <v>2371</v>
      </c>
      <c r="G116" t="s">
        <v>2372</v>
      </c>
      <c r="H116" s="21">
        <v>41503.104224537034</v>
      </c>
      <c r="I116" s="22" t="s">
        <v>1729</v>
      </c>
    </row>
    <row r="117" spans="1:9" x14ac:dyDescent="0.3">
      <c r="A117" t="s">
        <v>2373</v>
      </c>
      <c r="B117" t="s">
        <v>2374</v>
      </c>
      <c r="C117" s="20">
        <v>33094</v>
      </c>
      <c r="D117" t="s">
        <v>2375</v>
      </c>
      <c r="E117" t="s">
        <v>2376</v>
      </c>
      <c r="F117" t="s">
        <v>2377</v>
      </c>
      <c r="G117" t="s">
        <v>2378</v>
      </c>
      <c r="H117" s="21">
        <v>39984.321550925924</v>
      </c>
      <c r="I117" s="22" t="s">
        <v>1710</v>
      </c>
    </row>
    <row r="118" spans="1:9" x14ac:dyDescent="0.3">
      <c r="A118" t="s">
        <v>2379</v>
      </c>
      <c r="B118" t="s">
        <v>2380</v>
      </c>
      <c r="C118" s="20">
        <v>30547</v>
      </c>
      <c r="D118" t="s">
        <v>2381</v>
      </c>
      <c r="E118" t="s">
        <v>2382</v>
      </c>
      <c r="F118" t="s">
        <v>2383</v>
      </c>
      <c r="G118" t="s">
        <v>2384</v>
      </c>
      <c r="H118" s="21">
        <v>43932.415821759256</v>
      </c>
      <c r="I118" s="22" t="s">
        <v>1691</v>
      </c>
    </row>
    <row r="119" spans="1:9" x14ac:dyDescent="0.3">
      <c r="A119" t="s">
        <v>2385</v>
      </c>
      <c r="B119" t="s">
        <v>2386</v>
      </c>
      <c r="C119" s="20">
        <v>30407</v>
      </c>
      <c r="D119" t="s">
        <v>2387</v>
      </c>
      <c r="E119" t="s">
        <v>2388</v>
      </c>
      <c r="F119" t="s">
        <v>2389</v>
      </c>
      <c r="G119" t="s">
        <v>2390</v>
      </c>
      <c r="H119" s="21">
        <v>44155.691666666666</v>
      </c>
      <c r="I119" s="22" t="s">
        <v>1710</v>
      </c>
    </row>
    <row r="120" spans="1:9" x14ac:dyDescent="0.3">
      <c r="A120" t="s">
        <v>2391</v>
      </c>
      <c r="B120" t="s">
        <v>2392</v>
      </c>
      <c r="C120" s="20">
        <v>32259</v>
      </c>
      <c r="D120" t="s">
        <v>2393</v>
      </c>
      <c r="E120" t="s">
        <v>2394</v>
      </c>
      <c r="F120" t="s">
        <v>2395</v>
      </c>
      <c r="G120" t="s">
        <v>2396</v>
      </c>
      <c r="H120" s="21">
        <v>40643.893692129626</v>
      </c>
      <c r="I120" s="22" t="s">
        <v>1684</v>
      </c>
    </row>
    <row r="121" spans="1:9" x14ac:dyDescent="0.3">
      <c r="A121" t="s">
        <v>2397</v>
      </c>
      <c r="B121" t="s">
        <v>2398</v>
      </c>
      <c r="C121" s="20">
        <v>28705</v>
      </c>
      <c r="D121" t="s">
        <v>2399</v>
      </c>
      <c r="E121" t="s">
        <v>2400</v>
      </c>
      <c r="F121" t="s">
        <v>2401</v>
      </c>
      <c r="G121" t="s">
        <v>2402</v>
      </c>
      <c r="H121" s="21">
        <v>40969.213125000002</v>
      </c>
      <c r="I121" s="22" t="s">
        <v>1736</v>
      </c>
    </row>
    <row r="122" spans="1:9" x14ac:dyDescent="0.3">
      <c r="A122" t="s">
        <v>2403</v>
      </c>
      <c r="B122" t="s">
        <v>2404</v>
      </c>
      <c r="C122" s="20">
        <v>32838</v>
      </c>
      <c r="D122" t="s">
        <v>2405</v>
      </c>
      <c r="E122" t="s">
        <v>2406</v>
      </c>
      <c r="F122" t="s">
        <v>2407</v>
      </c>
      <c r="G122" t="s">
        <v>2408</v>
      </c>
      <c r="H122" s="21">
        <v>44059.279004629629</v>
      </c>
      <c r="I122" s="22" t="s">
        <v>1684</v>
      </c>
    </row>
    <row r="123" spans="1:9" x14ac:dyDescent="0.3">
      <c r="A123" t="s">
        <v>2409</v>
      </c>
      <c r="B123" t="s">
        <v>2410</v>
      </c>
      <c r="C123" s="20">
        <v>34191</v>
      </c>
      <c r="D123" t="s">
        <v>2411</v>
      </c>
      <c r="E123" t="s">
        <v>2412</v>
      </c>
      <c r="F123" t="s">
        <v>2413</v>
      </c>
      <c r="G123" t="s">
        <v>2414</v>
      </c>
      <c r="H123" s="21">
        <v>40916.961412037039</v>
      </c>
      <c r="I123" s="22" t="s">
        <v>1710</v>
      </c>
    </row>
    <row r="124" spans="1:9" x14ac:dyDescent="0.3">
      <c r="A124" t="s">
        <v>2415</v>
      </c>
      <c r="B124" t="s">
        <v>2416</v>
      </c>
      <c r="C124" s="20">
        <v>26082</v>
      </c>
      <c r="D124" t="s">
        <v>2417</v>
      </c>
      <c r="E124" t="s">
        <v>2418</v>
      </c>
      <c r="F124" t="s">
        <v>2419</v>
      </c>
      <c r="G124" t="s">
        <v>2420</v>
      </c>
      <c r="H124" s="21">
        <v>38685.293888888889</v>
      </c>
      <c r="I124" s="22" t="s">
        <v>1729</v>
      </c>
    </row>
    <row r="125" spans="1:9" x14ac:dyDescent="0.3">
      <c r="A125" t="s">
        <v>2421</v>
      </c>
      <c r="B125" t="s">
        <v>2422</v>
      </c>
      <c r="C125" s="20">
        <v>35017</v>
      </c>
      <c r="D125" t="s">
        <v>2423</v>
      </c>
      <c r="E125" t="s">
        <v>2424</v>
      </c>
      <c r="F125" t="s">
        <v>2425</v>
      </c>
      <c r="G125" t="s">
        <v>2426</v>
      </c>
      <c r="H125" s="21">
        <v>39537.497766203705</v>
      </c>
      <c r="I125" s="22" t="s">
        <v>1691</v>
      </c>
    </row>
    <row r="126" spans="1:9" x14ac:dyDescent="0.3">
      <c r="A126" t="s">
        <v>2427</v>
      </c>
      <c r="B126" t="s">
        <v>2428</v>
      </c>
      <c r="C126" s="20">
        <v>26564</v>
      </c>
      <c r="D126" t="s">
        <v>2429</v>
      </c>
      <c r="E126" t="s">
        <v>2430</v>
      </c>
      <c r="F126" t="s">
        <v>2431</v>
      </c>
      <c r="G126" t="s">
        <v>2432</v>
      </c>
      <c r="H126" s="21">
        <v>42352.512395833335</v>
      </c>
      <c r="I126" s="22" t="s">
        <v>1736</v>
      </c>
    </row>
    <row r="127" spans="1:9" x14ac:dyDescent="0.3">
      <c r="A127" t="s">
        <v>2433</v>
      </c>
      <c r="B127" t="s">
        <v>2434</v>
      </c>
      <c r="C127" s="20">
        <v>28836</v>
      </c>
      <c r="D127" t="s">
        <v>2435</v>
      </c>
      <c r="E127" t="s">
        <v>2436</v>
      </c>
      <c r="F127" t="s">
        <v>2437</v>
      </c>
      <c r="G127" t="s">
        <v>2438</v>
      </c>
      <c r="H127" s="21">
        <v>40826.105636574073</v>
      </c>
      <c r="I127" s="22" t="s">
        <v>1684</v>
      </c>
    </row>
    <row r="128" spans="1:9" x14ac:dyDescent="0.3">
      <c r="A128" t="s">
        <v>2439</v>
      </c>
      <c r="B128" t="s">
        <v>2440</v>
      </c>
      <c r="C128" s="20">
        <v>36448</v>
      </c>
      <c r="D128" t="s">
        <v>2441</v>
      </c>
      <c r="E128" t="s">
        <v>2442</v>
      </c>
      <c r="F128" t="s">
        <v>2443</v>
      </c>
      <c r="G128" t="s">
        <v>2444</v>
      </c>
      <c r="H128" s="21">
        <v>40865.513912037037</v>
      </c>
      <c r="I128" s="22" t="s">
        <v>1729</v>
      </c>
    </row>
    <row r="129" spans="1:9" x14ac:dyDescent="0.3">
      <c r="A129" t="s">
        <v>2445</v>
      </c>
      <c r="B129" t="s">
        <v>2446</v>
      </c>
      <c r="C129" s="20">
        <v>36425</v>
      </c>
      <c r="D129" t="s">
        <v>2447</v>
      </c>
      <c r="E129" t="s">
        <v>2448</v>
      </c>
      <c r="F129" t="s">
        <v>2449</v>
      </c>
      <c r="G129" t="s">
        <v>2450</v>
      </c>
      <c r="H129" s="21">
        <v>39259.242337962962</v>
      </c>
      <c r="I129" s="22" t="s">
        <v>1710</v>
      </c>
    </row>
    <row r="130" spans="1:9" x14ac:dyDescent="0.3">
      <c r="A130" t="s">
        <v>2451</v>
      </c>
      <c r="B130" t="s">
        <v>2452</v>
      </c>
      <c r="C130" s="20">
        <v>27626</v>
      </c>
      <c r="D130" t="s">
        <v>2453</v>
      </c>
      <c r="E130" t="s">
        <v>2454</v>
      </c>
      <c r="F130" t="s">
        <v>2455</v>
      </c>
      <c r="G130" t="s">
        <v>2456</v>
      </c>
      <c r="H130" s="21">
        <v>44146.606388888889</v>
      </c>
      <c r="I130" s="22" t="s">
        <v>1729</v>
      </c>
    </row>
    <row r="131" spans="1:9" x14ac:dyDescent="0.3">
      <c r="A131" t="s">
        <v>2457</v>
      </c>
      <c r="B131" t="s">
        <v>2458</v>
      </c>
      <c r="C131" s="20">
        <v>26910</v>
      </c>
      <c r="D131" t="s">
        <v>2459</v>
      </c>
      <c r="E131" t="s">
        <v>2460</v>
      </c>
      <c r="F131" t="s">
        <v>2461</v>
      </c>
      <c r="G131" t="s">
        <v>2462</v>
      </c>
      <c r="H131" s="21">
        <v>39837.372164351851</v>
      </c>
      <c r="I131" s="22" t="s">
        <v>1691</v>
      </c>
    </row>
    <row r="132" spans="1:9" x14ac:dyDescent="0.3">
      <c r="A132" t="s">
        <v>2463</v>
      </c>
      <c r="B132" t="s">
        <v>2464</v>
      </c>
      <c r="C132" s="20">
        <v>35507</v>
      </c>
      <c r="D132" t="s">
        <v>2465</v>
      </c>
      <c r="E132" t="s">
        <v>2466</v>
      </c>
      <c r="F132" t="s">
        <v>2467</v>
      </c>
      <c r="G132" t="s">
        <v>2468</v>
      </c>
      <c r="H132" s="21">
        <v>41626.338495370372</v>
      </c>
      <c r="I132" s="22" t="s">
        <v>1729</v>
      </c>
    </row>
    <row r="133" spans="1:9" x14ac:dyDescent="0.3">
      <c r="A133" t="s">
        <v>2469</v>
      </c>
      <c r="B133" t="s">
        <v>2470</v>
      </c>
      <c r="C133" s="20">
        <v>27105</v>
      </c>
      <c r="D133" t="s">
        <v>2471</v>
      </c>
      <c r="E133" t="s">
        <v>2472</v>
      </c>
      <c r="F133" t="s">
        <v>2473</v>
      </c>
      <c r="G133" t="s">
        <v>2474</v>
      </c>
      <c r="H133" s="21">
        <v>43256.849687499998</v>
      </c>
      <c r="I133" s="22" t="s">
        <v>1691</v>
      </c>
    </row>
    <row r="134" spans="1:9" x14ac:dyDescent="0.3">
      <c r="A134" t="s">
        <v>2475</v>
      </c>
      <c r="B134" t="s">
        <v>2476</v>
      </c>
      <c r="C134" s="20">
        <v>31782</v>
      </c>
      <c r="D134" t="s">
        <v>2477</v>
      </c>
      <c r="E134" t="s">
        <v>2478</v>
      </c>
      <c r="F134" t="s">
        <v>2479</v>
      </c>
      <c r="G134" t="s">
        <v>2480</v>
      </c>
      <c r="H134" s="21">
        <v>40420.280439814815</v>
      </c>
      <c r="I134" s="22" t="s">
        <v>1684</v>
      </c>
    </row>
    <row r="135" spans="1:9" x14ac:dyDescent="0.3">
      <c r="A135" t="s">
        <v>2481</v>
      </c>
      <c r="B135" t="s">
        <v>2482</v>
      </c>
      <c r="C135" s="20">
        <v>25628</v>
      </c>
      <c r="D135" t="s">
        <v>2483</v>
      </c>
      <c r="E135" t="s">
        <v>2484</v>
      </c>
      <c r="F135" t="s">
        <v>2485</v>
      </c>
      <c r="G135" t="s">
        <v>2486</v>
      </c>
      <c r="H135" s="21">
        <v>39347.689259259256</v>
      </c>
      <c r="I135" s="22" t="s">
        <v>1710</v>
      </c>
    </row>
    <row r="136" spans="1:9" x14ac:dyDescent="0.3">
      <c r="A136" t="s">
        <v>2487</v>
      </c>
      <c r="B136" t="s">
        <v>2488</v>
      </c>
      <c r="C136" s="20">
        <v>35792</v>
      </c>
      <c r="D136" t="s">
        <v>2489</v>
      </c>
      <c r="E136" t="s">
        <v>2490</v>
      </c>
      <c r="F136" t="s">
        <v>2491</v>
      </c>
      <c r="G136" t="s">
        <v>2492</v>
      </c>
      <c r="H136" s="21">
        <v>40130.216215277775</v>
      </c>
      <c r="I136" s="22" t="s">
        <v>1710</v>
      </c>
    </row>
    <row r="137" spans="1:9" x14ac:dyDescent="0.3">
      <c r="A137" t="s">
        <v>2493</v>
      </c>
      <c r="B137" t="s">
        <v>2494</v>
      </c>
      <c r="C137" s="20">
        <v>26278</v>
      </c>
      <c r="D137" t="s">
        <v>2495</v>
      </c>
      <c r="E137" t="s">
        <v>2496</v>
      </c>
      <c r="F137" t="s">
        <v>2497</v>
      </c>
      <c r="G137" t="s">
        <v>2498</v>
      </c>
      <c r="H137" s="21">
        <v>40705.103854166664</v>
      </c>
      <c r="I137" s="22" t="s">
        <v>1691</v>
      </c>
    </row>
    <row r="138" spans="1:9" x14ac:dyDescent="0.3">
      <c r="A138" t="s">
        <v>2499</v>
      </c>
      <c r="B138" t="s">
        <v>2500</v>
      </c>
      <c r="C138" s="20">
        <v>28963</v>
      </c>
      <c r="D138" t="s">
        <v>2501</v>
      </c>
      <c r="E138" t="s">
        <v>2502</v>
      </c>
      <c r="F138" t="s">
        <v>2503</v>
      </c>
      <c r="G138" t="s">
        <v>2504</v>
      </c>
      <c r="H138" s="21">
        <v>39299.205555555556</v>
      </c>
      <c r="I138" s="22" t="s">
        <v>1710</v>
      </c>
    </row>
    <row r="139" spans="1:9" x14ac:dyDescent="0.3">
      <c r="A139" t="s">
        <v>2505</v>
      </c>
      <c r="B139" t="s">
        <v>2506</v>
      </c>
      <c r="C139" s="20">
        <v>26658</v>
      </c>
      <c r="D139" t="s">
        <v>2507</v>
      </c>
      <c r="E139" t="s">
        <v>2508</v>
      </c>
      <c r="F139" t="s">
        <v>2509</v>
      </c>
      <c r="G139" t="s">
        <v>2510</v>
      </c>
      <c r="H139" s="21">
        <v>41193.278321759259</v>
      </c>
      <c r="I139" s="22" t="s">
        <v>1684</v>
      </c>
    </row>
    <row r="140" spans="1:9" x14ac:dyDescent="0.3">
      <c r="A140" t="s">
        <v>2511</v>
      </c>
      <c r="B140" t="s">
        <v>2512</v>
      </c>
      <c r="C140" s="20">
        <v>28246</v>
      </c>
      <c r="D140" t="s">
        <v>2513</v>
      </c>
      <c r="E140" t="s">
        <v>2514</v>
      </c>
      <c r="F140" t="s">
        <v>2515</v>
      </c>
      <c r="G140" t="s">
        <v>2516</v>
      </c>
      <c r="H140" s="21">
        <v>43584.448067129626</v>
      </c>
      <c r="I140" s="22" t="s">
        <v>1684</v>
      </c>
    </row>
    <row r="141" spans="1:9" x14ac:dyDescent="0.3">
      <c r="A141" t="s">
        <v>2517</v>
      </c>
      <c r="B141" t="s">
        <v>2518</v>
      </c>
      <c r="C141" s="20">
        <v>36166</v>
      </c>
      <c r="D141" t="s">
        <v>2519</v>
      </c>
      <c r="E141" t="s">
        <v>2520</v>
      </c>
      <c r="F141" t="s">
        <v>2521</v>
      </c>
      <c r="G141" t="s">
        <v>2522</v>
      </c>
      <c r="H141" s="21">
        <v>39633.076018518521</v>
      </c>
      <c r="I141" s="22" t="s">
        <v>1729</v>
      </c>
    </row>
    <row r="142" spans="1:9" x14ac:dyDescent="0.3">
      <c r="A142" t="s">
        <v>2523</v>
      </c>
      <c r="B142" t="s">
        <v>2524</v>
      </c>
      <c r="C142" s="20">
        <v>27018</v>
      </c>
      <c r="D142" t="s">
        <v>2525</v>
      </c>
      <c r="E142" t="s">
        <v>2526</v>
      </c>
      <c r="F142" t="s">
        <v>2527</v>
      </c>
      <c r="G142" t="s">
        <v>2528</v>
      </c>
      <c r="H142" s="21">
        <v>43604.014409722222</v>
      </c>
      <c r="I142" s="22" t="s">
        <v>1684</v>
      </c>
    </row>
    <row r="143" spans="1:9" x14ac:dyDescent="0.3">
      <c r="A143" t="s">
        <v>2529</v>
      </c>
      <c r="B143" t="s">
        <v>2530</v>
      </c>
      <c r="C143" s="20">
        <v>31683</v>
      </c>
      <c r="D143" t="s">
        <v>2531</v>
      </c>
      <c r="E143" t="s">
        <v>2532</v>
      </c>
      <c r="F143" t="s">
        <v>2533</v>
      </c>
      <c r="G143" t="s">
        <v>2534</v>
      </c>
      <c r="H143" s="21">
        <v>42341.846238425926</v>
      </c>
      <c r="I143" s="22" t="s">
        <v>1691</v>
      </c>
    </row>
    <row r="144" spans="1:9" x14ac:dyDescent="0.3">
      <c r="A144" t="s">
        <v>2535</v>
      </c>
      <c r="B144" t="s">
        <v>2536</v>
      </c>
      <c r="C144" s="20">
        <v>34635</v>
      </c>
      <c r="D144" t="s">
        <v>2537</v>
      </c>
      <c r="E144" t="s">
        <v>2538</v>
      </c>
      <c r="F144" t="s">
        <v>2539</v>
      </c>
      <c r="G144" t="s">
        <v>2540</v>
      </c>
      <c r="H144" s="21">
        <v>41826.708715277775</v>
      </c>
      <c r="I144" s="22" t="s">
        <v>1691</v>
      </c>
    </row>
    <row r="145" spans="1:9" x14ac:dyDescent="0.3">
      <c r="A145" t="s">
        <v>2541</v>
      </c>
      <c r="B145" t="s">
        <v>2542</v>
      </c>
      <c r="C145" s="20">
        <v>32084</v>
      </c>
      <c r="D145" t="s">
        <v>2543</v>
      </c>
      <c r="E145" t="s">
        <v>2544</v>
      </c>
      <c r="F145" t="s">
        <v>2545</v>
      </c>
      <c r="G145" t="s">
        <v>2546</v>
      </c>
      <c r="H145" s="21">
        <v>41536.27685185185</v>
      </c>
      <c r="I145" s="22" t="s">
        <v>1684</v>
      </c>
    </row>
    <row r="146" spans="1:9" x14ac:dyDescent="0.3">
      <c r="A146" t="s">
        <v>2547</v>
      </c>
      <c r="B146" t="s">
        <v>2548</v>
      </c>
      <c r="C146" s="20">
        <v>27254</v>
      </c>
      <c r="D146" t="s">
        <v>2549</v>
      </c>
      <c r="E146" t="s">
        <v>2550</v>
      </c>
      <c r="F146" t="s">
        <v>2551</v>
      </c>
      <c r="G146" t="s">
        <v>2552</v>
      </c>
      <c r="H146" s="21">
        <v>38401.339085648149</v>
      </c>
      <c r="I146" s="22" t="s">
        <v>1736</v>
      </c>
    </row>
    <row r="147" spans="1:9" x14ac:dyDescent="0.3">
      <c r="A147" t="s">
        <v>2553</v>
      </c>
      <c r="B147" t="s">
        <v>2554</v>
      </c>
      <c r="C147" s="20">
        <v>33667</v>
      </c>
      <c r="D147" t="s">
        <v>2555</v>
      </c>
      <c r="E147" t="s">
        <v>2556</v>
      </c>
      <c r="F147" t="s">
        <v>2557</v>
      </c>
      <c r="G147" t="s">
        <v>2558</v>
      </c>
      <c r="H147" s="21">
        <v>38886.761562500003</v>
      </c>
      <c r="I147" s="22" t="s">
        <v>1736</v>
      </c>
    </row>
    <row r="148" spans="1:9" x14ac:dyDescent="0.3">
      <c r="A148" t="s">
        <v>2559</v>
      </c>
      <c r="B148" t="s">
        <v>2560</v>
      </c>
      <c r="C148" s="20">
        <v>29348</v>
      </c>
      <c r="D148" t="s">
        <v>2561</v>
      </c>
      <c r="E148" t="s">
        <v>2562</v>
      </c>
      <c r="F148" t="s">
        <v>2563</v>
      </c>
      <c r="G148" t="s">
        <v>2564</v>
      </c>
      <c r="H148" s="21">
        <v>43981.745844907404</v>
      </c>
      <c r="I148" s="22" t="s">
        <v>1691</v>
      </c>
    </row>
    <row r="149" spans="1:9" x14ac:dyDescent="0.3">
      <c r="A149" t="s">
        <v>2565</v>
      </c>
      <c r="B149" t="s">
        <v>2566</v>
      </c>
      <c r="C149" s="20">
        <v>31850</v>
      </c>
      <c r="D149" t="s">
        <v>2567</v>
      </c>
      <c r="E149" t="s">
        <v>2568</v>
      </c>
      <c r="F149" t="s">
        <v>2569</v>
      </c>
      <c r="G149" t="s">
        <v>2570</v>
      </c>
      <c r="H149" s="21">
        <v>41027.199699074074</v>
      </c>
      <c r="I149" s="22" t="s">
        <v>1691</v>
      </c>
    </row>
    <row r="150" spans="1:9" x14ac:dyDescent="0.3">
      <c r="A150" t="s">
        <v>2571</v>
      </c>
      <c r="B150" t="s">
        <v>2572</v>
      </c>
      <c r="C150" s="20">
        <v>35454</v>
      </c>
      <c r="D150" t="s">
        <v>2573</v>
      </c>
      <c r="E150" t="s">
        <v>2574</v>
      </c>
      <c r="F150" t="s">
        <v>2575</v>
      </c>
      <c r="G150" t="s">
        <v>2576</v>
      </c>
      <c r="H150" s="21">
        <v>43819.494085648148</v>
      </c>
      <c r="I150" s="22" t="s">
        <v>1736</v>
      </c>
    </row>
    <row r="151" spans="1:9" x14ac:dyDescent="0.3">
      <c r="A151" t="s">
        <v>2577</v>
      </c>
      <c r="B151" t="s">
        <v>2578</v>
      </c>
      <c r="C151" s="20">
        <v>26181</v>
      </c>
      <c r="D151" t="s">
        <v>2579</v>
      </c>
      <c r="E151" t="s">
        <v>2580</v>
      </c>
      <c r="F151" t="s">
        <v>2581</v>
      </c>
      <c r="G151" t="s">
        <v>2582</v>
      </c>
      <c r="H151" s="21">
        <v>41331.643263888887</v>
      </c>
      <c r="I151" s="22" t="s">
        <v>1736</v>
      </c>
    </row>
    <row r="152" spans="1:9" x14ac:dyDescent="0.3">
      <c r="A152" t="s">
        <v>2583</v>
      </c>
      <c r="B152" t="s">
        <v>2584</v>
      </c>
      <c r="C152" s="20">
        <v>32357</v>
      </c>
      <c r="D152" t="s">
        <v>2585</v>
      </c>
      <c r="E152" t="s">
        <v>2586</v>
      </c>
      <c r="F152" t="s">
        <v>2587</v>
      </c>
      <c r="G152" t="s">
        <v>2588</v>
      </c>
      <c r="H152" s="21">
        <v>44193.150995370372</v>
      </c>
      <c r="I152" s="22" t="s">
        <v>1684</v>
      </c>
    </row>
    <row r="153" spans="1:9" x14ac:dyDescent="0.3">
      <c r="A153" t="s">
        <v>2589</v>
      </c>
      <c r="B153" t="s">
        <v>2590</v>
      </c>
      <c r="C153" s="20">
        <v>25837</v>
      </c>
      <c r="D153" t="s">
        <v>2591</v>
      </c>
      <c r="E153" t="s">
        <v>2592</v>
      </c>
      <c r="F153" t="s">
        <v>2593</v>
      </c>
      <c r="G153" t="s">
        <v>2594</v>
      </c>
      <c r="H153" s="21">
        <v>40759.222280092596</v>
      </c>
      <c r="I153" s="22" t="s">
        <v>1729</v>
      </c>
    </row>
    <row r="154" spans="1:9" x14ac:dyDescent="0.3">
      <c r="A154" t="s">
        <v>2595</v>
      </c>
      <c r="B154" t="s">
        <v>2596</v>
      </c>
      <c r="C154" s="20">
        <v>32122</v>
      </c>
      <c r="D154" t="s">
        <v>2597</v>
      </c>
      <c r="E154" t="s">
        <v>2598</v>
      </c>
      <c r="F154" t="s">
        <v>2599</v>
      </c>
      <c r="G154" t="s">
        <v>2600</v>
      </c>
      <c r="H154" s="21">
        <v>40217.169687499998</v>
      </c>
      <c r="I154" s="22" t="s">
        <v>1691</v>
      </c>
    </row>
    <row r="155" spans="1:9" x14ac:dyDescent="0.3">
      <c r="A155" t="s">
        <v>2601</v>
      </c>
      <c r="B155" t="s">
        <v>2602</v>
      </c>
      <c r="C155" s="20">
        <v>35586</v>
      </c>
      <c r="D155" t="s">
        <v>2603</v>
      </c>
      <c r="E155" t="s">
        <v>2604</v>
      </c>
      <c r="F155" t="s">
        <v>2605</v>
      </c>
      <c r="G155" t="s">
        <v>2606</v>
      </c>
      <c r="H155" s="21">
        <v>38418.201203703706</v>
      </c>
      <c r="I155" s="22" t="s">
        <v>1736</v>
      </c>
    </row>
    <row r="156" spans="1:9" x14ac:dyDescent="0.3">
      <c r="A156" t="s">
        <v>2607</v>
      </c>
      <c r="B156" t="s">
        <v>2608</v>
      </c>
      <c r="C156" s="20">
        <v>35826</v>
      </c>
      <c r="D156" t="s">
        <v>2609</v>
      </c>
      <c r="E156" t="s">
        <v>2610</v>
      </c>
      <c r="F156" t="s">
        <v>2611</v>
      </c>
      <c r="G156" t="s">
        <v>2612</v>
      </c>
      <c r="H156" s="21">
        <v>41343.786608796298</v>
      </c>
      <c r="I156" s="22" t="s">
        <v>1736</v>
      </c>
    </row>
    <row r="157" spans="1:9" x14ac:dyDescent="0.3">
      <c r="A157" t="s">
        <v>2613</v>
      </c>
      <c r="B157" t="s">
        <v>2614</v>
      </c>
      <c r="C157" s="20">
        <v>35951</v>
      </c>
      <c r="D157" t="s">
        <v>2615</v>
      </c>
      <c r="E157" t="s">
        <v>2616</v>
      </c>
      <c r="F157" t="s">
        <v>2617</v>
      </c>
      <c r="G157" t="s">
        <v>2618</v>
      </c>
      <c r="H157" s="21">
        <v>38755.748518518521</v>
      </c>
      <c r="I157" s="22" t="s">
        <v>1691</v>
      </c>
    </row>
    <row r="158" spans="1:9" x14ac:dyDescent="0.3">
      <c r="A158" t="s">
        <v>2619</v>
      </c>
      <c r="B158" t="s">
        <v>2620</v>
      </c>
      <c r="C158" s="20">
        <v>35349</v>
      </c>
      <c r="D158" t="s">
        <v>2621</v>
      </c>
      <c r="E158" t="s">
        <v>2622</v>
      </c>
      <c r="F158" t="s">
        <v>2623</v>
      </c>
      <c r="G158" t="s">
        <v>2624</v>
      </c>
      <c r="H158" s="21">
        <v>40794.801296296297</v>
      </c>
      <c r="I158" s="22" t="s">
        <v>1736</v>
      </c>
    </row>
    <row r="159" spans="1:9" x14ac:dyDescent="0.3">
      <c r="A159" t="s">
        <v>2625</v>
      </c>
      <c r="B159" t="s">
        <v>2626</v>
      </c>
      <c r="C159" s="20">
        <v>29493</v>
      </c>
      <c r="D159" t="s">
        <v>2627</v>
      </c>
      <c r="E159" t="s">
        <v>2628</v>
      </c>
      <c r="F159" t="s">
        <v>2629</v>
      </c>
      <c r="G159" t="s">
        <v>2630</v>
      </c>
      <c r="H159" s="21">
        <v>40683.351354166669</v>
      </c>
      <c r="I159" s="22" t="s">
        <v>1736</v>
      </c>
    </row>
    <row r="160" spans="1:9" x14ac:dyDescent="0.3">
      <c r="A160" t="s">
        <v>2631</v>
      </c>
      <c r="B160" t="s">
        <v>2632</v>
      </c>
      <c r="C160" s="20">
        <v>35093</v>
      </c>
      <c r="D160" t="s">
        <v>2633</v>
      </c>
      <c r="E160" t="s">
        <v>2634</v>
      </c>
      <c r="F160" t="s">
        <v>2635</v>
      </c>
      <c r="G160" t="s">
        <v>2636</v>
      </c>
      <c r="H160" s="21">
        <v>39796.81517361111</v>
      </c>
      <c r="I160" s="22" t="s">
        <v>1691</v>
      </c>
    </row>
    <row r="161" spans="1:9" x14ac:dyDescent="0.3">
      <c r="A161" t="s">
        <v>2637</v>
      </c>
      <c r="B161" t="s">
        <v>2638</v>
      </c>
      <c r="C161" s="20">
        <v>35038</v>
      </c>
      <c r="D161" t="s">
        <v>2639</v>
      </c>
      <c r="E161" t="s">
        <v>2640</v>
      </c>
      <c r="F161" t="s">
        <v>2641</v>
      </c>
      <c r="G161" t="s">
        <v>2642</v>
      </c>
      <c r="H161" s="21">
        <v>42835.193252314813</v>
      </c>
      <c r="I161" s="22" t="s">
        <v>1710</v>
      </c>
    </row>
    <row r="162" spans="1:9" x14ac:dyDescent="0.3">
      <c r="A162" t="s">
        <v>2643</v>
      </c>
      <c r="B162" t="s">
        <v>2644</v>
      </c>
      <c r="C162" s="20">
        <v>36252</v>
      </c>
      <c r="D162" t="s">
        <v>2645</v>
      </c>
      <c r="E162" t="s">
        <v>2646</v>
      </c>
      <c r="F162" t="s">
        <v>2647</v>
      </c>
      <c r="G162" t="s">
        <v>2648</v>
      </c>
      <c r="H162" s="21">
        <v>43468.345856481479</v>
      </c>
      <c r="I162" s="22" t="s">
        <v>1729</v>
      </c>
    </row>
    <row r="163" spans="1:9" x14ac:dyDescent="0.3">
      <c r="A163" t="s">
        <v>2649</v>
      </c>
      <c r="B163" t="s">
        <v>2650</v>
      </c>
      <c r="C163" s="20">
        <v>33555</v>
      </c>
      <c r="D163" t="s">
        <v>2651</v>
      </c>
      <c r="E163" t="s">
        <v>2652</v>
      </c>
      <c r="F163" t="s">
        <v>2653</v>
      </c>
      <c r="G163" t="s">
        <v>2654</v>
      </c>
      <c r="H163" s="21">
        <v>43458.449756944443</v>
      </c>
      <c r="I163" s="22" t="s">
        <v>1710</v>
      </c>
    </row>
    <row r="164" spans="1:9" x14ac:dyDescent="0.3">
      <c r="A164" t="s">
        <v>2655</v>
      </c>
      <c r="B164" t="s">
        <v>2656</v>
      </c>
      <c r="C164" s="20">
        <v>34599</v>
      </c>
      <c r="D164" t="s">
        <v>2657</v>
      </c>
      <c r="E164" t="s">
        <v>2658</v>
      </c>
      <c r="F164" t="s">
        <v>2659</v>
      </c>
      <c r="G164" t="s">
        <v>2096</v>
      </c>
      <c r="H164" s="21">
        <v>42218.085104166668</v>
      </c>
      <c r="I164" s="22" t="s">
        <v>1684</v>
      </c>
    </row>
    <row r="165" spans="1:9" x14ac:dyDescent="0.3">
      <c r="A165" t="s">
        <v>2660</v>
      </c>
      <c r="B165" t="s">
        <v>2661</v>
      </c>
      <c r="C165" s="20">
        <v>33725</v>
      </c>
      <c r="D165" t="s">
        <v>2662</v>
      </c>
      <c r="E165" t="s">
        <v>2663</v>
      </c>
      <c r="F165" t="s">
        <v>2664</v>
      </c>
      <c r="G165" t="s">
        <v>2665</v>
      </c>
      <c r="H165" s="21">
        <v>42824.387442129628</v>
      </c>
      <c r="I165" s="22" t="s">
        <v>1691</v>
      </c>
    </row>
    <row r="166" spans="1:9" x14ac:dyDescent="0.3">
      <c r="A166" t="s">
        <v>2666</v>
      </c>
      <c r="B166" t="s">
        <v>2667</v>
      </c>
      <c r="C166" s="20">
        <v>36285</v>
      </c>
      <c r="D166" t="s">
        <v>2668</v>
      </c>
      <c r="E166" t="s">
        <v>2669</v>
      </c>
      <c r="F166" t="s">
        <v>2670</v>
      </c>
      <c r="G166" t="s">
        <v>2671</v>
      </c>
      <c r="H166" s="21">
        <v>43258.849386574075</v>
      </c>
      <c r="I166" s="22" t="s">
        <v>1710</v>
      </c>
    </row>
    <row r="167" spans="1:9" x14ac:dyDescent="0.3">
      <c r="A167" t="s">
        <v>2672</v>
      </c>
      <c r="B167" t="s">
        <v>2673</v>
      </c>
      <c r="C167" s="20">
        <v>31596</v>
      </c>
      <c r="D167" t="s">
        <v>2674</v>
      </c>
      <c r="E167" t="s">
        <v>2675</v>
      </c>
      <c r="F167" t="s">
        <v>2676</v>
      </c>
      <c r="G167" t="s">
        <v>2677</v>
      </c>
      <c r="H167" s="21">
        <v>41661.019837962966</v>
      </c>
      <c r="I167" s="22" t="s">
        <v>1736</v>
      </c>
    </row>
    <row r="168" spans="1:9" x14ac:dyDescent="0.3">
      <c r="A168" t="s">
        <v>2678</v>
      </c>
      <c r="B168" t="s">
        <v>2679</v>
      </c>
      <c r="C168" s="20">
        <v>36188</v>
      </c>
      <c r="D168" t="s">
        <v>2680</v>
      </c>
      <c r="E168" t="s">
        <v>2681</v>
      </c>
      <c r="F168" t="s">
        <v>2682</v>
      </c>
      <c r="G168" t="s">
        <v>2683</v>
      </c>
      <c r="H168" s="21">
        <v>39277.557569444441</v>
      </c>
      <c r="I168" s="22" t="s">
        <v>1729</v>
      </c>
    </row>
    <row r="169" spans="1:9" x14ac:dyDescent="0.3">
      <c r="A169" t="s">
        <v>2684</v>
      </c>
      <c r="B169" t="s">
        <v>2685</v>
      </c>
      <c r="C169" s="20">
        <v>31722</v>
      </c>
      <c r="D169" t="s">
        <v>2686</v>
      </c>
      <c r="E169" t="s">
        <v>2687</v>
      </c>
      <c r="F169" t="s">
        <v>2688</v>
      </c>
      <c r="G169" t="s">
        <v>2689</v>
      </c>
      <c r="H169" s="21">
        <v>40265.384293981479</v>
      </c>
      <c r="I169" s="22" t="s">
        <v>1691</v>
      </c>
    </row>
    <row r="170" spans="1:9" x14ac:dyDescent="0.3">
      <c r="A170" t="s">
        <v>2690</v>
      </c>
      <c r="B170" t="s">
        <v>2691</v>
      </c>
      <c r="C170" s="20">
        <v>28278</v>
      </c>
      <c r="D170" t="s">
        <v>2692</v>
      </c>
      <c r="E170" t="s">
        <v>2693</v>
      </c>
      <c r="F170" t="s">
        <v>2694</v>
      </c>
      <c r="G170" t="s">
        <v>2695</v>
      </c>
      <c r="H170" s="21">
        <v>39303.364722222221</v>
      </c>
      <c r="I170" s="22" t="s">
        <v>1691</v>
      </c>
    </row>
    <row r="171" spans="1:9" x14ac:dyDescent="0.3">
      <c r="A171" t="s">
        <v>2696</v>
      </c>
      <c r="B171" t="s">
        <v>2697</v>
      </c>
      <c r="C171" s="20">
        <v>29942</v>
      </c>
      <c r="D171" t="s">
        <v>2698</v>
      </c>
      <c r="E171" t="s">
        <v>2699</v>
      </c>
      <c r="F171" t="s">
        <v>2700</v>
      </c>
      <c r="G171" t="s">
        <v>2701</v>
      </c>
      <c r="H171" s="21">
        <v>41048.376261574071</v>
      </c>
      <c r="I171" s="22" t="s">
        <v>1710</v>
      </c>
    </row>
    <row r="172" spans="1:9" x14ac:dyDescent="0.3">
      <c r="A172" t="s">
        <v>2702</v>
      </c>
      <c r="B172" t="s">
        <v>2703</v>
      </c>
      <c r="C172" s="20">
        <v>34761</v>
      </c>
      <c r="D172" t="s">
        <v>2704</v>
      </c>
      <c r="E172" t="s">
        <v>2705</v>
      </c>
      <c r="F172" t="s">
        <v>2706</v>
      </c>
      <c r="G172" t="s">
        <v>2707</v>
      </c>
      <c r="H172" s="21">
        <v>40408.673796296294</v>
      </c>
      <c r="I172" s="22" t="s">
        <v>1729</v>
      </c>
    </row>
    <row r="173" spans="1:9" x14ac:dyDescent="0.3">
      <c r="A173" t="s">
        <v>2708</v>
      </c>
      <c r="B173" t="s">
        <v>2709</v>
      </c>
      <c r="C173" s="20">
        <v>32249</v>
      </c>
      <c r="D173" t="s">
        <v>2710</v>
      </c>
      <c r="E173" t="s">
        <v>2711</v>
      </c>
      <c r="F173" t="s">
        <v>2712</v>
      </c>
      <c r="G173" t="s">
        <v>2713</v>
      </c>
      <c r="H173" s="21">
        <v>41141.281817129631</v>
      </c>
      <c r="I173" s="22" t="s">
        <v>1736</v>
      </c>
    </row>
    <row r="174" spans="1:9" x14ac:dyDescent="0.3">
      <c r="A174" t="s">
        <v>2714</v>
      </c>
      <c r="B174" t="s">
        <v>2715</v>
      </c>
      <c r="C174" s="20">
        <v>29102</v>
      </c>
      <c r="D174" t="s">
        <v>2716</v>
      </c>
      <c r="E174" t="s">
        <v>2717</v>
      </c>
      <c r="F174" t="s">
        <v>2718</v>
      </c>
      <c r="G174" t="s">
        <v>2522</v>
      </c>
      <c r="H174" s="21">
        <v>39809.341678240744</v>
      </c>
      <c r="I174" s="22" t="s">
        <v>1684</v>
      </c>
    </row>
    <row r="175" spans="1:9" x14ac:dyDescent="0.3">
      <c r="A175" t="s">
        <v>2719</v>
      </c>
      <c r="B175" t="s">
        <v>2720</v>
      </c>
      <c r="C175" s="20">
        <v>30836</v>
      </c>
      <c r="D175" t="s">
        <v>2721</v>
      </c>
      <c r="E175" t="s">
        <v>2722</v>
      </c>
      <c r="F175" t="s">
        <v>2723</v>
      </c>
      <c r="G175" t="s">
        <v>2724</v>
      </c>
      <c r="H175" s="21">
        <v>43783.998252314814</v>
      </c>
      <c r="I175" s="22" t="s">
        <v>1691</v>
      </c>
    </row>
    <row r="176" spans="1:9" x14ac:dyDescent="0.3">
      <c r="A176" t="s">
        <v>2725</v>
      </c>
      <c r="B176" t="s">
        <v>2726</v>
      </c>
      <c r="C176" s="20">
        <v>33334</v>
      </c>
      <c r="D176" t="s">
        <v>2727</v>
      </c>
      <c r="E176" t="s">
        <v>2728</v>
      </c>
      <c r="F176" t="s">
        <v>2729</v>
      </c>
      <c r="G176" t="s">
        <v>2730</v>
      </c>
      <c r="H176" s="21">
        <v>43944.822662037041</v>
      </c>
      <c r="I176" s="22" t="s">
        <v>1691</v>
      </c>
    </row>
    <row r="177" spans="1:9" x14ac:dyDescent="0.3">
      <c r="A177" t="s">
        <v>2731</v>
      </c>
      <c r="B177" t="s">
        <v>2732</v>
      </c>
      <c r="C177" s="20">
        <v>35844</v>
      </c>
      <c r="D177" t="s">
        <v>2733</v>
      </c>
      <c r="E177" t="s">
        <v>2734</v>
      </c>
      <c r="F177" t="s">
        <v>2735</v>
      </c>
      <c r="G177" t="s">
        <v>2736</v>
      </c>
      <c r="H177" s="21">
        <v>40832.961793981478</v>
      </c>
      <c r="I177" s="22" t="s">
        <v>1710</v>
      </c>
    </row>
    <row r="178" spans="1:9" x14ac:dyDescent="0.3">
      <c r="A178" t="s">
        <v>2737</v>
      </c>
      <c r="B178" t="s">
        <v>2738</v>
      </c>
      <c r="C178" s="20">
        <v>29223</v>
      </c>
      <c r="D178" t="s">
        <v>2739</v>
      </c>
      <c r="E178" t="s">
        <v>2740</v>
      </c>
      <c r="F178" t="s">
        <v>2741</v>
      </c>
      <c r="G178" t="s">
        <v>2742</v>
      </c>
      <c r="H178" s="21">
        <v>43008.955312500002</v>
      </c>
      <c r="I178" s="22" t="s">
        <v>1691</v>
      </c>
    </row>
    <row r="179" spans="1:9" x14ac:dyDescent="0.3">
      <c r="A179" t="s">
        <v>2743</v>
      </c>
      <c r="B179" t="s">
        <v>2744</v>
      </c>
      <c r="C179" s="20">
        <v>26024</v>
      </c>
      <c r="D179" t="s">
        <v>2745</v>
      </c>
      <c r="E179" t="s">
        <v>2746</v>
      </c>
      <c r="F179" t="s">
        <v>2747</v>
      </c>
      <c r="G179" t="s">
        <v>2748</v>
      </c>
      <c r="H179" s="21">
        <v>41936.549351851849</v>
      </c>
      <c r="I179" s="22" t="s">
        <v>1691</v>
      </c>
    </row>
    <row r="180" spans="1:9" x14ac:dyDescent="0.3">
      <c r="A180" t="s">
        <v>2749</v>
      </c>
      <c r="B180" t="s">
        <v>2750</v>
      </c>
      <c r="C180" s="20">
        <v>31696</v>
      </c>
      <c r="D180" t="s">
        <v>2751</v>
      </c>
      <c r="E180" t="s">
        <v>2752</v>
      </c>
      <c r="F180" t="s">
        <v>2753</v>
      </c>
      <c r="G180" t="s">
        <v>2754</v>
      </c>
      <c r="H180" s="21">
        <v>42563.724317129629</v>
      </c>
      <c r="I180" s="22" t="s">
        <v>1691</v>
      </c>
    </row>
    <row r="181" spans="1:9" x14ac:dyDescent="0.3">
      <c r="A181" t="s">
        <v>2755</v>
      </c>
      <c r="B181" t="s">
        <v>2756</v>
      </c>
      <c r="C181" s="20">
        <v>34155</v>
      </c>
      <c r="D181" t="s">
        <v>2757</v>
      </c>
      <c r="E181" t="s">
        <v>2758</v>
      </c>
      <c r="F181" t="s">
        <v>2759</v>
      </c>
      <c r="G181" t="s">
        <v>2760</v>
      </c>
      <c r="H181" s="21">
        <v>40483.128506944442</v>
      </c>
      <c r="I181" s="22" t="s">
        <v>1691</v>
      </c>
    </row>
    <row r="182" spans="1:9" x14ac:dyDescent="0.3">
      <c r="A182" t="s">
        <v>2761</v>
      </c>
      <c r="B182" t="s">
        <v>2762</v>
      </c>
      <c r="C182" s="20">
        <v>30023</v>
      </c>
      <c r="D182" t="s">
        <v>2763</v>
      </c>
      <c r="E182" t="s">
        <v>2764</v>
      </c>
      <c r="F182" t="s">
        <v>2765</v>
      </c>
      <c r="G182" t="s">
        <v>2766</v>
      </c>
      <c r="H182" s="21">
        <v>38610.065729166665</v>
      </c>
      <c r="I182" s="22" t="s">
        <v>1729</v>
      </c>
    </row>
    <row r="183" spans="1:9" x14ac:dyDescent="0.3">
      <c r="A183" t="s">
        <v>2767</v>
      </c>
      <c r="B183" t="s">
        <v>2768</v>
      </c>
      <c r="C183" s="20">
        <v>28292</v>
      </c>
      <c r="D183" t="s">
        <v>2769</v>
      </c>
      <c r="E183" t="s">
        <v>2770</v>
      </c>
      <c r="F183" t="s">
        <v>2771</v>
      </c>
      <c r="G183" t="s">
        <v>2772</v>
      </c>
      <c r="H183" s="21">
        <v>40825.83934027778</v>
      </c>
      <c r="I183" s="22" t="s">
        <v>1710</v>
      </c>
    </row>
    <row r="184" spans="1:9" x14ac:dyDescent="0.3">
      <c r="A184" t="s">
        <v>2773</v>
      </c>
      <c r="B184" t="s">
        <v>2774</v>
      </c>
      <c r="C184" s="20">
        <v>28155</v>
      </c>
      <c r="D184" t="s">
        <v>2775</v>
      </c>
      <c r="E184" t="s">
        <v>2776</v>
      </c>
      <c r="F184" t="s">
        <v>2777</v>
      </c>
      <c r="G184" t="s">
        <v>2778</v>
      </c>
      <c r="H184" s="21">
        <v>38560.905972222223</v>
      </c>
      <c r="I184" s="22" t="s">
        <v>1729</v>
      </c>
    </row>
    <row r="185" spans="1:9" x14ac:dyDescent="0.3">
      <c r="A185" t="s">
        <v>2779</v>
      </c>
      <c r="B185" t="s">
        <v>2780</v>
      </c>
      <c r="C185" s="20">
        <v>36088</v>
      </c>
      <c r="D185" t="s">
        <v>2781</v>
      </c>
      <c r="E185" t="s">
        <v>2782</v>
      </c>
      <c r="F185" t="s">
        <v>2783</v>
      </c>
      <c r="G185" t="s">
        <v>2784</v>
      </c>
      <c r="H185" s="21">
        <v>40374.850636574076</v>
      </c>
      <c r="I185" s="22" t="s">
        <v>1710</v>
      </c>
    </row>
    <row r="186" spans="1:9" x14ac:dyDescent="0.3">
      <c r="A186" t="s">
        <v>2785</v>
      </c>
      <c r="B186" t="s">
        <v>2786</v>
      </c>
      <c r="C186" s="20">
        <v>34328</v>
      </c>
      <c r="D186" t="s">
        <v>2787</v>
      </c>
      <c r="E186" t="s">
        <v>2788</v>
      </c>
      <c r="F186" t="s">
        <v>2789</v>
      </c>
      <c r="G186" t="s">
        <v>2790</v>
      </c>
      <c r="H186" s="21">
        <v>39312.835243055553</v>
      </c>
      <c r="I186" s="22" t="s">
        <v>1710</v>
      </c>
    </row>
    <row r="187" spans="1:9" x14ac:dyDescent="0.3">
      <c r="A187" t="s">
        <v>2791</v>
      </c>
      <c r="B187" t="s">
        <v>2792</v>
      </c>
      <c r="C187" s="20">
        <v>31986</v>
      </c>
      <c r="D187" t="s">
        <v>2793</v>
      </c>
      <c r="E187" t="s">
        <v>2794</v>
      </c>
      <c r="F187" t="s">
        <v>2795</v>
      </c>
      <c r="G187" t="s">
        <v>2796</v>
      </c>
      <c r="H187" s="21">
        <v>42573.454733796294</v>
      </c>
      <c r="I187" s="22" t="s">
        <v>1710</v>
      </c>
    </row>
    <row r="188" spans="1:9" x14ac:dyDescent="0.3">
      <c r="A188" t="s">
        <v>2797</v>
      </c>
      <c r="B188" t="s">
        <v>2798</v>
      </c>
      <c r="C188" s="20">
        <v>28373</v>
      </c>
      <c r="D188" t="s">
        <v>2799</v>
      </c>
      <c r="E188" t="s">
        <v>2800</v>
      </c>
      <c r="F188" t="s">
        <v>2801</v>
      </c>
      <c r="G188" t="s">
        <v>2802</v>
      </c>
      <c r="H188" s="21">
        <v>38607.7578125</v>
      </c>
      <c r="I188" s="22" t="s">
        <v>1691</v>
      </c>
    </row>
    <row r="189" spans="1:9" x14ac:dyDescent="0.3">
      <c r="A189" t="s">
        <v>2803</v>
      </c>
      <c r="B189" t="s">
        <v>2804</v>
      </c>
      <c r="C189" s="20">
        <v>32429</v>
      </c>
      <c r="D189" t="s">
        <v>2805</v>
      </c>
      <c r="E189" t="s">
        <v>2806</v>
      </c>
      <c r="F189" t="s">
        <v>2807</v>
      </c>
      <c r="G189" t="s">
        <v>2808</v>
      </c>
      <c r="H189" s="21">
        <v>41507.680972222224</v>
      </c>
      <c r="I189" s="22" t="s">
        <v>1691</v>
      </c>
    </row>
    <row r="190" spans="1:9" x14ac:dyDescent="0.3">
      <c r="A190" t="s">
        <v>2809</v>
      </c>
      <c r="B190" t="s">
        <v>2810</v>
      </c>
      <c r="C190" s="20">
        <v>28367</v>
      </c>
      <c r="D190" t="s">
        <v>2811</v>
      </c>
      <c r="E190" t="s">
        <v>2812</v>
      </c>
      <c r="F190" t="s">
        <v>2813</v>
      </c>
      <c r="G190" t="s">
        <v>2814</v>
      </c>
      <c r="H190" s="21">
        <v>39051.233831018515</v>
      </c>
      <c r="I190" s="22" t="s">
        <v>1710</v>
      </c>
    </row>
    <row r="191" spans="1:9" x14ac:dyDescent="0.3">
      <c r="A191" t="s">
        <v>2815</v>
      </c>
      <c r="B191" t="s">
        <v>2816</v>
      </c>
      <c r="C191" s="20">
        <v>25720</v>
      </c>
      <c r="D191" t="s">
        <v>2817</v>
      </c>
      <c r="E191" t="s">
        <v>2818</v>
      </c>
      <c r="F191" t="s">
        <v>2819</v>
      </c>
      <c r="G191" t="s">
        <v>2820</v>
      </c>
      <c r="H191" s="21">
        <v>41318.354768518519</v>
      </c>
      <c r="I191" s="22" t="s">
        <v>1729</v>
      </c>
    </row>
    <row r="192" spans="1:9" x14ac:dyDescent="0.3">
      <c r="A192" t="s">
        <v>2821</v>
      </c>
      <c r="B192" t="s">
        <v>2822</v>
      </c>
      <c r="C192" s="20">
        <v>27720</v>
      </c>
      <c r="D192" t="s">
        <v>2823</v>
      </c>
      <c r="E192" t="s">
        <v>2824</v>
      </c>
      <c r="F192" t="s">
        <v>2825</v>
      </c>
      <c r="G192" t="s">
        <v>2826</v>
      </c>
      <c r="H192" s="21">
        <v>43485.755324074074</v>
      </c>
      <c r="I192" s="22" t="s">
        <v>1710</v>
      </c>
    </row>
    <row r="193" spans="1:9" x14ac:dyDescent="0.3">
      <c r="A193" t="s">
        <v>2827</v>
      </c>
      <c r="B193" t="s">
        <v>2828</v>
      </c>
      <c r="C193" s="20">
        <v>27517</v>
      </c>
      <c r="D193" t="s">
        <v>2829</v>
      </c>
      <c r="E193" t="s">
        <v>2830</v>
      </c>
      <c r="F193" t="s">
        <v>2831</v>
      </c>
      <c r="G193" t="s">
        <v>2832</v>
      </c>
      <c r="H193" s="21">
        <v>41841.380231481482</v>
      </c>
      <c r="I193" s="22" t="s">
        <v>1691</v>
      </c>
    </row>
    <row r="194" spans="1:9" x14ac:dyDescent="0.3">
      <c r="A194" t="s">
        <v>2833</v>
      </c>
      <c r="B194" t="s">
        <v>2834</v>
      </c>
      <c r="C194" s="20">
        <v>35367</v>
      </c>
      <c r="D194" t="s">
        <v>2835</v>
      </c>
      <c r="E194" t="s">
        <v>2836</v>
      </c>
      <c r="F194" t="s">
        <v>2837</v>
      </c>
      <c r="G194" t="s">
        <v>2838</v>
      </c>
      <c r="H194" s="21">
        <v>39204.742627314816</v>
      </c>
      <c r="I194" s="22" t="s">
        <v>1710</v>
      </c>
    </row>
    <row r="195" spans="1:9" x14ac:dyDescent="0.3">
      <c r="A195" t="s">
        <v>2839</v>
      </c>
      <c r="B195" t="s">
        <v>2840</v>
      </c>
      <c r="C195" s="20">
        <v>32776</v>
      </c>
      <c r="D195" t="s">
        <v>2841</v>
      </c>
      <c r="E195" t="s">
        <v>2842</v>
      </c>
      <c r="F195" t="s">
        <v>2843</v>
      </c>
      <c r="G195" t="s">
        <v>2844</v>
      </c>
      <c r="H195" s="21">
        <v>39180.475601851853</v>
      </c>
      <c r="I195" s="22" t="s">
        <v>1710</v>
      </c>
    </row>
    <row r="196" spans="1:9" x14ac:dyDescent="0.3">
      <c r="A196" t="s">
        <v>2845</v>
      </c>
      <c r="B196" t="s">
        <v>2846</v>
      </c>
      <c r="C196" s="20">
        <v>34250</v>
      </c>
      <c r="D196" t="s">
        <v>2847</v>
      </c>
      <c r="E196" t="s">
        <v>2848</v>
      </c>
      <c r="F196" t="s">
        <v>2849</v>
      </c>
      <c r="G196" t="s">
        <v>2850</v>
      </c>
      <c r="H196" s="21">
        <v>38751.748738425929</v>
      </c>
      <c r="I196" s="22" t="s">
        <v>1684</v>
      </c>
    </row>
    <row r="197" spans="1:9" x14ac:dyDescent="0.3">
      <c r="A197" t="s">
        <v>2851</v>
      </c>
      <c r="B197" t="s">
        <v>2852</v>
      </c>
      <c r="C197" s="20">
        <v>35916</v>
      </c>
      <c r="D197" t="s">
        <v>2853</v>
      </c>
      <c r="E197" t="s">
        <v>2854</v>
      </c>
      <c r="F197" t="s">
        <v>2855</v>
      </c>
      <c r="G197" t="s">
        <v>2856</v>
      </c>
      <c r="H197" s="21">
        <v>38468.927534722221</v>
      </c>
      <c r="I197" s="22" t="s">
        <v>1710</v>
      </c>
    </row>
    <row r="198" spans="1:9" x14ac:dyDescent="0.3">
      <c r="A198" t="s">
        <v>2857</v>
      </c>
      <c r="B198" t="s">
        <v>2858</v>
      </c>
      <c r="C198" s="20">
        <v>34994</v>
      </c>
      <c r="D198" t="s">
        <v>2859</v>
      </c>
      <c r="E198" t="s">
        <v>2860</v>
      </c>
      <c r="F198" t="s">
        <v>2861</v>
      </c>
      <c r="G198" t="s">
        <v>2862</v>
      </c>
      <c r="H198" s="21">
        <v>42544.160358796296</v>
      </c>
      <c r="I198" s="22" t="s">
        <v>1691</v>
      </c>
    </row>
    <row r="199" spans="1:9" x14ac:dyDescent="0.3">
      <c r="A199" t="s">
        <v>2863</v>
      </c>
      <c r="B199" t="s">
        <v>2864</v>
      </c>
      <c r="C199" s="20">
        <v>30728</v>
      </c>
      <c r="D199" t="s">
        <v>2865</v>
      </c>
      <c r="E199" t="s">
        <v>2866</v>
      </c>
      <c r="F199" t="s">
        <v>2867</v>
      </c>
      <c r="G199" t="s">
        <v>2868</v>
      </c>
      <c r="H199" s="21">
        <v>42433.511689814812</v>
      </c>
      <c r="I199" s="22" t="s">
        <v>1691</v>
      </c>
    </row>
    <row r="200" spans="1:9" x14ac:dyDescent="0.3">
      <c r="A200" t="s">
        <v>2869</v>
      </c>
      <c r="B200" t="s">
        <v>2870</v>
      </c>
      <c r="C200" s="20">
        <v>28005</v>
      </c>
      <c r="D200" t="s">
        <v>2871</v>
      </c>
      <c r="E200" t="s">
        <v>2872</v>
      </c>
      <c r="F200" t="s">
        <v>2873</v>
      </c>
      <c r="G200" t="s">
        <v>2874</v>
      </c>
      <c r="H200" s="21">
        <v>39222.76840277778</v>
      </c>
      <c r="I200" s="22" t="s">
        <v>1729</v>
      </c>
    </row>
    <row r="201" spans="1:9" x14ac:dyDescent="0.3">
      <c r="A201" t="s">
        <v>2875</v>
      </c>
      <c r="B201" t="s">
        <v>2876</v>
      </c>
      <c r="C201" s="20">
        <v>36027</v>
      </c>
      <c r="D201" t="s">
        <v>2877</v>
      </c>
      <c r="E201" t="s">
        <v>2878</v>
      </c>
      <c r="F201" t="s">
        <v>2879</v>
      </c>
      <c r="G201" t="s">
        <v>2880</v>
      </c>
      <c r="H201" s="21">
        <v>42516.177430555559</v>
      </c>
      <c r="I201" s="22" t="s">
        <v>1684</v>
      </c>
    </row>
    <row r="202" spans="1:9" x14ac:dyDescent="0.3">
      <c r="A202" t="s">
        <v>2881</v>
      </c>
      <c r="B202" t="s">
        <v>2882</v>
      </c>
      <c r="C202" s="20">
        <v>26381</v>
      </c>
      <c r="D202" t="s">
        <v>2883</v>
      </c>
      <c r="E202" t="s">
        <v>2884</v>
      </c>
      <c r="F202" t="s">
        <v>2885</v>
      </c>
      <c r="G202" t="s">
        <v>2886</v>
      </c>
      <c r="H202" s="21">
        <v>41844.772916666669</v>
      </c>
      <c r="I202" s="22" t="s">
        <v>1684</v>
      </c>
    </row>
    <row r="203" spans="1:9" x14ac:dyDescent="0.3">
      <c r="A203" t="s">
        <v>2887</v>
      </c>
      <c r="B203" t="s">
        <v>2888</v>
      </c>
      <c r="C203" s="20">
        <v>26305</v>
      </c>
      <c r="D203" t="s">
        <v>2889</v>
      </c>
      <c r="E203" t="s">
        <v>2890</v>
      </c>
      <c r="F203" t="s">
        <v>2891</v>
      </c>
      <c r="G203" t="s">
        <v>2892</v>
      </c>
      <c r="H203" s="21">
        <v>40882.767650462964</v>
      </c>
      <c r="I203" s="22" t="s">
        <v>1684</v>
      </c>
    </row>
    <row r="204" spans="1:9" x14ac:dyDescent="0.3">
      <c r="A204" t="s">
        <v>2893</v>
      </c>
      <c r="B204" t="s">
        <v>2894</v>
      </c>
      <c r="C204" s="20">
        <v>25871</v>
      </c>
      <c r="D204" t="s">
        <v>2895</v>
      </c>
      <c r="E204" t="s">
        <v>2896</v>
      </c>
      <c r="F204" t="s">
        <v>2897</v>
      </c>
      <c r="G204" t="s">
        <v>2898</v>
      </c>
      <c r="H204" s="21">
        <v>41479.135949074072</v>
      </c>
      <c r="I204" s="22" t="s">
        <v>1684</v>
      </c>
    </row>
    <row r="205" spans="1:9" x14ac:dyDescent="0.3">
      <c r="A205" t="s">
        <v>2899</v>
      </c>
      <c r="B205" t="s">
        <v>2900</v>
      </c>
      <c r="C205" s="20">
        <v>34403</v>
      </c>
      <c r="D205" t="s">
        <v>2901</v>
      </c>
      <c r="E205" t="s">
        <v>2902</v>
      </c>
      <c r="F205" t="s">
        <v>2903</v>
      </c>
      <c r="G205" t="s">
        <v>2904</v>
      </c>
      <c r="H205" s="21">
        <v>43706.590740740743</v>
      </c>
      <c r="I205" s="22" t="s">
        <v>1684</v>
      </c>
    </row>
    <row r="206" spans="1:9" x14ac:dyDescent="0.3">
      <c r="A206" t="s">
        <v>2905</v>
      </c>
      <c r="B206" t="s">
        <v>2906</v>
      </c>
      <c r="C206" s="20">
        <v>25615</v>
      </c>
      <c r="D206" t="s">
        <v>2907</v>
      </c>
      <c r="E206" t="s">
        <v>2908</v>
      </c>
      <c r="F206" t="s">
        <v>2909</v>
      </c>
      <c r="G206" t="s">
        <v>2910</v>
      </c>
      <c r="H206" s="21">
        <v>43122.329305555555</v>
      </c>
      <c r="I206" s="22" t="s">
        <v>1710</v>
      </c>
    </row>
    <row r="207" spans="1:9" x14ac:dyDescent="0.3">
      <c r="A207" t="s">
        <v>2911</v>
      </c>
      <c r="B207" t="s">
        <v>2912</v>
      </c>
      <c r="C207" s="20">
        <v>26643</v>
      </c>
      <c r="D207" t="s">
        <v>2913</v>
      </c>
      <c r="E207" t="s">
        <v>2914</v>
      </c>
      <c r="F207" t="s">
        <v>2915</v>
      </c>
      <c r="G207" t="s">
        <v>2916</v>
      </c>
      <c r="H207" s="21">
        <v>43606.516145833331</v>
      </c>
      <c r="I207" s="22" t="s">
        <v>1710</v>
      </c>
    </row>
    <row r="208" spans="1:9" x14ac:dyDescent="0.3">
      <c r="A208" t="s">
        <v>2917</v>
      </c>
      <c r="B208" t="s">
        <v>2918</v>
      </c>
      <c r="C208" s="20">
        <v>32866</v>
      </c>
      <c r="D208" t="s">
        <v>2919</v>
      </c>
      <c r="E208" t="s">
        <v>2920</v>
      </c>
      <c r="F208" t="s">
        <v>2921</v>
      </c>
      <c r="G208" t="s">
        <v>2922</v>
      </c>
      <c r="H208" s="21">
        <v>43637.900636574072</v>
      </c>
      <c r="I208" s="22" t="s">
        <v>1691</v>
      </c>
    </row>
    <row r="209" spans="1:9" x14ac:dyDescent="0.3">
      <c r="A209" t="s">
        <v>2923</v>
      </c>
      <c r="B209" t="s">
        <v>2924</v>
      </c>
      <c r="C209" s="20">
        <v>32536</v>
      </c>
      <c r="D209" t="s">
        <v>2925</v>
      </c>
      <c r="E209" t="s">
        <v>2926</v>
      </c>
      <c r="F209" t="s">
        <v>2927</v>
      </c>
      <c r="G209" t="s">
        <v>2928</v>
      </c>
      <c r="H209" s="21">
        <v>40993.195543981485</v>
      </c>
      <c r="I209" s="22" t="s">
        <v>1684</v>
      </c>
    </row>
    <row r="210" spans="1:9" x14ac:dyDescent="0.3">
      <c r="A210" t="s">
        <v>2929</v>
      </c>
      <c r="B210" t="s">
        <v>2930</v>
      </c>
      <c r="C210" s="20">
        <v>35716</v>
      </c>
      <c r="D210" t="s">
        <v>2931</v>
      </c>
      <c r="E210" t="s">
        <v>2932</v>
      </c>
      <c r="F210" t="s">
        <v>2933</v>
      </c>
      <c r="G210" t="s">
        <v>2934</v>
      </c>
      <c r="H210" s="21">
        <v>38781.127754629626</v>
      </c>
      <c r="I210" s="22" t="s">
        <v>1691</v>
      </c>
    </row>
    <row r="211" spans="1:9" x14ac:dyDescent="0.3">
      <c r="A211" t="s">
        <v>2935</v>
      </c>
      <c r="B211" t="s">
        <v>2936</v>
      </c>
      <c r="C211" s="20">
        <v>26515</v>
      </c>
      <c r="D211" t="s">
        <v>2937</v>
      </c>
      <c r="E211" t="s">
        <v>2938</v>
      </c>
      <c r="F211" t="s">
        <v>2939</v>
      </c>
      <c r="G211" t="s">
        <v>2940</v>
      </c>
      <c r="H211" s="21">
        <v>39263.142708333333</v>
      </c>
      <c r="I211" s="22" t="s">
        <v>1729</v>
      </c>
    </row>
    <row r="212" spans="1:9" x14ac:dyDescent="0.3">
      <c r="A212" t="s">
        <v>2941</v>
      </c>
      <c r="B212" t="s">
        <v>2942</v>
      </c>
      <c r="C212" s="20">
        <v>35890</v>
      </c>
      <c r="D212" t="s">
        <v>2943</v>
      </c>
      <c r="E212" t="s">
        <v>2944</v>
      </c>
      <c r="F212" t="s">
        <v>2945</v>
      </c>
      <c r="G212" t="s">
        <v>2946</v>
      </c>
      <c r="H212" s="21">
        <v>42934.617800925924</v>
      </c>
      <c r="I212" s="22" t="s">
        <v>1710</v>
      </c>
    </row>
    <row r="213" spans="1:9" x14ac:dyDescent="0.3">
      <c r="A213" t="s">
        <v>2947</v>
      </c>
      <c r="B213" t="s">
        <v>2948</v>
      </c>
      <c r="C213" s="20">
        <v>29165</v>
      </c>
      <c r="D213" t="s">
        <v>2949</v>
      </c>
      <c r="E213" t="s">
        <v>2950</v>
      </c>
      <c r="F213" t="s">
        <v>2951</v>
      </c>
      <c r="G213" t="s">
        <v>2036</v>
      </c>
      <c r="H213" s="21">
        <v>39320.900439814817</v>
      </c>
      <c r="I213" s="22" t="s">
        <v>1729</v>
      </c>
    </row>
    <row r="214" spans="1:9" x14ac:dyDescent="0.3">
      <c r="A214" t="s">
        <v>2952</v>
      </c>
      <c r="B214" t="s">
        <v>2953</v>
      </c>
      <c r="C214" s="20">
        <v>30020</v>
      </c>
      <c r="D214" t="s">
        <v>2954</v>
      </c>
      <c r="E214" t="s">
        <v>2955</v>
      </c>
      <c r="F214" t="s">
        <v>2956</v>
      </c>
      <c r="G214" t="s">
        <v>2957</v>
      </c>
      <c r="H214" s="21">
        <v>42596.214780092596</v>
      </c>
      <c r="I214" s="22" t="s">
        <v>1736</v>
      </c>
    </row>
    <row r="215" spans="1:9" x14ac:dyDescent="0.3">
      <c r="A215" t="s">
        <v>2958</v>
      </c>
      <c r="B215" t="s">
        <v>2959</v>
      </c>
      <c r="C215" s="20">
        <v>29981</v>
      </c>
      <c r="D215" t="s">
        <v>2960</v>
      </c>
      <c r="E215" t="s">
        <v>2961</v>
      </c>
      <c r="F215" t="s">
        <v>2962</v>
      </c>
      <c r="G215" t="s">
        <v>2963</v>
      </c>
      <c r="H215" s="21">
        <v>43842.537233796298</v>
      </c>
      <c r="I215" s="22" t="s">
        <v>1684</v>
      </c>
    </row>
    <row r="216" spans="1:9" x14ac:dyDescent="0.3">
      <c r="A216" t="s">
        <v>2964</v>
      </c>
      <c r="B216" t="s">
        <v>2965</v>
      </c>
      <c r="C216" s="20">
        <v>29372</v>
      </c>
      <c r="D216" t="s">
        <v>2966</v>
      </c>
      <c r="E216" t="s">
        <v>2967</v>
      </c>
      <c r="F216" t="s">
        <v>2968</v>
      </c>
      <c r="G216" t="s">
        <v>2969</v>
      </c>
      <c r="H216" s="21">
        <v>38851.53328703704</v>
      </c>
      <c r="I216" s="22" t="s">
        <v>1684</v>
      </c>
    </row>
    <row r="217" spans="1:9" x14ac:dyDescent="0.3">
      <c r="A217" t="s">
        <v>2970</v>
      </c>
      <c r="B217" t="s">
        <v>2971</v>
      </c>
      <c r="C217" s="20">
        <v>34787</v>
      </c>
      <c r="D217" t="s">
        <v>2972</v>
      </c>
      <c r="E217" t="s">
        <v>2973</v>
      </c>
      <c r="F217" t="s">
        <v>2974</v>
      </c>
      <c r="G217" t="s">
        <v>2975</v>
      </c>
      <c r="H217" s="21">
        <v>40392.918576388889</v>
      </c>
      <c r="I217" s="22" t="s">
        <v>1736</v>
      </c>
    </row>
    <row r="218" spans="1:9" x14ac:dyDescent="0.3">
      <c r="A218" t="s">
        <v>2976</v>
      </c>
      <c r="B218" t="s">
        <v>2977</v>
      </c>
      <c r="C218" s="20">
        <v>27650</v>
      </c>
      <c r="D218" t="s">
        <v>2978</v>
      </c>
      <c r="E218" t="s">
        <v>2979</v>
      </c>
      <c r="F218" t="s">
        <v>2980</v>
      </c>
      <c r="G218" t="s">
        <v>2981</v>
      </c>
      <c r="H218" s="21">
        <v>41392.874699074076</v>
      </c>
      <c r="I218" s="22" t="s">
        <v>1736</v>
      </c>
    </row>
    <row r="219" spans="1:9" x14ac:dyDescent="0.3">
      <c r="A219" t="s">
        <v>2982</v>
      </c>
      <c r="B219" t="s">
        <v>2983</v>
      </c>
      <c r="C219" s="20">
        <v>29621</v>
      </c>
      <c r="D219" t="s">
        <v>2984</v>
      </c>
      <c r="E219" t="s">
        <v>2985</v>
      </c>
      <c r="F219" t="s">
        <v>2986</v>
      </c>
      <c r="G219" t="s">
        <v>2987</v>
      </c>
      <c r="H219" s="21">
        <v>43798.574988425928</v>
      </c>
      <c r="I219" s="22" t="s">
        <v>1736</v>
      </c>
    </row>
    <row r="220" spans="1:9" x14ac:dyDescent="0.3">
      <c r="A220" t="s">
        <v>2988</v>
      </c>
      <c r="B220" t="s">
        <v>2989</v>
      </c>
      <c r="C220" s="20">
        <v>29241</v>
      </c>
      <c r="D220" t="s">
        <v>2990</v>
      </c>
      <c r="E220" t="s">
        <v>2991</v>
      </c>
      <c r="F220" t="s">
        <v>2992</v>
      </c>
      <c r="G220" t="s">
        <v>2993</v>
      </c>
      <c r="H220" s="21">
        <v>43075.701539351852</v>
      </c>
      <c r="I220" s="22" t="s">
        <v>1710</v>
      </c>
    </row>
    <row r="221" spans="1:9" x14ac:dyDescent="0.3">
      <c r="A221" t="s">
        <v>2994</v>
      </c>
      <c r="B221" t="s">
        <v>2995</v>
      </c>
      <c r="C221" s="20">
        <v>34113</v>
      </c>
      <c r="D221" t="s">
        <v>2996</v>
      </c>
      <c r="E221" t="s">
        <v>2997</v>
      </c>
      <c r="F221" t="s">
        <v>2998</v>
      </c>
      <c r="G221" t="s">
        <v>2999</v>
      </c>
      <c r="H221" s="21">
        <v>38473.242418981485</v>
      </c>
      <c r="I221" s="22" t="s">
        <v>1684</v>
      </c>
    </row>
    <row r="222" spans="1:9" x14ac:dyDescent="0.3">
      <c r="A222" t="s">
        <v>3000</v>
      </c>
      <c r="B222" t="s">
        <v>3001</v>
      </c>
      <c r="C222" s="20">
        <v>31275</v>
      </c>
      <c r="D222" t="s">
        <v>3002</v>
      </c>
      <c r="E222" t="s">
        <v>3003</v>
      </c>
      <c r="F222" t="s">
        <v>3004</v>
      </c>
      <c r="G222" t="s">
        <v>3005</v>
      </c>
      <c r="H222" s="21">
        <v>38949.136643518519</v>
      </c>
      <c r="I222" s="22" t="s">
        <v>1691</v>
      </c>
    </row>
    <row r="223" spans="1:9" x14ac:dyDescent="0.3">
      <c r="A223" t="s">
        <v>3006</v>
      </c>
      <c r="B223" t="s">
        <v>3007</v>
      </c>
      <c r="C223" s="20">
        <v>35851</v>
      </c>
      <c r="D223" t="s">
        <v>3008</v>
      </c>
      <c r="E223" t="s">
        <v>3009</v>
      </c>
      <c r="F223" t="s">
        <v>3010</v>
      </c>
      <c r="G223" t="s">
        <v>3011</v>
      </c>
      <c r="H223" s="21">
        <v>39005.642453703702</v>
      </c>
      <c r="I223" s="22" t="s">
        <v>1691</v>
      </c>
    </row>
    <row r="224" spans="1:9" x14ac:dyDescent="0.3">
      <c r="A224" t="s">
        <v>3012</v>
      </c>
      <c r="B224" t="s">
        <v>3013</v>
      </c>
      <c r="C224" s="20">
        <v>32633</v>
      </c>
      <c r="D224" t="s">
        <v>3014</v>
      </c>
      <c r="E224" t="s">
        <v>3015</v>
      </c>
      <c r="F224" t="s">
        <v>3016</v>
      </c>
      <c r="G224" t="s">
        <v>3017</v>
      </c>
      <c r="H224" s="21">
        <v>41122.587731481479</v>
      </c>
      <c r="I224" s="22" t="s">
        <v>1710</v>
      </c>
    </row>
    <row r="225" spans="1:9" x14ac:dyDescent="0.3">
      <c r="A225" t="s">
        <v>3018</v>
      </c>
      <c r="B225" t="s">
        <v>3019</v>
      </c>
      <c r="C225" s="20">
        <v>34983</v>
      </c>
      <c r="D225" t="s">
        <v>3020</v>
      </c>
      <c r="E225" t="s">
        <v>3021</v>
      </c>
      <c r="F225" t="s">
        <v>3022</v>
      </c>
      <c r="G225" t="s">
        <v>3023</v>
      </c>
      <c r="H225" s="21">
        <v>43440.295613425929</v>
      </c>
      <c r="I225" s="22" t="s">
        <v>1736</v>
      </c>
    </row>
    <row r="226" spans="1:9" x14ac:dyDescent="0.3">
      <c r="A226" t="s">
        <v>3024</v>
      </c>
      <c r="B226" t="s">
        <v>3025</v>
      </c>
      <c r="C226" s="20">
        <v>36289</v>
      </c>
      <c r="D226" t="s">
        <v>3026</v>
      </c>
      <c r="E226" t="s">
        <v>3027</v>
      </c>
      <c r="F226" t="s">
        <v>3028</v>
      </c>
      <c r="G226" t="s">
        <v>3029</v>
      </c>
      <c r="H226" s="21">
        <v>41643.512986111113</v>
      </c>
      <c r="I226" s="22" t="s">
        <v>1729</v>
      </c>
    </row>
    <row r="227" spans="1:9" x14ac:dyDescent="0.3">
      <c r="A227" t="s">
        <v>3030</v>
      </c>
      <c r="B227" t="s">
        <v>3031</v>
      </c>
      <c r="C227" s="20">
        <v>36542</v>
      </c>
      <c r="D227" t="s">
        <v>3032</v>
      </c>
      <c r="E227" t="s">
        <v>3033</v>
      </c>
      <c r="F227" t="s">
        <v>3034</v>
      </c>
      <c r="G227" t="s">
        <v>3035</v>
      </c>
      <c r="H227" s="21">
        <v>41259.266574074078</v>
      </c>
      <c r="I227" s="22" t="s">
        <v>1684</v>
      </c>
    </row>
    <row r="228" spans="1:9" x14ac:dyDescent="0.3">
      <c r="A228" t="s">
        <v>3036</v>
      </c>
      <c r="B228" t="s">
        <v>3037</v>
      </c>
      <c r="C228" s="20">
        <v>33936</v>
      </c>
      <c r="D228" t="s">
        <v>3038</v>
      </c>
      <c r="E228" t="s">
        <v>3039</v>
      </c>
      <c r="F228" t="s">
        <v>3040</v>
      </c>
      <c r="G228" t="s">
        <v>3041</v>
      </c>
      <c r="H228" s="21">
        <v>40271.263912037037</v>
      </c>
      <c r="I228" s="22" t="s">
        <v>1729</v>
      </c>
    </row>
    <row r="229" spans="1:9" x14ac:dyDescent="0.3">
      <c r="A229" t="s">
        <v>3042</v>
      </c>
      <c r="B229" t="s">
        <v>3043</v>
      </c>
      <c r="C229" s="20">
        <v>35929</v>
      </c>
      <c r="D229" t="s">
        <v>3044</v>
      </c>
      <c r="E229" t="s">
        <v>3045</v>
      </c>
      <c r="F229" t="s">
        <v>3046</v>
      </c>
      <c r="G229" t="s">
        <v>3047</v>
      </c>
      <c r="H229" s="21">
        <v>39286.920659722222</v>
      </c>
      <c r="I229" s="22" t="s">
        <v>1736</v>
      </c>
    </row>
    <row r="230" spans="1:9" x14ac:dyDescent="0.3">
      <c r="A230" t="s">
        <v>3048</v>
      </c>
      <c r="B230" t="s">
        <v>3049</v>
      </c>
      <c r="C230" s="20">
        <v>32986</v>
      </c>
      <c r="D230" t="s">
        <v>3050</v>
      </c>
      <c r="E230" t="s">
        <v>3051</v>
      </c>
      <c r="F230" t="s">
        <v>3052</v>
      </c>
      <c r="G230" t="s">
        <v>3053</v>
      </c>
      <c r="H230" s="21">
        <v>42249.933946759258</v>
      </c>
      <c r="I230" s="22" t="s">
        <v>1736</v>
      </c>
    </row>
    <row r="231" spans="1:9" x14ac:dyDescent="0.3">
      <c r="A231" t="s">
        <v>3054</v>
      </c>
      <c r="B231" t="s">
        <v>3055</v>
      </c>
      <c r="C231" s="20">
        <v>30261</v>
      </c>
      <c r="D231" t="s">
        <v>3056</v>
      </c>
      <c r="E231" t="s">
        <v>3057</v>
      </c>
      <c r="F231" t="s">
        <v>3058</v>
      </c>
      <c r="G231" t="s">
        <v>3059</v>
      </c>
      <c r="H231" s="21">
        <v>42871.936921296299</v>
      </c>
      <c r="I231" s="22" t="s">
        <v>1691</v>
      </c>
    </row>
    <row r="232" spans="1:9" x14ac:dyDescent="0.3">
      <c r="A232" t="s">
        <v>3060</v>
      </c>
      <c r="B232" t="s">
        <v>3061</v>
      </c>
      <c r="C232" s="20">
        <v>25961</v>
      </c>
      <c r="D232" t="s">
        <v>3062</v>
      </c>
      <c r="E232" t="s">
        <v>3063</v>
      </c>
      <c r="F232" t="s">
        <v>3064</v>
      </c>
      <c r="G232" t="s">
        <v>3065</v>
      </c>
      <c r="H232" s="21">
        <v>39711.469398148147</v>
      </c>
      <c r="I232" s="22" t="s">
        <v>1691</v>
      </c>
    </row>
    <row r="233" spans="1:9" x14ac:dyDescent="0.3">
      <c r="A233" t="s">
        <v>3066</v>
      </c>
      <c r="B233" t="s">
        <v>3067</v>
      </c>
      <c r="C233" s="20">
        <v>33897</v>
      </c>
      <c r="D233" t="s">
        <v>3068</v>
      </c>
      <c r="E233" t="s">
        <v>3069</v>
      </c>
      <c r="F233" t="s">
        <v>3070</v>
      </c>
      <c r="G233" t="s">
        <v>3071</v>
      </c>
      <c r="H233" s="21">
        <v>38926.735023148147</v>
      </c>
      <c r="I233" s="22" t="s">
        <v>1684</v>
      </c>
    </row>
    <row r="234" spans="1:9" x14ac:dyDescent="0.3">
      <c r="A234" t="s">
        <v>3072</v>
      </c>
      <c r="B234" t="s">
        <v>3073</v>
      </c>
      <c r="C234" s="20">
        <v>30752</v>
      </c>
      <c r="D234" t="s">
        <v>3074</v>
      </c>
      <c r="E234" t="s">
        <v>3075</v>
      </c>
      <c r="F234" t="s">
        <v>3076</v>
      </c>
      <c r="G234" t="s">
        <v>3077</v>
      </c>
      <c r="H234" s="21">
        <v>41486.103877314818</v>
      </c>
      <c r="I234" s="22" t="s">
        <v>1729</v>
      </c>
    </row>
    <row r="235" spans="1:9" x14ac:dyDescent="0.3">
      <c r="A235" t="s">
        <v>3078</v>
      </c>
      <c r="B235" t="s">
        <v>3079</v>
      </c>
      <c r="C235" s="20">
        <v>28593</v>
      </c>
      <c r="D235" t="s">
        <v>3080</v>
      </c>
      <c r="E235" t="s">
        <v>3081</v>
      </c>
      <c r="F235" t="s">
        <v>3082</v>
      </c>
      <c r="G235" t="s">
        <v>3083</v>
      </c>
      <c r="H235" s="21">
        <v>42913.422662037039</v>
      </c>
      <c r="I235" s="22" t="s">
        <v>1736</v>
      </c>
    </row>
    <row r="236" spans="1:9" x14ac:dyDescent="0.3">
      <c r="A236" t="s">
        <v>3084</v>
      </c>
      <c r="B236" t="s">
        <v>3085</v>
      </c>
      <c r="C236" s="20">
        <v>32560</v>
      </c>
      <c r="D236" t="s">
        <v>3086</v>
      </c>
      <c r="E236" t="s">
        <v>3087</v>
      </c>
      <c r="F236" t="s">
        <v>3088</v>
      </c>
      <c r="G236" t="s">
        <v>3089</v>
      </c>
      <c r="H236" s="21">
        <v>41876.844050925924</v>
      </c>
      <c r="I236" s="22" t="s">
        <v>1710</v>
      </c>
    </row>
    <row r="237" spans="1:9" x14ac:dyDescent="0.3">
      <c r="A237" t="s">
        <v>3090</v>
      </c>
      <c r="B237" t="s">
        <v>3091</v>
      </c>
      <c r="C237" s="20">
        <v>36106</v>
      </c>
      <c r="D237" t="s">
        <v>3092</v>
      </c>
      <c r="E237" t="s">
        <v>3093</v>
      </c>
      <c r="F237" t="s">
        <v>3094</v>
      </c>
      <c r="G237" t="s">
        <v>3095</v>
      </c>
      <c r="H237" s="21">
        <v>41222.562164351853</v>
      </c>
      <c r="I237" s="22" t="s">
        <v>1729</v>
      </c>
    </row>
    <row r="238" spans="1:9" x14ac:dyDescent="0.3">
      <c r="A238" t="s">
        <v>3096</v>
      </c>
      <c r="B238" t="s">
        <v>3097</v>
      </c>
      <c r="C238" s="20">
        <v>36253</v>
      </c>
      <c r="D238" t="s">
        <v>3098</v>
      </c>
      <c r="E238" t="s">
        <v>3099</v>
      </c>
      <c r="F238" t="s">
        <v>3100</v>
      </c>
      <c r="G238" t="s">
        <v>3101</v>
      </c>
      <c r="H238" s="21">
        <v>41516.556875000002</v>
      </c>
      <c r="I238" s="22" t="s">
        <v>1736</v>
      </c>
    </row>
    <row r="239" spans="1:9" x14ac:dyDescent="0.3">
      <c r="A239" t="s">
        <v>3102</v>
      </c>
      <c r="B239" t="s">
        <v>3103</v>
      </c>
      <c r="C239" s="20">
        <v>32221</v>
      </c>
      <c r="D239" t="s">
        <v>3104</v>
      </c>
      <c r="E239" t="s">
        <v>3105</v>
      </c>
      <c r="F239" t="s">
        <v>3106</v>
      </c>
      <c r="G239" t="s">
        <v>3107</v>
      </c>
      <c r="H239" s="21">
        <v>39491.522604166668</v>
      </c>
      <c r="I239" s="22" t="s">
        <v>1684</v>
      </c>
    </row>
    <row r="240" spans="1:9" x14ac:dyDescent="0.3">
      <c r="A240" t="s">
        <v>3108</v>
      </c>
      <c r="B240" t="s">
        <v>3109</v>
      </c>
      <c r="C240" s="20">
        <v>30088</v>
      </c>
      <c r="D240" t="s">
        <v>3110</v>
      </c>
      <c r="E240" t="s">
        <v>3111</v>
      </c>
      <c r="F240" t="s">
        <v>3112</v>
      </c>
      <c r="G240" t="s">
        <v>3113</v>
      </c>
      <c r="H240" s="21">
        <v>40473.439293981479</v>
      </c>
      <c r="I240" s="22" t="s">
        <v>1691</v>
      </c>
    </row>
    <row r="241" spans="1:9" x14ac:dyDescent="0.3">
      <c r="A241" t="s">
        <v>3114</v>
      </c>
      <c r="B241" t="s">
        <v>3115</v>
      </c>
      <c r="C241" s="20">
        <v>34650</v>
      </c>
      <c r="D241" t="s">
        <v>3116</v>
      </c>
      <c r="E241" t="s">
        <v>3117</v>
      </c>
      <c r="F241" t="s">
        <v>3118</v>
      </c>
      <c r="G241" t="s">
        <v>3119</v>
      </c>
      <c r="H241" s="21">
        <v>42630.314780092594</v>
      </c>
      <c r="I241" s="22" t="s">
        <v>1736</v>
      </c>
    </row>
    <row r="242" spans="1:9" x14ac:dyDescent="0.3">
      <c r="A242" t="s">
        <v>3120</v>
      </c>
      <c r="B242" t="s">
        <v>3121</v>
      </c>
      <c r="C242" s="20">
        <v>34769</v>
      </c>
      <c r="D242" t="s">
        <v>3122</v>
      </c>
      <c r="E242" t="s">
        <v>3123</v>
      </c>
      <c r="F242" t="s">
        <v>3124</v>
      </c>
      <c r="G242" t="s">
        <v>3125</v>
      </c>
      <c r="H242" s="21">
        <v>38606.783483796295</v>
      </c>
      <c r="I242" s="22" t="s">
        <v>1684</v>
      </c>
    </row>
    <row r="243" spans="1:9" x14ac:dyDescent="0.3">
      <c r="A243" t="s">
        <v>3126</v>
      </c>
      <c r="B243" t="s">
        <v>3127</v>
      </c>
      <c r="C243" s="20">
        <v>29422</v>
      </c>
      <c r="D243" t="s">
        <v>3128</v>
      </c>
      <c r="E243" t="s">
        <v>3129</v>
      </c>
      <c r="F243" t="s">
        <v>3130</v>
      </c>
      <c r="G243" t="s">
        <v>3131</v>
      </c>
      <c r="H243" s="21">
        <v>38657.711967592593</v>
      </c>
      <c r="I243" s="22" t="s">
        <v>1710</v>
      </c>
    </row>
    <row r="244" spans="1:9" x14ac:dyDescent="0.3">
      <c r="A244" t="s">
        <v>3132</v>
      </c>
      <c r="B244" t="s">
        <v>3133</v>
      </c>
      <c r="C244" s="20">
        <v>30800</v>
      </c>
      <c r="D244" t="s">
        <v>3134</v>
      </c>
      <c r="E244" t="s">
        <v>3135</v>
      </c>
      <c r="F244" t="s">
        <v>3136</v>
      </c>
      <c r="G244" t="s">
        <v>3137</v>
      </c>
      <c r="H244" s="21">
        <v>41565.590208333335</v>
      </c>
      <c r="I244" s="22" t="s">
        <v>1684</v>
      </c>
    </row>
    <row r="245" spans="1:9" x14ac:dyDescent="0.3">
      <c r="A245" t="s">
        <v>3138</v>
      </c>
      <c r="B245" t="s">
        <v>3139</v>
      </c>
      <c r="C245" s="20">
        <v>27987</v>
      </c>
      <c r="D245" t="s">
        <v>3140</v>
      </c>
      <c r="E245" t="s">
        <v>3141</v>
      </c>
      <c r="F245" t="s">
        <v>3142</v>
      </c>
      <c r="G245" t="s">
        <v>3143</v>
      </c>
      <c r="H245" s="21">
        <v>39781.585057870368</v>
      </c>
      <c r="I245" s="22" t="s">
        <v>1691</v>
      </c>
    </row>
    <row r="246" spans="1:9" x14ac:dyDescent="0.3">
      <c r="A246" t="s">
        <v>3144</v>
      </c>
      <c r="B246" t="s">
        <v>3145</v>
      </c>
      <c r="C246" s="20">
        <v>31362</v>
      </c>
      <c r="D246" t="s">
        <v>3146</v>
      </c>
      <c r="E246" t="s">
        <v>3147</v>
      </c>
      <c r="F246" t="s">
        <v>3148</v>
      </c>
      <c r="G246" t="s">
        <v>3149</v>
      </c>
      <c r="H246" s="21">
        <v>39518.585578703707</v>
      </c>
      <c r="I246" s="22" t="s">
        <v>1691</v>
      </c>
    </row>
    <row r="247" spans="1:9" x14ac:dyDescent="0.3">
      <c r="A247" t="s">
        <v>3150</v>
      </c>
      <c r="B247" t="s">
        <v>3151</v>
      </c>
      <c r="C247" s="20">
        <v>32483</v>
      </c>
      <c r="D247" t="s">
        <v>3152</v>
      </c>
      <c r="E247" t="s">
        <v>3153</v>
      </c>
      <c r="F247" t="s">
        <v>3154</v>
      </c>
      <c r="G247" t="s">
        <v>3155</v>
      </c>
      <c r="H247" s="21">
        <v>43260.300254629627</v>
      </c>
      <c r="I247" s="22" t="s">
        <v>1710</v>
      </c>
    </row>
    <row r="248" spans="1:9" x14ac:dyDescent="0.3">
      <c r="A248" t="s">
        <v>3156</v>
      </c>
      <c r="B248" t="s">
        <v>3157</v>
      </c>
      <c r="C248" s="20">
        <v>33407</v>
      </c>
      <c r="D248" t="s">
        <v>3158</v>
      </c>
      <c r="E248" t="s">
        <v>3159</v>
      </c>
      <c r="F248" t="s">
        <v>3160</v>
      </c>
      <c r="G248" t="s">
        <v>3161</v>
      </c>
      <c r="H248" s="21">
        <v>43662.63003472222</v>
      </c>
      <c r="I248" s="22" t="s">
        <v>1736</v>
      </c>
    </row>
    <row r="249" spans="1:9" x14ac:dyDescent="0.3">
      <c r="A249" t="s">
        <v>3162</v>
      </c>
      <c r="B249" t="s">
        <v>3163</v>
      </c>
      <c r="C249" s="20">
        <v>26762</v>
      </c>
      <c r="D249" t="s">
        <v>3164</v>
      </c>
      <c r="E249" t="s">
        <v>3165</v>
      </c>
      <c r="F249" t="s">
        <v>3166</v>
      </c>
      <c r="G249" t="s">
        <v>3167</v>
      </c>
      <c r="H249" s="21">
        <v>43688.90425925926</v>
      </c>
      <c r="I249" s="22" t="s">
        <v>1736</v>
      </c>
    </row>
    <row r="250" spans="1:9" x14ac:dyDescent="0.3">
      <c r="A250" t="s">
        <v>3168</v>
      </c>
      <c r="B250" t="s">
        <v>3169</v>
      </c>
      <c r="C250" s="20">
        <v>33868</v>
      </c>
      <c r="D250" t="s">
        <v>3170</v>
      </c>
      <c r="E250" t="s">
        <v>3171</v>
      </c>
      <c r="F250" t="s">
        <v>3172</v>
      </c>
      <c r="G250" t="s">
        <v>3173</v>
      </c>
      <c r="H250" s="21">
        <v>41460.620393518519</v>
      </c>
      <c r="I250" s="22" t="s">
        <v>1710</v>
      </c>
    </row>
    <row r="251" spans="1:9" x14ac:dyDescent="0.3">
      <c r="A251" t="s">
        <v>3174</v>
      </c>
      <c r="B251" t="s">
        <v>3175</v>
      </c>
      <c r="C251" s="20">
        <v>31153</v>
      </c>
      <c r="D251" t="s">
        <v>3176</v>
      </c>
      <c r="E251" t="s">
        <v>3177</v>
      </c>
      <c r="F251" t="s">
        <v>3178</v>
      </c>
      <c r="G251" t="s">
        <v>3179</v>
      </c>
      <c r="H251" s="21">
        <v>42373.459155092591</v>
      </c>
      <c r="I251" s="22" t="s">
        <v>1736</v>
      </c>
    </row>
    <row r="252" spans="1:9" x14ac:dyDescent="0.3">
      <c r="A252" t="s">
        <v>3180</v>
      </c>
      <c r="B252" t="s">
        <v>3181</v>
      </c>
      <c r="C252" s="20">
        <v>27550</v>
      </c>
      <c r="D252" t="s">
        <v>3182</v>
      </c>
      <c r="E252" t="s">
        <v>3183</v>
      </c>
      <c r="F252" t="s">
        <v>3184</v>
      </c>
      <c r="G252" t="s">
        <v>3185</v>
      </c>
      <c r="H252" s="21">
        <v>43816.593391203707</v>
      </c>
      <c r="I252" s="22" t="s">
        <v>1684</v>
      </c>
    </row>
    <row r="253" spans="1:9" x14ac:dyDescent="0.3">
      <c r="A253" t="s">
        <v>3186</v>
      </c>
      <c r="B253" t="s">
        <v>3187</v>
      </c>
      <c r="C253" s="20">
        <v>28352</v>
      </c>
      <c r="D253" t="s">
        <v>3188</v>
      </c>
      <c r="E253" t="s">
        <v>3189</v>
      </c>
      <c r="F253" t="s">
        <v>3190</v>
      </c>
      <c r="G253" t="s">
        <v>3191</v>
      </c>
      <c r="H253" s="21">
        <v>41490.739224537036</v>
      </c>
      <c r="I253" s="22" t="s">
        <v>1684</v>
      </c>
    </row>
    <row r="254" spans="1:9" x14ac:dyDescent="0.3">
      <c r="A254" t="s">
        <v>3192</v>
      </c>
      <c r="B254" t="s">
        <v>3193</v>
      </c>
      <c r="C254" s="20">
        <v>33340</v>
      </c>
      <c r="D254" t="s">
        <v>3194</v>
      </c>
      <c r="E254" t="s">
        <v>3195</v>
      </c>
      <c r="F254" t="s">
        <v>3196</v>
      </c>
      <c r="G254" t="s">
        <v>3197</v>
      </c>
      <c r="H254" s="21">
        <v>40138.487928240742</v>
      </c>
      <c r="I254" s="22" t="s">
        <v>1684</v>
      </c>
    </row>
    <row r="255" spans="1:9" x14ac:dyDescent="0.3">
      <c r="A255" t="s">
        <v>3198</v>
      </c>
      <c r="B255" t="s">
        <v>3199</v>
      </c>
      <c r="C255" s="20">
        <v>31436</v>
      </c>
      <c r="D255" t="s">
        <v>3200</v>
      </c>
      <c r="E255" t="s">
        <v>3201</v>
      </c>
      <c r="F255" t="s">
        <v>3202</v>
      </c>
      <c r="G255" t="s">
        <v>3203</v>
      </c>
      <c r="H255" s="21">
        <v>39283.893460648149</v>
      </c>
      <c r="I255" s="22" t="s">
        <v>1691</v>
      </c>
    </row>
    <row r="256" spans="1:9" x14ac:dyDescent="0.3">
      <c r="A256" t="s">
        <v>3204</v>
      </c>
      <c r="B256" t="s">
        <v>3205</v>
      </c>
      <c r="C256" s="20">
        <v>26615</v>
      </c>
      <c r="D256" t="s">
        <v>3206</v>
      </c>
      <c r="E256" t="s">
        <v>3207</v>
      </c>
      <c r="F256" t="s">
        <v>3208</v>
      </c>
      <c r="G256" t="s">
        <v>3209</v>
      </c>
      <c r="H256" s="21">
        <v>42153.647835648146</v>
      </c>
      <c r="I256" s="22" t="s">
        <v>1729</v>
      </c>
    </row>
    <row r="257" spans="1:9" x14ac:dyDescent="0.3">
      <c r="A257" t="s">
        <v>3210</v>
      </c>
      <c r="B257" t="s">
        <v>3211</v>
      </c>
      <c r="C257" s="20">
        <v>32053</v>
      </c>
      <c r="D257" t="s">
        <v>3212</v>
      </c>
      <c r="E257" t="s">
        <v>3213</v>
      </c>
      <c r="F257" t="s">
        <v>3214</v>
      </c>
      <c r="G257" t="s">
        <v>3215</v>
      </c>
      <c r="H257" s="21">
        <v>39345.462337962963</v>
      </c>
      <c r="I257" s="22" t="s">
        <v>1691</v>
      </c>
    </row>
    <row r="258" spans="1:9" x14ac:dyDescent="0.3">
      <c r="A258" t="s">
        <v>3216</v>
      </c>
      <c r="B258" t="s">
        <v>3217</v>
      </c>
      <c r="C258" s="20">
        <v>32410</v>
      </c>
      <c r="D258" t="s">
        <v>3218</v>
      </c>
      <c r="E258" t="s">
        <v>3219</v>
      </c>
      <c r="F258" t="s">
        <v>3220</v>
      </c>
      <c r="G258" t="s">
        <v>3221</v>
      </c>
      <c r="H258" s="21">
        <v>40961.686793981484</v>
      </c>
      <c r="I258" s="22" t="s">
        <v>1710</v>
      </c>
    </row>
    <row r="259" spans="1:9" x14ac:dyDescent="0.3">
      <c r="A259" t="s">
        <v>3222</v>
      </c>
      <c r="B259" t="s">
        <v>3223</v>
      </c>
      <c r="C259" s="20">
        <v>32777</v>
      </c>
      <c r="D259" t="s">
        <v>3224</v>
      </c>
      <c r="E259" t="s">
        <v>3225</v>
      </c>
      <c r="F259" t="s">
        <v>3226</v>
      </c>
      <c r="G259" t="s">
        <v>3227</v>
      </c>
      <c r="H259" s="21">
        <v>40483.95894675926</v>
      </c>
      <c r="I259" s="22" t="s">
        <v>1736</v>
      </c>
    </row>
    <row r="260" spans="1:9" x14ac:dyDescent="0.3">
      <c r="A260" t="s">
        <v>3228</v>
      </c>
      <c r="B260" t="s">
        <v>3229</v>
      </c>
      <c r="C260" s="20">
        <v>25745</v>
      </c>
      <c r="D260" t="s">
        <v>3230</v>
      </c>
      <c r="E260" t="s">
        <v>3231</v>
      </c>
      <c r="F260" t="s">
        <v>3232</v>
      </c>
      <c r="G260" t="s">
        <v>3233</v>
      </c>
      <c r="H260" s="21">
        <v>43916.961296296293</v>
      </c>
      <c r="I260" s="22" t="s">
        <v>1684</v>
      </c>
    </row>
    <row r="261" spans="1:9" x14ac:dyDescent="0.3">
      <c r="A261" t="s">
        <v>3234</v>
      </c>
      <c r="B261" t="s">
        <v>3235</v>
      </c>
      <c r="C261" s="20">
        <v>32840</v>
      </c>
      <c r="D261" t="s">
        <v>3236</v>
      </c>
      <c r="E261" t="s">
        <v>3237</v>
      </c>
      <c r="F261" t="s">
        <v>3238</v>
      </c>
      <c r="G261" t="s">
        <v>3239</v>
      </c>
      <c r="H261" s="21">
        <v>42369.362060185187</v>
      </c>
      <c r="I261" s="22" t="s">
        <v>1710</v>
      </c>
    </row>
    <row r="262" spans="1:9" x14ac:dyDescent="0.3">
      <c r="A262" t="s">
        <v>3240</v>
      </c>
      <c r="B262" t="s">
        <v>3241</v>
      </c>
      <c r="C262" s="20">
        <v>29361</v>
      </c>
      <c r="D262" t="s">
        <v>3242</v>
      </c>
      <c r="E262" t="s">
        <v>3243</v>
      </c>
      <c r="F262" t="s">
        <v>3244</v>
      </c>
      <c r="G262" t="s">
        <v>3245</v>
      </c>
      <c r="H262" s="21">
        <v>38916.058587962965</v>
      </c>
      <c r="I262" s="22" t="s">
        <v>1729</v>
      </c>
    </row>
    <row r="263" spans="1:9" x14ac:dyDescent="0.3">
      <c r="A263" t="s">
        <v>3246</v>
      </c>
      <c r="B263" t="s">
        <v>3247</v>
      </c>
      <c r="C263" s="20">
        <v>26651</v>
      </c>
      <c r="D263" t="s">
        <v>3248</v>
      </c>
      <c r="E263" t="s">
        <v>3249</v>
      </c>
      <c r="F263" t="s">
        <v>3250</v>
      </c>
      <c r="G263" t="s">
        <v>3251</v>
      </c>
      <c r="H263" s="21">
        <v>39655.152372685188</v>
      </c>
      <c r="I263" s="22" t="s">
        <v>1729</v>
      </c>
    </row>
    <row r="264" spans="1:9" x14ac:dyDescent="0.3">
      <c r="A264" t="s">
        <v>3252</v>
      </c>
      <c r="B264" t="s">
        <v>3253</v>
      </c>
      <c r="C264" s="20">
        <v>28558</v>
      </c>
      <c r="D264" t="s">
        <v>3254</v>
      </c>
      <c r="E264" t="s">
        <v>3255</v>
      </c>
      <c r="F264" t="s">
        <v>3256</v>
      </c>
      <c r="G264" t="s">
        <v>3257</v>
      </c>
      <c r="H264" s="21">
        <v>39678.918865740743</v>
      </c>
      <c r="I264" s="22" t="s">
        <v>1684</v>
      </c>
    </row>
    <row r="265" spans="1:9" x14ac:dyDescent="0.3">
      <c r="A265" t="s">
        <v>3258</v>
      </c>
      <c r="B265" t="s">
        <v>3259</v>
      </c>
      <c r="C265" s="20">
        <v>35800</v>
      </c>
      <c r="D265" t="s">
        <v>3260</v>
      </c>
      <c r="E265" t="s">
        <v>3261</v>
      </c>
      <c r="F265" t="s">
        <v>3262</v>
      </c>
      <c r="G265" t="s">
        <v>3263</v>
      </c>
      <c r="H265" s="21">
        <v>42832.905335648145</v>
      </c>
      <c r="I265" s="22" t="s">
        <v>1691</v>
      </c>
    </row>
    <row r="266" spans="1:9" x14ac:dyDescent="0.3">
      <c r="A266" t="s">
        <v>3264</v>
      </c>
      <c r="B266" t="s">
        <v>3265</v>
      </c>
      <c r="C266" s="20">
        <v>26676</v>
      </c>
      <c r="D266" t="s">
        <v>3266</v>
      </c>
      <c r="E266" t="s">
        <v>3267</v>
      </c>
      <c r="F266" t="s">
        <v>3268</v>
      </c>
      <c r="G266" t="s">
        <v>3269</v>
      </c>
      <c r="H266" s="21">
        <v>41378.130613425928</v>
      </c>
      <c r="I266" s="22" t="s">
        <v>1684</v>
      </c>
    </row>
    <row r="267" spans="1:9" x14ac:dyDescent="0.3">
      <c r="A267" t="s">
        <v>3270</v>
      </c>
      <c r="B267" t="s">
        <v>3271</v>
      </c>
      <c r="C267" s="20">
        <v>30314</v>
      </c>
      <c r="D267" t="s">
        <v>3272</v>
      </c>
      <c r="E267" t="s">
        <v>3273</v>
      </c>
      <c r="F267" t="s">
        <v>3274</v>
      </c>
      <c r="G267" t="s">
        <v>3275</v>
      </c>
      <c r="H267" s="21">
        <v>38978.842314814814</v>
      </c>
      <c r="I267" s="22" t="s">
        <v>1684</v>
      </c>
    </row>
    <row r="268" spans="1:9" x14ac:dyDescent="0.3">
      <c r="A268" t="s">
        <v>3276</v>
      </c>
      <c r="B268" t="s">
        <v>3277</v>
      </c>
      <c r="C268" s="20">
        <v>30405</v>
      </c>
      <c r="D268" t="s">
        <v>3278</v>
      </c>
      <c r="E268" t="s">
        <v>3279</v>
      </c>
      <c r="F268" t="s">
        <v>3280</v>
      </c>
      <c r="G268" t="s">
        <v>3281</v>
      </c>
      <c r="H268" s="21">
        <v>38560.231388888889</v>
      </c>
      <c r="I268" s="22" t="s">
        <v>1710</v>
      </c>
    </row>
    <row r="269" spans="1:9" x14ac:dyDescent="0.3">
      <c r="A269" t="s">
        <v>3282</v>
      </c>
      <c r="B269" t="s">
        <v>3283</v>
      </c>
      <c r="C269" s="20">
        <v>34240</v>
      </c>
      <c r="D269" t="s">
        <v>3284</v>
      </c>
      <c r="E269" t="s">
        <v>3285</v>
      </c>
      <c r="F269" t="s">
        <v>3286</v>
      </c>
      <c r="G269" t="s">
        <v>3287</v>
      </c>
      <c r="H269" s="21">
        <v>43292.350925925923</v>
      </c>
      <c r="I269" s="22" t="s">
        <v>1691</v>
      </c>
    </row>
    <row r="270" spans="1:9" x14ac:dyDescent="0.3">
      <c r="A270" t="s">
        <v>3288</v>
      </c>
      <c r="B270" t="s">
        <v>3289</v>
      </c>
      <c r="C270" s="20">
        <v>31077</v>
      </c>
      <c r="D270" t="s">
        <v>3290</v>
      </c>
      <c r="E270" t="s">
        <v>3291</v>
      </c>
      <c r="F270" t="s">
        <v>3292</v>
      </c>
      <c r="G270" t="s">
        <v>3293</v>
      </c>
      <c r="H270" s="21">
        <v>39377.973969907405</v>
      </c>
      <c r="I270" s="22" t="s">
        <v>1691</v>
      </c>
    </row>
    <row r="271" spans="1:9" x14ac:dyDescent="0.3">
      <c r="A271" t="s">
        <v>3294</v>
      </c>
      <c r="B271" t="s">
        <v>3295</v>
      </c>
      <c r="C271" s="20">
        <v>34928</v>
      </c>
      <c r="D271" t="s">
        <v>3296</v>
      </c>
      <c r="E271" t="s">
        <v>3297</v>
      </c>
      <c r="F271" t="s">
        <v>3298</v>
      </c>
      <c r="G271" t="s">
        <v>3299</v>
      </c>
      <c r="H271" s="21">
        <v>40069.496296296296</v>
      </c>
      <c r="I271" s="22" t="s">
        <v>1684</v>
      </c>
    </row>
    <row r="272" spans="1:9" x14ac:dyDescent="0.3">
      <c r="A272" t="s">
        <v>3300</v>
      </c>
      <c r="B272" t="s">
        <v>3301</v>
      </c>
      <c r="C272" s="20">
        <v>35006</v>
      </c>
      <c r="D272" t="s">
        <v>3302</v>
      </c>
      <c r="E272" t="s">
        <v>3303</v>
      </c>
      <c r="F272" t="s">
        <v>3304</v>
      </c>
      <c r="G272" t="s">
        <v>3305</v>
      </c>
      <c r="H272" s="21">
        <v>44256.182337962964</v>
      </c>
      <c r="I272" s="22" t="s">
        <v>1691</v>
      </c>
    </row>
    <row r="273" spans="1:9" x14ac:dyDescent="0.3">
      <c r="A273" t="s">
        <v>3306</v>
      </c>
      <c r="B273" t="s">
        <v>3307</v>
      </c>
      <c r="C273" s="20">
        <v>36272</v>
      </c>
      <c r="D273" t="s">
        <v>3308</v>
      </c>
      <c r="E273" t="s">
        <v>3309</v>
      </c>
      <c r="F273" t="s">
        <v>3310</v>
      </c>
      <c r="G273" t="s">
        <v>3311</v>
      </c>
      <c r="H273" s="21">
        <v>38833.594178240739</v>
      </c>
      <c r="I273" s="22" t="s">
        <v>1729</v>
      </c>
    </row>
    <row r="274" spans="1:9" x14ac:dyDescent="0.3">
      <c r="A274" t="s">
        <v>3312</v>
      </c>
      <c r="B274" t="s">
        <v>3313</v>
      </c>
      <c r="C274" s="20">
        <v>29636</v>
      </c>
      <c r="D274" t="s">
        <v>3314</v>
      </c>
      <c r="E274" t="s">
        <v>3315</v>
      </c>
      <c r="F274" t="s">
        <v>3316</v>
      </c>
      <c r="G274" t="s">
        <v>3317</v>
      </c>
      <c r="H274" s="21">
        <v>41927.602175925924</v>
      </c>
      <c r="I274" s="22" t="s">
        <v>1729</v>
      </c>
    </row>
    <row r="275" spans="1:9" x14ac:dyDescent="0.3">
      <c r="A275" t="s">
        <v>3318</v>
      </c>
      <c r="B275" t="s">
        <v>3319</v>
      </c>
      <c r="C275" s="20">
        <v>26416</v>
      </c>
      <c r="D275" t="s">
        <v>3320</v>
      </c>
      <c r="E275" t="s">
        <v>3321</v>
      </c>
      <c r="F275" t="s">
        <v>3322</v>
      </c>
      <c r="G275" t="s">
        <v>3323</v>
      </c>
      <c r="H275" s="21">
        <v>42295.233703703707</v>
      </c>
      <c r="I275" s="22" t="s">
        <v>1691</v>
      </c>
    </row>
    <row r="276" spans="1:9" x14ac:dyDescent="0.3">
      <c r="A276" t="s">
        <v>3324</v>
      </c>
      <c r="B276" t="s">
        <v>3325</v>
      </c>
      <c r="C276" s="20">
        <v>36039</v>
      </c>
      <c r="D276" t="s">
        <v>3326</v>
      </c>
      <c r="E276" t="s">
        <v>3327</v>
      </c>
      <c r="F276" t="s">
        <v>3328</v>
      </c>
      <c r="G276" t="s">
        <v>3329</v>
      </c>
      <c r="H276" s="21">
        <v>39841.491585648146</v>
      </c>
      <c r="I276" s="22" t="s">
        <v>1710</v>
      </c>
    </row>
    <row r="277" spans="1:9" x14ac:dyDescent="0.3">
      <c r="A277" t="s">
        <v>3330</v>
      </c>
      <c r="B277" t="s">
        <v>3331</v>
      </c>
      <c r="C277" s="20">
        <v>35354</v>
      </c>
      <c r="D277" t="s">
        <v>3332</v>
      </c>
      <c r="E277" t="s">
        <v>3333</v>
      </c>
      <c r="F277" t="s">
        <v>3334</v>
      </c>
      <c r="G277" t="s">
        <v>3335</v>
      </c>
      <c r="H277" s="21">
        <v>44315.003240740742</v>
      </c>
      <c r="I277" s="22" t="s">
        <v>1729</v>
      </c>
    </row>
    <row r="278" spans="1:9" x14ac:dyDescent="0.3">
      <c r="A278" t="s">
        <v>3336</v>
      </c>
      <c r="B278" t="s">
        <v>3337</v>
      </c>
      <c r="C278" s="20">
        <v>29502</v>
      </c>
      <c r="D278" t="s">
        <v>3338</v>
      </c>
      <c r="E278" t="s">
        <v>3339</v>
      </c>
      <c r="F278" t="s">
        <v>3340</v>
      </c>
      <c r="G278" t="s">
        <v>3341</v>
      </c>
      <c r="H278" s="21">
        <v>42120.284895833334</v>
      </c>
      <c r="I278" s="22" t="s">
        <v>1736</v>
      </c>
    </row>
    <row r="279" spans="1:9" x14ac:dyDescent="0.3">
      <c r="A279" t="s">
        <v>3342</v>
      </c>
      <c r="B279" t="s">
        <v>3343</v>
      </c>
      <c r="C279" s="20">
        <v>27431</v>
      </c>
      <c r="D279" t="s">
        <v>3344</v>
      </c>
      <c r="E279" t="s">
        <v>3345</v>
      </c>
      <c r="F279" t="s">
        <v>3346</v>
      </c>
      <c r="G279" t="s">
        <v>3347</v>
      </c>
      <c r="H279" s="21">
        <v>41759.785671296297</v>
      </c>
      <c r="I279" s="22" t="s">
        <v>1736</v>
      </c>
    </row>
    <row r="280" spans="1:9" x14ac:dyDescent="0.3">
      <c r="A280" t="s">
        <v>3348</v>
      </c>
      <c r="B280" t="s">
        <v>3349</v>
      </c>
      <c r="C280" s="20">
        <v>34404</v>
      </c>
      <c r="D280" t="s">
        <v>3350</v>
      </c>
      <c r="E280" t="s">
        <v>3351</v>
      </c>
      <c r="F280" t="s">
        <v>3352</v>
      </c>
      <c r="G280" t="s">
        <v>3353</v>
      </c>
      <c r="H280" s="21">
        <v>41547.480879629627</v>
      </c>
      <c r="I280" s="22" t="s">
        <v>1691</v>
      </c>
    </row>
    <row r="281" spans="1:9" x14ac:dyDescent="0.3">
      <c r="A281" t="s">
        <v>3354</v>
      </c>
      <c r="B281" t="s">
        <v>3355</v>
      </c>
      <c r="C281" s="20">
        <v>35595</v>
      </c>
      <c r="D281" t="s">
        <v>3356</v>
      </c>
      <c r="E281" t="s">
        <v>3357</v>
      </c>
      <c r="F281" t="s">
        <v>3358</v>
      </c>
      <c r="G281" t="s">
        <v>3359</v>
      </c>
      <c r="H281" s="21">
        <v>43674.233796296299</v>
      </c>
      <c r="I281" s="22" t="s">
        <v>1736</v>
      </c>
    </row>
    <row r="282" spans="1:9" x14ac:dyDescent="0.3">
      <c r="A282" t="s">
        <v>3360</v>
      </c>
      <c r="B282" t="s">
        <v>3361</v>
      </c>
      <c r="C282" s="20">
        <v>32113</v>
      </c>
      <c r="D282" t="s">
        <v>3362</v>
      </c>
      <c r="E282" t="s">
        <v>3363</v>
      </c>
      <c r="F282" t="s">
        <v>3364</v>
      </c>
      <c r="G282" t="s">
        <v>3365</v>
      </c>
      <c r="H282" s="21">
        <v>43524.248645833337</v>
      </c>
      <c r="I282" s="22" t="s">
        <v>1736</v>
      </c>
    </row>
    <row r="283" spans="1:9" x14ac:dyDescent="0.3">
      <c r="A283" t="s">
        <v>3366</v>
      </c>
      <c r="B283" t="s">
        <v>3367</v>
      </c>
      <c r="C283" s="20">
        <v>29682</v>
      </c>
      <c r="D283" t="s">
        <v>3368</v>
      </c>
      <c r="E283" t="s">
        <v>3369</v>
      </c>
      <c r="F283" t="s">
        <v>3370</v>
      </c>
      <c r="G283" t="s">
        <v>3371</v>
      </c>
      <c r="H283" s="21">
        <v>42535.441793981481</v>
      </c>
      <c r="I283" s="22" t="s">
        <v>1710</v>
      </c>
    </row>
    <row r="284" spans="1:9" x14ac:dyDescent="0.3">
      <c r="A284" t="s">
        <v>3372</v>
      </c>
      <c r="B284" t="s">
        <v>3373</v>
      </c>
      <c r="C284" s="20">
        <v>25678</v>
      </c>
      <c r="D284" t="s">
        <v>3374</v>
      </c>
      <c r="E284" t="s">
        <v>3375</v>
      </c>
      <c r="F284" t="s">
        <v>3376</v>
      </c>
      <c r="G284" t="s">
        <v>3377</v>
      </c>
      <c r="H284" s="21">
        <v>40885.832106481481</v>
      </c>
      <c r="I284" s="22" t="s">
        <v>1684</v>
      </c>
    </row>
    <row r="285" spans="1:9" x14ac:dyDescent="0.3">
      <c r="A285" t="s">
        <v>3378</v>
      </c>
      <c r="B285" t="s">
        <v>3379</v>
      </c>
      <c r="C285" s="20">
        <v>33400</v>
      </c>
      <c r="D285" t="s">
        <v>3380</v>
      </c>
      <c r="E285" t="s">
        <v>3381</v>
      </c>
      <c r="F285" t="s">
        <v>3382</v>
      </c>
      <c r="G285" t="s">
        <v>3383</v>
      </c>
      <c r="H285" s="21">
        <v>42995.284710648149</v>
      </c>
      <c r="I285" s="22" t="s">
        <v>1684</v>
      </c>
    </row>
    <row r="286" spans="1:9" x14ac:dyDescent="0.3">
      <c r="A286" t="s">
        <v>3384</v>
      </c>
      <c r="B286" t="s">
        <v>3385</v>
      </c>
      <c r="C286" s="20">
        <v>31998</v>
      </c>
      <c r="D286" t="s">
        <v>3386</v>
      </c>
      <c r="E286" t="s">
        <v>3387</v>
      </c>
      <c r="F286" t="s">
        <v>3388</v>
      </c>
      <c r="G286" t="s">
        <v>3389</v>
      </c>
      <c r="H286" s="21">
        <v>41749.716666666667</v>
      </c>
      <c r="I286" s="22" t="s">
        <v>1710</v>
      </c>
    </row>
    <row r="287" spans="1:9" x14ac:dyDescent="0.3">
      <c r="A287" t="s">
        <v>3390</v>
      </c>
      <c r="B287" t="s">
        <v>3391</v>
      </c>
      <c r="C287" s="20">
        <v>29814</v>
      </c>
      <c r="D287" t="s">
        <v>3392</v>
      </c>
      <c r="E287" t="s">
        <v>3393</v>
      </c>
      <c r="F287" t="s">
        <v>3394</v>
      </c>
      <c r="G287" t="s">
        <v>3395</v>
      </c>
      <c r="H287" s="21">
        <v>41323.281527777777</v>
      </c>
      <c r="I287" s="22" t="s">
        <v>1691</v>
      </c>
    </row>
    <row r="288" spans="1:9" x14ac:dyDescent="0.3">
      <c r="A288" t="s">
        <v>3396</v>
      </c>
      <c r="B288" t="s">
        <v>3397</v>
      </c>
      <c r="C288" s="20">
        <v>30490</v>
      </c>
      <c r="D288" t="s">
        <v>3398</v>
      </c>
      <c r="E288" t="s">
        <v>3399</v>
      </c>
      <c r="F288" t="s">
        <v>3400</v>
      </c>
      <c r="G288" t="s">
        <v>3401</v>
      </c>
      <c r="H288" s="21">
        <v>38515.100057870368</v>
      </c>
      <c r="I288" s="22" t="s">
        <v>1710</v>
      </c>
    </row>
    <row r="289" spans="1:9" x14ac:dyDescent="0.3">
      <c r="A289" t="s">
        <v>3402</v>
      </c>
      <c r="B289" t="s">
        <v>3403</v>
      </c>
      <c r="C289" s="20">
        <v>34706</v>
      </c>
      <c r="D289" t="s">
        <v>3404</v>
      </c>
      <c r="E289" t="s">
        <v>3405</v>
      </c>
      <c r="F289" t="s">
        <v>3406</v>
      </c>
      <c r="G289" t="s">
        <v>3407</v>
      </c>
      <c r="H289" s="21">
        <v>43464.149502314816</v>
      </c>
      <c r="I289" s="22" t="s">
        <v>1691</v>
      </c>
    </row>
    <row r="290" spans="1:9" x14ac:dyDescent="0.3">
      <c r="A290" t="s">
        <v>3408</v>
      </c>
      <c r="B290" t="s">
        <v>3409</v>
      </c>
      <c r="C290" s="20">
        <v>26643</v>
      </c>
      <c r="D290" t="s">
        <v>3410</v>
      </c>
      <c r="E290" t="s">
        <v>3411</v>
      </c>
      <c r="F290" t="s">
        <v>3412</v>
      </c>
      <c r="G290" t="s">
        <v>3413</v>
      </c>
      <c r="H290" s="21">
        <v>43040.732488425929</v>
      </c>
      <c r="I290" s="22" t="s">
        <v>1710</v>
      </c>
    </row>
    <row r="291" spans="1:9" x14ac:dyDescent="0.3">
      <c r="A291" t="s">
        <v>3414</v>
      </c>
      <c r="B291" t="s">
        <v>3415</v>
      </c>
      <c r="C291" s="20">
        <v>25785</v>
      </c>
      <c r="D291" t="s">
        <v>3416</v>
      </c>
      <c r="E291" t="s">
        <v>3417</v>
      </c>
      <c r="F291" t="s">
        <v>3418</v>
      </c>
      <c r="G291" t="s">
        <v>3419</v>
      </c>
      <c r="H291" s="21">
        <v>41448.701967592591</v>
      </c>
      <c r="I291" s="22" t="s">
        <v>1736</v>
      </c>
    </row>
    <row r="292" spans="1:9" x14ac:dyDescent="0.3">
      <c r="A292" t="s">
        <v>3420</v>
      </c>
      <c r="B292" t="s">
        <v>3421</v>
      </c>
      <c r="C292" s="20">
        <v>26571</v>
      </c>
      <c r="D292" t="s">
        <v>3422</v>
      </c>
      <c r="E292" t="s">
        <v>3423</v>
      </c>
      <c r="F292" t="s">
        <v>3424</v>
      </c>
      <c r="G292" t="s">
        <v>1916</v>
      </c>
      <c r="H292" s="21">
        <v>39049.339155092595</v>
      </c>
      <c r="I292" s="22" t="s">
        <v>1684</v>
      </c>
    </row>
    <row r="293" spans="1:9" x14ac:dyDescent="0.3">
      <c r="A293" t="s">
        <v>3425</v>
      </c>
      <c r="B293" t="s">
        <v>3426</v>
      </c>
      <c r="C293" s="20">
        <v>31181</v>
      </c>
      <c r="D293" t="s">
        <v>3427</v>
      </c>
      <c r="E293" t="s">
        <v>3428</v>
      </c>
      <c r="F293" t="s">
        <v>3429</v>
      </c>
      <c r="G293" t="s">
        <v>3430</v>
      </c>
      <c r="H293" s="21">
        <v>42902.938043981485</v>
      </c>
      <c r="I293" s="22" t="s">
        <v>1729</v>
      </c>
    </row>
    <row r="294" spans="1:9" x14ac:dyDescent="0.3">
      <c r="A294" t="s">
        <v>3431</v>
      </c>
      <c r="B294" t="s">
        <v>3432</v>
      </c>
      <c r="C294" s="20">
        <v>35710</v>
      </c>
      <c r="D294" t="s">
        <v>3433</v>
      </c>
      <c r="E294" t="s">
        <v>3434</v>
      </c>
      <c r="F294" t="s">
        <v>3435</v>
      </c>
      <c r="G294" t="s">
        <v>3436</v>
      </c>
      <c r="H294" s="21">
        <v>43531.276180555556</v>
      </c>
      <c r="I294" s="22" t="s">
        <v>1691</v>
      </c>
    </row>
    <row r="295" spans="1:9" x14ac:dyDescent="0.3">
      <c r="A295" t="s">
        <v>3437</v>
      </c>
      <c r="B295" t="s">
        <v>3438</v>
      </c>
      <c r="C295" s="20">
        <v>31777</v>
      </c>
      <c r="D295" t="s">
        <v>3439</v>
      </c>
      <c r="E295" t="s">
        <v>3440</v>
      </c>
      <c r="F295" t="s">
        <v>3441</v>
      </c>
      <c r="G295" t="s">
        <v>3442</v>
      </c>
      <c r="H295" s="21">
        <v>40764.772974537038</v>
      </c>
      <c r="I295" s="22" t="s">
        <v>1710</v>
      </c>
    </row>
    <row r="296" spans="1:9" x14ac:dyDescent="0.3">
      <c r="A296" t="s">
        <v>3443</v>
      </c>
      <c r="B296" t="s">
        <v>3444</v>
      </c>
      <c r="C296" s="20">
        <v>33294</v>
      </c>
      <c r="D296" t="s">
        <v>3445</v>
      </c>
      <c r="E296" t="s">
        <v>3446</v>
      </c>
      <c r="F296" t="s">
        <v>3447</v>
      </c>
      <c r="G296" t="s">
        <v>3448</v>
      </c>
      <c r="H296" s="21">
        <v>40159.74627314815</v>
      </c>
      <c r="I296" s="22" t="s">
        <v>1736</v>
      </c>
    </row>
    <row r="297" spans="1:9" x14ac:dyDescent="0.3">
      <c r="A297" t="s">
        <v>3449</v>
      </c>
      <c r="B297" t="s">
        <v>3450</v>
      </c>
      <c r="C297" s="20">
        <v>26858</v>
      </c>
      <c r="D297" t="s">
        <v>3451</v>
      </c>
      <c r="E297" t="s">
        <v>3452</v>
      </c>
      <c r="F297" t="s">
        <v>3453</v>
      </c>
      <c r="G297" t="s">
        <v>3454</v>
      </c>
      <c r="H297" s="21">
        <v>41047.224756944444</v>
      </c>
      <c r="I297" s="22" t="s">
        <v>1710</v>
      </c>
    </row>
    <row r="298" spans="1:9" x14ac:dyDescent="0.3">
      <c r="A298" t="s">
        <v>3455</v>
      </c>
      <c r="B298" t="s">
        <v>3456</v>
      </c>
      <c r="C298" s="20">
        <v>35892</v>
      </c>
      <c r="D298" t="s">
        <v>3457</v>
      </c>
      <c r="E298" t="s">
        <v>3458</v>
      </c>
      <c r="F298" t="s">
        <v>3459</v>
      </c>
      <c r="G298" t="s">
        <v>3460</v>
      </c>
      <c r="H298" s="21">
        <v>44179.040590277778</v>
      </c>
      <c r="I298" s="22" t="s">
        <v>1710</v>
      </c>
    </row>
    <row r="299" spans="1:9" x14ac:dyDescent="0.3">
      <c r="A299" t="s">
        <v>3461</v>
      </c>
      <c r="B299" t="s">
        <v>3462</v>
      </c>
      <c r="C299" s="20">
        <v>29465</v>
      </c>
      <c r="D299" t="s">
        <v>3463</v>
      </c>
      <c r="E299" t="s">
        <v>3464</v>
      </c>
      <c r="F299" t="s">
        <v>3465</v>
      </c>
      <c r="G299" t="s">
        <v>3466</v>
      </c>
      <c r="H299" s="21">
        <v>42952.635370370372</v>
      </c>
      <c r="I299" s="22" t="s">
        <v>1691</v>
      </c>
    </row>
    <row r="300" spans="1:9" x14ac:dyDescent="0.3">
      <c r="A300" t="s">
        <v>3467</v>
      </c>
      <c r="B300" t="s">
        <v>3468</v>
      </c>
      <c r="C300" s="20">
        <v>35848</v>
      </c>
      <c r="D300" t="s">
        <v>3469</v>
      </c>
      <c r="E300" t="s">
        <v>3470</v>
      </c>
      <c r="F300" t="s">
        <v>3471</v>
      </c>
      <c r="G300" t="s">
        <v>3472</v>
      </c>
      <c r="H300" s="21">
        <v>39108.71303240741</v>
      </c>
      <c r="I300" s="22" t="s">
        <v>1736</v>
      </c>
    </row>
    <row r="301" spans="1:9" x14ac:dyDescent="0.3">
      <c r="A301" t="s">
        <v>3473</v>
      </c>
      <c r="B301" t="s">
        <v>3474</v>
      </c>
      <c r="C301" s="20">
        <v>29498</v>
      </c>
      <c r="D301" t="s">
        <v>3475</v>
      </c>
      <c r="E301" t="s">
        <v>3476</v>
      </c>
      <c r="F301" t="s">
        <v>3477</v>
      </c>
      <c r="G301" t="s">
        <v>3478</v>
      </c>
      <c r="H301" s="21">
        <v>38968.985347222224</v>
      </c>
      <c r="I301" s="22" t="s">
        <v>1710</v>
      </c>
    </row>
    <row r="302" spans="1:9" x14ac:dyDescent="0.3">
      <c r="A302" t="s">
        <v>3479</v>
      </c>
      <c r="B302" t="s">
        <v>3480</v>
      </c>
      <c r="C302" s="20">
        <v>29218</v>
      </c>
      <c r="D302" t="s">
        <v>3481</v>
      </c>
      <c r="E302" t="s">
        <v>3482</v>
      </c>
      <c r="F302" t="s">
        <v>3483</v>
      </c>
      <c r="G302" t="s">
        <v>3484</v>
      </c>
      <c r="H302" s="21">
        <v>38931.877152777779</v>
      </c>
      <c r="I302" s="22" t="s">
        <v>1684</v>
      </c>
    </row>
    <row r="303" spans="1:9" x14ac:dyDescent="0.3">
      <c r="A303" t="s">
        <v>3485</v>
      </c>
      <c r="B303" t="s">
        <v>3486</v>
      </c>
      <c r="C303" s="20">
        <v>28664</v>
      </c>
      <c r="D303" t="s">
        <v>3487</v>
      </c>
      <c r="E303" t="s">
        <v>3488</v>
      </c>
      <c r="F303" t="s">
        <v>3489</v>
      </c>
      <c r="G303" t="s">
        <v>3490</v>
      </c>
      <c r="H303" s="21">
        <v>42467.865381944444</v>
      </c>
      <c r="I303" s="22" t="s">
        <v>1691</v>
      </c>
    </row>
    <row r="304" spans="1:9" x14ac:dyDescent="0.3">
      <c r="A304" t="s">
        <v>3491</v>
      </c>
      <c r="B304" t="s">
        <v>3492</v>
      </c>
      <c r="C304" s="20">
        <v>36503</v>
      </c>
      <c r="D304" t="s">
        <v>3493</v>
      </c>
      <c r="E304" t="s">
        <v>3494</v>
      </c>
      <c r="F304" t="s">
        <v>3495</v>
      </c>
      <c r="G304" t="s">
        <v>3496</v>
      </c>
      <c r="H304" s="21">
        <v>40804.109965277778</v>
      </c>
      <c r="I304" s="22" t="s">
        <v>1736</v>
      </c>
    </row>
    <row r="305" spans="1:9" x14ac:dyDescent="0.3">
      <c r="A305" t="s">
        <v>3497</v>
      </c>
      <c r="B305" t="s">
        <v>3498</v>
      </c>
      <c r="C305" s="20">
        <v>33744</v>
      </c>
      <c r="D305" t="s">
        <v>3499</v>
      </c>
      <c r="E305" t="s">
        <v>3500</v>
      </c>
      <c r="F305" t="s">
        <v>3501</v>
      </c>
      <c r="G305" t="s">
        <v>3502</v>
      </c>
      <c r="H305" s="21">
        <v>43941.971284722225</v>
      </c>
      <c r="I305" s="22" t="s">
        <v>1729</v>
      </c>
    </row>
    <row r="306" spans="1:9" x14ac:dyDescent="0.3">
      <c r="A306" t="s">
        <v>3503</v>
      </c>
      <c r="B306" t="s">
        <v>3504</v>
      </c>
      <c r="C306" s="20">
        <v>25640</v>
      </c>
      <c r="D306" t="s">
        <v>3505</v>
      </c>
      <c r="E306" t="s">
        <v>3506</v>
      </c>
      <c r="F306" t="s">
        <v>3507</v>
      </c>
      <c r="G306" t="s">
        <v>3508</v>
      </c>
      <c r="H306" s="21">
        <v>40036.945949074077</v>
      </c>
      <c r="I306" s="22" t="s">
        <v>1710</v>
      </c>
    </row>
    <row r="307" spans="1:9" x14ac:dyDescent="0.3">
      <c r="A307" t="s">
        <v>3509</v>
      </c>
      <c r="B307" t="s">
        <v>3510</v>
      </c>
      <c r="C307" s="20">
        <v>34770</v>
      </c>
      <c r="D307" t="s">
        <v>3511</v>
      </c>
      <c r="E307" t="s">
        <v>3512</v>
      </c>
      <c r="F307" t="s">
        <v>3513</v>
      </c>
      <c r="G307" t="s">
        <v>3514</v>
      </c>
      <c r="H307" s="21">
        <v>43019.384097222224</v>
      </c>
      <c r="I307" s="22" t="s">
        <v>1710</v>
      </c>
    </row>
    <row r="308" spans="1:9" x14ac:dyDescent="0.3">
      <c r="A308" t="s">
        <v>3515</v>
      </c>
      <c r="B308" t="s">
        <v>3516</v>
      </c>
      <c r="C308" s="20">
        <v>35642</v>
      </c>
      <c r="D308" t="s">
        <v>3517</v>
      </c>
      <c r="E308" t="s">
        <v>3518</v>
      </c>
      <c r="F308" t="s">
        <v>3519</v>
      </c>
      <c r="G308" t="s">
        <v>3520</v>
      </c>
      <c r="H308" s="21">
        <v>40484.403148148151</v>
      </c>
      <c r="I308" s="22" t="s">
        <v>1710</v>
      </c>
    </row>
    <row r="309" spans="1:9" x14ac:dyDescent="0.3">
      <c r="A309" t="s">
        <v>3521</v>
      </c>
      <c r="B309" t="s">
        <v>3522</v>
      </c>
      <c r="C309" s="20">
        <v>35169</v>
      </c>
      <c r="D309" t="s">
        <v>3523</v>
      </c>
      <c r="E309" t="s">
        <v>3524</v>
      </c>
      <c r="F309" t="s">
        <v>3525</v>
      </c>
      <c r="G309" t="s">
        <v>3526</v>
      </c>
      <c r="H309" s="21">
        <v>43597.135520833333</v>
      </c>
      <c r="I309" s="22" t="s">
        <v>1729</v>
      </c>
    </row>
    <row r="310" spans="1:9" x14ac:dyDescent="0.3">
      <c r="A310" t="s">
        <v>3527</v>
      </c>
      <c r="B310" t="s">
        <v>3528</v>
      </c>
      <c r="C310" s="20">
        <v>28570</v>
      </c>
      <c r="D310" t="s">
        <v>3529</v>
      </c>
      <c r="E310" t="s">
        <v>3530</v>
      </c>
      <c r="F310" t="s">
        <v>3531</v>
      </c>
      <c r="G310" t="s">
        <v>3532</v>
      </c>
      <c r="H310" s="21">
        <v>41638.743819444448</v>
      </c>
      <c r="I310" s="22" t="s">
        <v>1684</v>
      </c>
    </row>
    <row r="311" spans="1:9" x14ac:dyDescent="0.3">
      <c r="A311" t="s">
        <v>3533</v>
      </c>
      <c r="B311" t="s">
        <v>3534</v>
      </c>
      <c r="C311" s="20">
        <v>34096</v>
      </c>
      <c r="D311" t="s">
        <v>3535</v>
      </c>
      <c r="E311" t="s">
        <v>3536</v>
      </c>
      <c r="F311" t="s">
        <v>3537</v>
      </c>
      <c r="G311" t="s">
        <v>3538</v>
      </c>
      <c r="H311" s="21">
        <v>43349.083356481482</v>
      </c>
      <c r="I311" s="22" t="s">
        <v>1736</v>
      </c>
    </row>
    <row r="312" spans="1:9" x14ac:dyDescent="0.3">
      <c r="A312" t="s">
        <v>3539</v>
      </c>
      <c r="B312" t="s">
        <v>3540</v>
      </c>
      <c r="C312" s="20">
        <v>28386</v>
      </c>
      <c r="D312" t="s">
        <v>3541</v>
      </c>
      <c r="E312" t="s">
        <v>3542</v>
      </c>
      <c r="F312" t="s">
        <v>3543</v>
      </c>
      <c r="G312" t="s">
        <v>3544</v>
      </c>
      <c r="H312" s="21">
        <v>40356.706319444442</v>
      </c>
      <c r="I312" s="22" t="s">
        <v>1736</v>
      </c>
    </row>
    <row r="313" spans="1:9" x14ac:dyDescent="0.3">
      <c r="A313" t="s">
        <v>3545</v>
      </c>
      <c r="B313" t="s">
        <v>3546</v>
      </c>
      <c r="C313" s="20">
        <v>28130</v>
      </c>
      <c r="D313" t="s">
        <v>3547</v>
      </c>
      <c r="E313" t="s">
        <v>3548</v>
      </c>
      <c r="F313" t="s">
        <v>3549</v>
      </c>
      <c r="G313" t="s">
        <v>3550</v>
      </c>
      <c r="H313" s="21">
        <v>40805.056932870371</v>
      </c>
      <c r="I313" s="22" t="s">
        <v>1736</v>
      </c>
    </row>
    <row r="314" spans="1:9" x14ac:dyDescent="0.3">
      <c r="A314" t="s">
        <v>3551</v>
      </c>
      <c r="B314" t="s">
        <v>3552</v>
      </c>
      <c r="C314" s="20">
        <v>33175</v>
      </c>
      <c r="D314" t="s">
        <v>3553</v>
      </c>
      <c r="E314" t="s">
        <v>3554</v>
      </c>
      <c r="F314" t="s">
        <v>3555</v>
      </c>
      <c r="G314" t="s">
        <v>3556</v>
      </c>
      <c r="H314" s="21">
        <v>43696.653819444444</v>
      </c>
      <c r="I314" s="22" t="s">
        <v>1736</v>
      </c>
    </row>
    <row r="315" spans="1:9" x14ac:dyDescent="0.3">
      <c r="A315" t="s">
        <v>3557</v>
      </c>
      <c r="B315" t="s">
        <v>3558</v>
      </c>
      <c r="C315" s="20">
        <v>31598</v>
      </c>
      <c r="D315" t="s">
        <v>3559</v>
      </c>
      <c r="E315" t="s">
        <v>3560</v>
      </c>
      <c r="F315" t="s">
        <v>3561</v>
      </c>
      <c r="G315" t="s">
        <v>3562</v>
      </c>
      <c r="H315" s="21">
        <v>39245.028564814813</v>
      </c>
      <c r="I315" s="22" t="s">
        <v>1736</v>
      </c>
    </row>
    <row r="316" spans="1:9" x14ac:dyDescent="0.3">
      <c r="A316" t="s">
        <v>3563</v>
      </c>
      <c r="B316" t="s">
        <v>3564</v>
      </c>
      <c r="C316" s="20">
        <v>27362</v>
      </c>
      <c r="D316" t="s">
        <v>3565</v>
      </c>
      <c r="E316" t="s">
        <v>3566</v>
      </c>
      <c r="F316" t="s">
        <v>3567</v>
      </c>
      <c r="G316" t="s">
        <v>3568</v>
      </c>
      <c r="H316" s="21">
        <v>38463.197638888887</v>
      </c>
      <c r="I316" s="22" t="s">
        <v>1729</v>
      </c>
    </row>
    <row r="317" spans="1:9" x14ac:dyDescent="0.3">
      <c r="A317" t="s">
        <v>3569</v>
      </c>
      <c r="B317" t="s">
        <v>3570</v>
      </c>
      <c r="C317" s="20">
        <v>32655</v>
      </c>
      <c r="D317" t="s">
        <v>3571</v>
      </c>
      <c r="E317" t="s">
        <v>3572</v>
      </c>
      <c r="F317" t="s">
        <v>3573</v>
      </c>
      <c r="G317" t="s">
        <v>3574</v>
      </c>
      <c r="H317" s="21">
        <v>41802.567615740743</v>
      </c>
      <c r="I317" s="22" t="s">
        <v>1691</v>
      </c>
    </row>
    <row r="318" spans="1:9" x14ac:dyDescent="0.3">
      <c r="A318" t="s">
        <v>3575</v>
      </c>
      <c r="B318" t="s">
        <v>3576</v>
      </c>
      <c r="C318" s="20">
        <v>36357</v>
      </c>
      <c r="D318" t="s">
        <v>3577</v>
      </c>
      <c r="E318" t="s">
        <v>3578</v>
      </c>
      <c r="F318" t="s">
        <v>3579</v>
      </c>
      <c r="G318" t="s">
        <v>3580</v>
      </c>
      <c r="H318" s="21">
        <v>42936.039826388886</v>
      </c>
      <c r="I318" s="22" t="s">
        <v>1691</v>
      </c>
    </row>
    <row r="319" spans="1:9" x14ac:dyDescent="0.3">
      <c r="A319" t="s">
        <v>3581</v>
      </c>
      <c r="B319" t="s">
        <v>3582</v>
      </c>
      <c r="C319" s="20">
        <v>31582</v>
      </c>
      <c r="D319" t="s">
        <v>3583</v>
      </c>
      <c r="E319" t="s">
        <v>3584</v>
      </c>
      <c r="F319" t="s">
        <v>3585</v>
      </c>
      <c r="G319" t="s">
        <v>3586</v>
      </c>
      <c r="H319" s="21">
        <v>41730.881099537037</v>
      </c>
      <c r="I319" s="22" t="s">
        <v>1729</v>
      </c>
    </row>
    <row r="320" spans="1:9" x14ac:dyDescent="0.3">
      <c r="A320" t="s">
        <v>3587</v>
      </c>
      <c r="B320" t="s">
        <v>3588</v>
      </c>
      <c r="C320" s="20">
        <v>26761</v>
      </c>
      <c r="D320" t="s">
        <v>3589</v>
      </c>
      <c r="E320" t="s">
        <v>3590</v>
      </c>
      <c r="F320" t="s">
        <v>3591</v>
      </c>
      <c r="G320" t="s">
        <v>3592</v>
      </c>
      <c r="H320" s="21">
        <v>39980.554618055554</v>
      </c>
      <c r="I320" s="22" t="s">
        <v>1684</v>
      </c>
    </row>
    <row r="321" spans="1:9" x14ac:dyDescent="0.3">
      <c r="A321" t="s">
        <v>3593</v>
      </c>
      <c r="B321" t="s">
        <v>3594</v>
      </c>
      <c r="C321" s="20">
        <v>28175</v>
      </c>
      <c r="D321" t="s">
        <v>3595</v>
      </c>
      <c r="E321" t="s">
        <v>3596</v>
      </c>
      <c r="F321" t="s">
        <v>3597</v>
      </c>
      <c r="G321" t="s">
        <v>3598</v>
      </c>
      <c r="H321" s="21">
        <v>43451.264594907407</v>
      </c>
      <c r="I321" s="22" t="s">
        <v>1729</v>
      </c>
    </row>
    <row r="322" spans="1:9" x14ac:dyDescent="0.3">
      <c r="A322" t="s">
        <v>3599</v>
      </c>
      <c r="B322" t="s">
        <v>3600</v>
      </c>
      <c r="C322" s="20">
        <v>27537</v>
      </c>
      <c r="D322" t="s">
        <v>3601</v>
      </c>
      <c r="E322" t="s">
        <v>3602</v>
      </c>
      <c r="F322" t="s">
        <v>3603</v>
      </c>
      <c r="G322" t="s">
        <v>3604</v>
      </c>
      <c r="H322" s="21">
        <v>39657.621053240742</v>
      </c>
      <c r="I322" s="22" t="s">
        <v>1729</v>
      </c>
    </row>
    <row r="323" spans="1:9" x14ac:dyDescent="0.3">
      <c r="A323" t="s">
        <v>3605</v>
      </c>
      <c r="B323" t="s">
        <v>3606</v>
      </c>
      <c r="C323" s="20">
        <v>31152</v>
      </c>
      <c r="D323" t="s">
        <v>3607</v>
      </c>
      <c r="E323" t="s">
        <v>3608</v>
      </c>
      <c r="F323" t="s">
        <v>3609</v>
      </c>
      <c r="G323" t="s">
        <v>3610</v>
      </c>
      <c r="H323" s="21">
        <v>43159.121932870374</v>
      </c>
      <c r="I323" s="22" t="s">
        <v>1729</v>
      </c>
    </row>
    <row r="324" spans="1:9" x14ac:dyDescent="0.3">
      <c r="A324" t="s">
        <v>3611</v>
      </c>
      <c r="B324" t="s">
        <v>3612</v>
      </c>
      <c r="C324" s="20">
        <v>30681</v>
      </c>
      <c r="D324" t="s">
        <v>3613</v>
      </c>
      <c r="E324" t="s">
        <v>3614</v>
      </c>
      <c r="F324" t="s">
        <v>3615</v>
      </c>
      <c r="G324" t="s">
        <v>3616</v>
      </c>
      <c r="H324" s="21">
        <v>42053.27134259259</v>
      </c>
      <c r="I324" s="22" t="s">
        <v>1729</v>
      </c>
    </row>
    <row r="325" spans="1:9" x14ac:dyDescent="0.3">
      <c r="A325" t="s">
        <v>3617</v>
      </c>
      <c r="B325" t="s">
        <v>3618</v>
      </c>
      <c r="C325" s="20">
        <v>31120</v>
      </c>
      <c r="D325" t="s">
        <v>3619</v>
      </c>
      <c r="E325" t="s">
        <v>3620</v>
      </c>
      <c r="F325" t="s">
        <v>3621</v>
      </c>
      <c r="G325" t="s">
        <v>3622</v>
      </c>
      <c r="H325" s="21">
        <v>44271.468865740739</v>
      </c>
      <c r="I325" s="22" t="s">
        <v>1736</v>
      </c>
    </row>
    <row r="326" spans="1:9" x14ac:dyDescent="0.3">
      <c r="A326" t="s">
        <v>3623</v>
      </c>
      <c r="B326" t="s">
        <v>3624</v>
      </c>
      <c r="C326" s="20">
        <v>28437</v>
      </c>
      <c r="D326" t="s">
        <v>3625</v>
      </c>
      <c r="E326" t="s">
        <v>3626</v>
      </c>
      <c r="F326" t="s">
        <v>3627</v>
      </c>
      <c r="G326" t="s">
        <v>3628</v>
      </c>
      <c r="H326" s="21">
        <v>44282.705451388887</v>
      </c>
      <c r="I326" s="22" t="s">
        <v>1691</v>
      </c>
    </row>
    <row r="327" spans="1:9" x14ac:dyDescent="0.3">
      <c r="A327" t="s">
        <v>3629</v>
      </c>
      <c r="B327" t="s">
        <v>3630</v>
      </c>
      <c r="C327" s="20">
        <v>29111</v>
      </c>
      <c r="D327" t="s">
        <v>3631</v>
      </c>
      <c r="E327" t="s">
        <v>3632</v>
      </c>
      <c r="F327" t="s">
        <v>3633</v>
      </c>
      <c r="G327" t="s">
        <v>3634</v>
      </c>
      <c r="H327" s="21">
        <v>41388.445486111108</v>
      </c>
      <c r="I327" s="22" t="s">
        <v>1684</v>
      </c>
    </row>
    <row r="328" spans="1:9" x14ac:dyDescent="0.3">
      <c r="A328" t="s">
        <v>3635</v>
      </c>
      <c r="B328" t="s">
        <v>3636</v>
      </c>
      <c r="C328" s="20">
        <v>32451</v>
      </c>
      <c r="D328" t="s">
        <v>3637</v>
      </c>
      <c r="E328" t="s">
        <v>3638</v>
      </c>
      <c r="F328" t="s">
        <v>3639</v>
      </c>
      <c r="G328" t="s">
        <v>3640</v>
      </c>
      <c r="H328" s="21">
        <v>38477.986006944448</v>
      </c>
      <c r="I328" s="22" t="s">
        <v>1710</v>
      </c>
    </row>
    <row r="329" spans="1:9" x14ac:dyDescent="0.3">
      <c r="A329" t="s">
        <v>3641</v>
      </c>
      <c r="B329" t="s">
        <v>3642</v>
      </c>
      <c r="C329" s="20">
        <v>32132</v>
      </c>
      <c r="D329" t="s">
        <v>3643</v>
      </c>
      <c r="E329" t="s">
        <v>3644</v>
      </c>
      <c r="F329" t="s">
        <v>3645</v>
      </c>
      <c r="G329" t="s">
        <v>3646</v>
      </c>
      <c r="H329" s="21">
        <v>43550.374409722222</v>
      </c>
      <c r="I329" s="22" t="s">
        <v>1691</v>
      </c>
    </row>
    <row r="330" spans="1:9" x14ac:dyDescent="0.3">
      <c r="A330" t="s">
        <v>3647</v>
      </c>
      <c r="B330" t="s">
        <v>3648</v>
      </c>
      <c r="C330" s="20">
        <v>36108</v>
      </c>
      <c r="D330" t="s">
        <v>3649</v>
      </c>
      <c r="E330" t="s">
        <v>3650</v>
      </c>
      <c r="F330" t="s">
        <v>3651</v>
      </c>
      <c r="G330" t="s">
        <v>3652</v>
      </c>
      <c r="H330" s="21">
        <v>40318.584016203706</v>
      </c>
      <c r="I330" s="22" t="s">
        <v>1691</v>
      </c>
    </row>
    <row r="331" spans="1:9" x14ac:dyDescent="0.3">
      <c r="A331" t="s">
        <v>3653</v>
      </c>
      <c r="B331" t="s">
        <v>3654</v>
      </c>
      <c r="C331" s="20">
        <v>29498</v>
      </c>
      <c r="D331" t="s">
        <v>3655</v>
      </c>
      <c r="E331" t="s">
        <v>3656</v>
      </c>
      <c r="F331" t="s">
        <v>3657</v>
      </c>
      <c r="G331" t="s">
        <v>3658</v>
      </c>
      <c r="H331" s="21">
        <v>43718.914166666669</v>
      </c>
      <c r="I331" s="22" t="s">
        <v>1736</v>
      </c>
    </row>
    <row r="332" spans="1:9" x14ac:dyDescent="0.3">
      <c r="A332" t="s">
        <v>3659</v>
      </c>
      <c r="B332" t="s">
        <v>3660</v>
      </c>
      <c r="C332" s="20">
        <v>32483</v>
      </c>
      <c r="D332" t="s">
        <v>3661</v>
      </c>
      <c r="E332" t="s">
        <v>3662</v>
      </c>
      <c r="F332" t="s">
        <v>3663</v>
      </c>
      <c r="G332" t="s">
        <v>3664</v>
      </c>
      <c r="H332" s="21">
        <v>42585.047337962962</v>
      </c>
      <c r="I332" s="22" t="s">
        <v>1691</v>
      </c>
    </row>
    <row r="333" spans="1:9" x14ac:dyDescent="0.3">
      <c r="A333" t="s">
        <v>3665</v>
      </c>
      <c r="B333" t="s">
        <v>3666</v>
      </c>
      <c r="C333" s="20">
        <v>36142</v>
      </c>
      <c r="D333" t="s">
        <v>3667</v>
      </c>
      <c r="E333" t="s">
        <v>3668</v>
      </c>
      <c r="F333" t="s">
        <v>3669</v>
      </c>
      <c r="G333" t="s">
        <v>3670</v>
      </c>
      <c r="H333" s="21">
        <v>41792.794606481482</v>
      </c>
      <c r="I333" s="22" t="s">
        <v>1736</v>
      </c>
    </row>
    <row r="334" spans="1:9" x14ac:dyDescent="0.3">
      <c r="A334" t="s">
        <v>3671</v>
      </c>
      <c r="B334" t="s">
        <v>3672</v>
      </c>
      <c r="C334" s="20">
        <v>30238</v>
      </c>
      <c r="D334" t="s">
        <v>3673</v>
      </c>
      <c r="E334" t="s">
        <v>3674</v>
      </c>
      <c r="F334" t="s">
        <v>3675</v>
      </c>
      <c r="G334" t="s">
        <v>3676</v>
      </c>
      <c r="H334" s="21">
        <v>43326.968159722222</v>
      </c>
      <c r="I334" s="22" t="s">
        <v>1684</v>
      </c>
    </row>
    <row r="335" spans="1:9" x14ac:dyDescent="0.3">
      <c r="A335" t="s">
        <v>3677</v>
      </c>
      <c r="B335" t="s">
        <v>3678</v>
      </c>
      <c r="C335" s="20">
        <v>28616</v>
      </c>
      <c r="D335" t="s">
        <v>3679</v>
      </c>
      <c r="E335" t="s">
        <v>3680</v>
      </c>
      <c r="F335" t="s">
        <v>3681</v>
      </c>
      <c r="G335" t="s">
        <v>3682</v>
      </c>
      <c r="H335" s="21">
        <v>40011.492523148147</v>
      </c>
      <c r="I335" s="22" t="s">
        <v>1736</v>
      </c>
    </row>
    <row r="336" spans="1:9" x14ac:dyDescent="0.3">
      <c r="A336" t="s">
        <v>3683</v>
      </c>
      <c r="B336" t="s">
        <v>3684</v>
      </c>
      <c r="C336" s="20">
        <v>25675</v>
      </c>
      <c r="D336" t="s">
        <v>3685</v>
      </c>
      <c r="E336" t="s">
        <v>3686</v>
      </c>
      <c r="F336" t="s">
        <v>3687</v>
      </c>
      <c r="G336" t="s">
        <v>3688</v>
      </c>
      <c r="H336" s="21">
        <v>40066.363703703704</v>
      </c>
      <c r="I336" s="22" t="s">
        <v>1710</v>
      </c>
    </row>
    <row r="337" spans="1:9" x14ac:dyDescent="0.3">
      <c r="A337" t="s">
        <v>3689</v>
      </c>
      <c r="B337" t="s">
        <v>3690</v>
      </c>
      <c r="C337" s="20">
        <v>34604</v>
      </c>
      <c r="D337" t="s">
        <v>3691</v>
      </c>
      <c r="E337" t="s">
        <v>3692</v>
      </c>
      <c r="F337" t="s">
        <v>3693</v>
      </c>
      <c r="G337" t="s">
        <v>3694</v>
      </c>
      <c r="H337" s="21">
        <v>43614.98164351852</v>
      </c>
      <c r="I337" s="22" t="s">
        <v>1710</v>
      </c>
    </row>
    <row r="338" spans="1:9" x14ac:dyDescent="0.3">
      <c r="A338" t="s">
        <v>3695</v>
      </c>
      <c r="B338" t="s">
        <v>3696</v>
      </c>
      <c r="C338" s="20">
        <v>28354</v>
      </c>
      <c r="D338" t="s">
        <v>3697</v>
      </c>
      <c r="E338" t="s">
        <v>3698</v>
      </c>
      <c r="F338" t="s">
        <v>3699</v>
      </c>
      <c r="G338" t="s">
        <v>3700</v>
      </c>
      <c r="H338" s="21">
        <v>40835.279652777775</v>
      </c>
      <c r="I338" s="22" t="s">
        <v>1729</v>
      </c>
    </row>
    <row r="339" spans="1:9" x14ac:dyDescent="0.3">
      <c r="A339" t="s">
        <v>3701</v>
      </c>
      <c r="B339" t="s">
        <v>3702</v>
      </c>
      <c r="C339" s="20">
        <v>25596</v>
      </c>
      <c r="D339" t="s">
        <v>3703</v>
      </c>
      <c r="E339" t="s">
        <v>3704</v>
      </c>
      <c r="F339" t="s">
        <v>3705</v>
      </c>
      <c r="G339" t="s">
        <v>3706</v>
      </c>
      <c r="H339" s="21">
        <v>42421.659166666665</v>
      </c>
      <c r="I339" s="22" t="s">
        <v>1691</v>
      </c>
    </row>
    <row r="340" spans="1:9" x14ac:dyDescent="0.3">
      <c r="A340" t="s">
        <v>3707</v>
      </c>
      <c r="B340" t="s">
        <v>3708</v>
      </c>
      <c r="C340" s="20">
        <v>30670</v>
      </c>
      <c r="D340" t="s">
        <v>3709</v>
      </c>
      <c r="E340" t="s">
        <v>3710</v>
      </c>
      <c r="F340" t="s">
        <v>3711</v>
      </c>
      <c r="G340" t="s">
        <v>3712</v>
      </c>
      <c r="H340" s="21">
        <v>40882.152013888888</v>
      </c>
      <c r="I340" s="22" t="s">
        <v>1710</v>
      </c>
    </row>
    <row r="341" spans="1:9" x14ac:dyDescent="0.3">
      <c r="A341" t="s">
        <v>3713</v>
      </c>
      <c r="B341" t="s">
        <v>3714</v>
      </c>
      <c r="C341" s="20">
        <v>26257</v>
      </c>
      <c r="D341" t="s">
        <v>3715</v>
      </c>
      <c r="E341" t="s">
        <v>3716</v>
      </c>
      <c r="F341" t="s">
        <v>3717</v>
      </c>
      <c r="G341" t="s">
        <v>3718</v>
      </c>
      <c r="H341" s="21">
        <v>41208.087465277778</v>
      </c>
      <c r="I341" s="22" t="s">
        <v>1710</v>
      </c>
    </row>
    <row r="342" spans="1:9" x14ac:dyDescent="0.3">
      <c r="A342" t="s">
        <v>3719</v>
      </c>
      <c r="B342" t="s">
        <v>3720</v>
      </c>
      <c r="C342" s="20">
        <v>33092</v>
      </c>
      <c r="D342" t="s">
        <v>3721</v>
      </c>
      <c r="E342" t="s">
        <v>3722</v>
      </c>
      <c r="F342" t="s">
        <v>3723</v>
      </c>
      <c r="G342" t="s">
        <v>3724</v>
      </c>
      <c r="H342" s="21">
        <v>44074.103321759256</v>
      </c>
      <c r="I342" s="22" t="s">
        <v>1684</v>
      </c>
    </row>
    <row r="343" spans="1:9" x14ac:dyDescent="0.3">
      <c r="A343" t="s">
        <v>3725</v>
      </c>
      <c r="B343" t="s">
        <v>3726</v>
      </c>
      <c r="C343" s="20">
        <v>25702</v>
      </c>
      <c r="D343" t="s">
        <v>3727</v>
      </c>
      <c r="E343" t="s">
        <v>3728</v>
      </c>
      <c r="F343" t="s">
        <v>3729</v>
      </c>
      <c r="G343" t="s">
        <v>3730</v>
      </c>
      <c r="H343" s="21">
        <v>41803.757210648146</v>
      </c>
      <c r="I343" s="22" t="s">
        <v>1710</v>
      </c>
    </row>
    <row r="344" spans="1:9" x14ac:dyDescent="0.3">
      <c r="A344" t="s">
        <v>3731</v>
      </c>
      <c r="B344" t="s">
        <v>3732</v>
      </c>
      <c r="C344" s="20">
        <v>32427</v>
      </c>
      <c r="D344" t="s">
        <v>3733</v>
      </c>
      <c r="E344" t="s">
        <v>3734</v>
      </c>
      <c r="F344" t="s">
        <v>3735</v>
      </c>
      <c r="G344" t="s">
        <v>3736</v>
      </c>
      <c r="H344" s="21">
        <v>41301.653761574074</v>
      </c>
      <c r="I344" s="22" t="s">
        <v>1729</v>
      </c>
    </row>
    <row r="345" spans="1:9" x14ac:dyDescent="0.3">
      <c r="A345" t="s">
        <v>3737</v>
      </c>
      <c r="B345" t="s">
        <v>3738</v>
      </c>
      <c r="C345" s="20">
        <v>35312</v>
      </c>
      <c r="D345" t="s">
        <v>3739</v>
      </c>
      <c r="E345" t="s">
        <v>3740</v>
      </c>
      <c r="F345" t="s">
        <v>3741</v>
      </c>
      <c r="G345" t="s">
        <v>3742</v>
      </c>
      <c r="H345" s="21">
        <v>40024.663113425922</v>
      </c>
      <c r="I345" s="22" t="s">
        <v>1736</v>
      </c>
    </row>
    <row r="346" spans="1:9" x14ac:dyDescent="0.3">
      <c r="A346" t="s">
        <v>3743</v>
      </c>
      <c r="B346" t="s">
        <v>3744</v>
      </c>
      <c r="C346" s="20">
        <v>34563</v>
      </c>
      <c r="D346" t="s">
        <v>3745</v>
      </c>
      <c r="E346" t="s">
        <v>3746</v>
      </c>
      <c r="F346" t="s">
        <v>3747</v>
      </c>
      <c r="G346" t="s">
        <v>3748</v>
      </c>
      <c r="H346" s="21">
        <v>41991.866886574076</v>
      </c>
      <c r="I346" s="22" t="s">
        <v>1729</v>
      </c>
    </row>
    <row r="347" spans="1:9" x14ac:dyDescent="0.3">
      <c r="A347" t="s">
        <v>3749</v>
      </c>
      <c r="B347" t="s">
        <v>3750</v>
      </c>
      <c r="C347" s="20">
        <v>28735</v>
      </c>
      <c r="D347" t="s">
        <v>3751</v>
      </c>
      <c r="E347" t="s">
        <v>3752</v>
      </c>
      <c r="F347" t="s">
        <v>3753</v>
      </c>
      <c r="G347" t="s">
        <v>3754</v>
      </c>
      <c r="H347" s="21">
        <v>39105.531157407408</v>
      </c>
      <c r="I347" s="22" t="s">
        <v>1684</v>
      </c>
    </row>
    <row r="348" spans="1:9" x14ac:dyDescent="0.3">
      <c r="A348" t="s">
        <v>3755</v>
      </c>
      <c r="B348" t="s">
        <v>3756</v>
      </c>
      <c r="C348" s="20">
        <v>33241</v>
      </c>
      <c r="D348" t="s">
        <v>3757</v>
      </c>
      <c r="E348" t="s">
        <v>3758</v>
      </c>
      <c r="F348" t="s">
        <v>3759</v>
      </c>
      <c r="G348" t="s">
        <v>3760</v>
      </c>
      <c r="H348" s="21">
        <v>41975.049131944441</v>
      </c>
      <c r="I348" s="22" t="s">
        <v>1710</v>
      </c>
    </row>
    <row r="349" spans="1:9" x14ac:dyDescent="0.3">
      <c r="A349" t="s">
        <v>3761</v>
      </c>
      <c r="B349" t="s">
        <v>3762</v>
      </c>
      <c r="C349" s="20">
        <v>31801</v>
      </c>
      <c r="D349" t="s">
        <v>3763</v>
      </c>
      <c r="E349" t="s">
        <v>3764</v>
      </c>
      <c r="F349" t="s">
        <v>3765</v>
      </c>
      <c r="G349" t="s">
        <v>3766</v>
      </c>
      <c r="H349" s="21">
        <v>42753.787187499998</v>
      </c>
      <c r="I349" s="22" t="s">
        <v>1691</v>
      </c>
    </row>
    <row r="350" spans="1:9" x14ac:dyDescent="0.3">
      <c r="A350" t="s">
        <v>3767</v>
      </c>
      <c r="B350" t="s">
        <v>3768</v>
      </c>
      <c r="C350" s="20">
        <v>27619</v>
      </c>
      <c r="D350" t="s">
        <v>3769</v>
      </c>
      <c r="E350" t="s">
        <v>3770</v>
      </c>
      <c r="F350" t="s">
        <v>3771</v>
      </c>
      <c r="G350" t="s">
        <v>3772</v>
      </c>
      <c r="H350" s="21">
        <v>41237.635428240741</v>
      </c>
      <c r="I350" s="22" t="s">
        <v>1710</v>
      </c>
    </row>
    <row r="351" spans="1:9" x14ac:dyDescent="0.3">
      <c r="A351" t="s">
        <v>3773</v>
      </c>
      <c r="B351" t="s">
        <v>3774</v>
      </c>
      <c r="C351" s="20">
        <v>29992</v>
      </c>
      <c r="D351" t="s">
        <v>3775</v>
      </c>
      <c r="E351" t="s">
        <v>3776</v>
      </c>
      <c r="F351" t="s">
        <v>3777</v>
      </c>
      <c r="G351" t="s">
        <v>3778</v>
      </c>
      <c r="H351" s="21">
        <v>38605.258888888886</v>
      </c>
      <c r="I351" s="22" t="s">
        <v>1684</v>
      </c>
    </row>
    <row r="352" spans="1:9" x14ac:dyDescent="0.3">
      <c r="A352" t="s">
        <v>3779</v>
      </c>
      <c r="B352" t="s">
        <v>3780</v>
      </c>
      <c r="C352" s="20">
        <v>32695</v>
      </c>
      <c r="D352" t="s">
        <v>3781</v>
      </c>
      <c r="E352" t="s">
        <v>3782</v>
      </c>
      <c r="F352" t="s">
        <v>3783</v>
      </c>
      <c r="G352" t="s">
        <v>3784</v>
      </c>
      <c r="H352" s="21">
        <v>38613.137199074074</v>
      </c>
      <c r="I352" s="22" t="s">
        <v>1691</v>
      </c>
    </row>
    <row r="353" spans="1:9" x14ac:dyDescent="0.3">
      <c r="A353" t="s">
        <v>3785</v>
      </c>
      <c r="B353" t="s">
        <v>3786</v>
      </c>
      <c r="C353" s="20">
        <v>28237</v>
      </c>
      <c r="D353" t="s">
        <v>3787</v>
      </c>
      <c r="E353" t="s">
        <v>3788</v>
      </c>
      <c r="F353" t="s">
        <v>3789</v>
      </c>
      <c r="G353" t="s">
        <v>3790</v>
      </c>
      <c r="H353" s="21">
        <v>40867.765462962961</v>
      </c>
      <c r="I353" s="22" t="s">
        <v>1736</v>
      </c>
    </row>
    <row r="354" spans="1:9" x14ac:dyDescent="0.3">
      <c r="A354" t="s">
        <v>3791</v>
      </c>
      <c r="B354" t="s">
        <v>3792</v>
      </c>
      <c r="C354" s="20">
        <v>30148</v>
      </c>
      <c r="D354" t="s">
        <v>3793</v>
      </c>
      <c r="E354" t="s">
        <v>3794</v>
      </c>
      <c r="F354" t="s">
        <v>3795</v>
      </c>
      <c r="G354" t="s">
        <v>3796</v>
      </c>
      <c r="H354" s="21">
        <v>42202.526562500003</v>
      </c>
      <c r="I354" s="22" t="s">
        <v>1691</v>
      </c>
    </row>
    <row r="355" spans="1:9" x14ac:dyDescent="0.3">
      <c r="A355" t="s">
        <v>3797</v>
      </c>
      <c r="B355" t="s">
        <v>3798</v>
      </c>
      <c r="C355" s="20">
        <v>26103</v>
      </c>
      <c r="D355" t="s">
        <v>3799</v>
      </c>
      <c r="E355" t="s">
        <v>3800</v>
      </c>
      <c r="F355" t="s">
        <v>3801</v>
      </c>
      <c r="G355" t="s">
        <v>3802</v>
      </c>
      <c r="H355" s="21">
        <v>43032.485185185185</v>
      </c>
      <c r="I355" s="22" t="s">
        <v>1684</v>
      </c>
    </row>
    <row r="356" spans="1:9" x14ac:dyDescent="0.3">
      <c r="A356" t="s">
        <v>3803</v>
      </c>
      <c r="B356" t="s">
        <v>3804</v>
      </c>
      <c r="C356" s="20">
        <v>28928</v>
      </c>
      <c r="D356" t="s">
        <v>3805</v>
      </c>
      <c r="E356" t="s">
        <v>3806</v>
      </c>
      <c r="F356" t="s">
        <v>3807</v>
      </c>
      <c r="G356" t="s">
        <v>3808</v>
      </c>
      <c r="H356" s="21">
        <v>41961.869675925926</v>
      </c>
      <c r="I356" s="22" t="s">
        <v>1729</v>
      </c>
    </row>
    <row r="357" spans="1:9" x14ac:dyDescent="0.3">
      <c r="A357" t="s">
        <v>3809</v>
      </c>
      <c r="B357" t="s">
        <v>3810</v>
      </c>
      <c r="C357" s="20">
        <v>33620</v>
      </c>
      <c r="D357" t="s">
        <v>3811</v>
      </c>
      <c r="E357" t="s">
        <v>3812</v>
      </c>
      <c r="F357" t="s">
        <v>3813</v>
      </c>
      <c r="G357" t="s">
        <v>3814</v>
      </c>
      <c r="H357" s="21">
        <v>41377.94122685185</v>
      </c>
      <c r="I357" s="22" t="s">
        <v>1684</v>
      </c>
    </row>
    <row r="358" spans="1:9" x14ac:dyDescent="0.3">
      <c r="A358" t="s">
        <v>3815</v>
      </c>
      <c r="B358" t="s">
        <v>3816</v>
      </c>
      <c r="C358" s="20">
        <v>30964</v>
      </c>
      <c r="D358" t="s">
        <v>3817</v>
      </c>
      <c r="E358" t="s">
        <v>3818</v>
      </c>
      <c r="F358" t="s">
        <v>3819</v>
      </c>
      <c r="G358" t="s">
        <v>3820</v>
      </c>
      <c r="H358" s="21">
        <v>40558.029872685183</v>
      </c>
      <c r="I358" s="22" t="s">
        <v>1736</v>
      </c>
    </row>
    <row r="359" spans="1:9" x14ac:dyDescent="0.3">
      <c r="A359" t="s">
        <v>3821</v>
      </c>
      <c r="B359" t="s">
        <v>3822</v>
      </c>
      <c r="C359" s="20">
        <v>26676</v>
      </c>
      <c r="D359" t="s">
        <v>3823</v>
      </c>
      <c r="E359" t="s">
        <v>3824</v>
      </c>
      <c r="F359" t="s">
        <v>3825</v>
      </c>
      <c r="G359" t="s">
        <v>3826</v>
      </c>
      <c r="H359" s="21">
        <v>38731.011747685188</v>
      </c>
      <c r="I359" s="22" t="s">
        <v>1729</v>
      </c>
    </row>
    <row r="360" spans="1:9" x14ac:dyDescent="0.3">
      <c r="A360" t="s">
        <v>3827</v>
      </c>
      <c r="B360" t="s">
        <v>3828</v>
      </c>
      <c r="C360" s="20">
        <v>33324</v>
      </c>
      <c r="D360" t="s">
        <v>3829</v>
      </c>
      <c r="E360" t="s">
        <v>3830</v>
      </c>
      <c r="F360" t="s">
        <v>3831</v>
      </c>
      <c r="G360" t="s">
        <v>3832</v>
      </c>
      <c r="H360" s="21">
        <v>41943.101666666669</v>
      </c>
      <c r="I360" s="22" t="s">
        <v>1684</v>
      </c>
    </row>
    <row r="361" spans="1:9" x14ac:dyDescent="0.3">
      <c r="A361" t="s">
        <v>3833</v>
      </c>
      <c r="B361" t="s">
        <v>3834</v>
      </c>
      <c r="C361" s="20">
        <v>34225</v>
      </c>
      <c r="D361" t="s">
        <v>3835</v>
      </c>
      <c r="E361" t="s">
        <v>3836</v>
      </c>
      <c r="F361" t="s">
        <v>3837</v>
      </c>
      <c r="G361" t="s">
        <v>3838</v>
      </c>
      <c r="H361" s="21">
        <v>40604.475810185184</v>
      </c>
      <c r="I361" s="22" t="s">
        <v>1710</v>
      </c>
    </row>
    <row r="362" spans="1:9" x14ac:dyDescent="0.3">
      <c r="A362" t="s">
        <v>3839</v>
      </c>
      <c r="B362" t="s">
        <v>3840</v>
      </c>
      <c r="C362" s="20">
        <v>34920</v>
      </c>
      <c r="D362" t="s">
        <v>3841</v>
      </c>
      <c r="E362" t="s">
        <v>3842</v>
      </c>
      <c r="F362" t="s">
        <v>3843</v>
      </c>
      <c r="G362" t="s">
        <v>3844</v>
      </c>
      <c r="H362" s="21">
        <v>43487.443865740737</v>
      </c>
      <c r="I362" s="22" t="s">
        <v>1684</v>
      </c>
    </row>
    <row r="363" spans="1:9" x14ac:dyDescent="0.3">
      <c r="A363" t="s">
        <v>3845</v>
      </c>
      <c r="B363" t="s">
        <v>3846</v>
      </c>
      <c r="C363" s="20">
        <v>34272</v>
      </c>
      <c r="D363" t="s">
        <v>3847</v>
      </c>
      <c r="E363" t="s">
        <v>3848</v>
      </c>
      <c r="F363" t="s">
        <v>3849</v>
      </c>
      <c r="G363" t="s">
        <v>3850</v>
      </c>
      <c r="H363" s="21">
        <v>44257.787569444445</v>
      </c>
      <c r="I363" s="22" t="s">
        <v>1729</v>
      </c>
    </row>
    <row r="364" spans="1:9" x14ac:dyDescent="0.3">
      <c r="A364" t="s">
        <v>3851</v>
      </c>
      <c r="B364" t="s">
        <v>3852</v>
      </c>
      <c r="C364" s="20">
        <v>34052</v>
      </c>
      <c r="D364" t="s">
        <v>3853</v>
      </c>
      <c r="E364" t="s">
        <v>3854</v>
      </c>
      <c r="F364" t="s">
        <v>3855</v>
      </c>
      <c r="G364" t="s">
        <v>3856</v>
      </c>
      <c r="H364" s="21">
        <v>43772.512962962966</v>
      </c>
      <c r="I364" s="22" t="s">
        <v>1729</v>
      </c>
    </row>
    <row r="365" spans="1:9" x14ac:dyDescent="0.3">
      <c r="A365" t="s">
        <v>3857</v>
      </c>
      <c r="B365" t="s">
        <v>3858</v>
      </c>
      <c r="C365" s="20">
        <v>30826</v>
      </c>
      <c r="D365" t="s">
        <v>3859</v>
      </c>
      <c r="E365" t="s">
        <v>3860</v>
      </c>
      <c r="F365" t="s">
        <v>3861</v>
      </c>
      <c r="G365" t="s">
        <v>3862</v>
      </c>
      <c r="H365" s="21">
        <v>39670.150810185187</v>
      </c>
      <c r="I365" s="22" t="s">
        <v>1684</v>
      </c>
    </row>
    <row r="366" spans="1:9" x14ac:dyDescent="0.3">
      <c r="A366" t="s">
        <v>3863</v>
      </c>
      <c r="B366" t="s">
        <v>3864</v>
      </c>
      <c r="C366" s="20">
        <v>34359</v>
      </c>
      <c r="D366" t="s">
        <v>3865</v>
      </c>
      <c r="E366" t="s">
        <v>3866</v>
      </c>
      <c r="F366" t="s">
        <v>3867</v>
      </c>
      <c r="G366" t="s">
        <v>3868</v>
      </c>
      <c r="H366" s="21">
        <v>40275.789259259262</v>
      </c>
      <c r="I366" s="22" t="s">
        <v>1710</v>
      </c>
    </row>
    <row r="367" spans="1:9" x14ac:dyDescent="0.3">
      <c r="A367" t="s">
        <v>3869</v>
      </c>
      <c r="B367" t="s">
        <v>3870</v>
      </c>
      <c r="C367" s="20">
        <v>30219</v>
      </c>
      <c r="D367" t="s">
        <v>3871</v>
      </c>
      <c r="E367" t="s">
        <v>3872</v>
      </c>
      <c r="F367" t="s">
        <v>3873</v>
      </c>
      <c r="G367" t="s">
        <v>3874</v>
      </c>
      <c r="H367" s="21">
        <v>44224.85597222222</v>
      </c>
      <c r="I367" s="22" t="s">
        <v>1736</v>
      </c>
    </row>
    <row r="368" spans="1:9" x14ac:dyDescent="0.3">
      <c r="A368" t="s">
        <v>3875</v>
      </c>
      <c r="B368" t="s">
        <v>3876</v>
      </c>
      <c r="C368" s="20">
        <v>31804</v>
      </c>
      <c r="D368" t="s">
        <v>3877</v>
      </c>
      <c r="E368" t="s">
        <v>3878</v>
      </c>
      <c r="F368" t="s">
        <v>3879</v>
      </c>
      <c r="G368" t="s">
        <v>3880</v>
      </c>
      <c r="H368" s="21">
        <v>38975.557615740741</v>
      </c>
      <c r="I368" s="22" t="s">
        <v>1736</v>
      </c>
    </row>
    <row r="369" spans="1:9" x14ac:dyDescent="0.3">
      <c r="A369" t="s">
        <v>3881</v>
      </c>
      <c r="B369" t="s">
        <v>3882</v>
      </c>
      <c r="C369" s="20">
        <v>29407</v>
      </c>
      <c r="D369" t="s">
        <v>3883</v>
      </c>
      <c r="E369" t="s">
        <v>3884</v>
      </c>
      <c r="F369" t="s">
        <v>3885</v>
      </c>
      <c r="G369" t="s">
        <v>3886</v>
      </c>
      <c r="H369" s="21">
        <v>40428.678981481484</v>
      </c>
      <c r="I369" s="22" t="s">
        <v>1684</v>
      </c>
    </row>
    <row r="370" spans="1:9" x14ac:dyDescent="0.3">
      <c r="A370" t="s">
        <v>3887</v>
      </c>
      <c r="B370" t="s">
        <v>3888</v>
      </c>
      <c r="C370" s="20">
        <v>31524</v>
      </c>
      <c r="D370" t="s">
        <v>3889</v>
      </c>
      <c r="E370" t="s">
        <v>3890</v>
      </c>
      <c r="F370" t="s">
        <v>3891</v>
      </c>
      <c r="G370" t="s">
        <v>3892</v>
      </c>
      <c r="H370" s="21">
        <v>42996.823703703703</v>
      </c>
      <c r="I370" s="22" t="s">
        <v>1710</v>
      </c>
    </row>
    <row r="371" spans="1:9" x14ac:dyDescent="0.3">
      <c r="A371" t="s">
        <v>3893</v>
      </c>
      <c r="B371" t="s">
        <v>3894</v>
      </c>
      <c r="C371" s="20">
        <v>33981</v>
      </c>
      <c r="D371" t="s">
        <v>3895</v>
      </c>
      <c r="E371" t="s">
        <v>3896</v>
      </c>
      <c r="F371" t="s">
        <v>3897</v>
      </c>
      <c r="G371" t="s">
        <v>3898</v>
      </c>
      <c r="H371" s="21">
        <v>41701.884074074071</v>
      </c>
      <c r="I371" s="22" t="s">
        <v>1691</v>
      </c>
    </row>
    <row r="372" spans="1:9" x14ac:dyDescent="0.3">
      <c r="A372" t="s">
        <v>3899</v>
      </c>
      <c r="B372" t="s">
        <v>3900</v>
      </c>
      <c r="C372" s="20">
        <v>27876</v>
      </c>
      <c r="D372" t="s">
        <v>3901</v>
      </c>
      <c r="E372" t="s">
        <v>3902</v>
      </c>
      <c r="F372" t="s">
        <v>3903</v>
      </c>
      <c r="G372" t="s">
        <v>3904</v>
      </c>
      <c r="H372" s="21">
        <v>42553.572118055556</v>
      </c>
      <c r="I372" s="22" t="s">
        <v>1684</v>
      </c>
    </row>
    <row r="373" spans="1:9" x14ac:dyDescent="0.3">
      <c r="A373" t="s">
        <v>3905</v>
      </c>
      <c r="B373" t="s">
        <v>3906</v>
      </c>
      <c r="C373" s="20">
        <v>32862</v>
      </c>
      <c r="D373" t="s">
        <v>3907</v>
      </c>
      <c r="E373" t="s">
        <v>3908</v>
      </c>
      <c r="F373" t="s">
        <v>3909</v>
      </c>
      <c r="G373" t="s">
        <v>3910</v>
      </c>
      <c r="H373" s="21">
        <v>41805.475636574076</v>
      </c>
      <c r="I373" s="22" t="s">
        <v>1710</v>
      </c>
    </row>
    <row r="374" spans="1:9" x14ac:dyDescent="0.3">
      <c r="A374" t="s">
        <v>3911</v>
      </c>
      <c r="B374" t="s">
        <v>3912</v>
      </c>
      <c r="C374" s="20">
        <v>31235</v>
      </c>
      <c r="D374" t="s">
        <v>3913</v>
      </c>
      <c r="E374" t="s">
        <v>3914</v>
      </c>
      <c r="F374" t="s">
        <v>3915</v>
      </c>
      <c r="G374" t="s">
        <v>3916</v>
      </c>
      <c r="H374" s="21">
        <v>41483.868437500001</v>
      </c>
      <c r="I374" s="22" t="s">
        <v>1729</v>
      </c>
    </row>
    <row r="375" spans="1:9" x14ac:dyDescent="0.3">
      <c r="A375" t="s">
        <v>3917</v>
      </c>
      <c r="B375" t="s">
        <v>3918</v>
      </c>
      <c r="C375" s="20">
        <v>28296</v>
      </c>
      <c r="D375" t="s">
        <v>3919</v>
      </c>
      <c r="E375" t="s">
        <v>3920</v>
      </c>
      <c r="F375" t="s">
        <v>3921</v>
      </c>
      <c r="G375" t="s">
        <v>3922</v>
      </c>
      <c r="H375" s="21">
        <v>44024.496678240743</v>
      </c>
      <c r="I375" s="22" t="s">
        <v>1710</v>
      </c>
    </row>
    <row r="376" spans="1:9" x14ac:dyDescent="0.3">
      <c r="A376" t="s">
        <v>3923</v>
      </c>
      <c r="B376" t="s">
        <v>3924</v>
      </c>
      <c r="C376" s="20">
        <v>34758</v>
      </c>
      <c r="D376" t="s">
        <v>3925</v>
      </c>
      <c r="E376" t="s">
        <v>3926</v>
      </c>
      <c r="F376" t="s">
        <v>3927</v>
      </c>
      <c r="G376" t="s">
        <v>3928</v>
      </c>
      <c r="H376" s="21">
        <v>39376.229270833333</v>
      </c>
      <c r="I376" s="22" t="s">
        <v>1729</v>
      </c>
    </row>
    <row r="377" spans="1:9" x14ac:dyDescent="0.3">
      <c r="A377" t="s">
        <v>3929</v>
      </c>
      <c r="B377" t="s">
        <v>3930</v>
      </c>
      <c r="C377" s="20">
        <v>31422</v>
      </c>
      <c r="D377" t="s">
        <v>3931</v>
      </c>
      <c r="E377" t="s">
        <v>3932</v>
      </c>
      <c r="F377" t="s">
        <v>3933</v>
      </c>
      <c r="G377" t="s">
        <v>3934</v>
      </c>
      <c r="H377" s="21">
        <v>42481.875219907408</v>
      </c>
      <c r="I377" s="22" t="s">
        <v>1684</v>
      </c>
    </row>
    <row r="378" spans="1:9" x14ac:dyDescent="0.3">
      <c r="A378" t="s">
        <v>3935</v>
      </c>
      <c r="B378" t="s">
        <v>3936</v>
      </c>
      <c r="C378" s="20">
        <v>33256</v>
      </c>
      <c r="D378" t="s">
        <v>3937</v>
      </c>
      <c r="E378" t="s">
        <v>3938</v>
      </c>
      <c r="F378" t="s">
        <v>3939</v>
      </c>
      <c r="G378" t="s">
        <v>3940</v>
      </c>
      <c r="H378" s="21">
        <v>38859.24759259259</v>
      </c>
      <c r="I378" s="22" t="s">
        <v>1710</v>
      </c>
    </row>
    <row r="379" spans="1:9" x14ac:dyDescent="0.3">
      <c r="A379" t="s">
        <v>3941</v>
      </c>
      <c r="B379" t="s">
        <v>3942</v>
      </c>
      <c r="C379" s="20">
        <v>29404</v>
      </c>
      <c r="D379" t="s">
        <v>3943</v>
      </c>
      <c r="E379" t="s">
        <v>3944</v>
      </c>
      <c r="F379" t="s">
        <v>3945</v>
      </c>
      <c r="G379" t="s">
        <v>3946</v>
      </c>
      <c r="H379" s="21">
        <v>40375.483344907407</v>
      </c>
      <c r="I379" s="22" t="s">
        <v>1691</v>
      </c>
    </row>
    <row r="380" spans="1:9" x14ac:dyDescent="0.3">
      <c r="A380" t="s">
        <v>3947</v>
      </c>
      <c r="B380" t="s">
        <v>3948</v>
      </c>
      <c r="C380" s="20">
        <v>36524</v>
      </c>
      <c r="D380" t="s">
        <v>3949</v>
      </c>
      <c r="E380" t="s">
        <v>3950</v>
      </c>
      <c r="F380" t="s">
        <v>3951</v>
      </c>
      <c r="G380" t="s">
        <v>3952</v>
      </c>
      <c r="H380" s="21">
        <v>39329.851770833331</v>
      </c>
      <c r="I380" s="22" t="s">
        <v>1736</v>
      </c>
    </row>
    <row r="381" spans="1:9" x14ac:dyDescent="0.3">
      <c r="A381" t="s">
        <v>3953</v>
      </c>
      <c r="B381" t="s">
        <v>3954</v>
      </c>
      <c r="C381" s="20">
        <v>30440</v>
      </c>
      <c r="D381" t="s">
        <v>3955</v>
      </c>
      <c r="E381" t="s">
        <v>3956</v>
      </c>
      <c r="F381" t="s">
        <v>3957</v>
      </c>
      <c r="G381" t="s">
        <v>3958</v>
      </c>
      <c r="H381" s="21">
        <v>38426.605868055558</v>
      </c>
      <c r="I381" s="22" t="s">
        <v>1736</v>
      </c>
    </row>
    <row r="382" spans="1:9" x14ac:dyDescent="0.3">
      <c r="A382" t="s">
        <v>3959</v>
      </c>
      <c r="B382" t="s">
        <v>3960</v>
      </c>
      <c r="C382" s="20">
        <v>35063</v>
      </c>
      <c r="D382" t="s">
        <v>3961</v>
      </c>
      <c r="E382" t="s">
        <v>3962</v>
      </c>
      <c r="F382" t="s">
        <v>3963</v>
      </c>
      <c r="G382" t="s">
        <v>3964</v>
      </c>
      <c r="H382" s="21">
        <v>39420.622199074074</v>
      </c>
      <c r="I382" s="22" t="s">
        <v>1691</v>
      </c>
    </row>
    <row r="383" spans="1:9" x14ac:dyDescent="0.3">
      <c r="A383" t="s">
        <v>3965</v>
      </c>
      <c r="B383" t="s">
        <v>3966</v>
      </c>
      <c r="C383" s="20">
        <v>33724</v>
      </c>
      <c r="D383" t="s">
        <v>3967</v>
      </c>
      <c r="E383" t="s">
        <v>3968</v>
      </c>
      <c r="F383" t="s">
        <v>3969</v>
      </c>
      <c r="G383" t="s">
        <v>3970</v>
      </c>
      <c r="H383" s="21">
        <v>40466.861678240741</v>
      </c>
      <c r="I383" s="22" t="s">
        <v>1710</v>
      </c>
    </row>
    <row r="384" spans="1:9" x14ac:dyDescent="0.3">
      <c r="A384" t="s">
        <v>3971</v>
      </c>
      <c r="B384" t="s">
        <v>3972</v>
      </c>
      <c r="C384" s="20">
        <v>35042</v>
      </c>
      <c r="D384" t="s">
        <v>3973</v>
      </c>
      <c r="E384" t="s">
        <v>3974</v>
      </c>
      <c r="F384" t="s">
        <v>3975</v>
      </c>
      <c r="G384" t="s">
        <v>3976</v>
      </c>
      <c r="H384" s="21">
        <v>41915.601111111115</v>
      </c>
      <c r="I384" s="22" t="s">
        <v>1710</v>
      </c>
    </row>
    <row r="385" spans="1:9" x14ac:dyDescent="0.3">
      <c r="A385" t="s">
        <v>3977</v>
      </c>
      <c r="B385" t="s">
        <v>3978</v>
      </c>
      <c r="C385" s="20">
        <v>34077</v>
      </c>
      <c r="D385" t="s">
        <v>3979</v>
      </c>
      <c r="E385" t="s">
        <v>3980</v>
      </c>
      <c r="F385" t="s">
        <v>3981</v>
      </c>
      <c r="G385" t="s">
        <v>3982</v>
      </c>
      <c r="H385" s="21">
        <v>41268.416319444441</v>
      </c>
      <c r="I385" s="22" t="s">
        <v>1691</v>
      </c>
    </row>
    <row r="386" spans="1:9" x14ac:dyDescent="0.3">
      <c r="A386" t="s">
        <v>3983</v>
      </c>
      <c r="B386" t="s">
        <v>3984</v>
      </c>
      <c r="C386" s="20">
        <v>27437</v>
      </c>
      <c r="D386" t="s">
        <v>3985</v>
      </c>
      <c r="E386" t="s">
        <v>3986</v>
      </c>
      <c r="F386" t="s">
        <v>3987</v>
      </c>
      <c r="G386" t="s">
        <v>3988</v>
      </c>
      <c r="H386" s="21">
        <v>39666.270844907405</v>
      </c>
      <c r="I386" s="22" t="s">
        <v>1736</v>
      </c>
    </row>
    <row r="387" spans="1:9" x14ac:dyDescent="0.3">
      <c r="A387" t="s">
        <v>3989</v>
      </c>
      <c r="B387" t="s">
        <v>3990</v>
      </c>
      <c r="C387" s="20">
        <v>34796</v>
      </c>
      <c r="D387" t="s">
        <v>3991</v>
      </c>
      <c r="E387" t="s">
        <v>3992</v>
      </c>
      <c r="F387" t="s">
        <v>3993</v>
      </c>
      <c r="G387" t="s">
        <v>3994</v>
      </c>
      <c r="H387" s="21">
        <v>38476.912465277775</v>
      </c>
      <c r="I387" s="22" t="s">
        <v>1684</v>
      </c>
    </row>
    <row r="388" spans="1:9" x14ac:dyDescent="0.3">
      <c r="A388" t="s">
        <v>3995</v>
      </c>
      <c r="B388" t="s">
        <v>3996</v>
      </c>
      <c r="C388" s="20">
        <v>32785</v>
      </c>
      <c r="D388" t="s">
        <v>3997</v>
      </c>
      <c r="E388" t="s">
        <v>3998</v>
      </c>
      <c r="F388" t="s">
        <v>3999</v>
      </c>
      <c r="G388" t="s">
        <v>4000</v>
      </c>
      <c r="H388" s="21">
        <v>41819.767708333333</v>
      </c>
      <c r="I388" s="22" t="s">
        <v>1710</v>
      </c>
    </row>
    <row r="389" spans="1:9" x14ac:dyDescent="0.3">
      <c r="A389" t="s">
        <v>4001</v>
      </c>
      <c r="B389" t="s">
        <v>4002</v>
      </c>
      <c r="C389" s="20">
        <v>31070</v>
      </c>
      <c r="D389" t="s">
        <v>4003</v>
      </c>
      <c r="E389" t="s">
        <v>4004</v>
      </c>
      <c r="F389" t="s">
        <v>4005</v>
      </c>
      <c r="G389" t="s">
        <v>4006</v>
      </c>
      <c r="H389" s="21">
        <v>39508.617696759262</v>
      </c>
      <c r="I389" s="22" t="s">
        <v>1684</v>
      </c>
    </row>
    <row r="390" spans="1:9" x14ac:dyDescent="0.3">
      <c r="A390" t="s">
        <v>4007</v>
      </c>
      <c r="B390" t="s">
        <v>4008</v>
      </c>
      <c r="C390" s="20">
        <v>34341</v>
      </c>
      <c r="D390" t="s">
        <v>4009</v>
      </c>
      <c r="E390" t="s">
        <v>4010</v>
      </c>
      <c r="F390" t="s">
        <v>4011</v>
      </c>
      <c r="G390" t="s">
        <v>4012</v>
      </c>
      <c r="H390" s="21">
        <v>39943.525439814817</v>
      </c>
      <c r="I390" s="22" t="s">
        <v>1684</v>
      </c>
    </row>
    <row r="391" spans="1:9" x14ac:dyDescent="0.3">
      <c r="A391" t="s">
        <v>4013</v>
      </c>
      <c r="B391" t="s">
        <v>4014</v>
      </c>
      <c r="C391" s="20">
        <v>30288</v>
      </c>
      <c r="D391" t="s">
        <v>4015</v>
      </c>
      <c r="E391" t="s">
        <v>4016</v>
      </c>
      <c r="F391" t="s">
        <v>4017</v>
      </c>
      <c r="G391" t="s">
        <v>4018</v>
      </c>
      <c r="H391" s="21">
        <v>40430.643969907411</v>
      </c>
      <c r="I391" s="22" t="s">
        <v>1729</v>
      </c>
    </row>
    <row r="392" spans="1:9" x14ac:dyDescent="0.3">
      <c r="A392" t="s">
        <v>4019</v>
      </c>
      <c r="B392" t="s">
        <v>4020</v>
      </c>
      <c r="C392" s="20">
        <v>34219</v>
      </c>
      <c r="D392" t="s">
        <v>4021</v>
      </c>
      <c r="E392" t="s">
        <v>4022</v>
      </c>
      <c r="F392" t="s">
        <v>4023</v>
      </c>
      <c r="G392" t="s">
        <v>4024</v>
      </c>
      <c r="H392" s="21">
        <v>39246.32172453704</v>
      </c>
      <c r="I392" s="22" t="s">
        <v>1710</v>
      </c>
    </row>
    <row r="393" spans="1:9" x14ac:dyDescent="0.3">
      <c r="A393" t="s">
        <v>4025</v>
      </c>
      <c r="B393" t="s">
        <v>4026</v>
      </c>
      <c r="C393" s="20">
        <v>26827</v>
      </c>
      <c r="D393" t="s">
        <v>4027</v>
      </c>
      <c r="E393" t="s">
        <v>4028</v>
      </c>
      <c r="F393" t="s">
        <v>4029</v>
      </c>
      <c r="G393" t="s">
        <v>4030</v>
      </c>
      <c r="H393" s="21">
        <v>39736.909270833334</v>
      </c>
      <c r="I393" s="22" t="s">
        <v>1710</v>
      </c>
    </row>
    <row r="394" spans="1:9" x14ac:dyDescent="0.3">
      <c r="A394" t="s">
        <v>4031</v>
      </c>
      <c r="B394" t="s">
        <v>4032</v>
      </c>
      <c r="C394" s="20">
        <v>30383</v>
      </c>
      <c r="D394" t="s">
        <v>4033</v>
      </c>
      <c r="E394" t="s">
        <v>4034</v>
      </c>
      <c r="F394" t="s">
        <v>4035</v>
      </c>
      <c r="G394" t="s">
        <v>4036</v>
      </c>
      <c r="H394" s="21">
        <v>40686.605555555558</v>
      </c>
      <c r="I394" s="22" t="s">
        <v>1691</v>
      </c>
    </row>
    <row r="395" spans="1:9" x14ac:dyDescent="0.3">
      <c r="A395" t="s">
        <v>4037</v>
      </c>
      <c r="B395" t="s">
        <v>4038</v>
      </c>
      <c r="C395" s="20">
        <v>36345</v>
      </c>
      <c r="D395" t="s">
        <v>4039</v>
      </c>
      <c r="E395" t="s">
        <v>4040</v>
      </c>
      <c r="F395" t="s">
        <v>4041</v>
      </c>
      <c r="G395" t="s">
        <v>4042</v>
      </c>
      <c r="H395" s="21">
        <v>41284.366493055553</v>
      </c>
      <c r="I395" s="22" t="s">
        <v>1691</v>
      </c>
    </row>
    <row r="396" spans="1:9" x14ac:dyDescent="0.3">
      <c r="A396" t="s">
        <v>4043</v>
      </c>
      <c r="B396" t="s">
        <v>4044</v>
      </c>
      <c r="C396" s="20">
        <v>28953</v>
      </c>
      <c r="D396" t="s">
        <v>4045</v>
      </c>
      <c r="E396" t="s">
        <v>4046</v>
      </c>
      <c r="F396" t="s">
        <v>4047</v>
      </c>
      <c r="G396" t="s">
        <v>4048</v>
      </c>
      <c r="H396" s="21">
        <v>44165.012245370373</v>
      </c>
      <c r="I396" s="22" t="s">
        <v>1684</v>
      </c>
    </row>
    <row r="397" spans="1:9" x14ac:dyDescent="0.3">
      <c r="A397" t="s">
        <v>4049</v>
      </c>
      <c r="B397" t="s">
        <v>4050</v>
      </c>
      <c r="C397" s="20">
        <v>35809</v>
      </c>
      <c r="D397" t="s">
        <v>4051</v>
      </c>
      <c r="E397" t="s">
        <v>4052</v>
      </c>
      <c r="F397" t="s">
        <v>4053</v>
      </c>
      <c r="G397" t="s">
        <v>4054</v>
      </c>
      <c r="H397" s="21">
        <v>39474.19195601852</v>
      </c>
      <c r="I397" s="22" t="s">
        <v>1691</v>
      </c>
    </row>
    <row r="398" spans="1:9" x14ac:dyDescent="0.3">
      <c r="A398" t="s">
        <v>4055</v>
      </c>
      <c r="B398" t="s">
        <v>4056</v>
      </c>
      <c r="C398" s="20">
        <v>26356</v>
      </c>
      <c r="D398" t="s">
        <v>4057</v>
      </c>
      <c r="E398" t="s">
        <v>4058</v>
      </c>
      <c r="F398" t="s">
        <v>4059</v>
      </c>
      <c r="G398" t="s">
        <v>4060</v>
      </c>
      <c r="H398" s="21">
        <v>39216.397812499999</v>
      </c>
      <c r="I398" s="22" t="s">
        <v>1710</v>
      </c>
    </row>
    <row r="399" spans="1:9" x14ac:dyDescent="0.3">
      <c r="A399" t="s">
        <v>4061</v>
      </c>
      <c r="B399" t="s">
        <v>4062</v>
      </c>
      <c r="C399" s="20">
        <v>32494</v>
      </c>
      <c r="D399" t="s">
        <v>4063</v>
      </c>
      <c r="E399" t="s">
        <v>4064</v>
      </c>
      <c r="F399" t="s">
        <v>4065</v>
      </c>
      <c r="G399" t="s">
        <v>4066</v>
      </c>
      <c r="H399" s="21">
        <v>42037.305277777778</v>
      </c>
      <c r="I399" s="22" t="s">
        <v>1710</v>
      </c>
    </row>
    <row r="400" spans="1:9" x14ac:dyDescent="0.3">
      <c r="A400" t="s">
        <v>4067</v>
      </c>
      <c r="B400" t="s">
        <v>4068</v>
      </c>
      <c r="C400" s="20">
        <v>33289</v>
      </c>
      <c r="D400" t="s">
        <v>4069</v>
      </c>
      <c r="E400" t="s">
        <v>4070</v>
      </c>
      <c r="F400" t="s">
        <v>4071</v>
      </c>
      <c r="G400" t="s">
        <v>4072</v>
      </c>
      <c r="H400" s="21">
        <v>43371.111319444448</v>
      </c>
      <c r="I400" s="22" t="s">
        <v>1710</v>
      </c>
    </row>
    <row r="401" spans="1:9" x14ac:dyDescent="0.3">
      <c r="A401" t="s">
        <v>4073</v>
      </c>
      <c r="B401" t="s">
        <v>4074</v>
      </c>
      <c r="C401" s="20">
        <v>27742</v>
      </c>
      <c r="D401" t="s">
        <v>4075</v>
      </c>
      <c r="E401" t="s">
        <v>4076</v>
      </c>
      <c r="F401" t="s">
        <v>4077</v>
      </c>
      <c r="G401" t="s">
        <v>4078</v>
      </c>
      <c r="H401" s="21">
        <v>39250.861481481479</v>
      </c>
      <c r="I401" s="22" t="s">
        <v>1736</v>
      </c>
    </row>
    <row r="402" spans="1:9" x14ac:dyDescent="0.3">
      <c r="A402" t="s">
        <v>4079</v>
      </c>
      <c r="B402" t="s">
        <v>4080</v>
      </c>
      <c r="C402" s="20">
        <v>35935</v>
      </c>
      <c r="D402" t="s">
        <v>4081</v>
      </c>
      <c r="E402" t="s">
        <v>4082</v>
      </c>
      <c r="F402" t="s">
        <v>4083</v>
      </c>
      <c r="G402" t="s">
        <v>4084</v>
      </c>
      <c r="H402" s="21">
        <v>41152.462604166663</v>
      </c>
      <c r="I402" s="22" t="s">
        <v>1710</v>
      </c>
    </row>
    <row r="403" spans="1:9" x14ac:dyDescent="0.3">
      <c r="A403" t="s">
        <v>4085</v>
      </c>
      <c r="B403" t="s">
        <v>4086</v>
      </c>
      <c r="C403" s="20">
        <v>27057</v>
      </c>
      <c r="D403" t="s">
        <v>4087</v>
      </c>
      <c r="E403" t="s">
        <v>4088</v>
      </c>
      <c r="F403" t="s">
        <v>4089</v>
      </c>
      <c r="G403" t="s">
        <v>4090</v>
      </c>
      <c r="H403" s="21">
        <v>41532.947187500002</v>
      </c>
      <c r="I403" s="22" t="s">
        <v>1684</v>
      </c>
    </row>
    <row r="404" spans="1:9" x14ac:dyDescent="0.3">
      <c r="A404" t="s">
        <v>4091</v>
      </c>
      <c r="B404" t="s">
        <v>4092</v>
      </c>
      <c r="C404" s="20">
        <v>33229</v>
      </c>
      <c r="D404" t="s">
        <v>4093</v>
      </c>
      <c r="E404" t="s">
        <v>4094</v>
      </c>
      <c r="F404" t="s">
        <v>4095</v>
      </c>
      <c r="G404" t="s">
        <v>4096</v>
      </c>
      <c r="H404" s="21">
        <v>43754.847939814812</v>
      </c>
      <c r="I404" s="22" t="s">
        <v>1729</v>
      </c>
    </row>
    <row r="405" spans="1:9" x14ac:dyDescent="0.3">
      <c r="A405" t="s">
        <v>4097</v>
      </c>
      <c r="B405" t="s">
        <v>4098</v>
      </c>
      <c r="C405" s="20">
        <v>29277</v>
      </c>
      <c r="D405" t="s">
        <v>4099</v>
      </c>
      <c r="E405" t="s">
        <v>4100</v>
      </c>
      <c r="F405" t="s">
        <v>4101</v>
      </c>
      <c r="G405" t="s">
        <v>4102</v>
      </c>
      <c r="H405" s="21">
        <v>43783.617569444446</v>
      </c>
      <c r="I405" s="22" t="s">
        <v>1691</v>
      </c>
    </row>
    <row r="406" spans="1:9" x14ac:dyDescent="0.3">
      <c r="A406" t="s">
        <v>4103</v>
      </c>
      <c r="B406" t="s">
        <v>4104</v>
      </c>
      <c r="C406" s="20">
        <v>30192</v>
      </c>
      <c r="D406" t="s">
        <v>4105</v>
      </c>
      <c r="E406" t="s">
        <v>4106</v>
      </c>
      <c r="F406" t="s">
        <v>4107</v>
      </c>
      <c r="G406" t="s">
        <v>4108</v>
      </c>
      <c r="H406" s="21">
        <v>42247.833796296298</v>
      </c>
      <c r="I406" s="22" t="s">
        <v>1729</v>
      </c>
    </row>
    <row r="407" spans="1:9" x14ac:dyDescent="0.3">
      <c r="A407" t="s">
        <v>4109</v>
      </c>
      <c r="B407" t="s">
        <v>4110</v>
      </c>
      <c r="C407" s="20">
        <v>32224</v>
      </c>
      <c r="D407" t="s">
        <v>4111</v>
      </c>
      <c r="E407" t="s">
        <v>4112</v>
      </c>
      <c r="F407" t="s">
        <v>4113</v>
      </c>
      <c r="G407" t="s">
        <v>4114</v>
      </c>
      <c r="H407" s="21">
        <v>42513.389837962961</v>
      </c>
      <c r="I407" s="22" t="s">
        <v>1710</v>
      </c>
    </row>
    <row r="408" spans="1:9" x14ac:dyDescent="0.3">
      <c r="A408" t="s">
        <v>4115</v>
      </c>
      <c r="B408" t="s">
        <v>4116</v>
      </c>
      <c r="C408" s="20">
        <v>27667</v>
      </c>
      <c r="D408" t="s">
        <v>4117</v>
      </c>
      <c r="E408" t="s">
        <v>4118</v>
      </c>
      <c r="F408" t="s">
        <v>4119</v>
      </c>
      <c r="G408" t="s">
        <v>4120</v>
      </c>
      <c r="H408" s="21">
        <v>40103.738969907405</v>
      </c>
      <c r="I408" s="22" t="s">
        <v>1691</v>
      </c>
    </row>
    <row r="409" spans="1:9" x14ac:dyDescent="0.3">
      <c r="A409" t="s">
        <v>4121</v>
      </c>
      <c r="B409" t="s">
        <v>4122</v>
      </c>
      <c r="C409" s="20">
        <v>33779</v>
      </c>
      <c r="D409" t="s">
        <v>1902</v>
      </c>
      <c r="E409" t="s">
        <v>4123</v>
      </c>
      <c r="F409" t="s">
        <v>4124</v>
      </c>
      <c r="G409" t="s">
        <v>4125</v>
      </c>
      <c r="H409" s="21">
        <v>43331.780081018522</v>
      </c>
      <c r="I409" s="22" t="s">
        <v>1710</v>
      </c>
    </row>
    <row r="410" spans="1:9" x14ac:dyDescent="0.3">
      <c r="A410" t="s">
        <v>4126</v>
      </c>
      <c r="B410" t="s">
        <v>4127</v>
      </c>
      <c r="C410" s="20">
        <v>26208</v>
      </c>
      <c r="D410" t="s">
        <v>4128</v>
      </c>
      <c r="E410" t="s">
        <v>4129</v>
      </c>
      <c r="F410" t="s">
        <v>4130</v>
      </c>
      <c r="G410" t="s">
        <v>4131</v>
      </c>
      <c r="H410" s="21">
        <v>38542.45716435185</v>
      </c>
      <c r="I410" s="22" t="s">
        <v>1691</v>
      </c>
    </row>
    <row r="411" spans="1:9" x14ac:dyDescent="0.3">
      <c r="A411" t="s">
        <v>4132</v>
      </c>
      <c r="B411" t="s">
        <v>4133</v>
      </c>
      <c r="C411" s="20">
        <v>30429</v>
      </c>
      <c r="D411" t="s">
        <v>4134</v>
      </c>
      <c r="E411" t="s">
        <v>4135</v>
      </c>
      <c r="F411" t="s">
        <v>4136</v>
      </c>
      <c r="G411" t="s">
        <v>4137</v>
      </c>
      <c r="H411" s="21">
        <v>40984.58662037037</v>
      </c>
      <c r="I411" s="22" t="s">
        <v>1729</v>
      </c>
    </row>
    <row r="412" spans="1:9" x14ac:dyDescent="0.3">
      <c r="A412" t="s">
        <v>4138</v>
      </c>
      <c r="B412" t="s">
        <v>4139</v>
      </c>
      <c r="C412" s="20">
        <v>30321</v>
      </c>
      <c r="D412" t="s">
        <v>4140</v>
      </c>
      <c r="E412" t="s">
        <v>4141</v>
      </c>
      <c r="F412" t="s">
        <v>4142</v>
      </c>
      <c r="G412" t="s">
        <v>4143</v>
      </c>
      <c r="H412" s="21">
        <v>38742.513159722221</v>
      </c>
      <c r="I412" s="22" t="s">
        <v>1729</v>
      </c>
    </row>
    <row r="413" spans="1:9" x14ac:dyDescent="0.3">
      <c r="A413" t="s">
        <v>4144</v>
      </c>
      <c r="B413" t="s">
        <v>4145</v>
      </c>
      <c r="C413" s="20">
        <v>34908</v>
      </c>
      <c r="D413" t="s">
        <v>4146</v>
      </c>
      <c r="E413" t="s">
        <v>4147</v>
      </c>
      <c r="F413" t="s">
        <v>4148</v>
      </c>
      <c r="G413" t="s">
        <v>4149</v>
      </c>
      <c r="H413" s="21">
        <v>43106.416990740741</v>
      </c>
      <c r="I413" s="22" t="s">
        <v>1710</v>
      </c>
    </row>
    <row r="414" spans="1:9" x14ac:dyDescent="0.3">
      <c r="A414" t="s">
        <v>4150</v>
      </c>
      <c r="B414" t="s">
        <v>4151</v>
      </c>
      <c r="C414" s="20">
        <v>26115</v>
      </c>
      <c r="D414" t="s">
        <v>4152</v>
      </c>
      <c r="E414" t="s">
        <v>4153</v>
      </c>
      <c r="F414" t="s">
        <v>4154</v>
      </c>
      <c r="G414" t="s">
        <v>4155</v>
      </c>
      <c r="H414" s="21">
        <v>44308.93472222222</v>
      </c>
      <c r="I414" s="22" t="s">
        <v>1691</v>
      </c>
    </row>
    <row r="415" spans="1:9" x14ac:dyDescent="0.3">
      <c r="A415" t="s">
        <v>4156</v>
      </c>
      <c r="B415" t="s">
        <v>4157</v>
      </c>
      <c r="C415" s="20">
        <v>26615</v>
      </c>
      <c r="D415" t="s">
        <v>4158</v>
      </c>
      <c r="E415" t="s">
        <v>4159</v>
      </c>
      <c r="F415" t="s">
        <v>4160</v>
      </c>
      <c r="G415" t="s">
        <v>4161</v>
      </c>
      <c r="H415" s="21">
        <v>42476.854467592595</v>
      </c>
      <c r="I415" s="22" t="s">
        <v>1729</v>
      </c>
    </row>
    <row r="416" spans="1:9" x14ac:dyDescent="0.3">
      <c r="A416" t="s">
        <v>4162</v>
      </c>
      <c r="B416" t="s">
        <v>4163</v>
      </c>
      <c r="C416" s="20">
        <v>33875</v>
      </c>
      <c r="D416" t="s">
        <v>4164</v>
      </c>
      <c r="E416" t="s">
        <v>4165</v>
      </c>
      <c r="F416" t="s">
        <v>4166</v>
      </c>
      <c r="G416" t="s">
        <v>4167</v>
      </c>
      <c r="H416" s="21">
        <v>39006.753310185188</v>
      </c>
      <c r="I416" s="22" t="s">
        <v>1691</v>
      </c>
    </row>
    <row r="417" spans="1:9" x14ac:dyDescent="0.3">
      <c r="A417" t="s">
        <v>4168</v>
      </c>
      <c r="B417" t="s">
        <v>4169</v>
      </c>
      <c r="C417" s="20">
        <v>27274</v>
      </c>
      <c r="D417" t="s">
        <v>4170</v>
      </c>
      <c r="E417" t="s">
        <v>4171</v>
      </c>
      <c r="F417" t="s">
        <v>4172</v>
      </c>
      <c r="G417" t="s">
        <v>4173</v>
      </c>
      <c r="H417" s="21">
        <v>41052.191377314812</v>
      </c>
      <c r="I417" s="22" t="s">
        <v>1729</v>
      </c>
    </row>
    <row r="418" spans="1:9" x14ac:dyDescent="0.3">
      <c r="A418" t="s">
        <v>4174</v>
      </c>
      <c r="B418" t="s">
        <v>4175</v>
      </c>
      <c r="C418" s="20">
        <v>31628</v>
      </c>
      <c r="D418" t="s">
        <v>4176</v>
      </c>
      <c r="E418" t="s">
        <v>4177</v>
      </c>
      <c r="F418" t="s">
        <v>4178</v>
      </c>
      <c r="G418" t="s">
        <v>4179</v>
      </c>
      <c r="H418" s="21">
        <v>41961.480567129627</v>
      </c>
      <c r="I418" s="22" t="s">
        <v>1736</v>
      </c>
    </row>
    <row r="419" spans="1:9" x14ac:dyDescent="0.3">
      <c r="A419" t="s">
        <v>4180</v>
      </c>
      <c r="B419" t="s">
        <v>4181</v>
      </c>
      <c r="C419" s="20">
        <v>26854</v>
      </c>
      <c r="D419" t="s">
        <v>4182</v>
      </c>
      <c r="E419" t="s">
        <v>4183</v>
      </c>
      <c r="F419" t="s">
        <v>4184</v>
      </c>
      <c r="G419" t="s">
        <v>4185</v>
      </c>
      <c r="H419" s="21">
        <v>41864.926770833335</v>
      </c>
      <c r="I419" s="22" t="s">
        <v>1710</v>
      </c>
    </row>
    <row r="420" spans="1:9" x14ac:dyDescent="0.3">
      <c r="A420" t="s">
        <v>4186</v>
      </c>
      <c r="B420" t="s">
        <v>4187</v>
      </c>
      <c r="C420" s="20">
        <v>33134</v>
      </c>
      <c r="D420" t="s">
        <v>4188</v>
      </c>
      <c r="E420" t="s">
        <v>4189</v>
      </c>
      <c r="F420" t="s">
        <v>4190</v>
      </c>
      <c r="G420" t="s">
        <v>4191</v>
      </c>
      <c r="H420" s="21">
        <v>43104.504826388889</v>
      </c>
      <c r="I420" s="22" t="s">
        <v>1684</v>
      </c>
    </row>
    <row r="421" spans="1:9" x14ac:dyDescent="0.3">
      <c r="A421" t="s">
        <v>4192</v>
      </c>
      <c r="B421" t="s">
        <v>4193</v>
      </c>
      <c r="C421" s="20">
        <v>36157</v>
      </c>
      <c r="D421" t="s">
        <v>4194</v>
      </c>
      <c r="E421" t="s">
        <v>4195</v>
      </c>
      <c r="F421" t="s">
        <v>4196</v>
      </c>
      <c r="G421" t="s">
        <v>4197</v>
      </c>
      <c r="H421" s="21">
        <v>40677.611956018518</v>
      </c>
      <c r="I421" s="22" t="s">
        <v>1729</v>
      </c>
    </row>
    <row r="422" spans="1:9" x14ac:dyDescent="0.3">
      <c r="A422" t="s">
        <v>4198</v>
      </c>
      <c r="B422" t="s">
        <v>4199</v>
      </c>
      <c r="C422" s="20">
        <v>35016</v>
      </c>
      <c r="D422" t="s">
        <v>4200</v>
      </c>
      <c r="E422" t="s">
        <v>4201</v>
      </c>
      <c r="F422" t="s">
        <v>4202</v>
      </c>
      <c r="G422" t="s">
        <v>4125</v>
      </c>
      <c r="H422" s="21">
        <v>38525.66746527778</v>
      </c>
      <c r="I422" s="22" t="s">
        <v>1691</v>
      </c>
    </row>
    <row r="423" spans="1:9" x14ac:dyDescent="0.3">
      <c r="A423" t="s">
        <v>4203</v>
      </c>
      <c r="B423" t="s">
        <v>4204</v>
      </c>
      <c r="C423" s="20">
        <v>29588</v>
      </c>
      <c r="D423" t="s">
        <v>4205</v>
      </c>
      <c r="E423" t="s">
        <v>4206</v>
      </c>
      <c r="F423" t="s">
        <v>4207</v>
      </c>
      <c r="G423" t="s">
        <v>4208</v>
      </c>
      <c r="H423" s="21">
        <v>40567.450648148151</v>
      </c>
      <c r="I423" s="22" t="s">
        <v>1729</v>
      </c>
    </row>
    <row r="424" spans="1:9" x14ac:dyDescent="0.3">
      <c r="A424" t="s">
        <v>4209</v>
      </c>
      <c r="B424" t="s">
        <v>4210</v>
      </c>
      <c r="C424" s="20">
        <v>29042</v>
      </c>
      <c r="D424" t="s">
        <v>4211</v>
      </c>
      <c r="E424" t="s">
        <v>4212</v>
      </c>
      <c r="F424" t="s">
        <v>4213</v>
      </c>
      <c r="G424" t="s">
        <v>4214</v>
      </c>
      <c r="H424" s="21">
        <v>39415.757592592592</v>
      </c>
      <c r="I424" s="22" t="s">
        <v>1729</v>
      </c>
    </row>
    <row r="425" spans="1:9" x14ac:dyDescent="0.3">
      <c r="A425" t="s">
        <v>4215</v>
      </c>
      <c r="B425" t="s">
        <v>4216</v>
      </c>
      <c r="C425" s="20">
        <v>33357</v>
      </c>
      <c r="D425" t="s">
        <v>4217</v>
      </c>
      <c r="E425" t="s">
        <v>4218</v>
      </c>
      <c r="F425" t="s">
        <v>4219</v>
      </c>
      <c r="G425" t="s">
        <v>4220</v>
      </c>
      <c r="H425" s="21">
        <v>38512.437650462962</v>
      </c>
      <c r="I425" s="22" t="s">
        <v>1691</v>
      </c>
    </row>
    <row r="426" spans="1:9" x14ac:dyDescent="0.3">
      <c r="A426" t="s">
        <v>4221</v>
      </c>
      <c r="B426" t="s">
        <v>4222</v>
      </c>
      <c r="C426" s="20">
        <v>26242</v>
      </c>
      <c r="D426" t="s">
        <v>4223</v>
      </c>
      <c r="E426" t="s">
        <v>4224</v>
      </c>
      <c r="F426" t="s">
        <v>4225</v>
      </c>
      <c r="G426" t="s">
        <v>4226</v>
      </c>
      <c r="H426" s="21">
        <v>43727.513807870368</v>
      </c>
      <c r="I426" s="22" t="s">
        <v>1729</v>
      </c>
    </row>
    <row r="427" spans="1:9" x14ac:dyDescent="0.3">
      <c r="A427" t="s">
        <v>4227</v>
      </c>
      <c r="B427" t="s">
        <v>4228</v>
      </c>
      <c r="C427" s="20">
        <v>28370</v>
      </c>
      <c r="D427" t="s">
        <v>4229</v>
      </c>
      <c r="E427" t="s">
        <v>4230</v>
      </c>
      <c r="F427" t="s">
        <v>4231</v>
      </c>
      <c r="G427" t="s">
        <v>4232</v>
      </c>
      <c r="H427" s="21">
        <v>43144.032523148147</v>
      </c>
      <c r="I427" s="22" t="s">
        <v>1684</v>
      </c>
    </row>
    <row r="428" spans="1:9" x14ac:dyDescent="0.3">
      <c r="A428" t="s">
        <v>4233</v>
      </c>
      <c r="B428" t="s">
        <v>4234</v>
      </c>
      <c r="C428" s="20">
        <v>29342</v>
      </c>
      <c r="D428" t="s">
        <v>4235</v>
      </c>
      <c r="E428" t="s">
        <v>4236</v>
      </c>
      <c r="F428" t="s">
        <v>4237</v>
      </c>
      <c r="G428" t="s">
        <v>4238</v>
      </c>
      <c r="H428" s="21">
        <v>43441.468784722223</v>
      </c>
      <c r="I428" s="22" t="s">
        <v>1691</v>
      </c>
    </row>
    <row r="429" spans="1:9" x14ac:dyDescent="0.3">
      <c r="A429" t="s">
        <v>4239</v>
      </c>
      <c r="B429" t="s">
        <v>4240</v>
      </c>
      <c r="C429" s="20">
        <v>36143</v>
      </c>
      <c r="D429" t="s">
        <v>4241</v>
      </c>
      <c r="E429" t="s">
        <v>4242</v>
      </c>
      <c r="F429" t="s">
        <v>4243</v>
      </c>
      <c r="G429" t="s">
        <v>4244</v>
      </c>
      <c r="H429" s="21">
        <v>41829.181319444448</v>
      </c>
      <c r="I429" s="22" t="s">
        <v>1710</v>
      </c>
    </row>
    <row r="430" spans="1:9" x14ac:dyDescent="0.3">
      <c r="A430" t="s">
        <v>4245</v>
      </c>
      <c r="B430" t="s">
        <v>4246</v>
      </c>
      <c r="C430" s="20">
        <v>30050</v>
      </c>
      <c r="D430" t="s">
        <v>4247</v>
      </c>
      <c r="E430" t="s">
        <v>4248</v>
      </c>
      <c r="F430" t="s">
        <v>4249</v>
      </c>
      <c r="G430" t="s">
        <v>4250</v>
      </c>
      <c r="H430" s="21">
        <v>42006.334201388891</v>
      </c>
      <c r="I430" s="22" t="s">
        <v>1684</v>
      </c>
    </row>
    <row r="431" spans="1:9" x14ac:dyDescent="0.3">
      <c r="A431" t="s">
        <v>4251</v>
      </c>
      <c r="B431" t="s">
        <v>4252</v>
      </c>
      <c r="C431" s="20">
        <v>30646</v>
      </c>
      <c r="D431" t="s">
        <v>4253</v>
      </c>
      <c r="E431" t="s">
        <v>4254</v>
      </c>
      <c r="F431" t="s">
        <v>4255</v>
      </c>
      <c r="G431" t="s">
        <v>4256</v>
      </c>
      <c r="H431" s="21">
        <v>40822.498379629629</v>
      </c>
      <c r="I431" s="22" t="s">
        <v>1736</v>
      </c>
    </row>
    <row r="432" spans="1:9" x14ac:dyDescent="0.3">
      <c r="A432" t="s">
        <v>4257</v>
      </c>
      <c r="B432" t="s">
        <v>4258</v>
      </c>
      <c r="C432" s="20">
        <v>29298</v>
      </c>
      <c r="D432" t="s">
        <v>4259</v>
      </c>
      <c r="E432" t="s">
        <v>4260</v>
      </c>
      <c r="F432" t="s">
        <v>4261</v>
      </c>
      <c r="G432" t="s">
        <v>4262</v>
      </c>
      <c r="H432" s="21">
        <v>41929.958761574075</v>
      </c>
      <c r="I432" s="22" t="s">
        <v>1684</v>
      </c>
    </row>
    <row r="433" spans="1:9" x14ac:dyDescent="0.3">
      <c r="A433" t="s">
        <v>4263</v>
      </c>
      <c r="B433" t="s">
        <v>4264</v>
      </c>
      <c r="C433" s="20">
        <v>36001</v>
      </c>
      <c r="D433" t="s">
        <v>4265</v>
      </c>
      <c r="E433" t="s">
        <v>4266</v>
      </c>
      <c r="F433" t="s">
        <v>4267</v>
      </c>
      <c r="G433" t="s">
        <v>4268</v>
      </c>
      <c r="H433" s="21">
        <v>39901.056712962964</v>
      </c>
      <c r="I433" s="22" t="s">
        <v>1710</v>
      </c>
    </row>
    <row r="434" spans="1:9" x14ac:dyDescent="0.3">
      <c r="A434" t="s">
        <v>4269</v>
      </c>
      <c r="B434" t="s">
        <v>4270</v>
      </c>
      <c r="C434" s="20">
        <v>32254</v>
      </c>
      <c r="D434" t="s">
        <v>4271</v>
      </c>
      <c r="E434" t="s">
        <v>4272</v>
      </c>
      <c r="F434" t="s">
        <v>4273</v>
      </c>
      <c r="G434" t="s">
        <v>4274</v>
      </c>
      <c r="H434" s="21">
        <v>39601.08934027778</v>
      </c>
      <c r="I434" s="22" t="s">
        <v>1691</v>
      </c>
    </row>
    <row r="435" spans="1:9" x14ac:dyDescent="0.3">
      <c r="A435" t="s">
        <v>4275</v>
      </c>
      <c r="B435" t="s">
        <v>4276</v>
      </c>
      <c r="C435" s="20">
        <v>31627</v>
      </c>
      <c r="D435" t="s">
        <v>4277</v>
      </c>
      <c r="E435" t="s">
        <v>4278</v>
      </c>
      <c r="F435" t="s">
        <v>4279</v>
      </c>
      <c r="G435" t="s">
        <v>4280</v>
      </c>
      <c r="H435" s="21">
        <v>43326.842488425929</v>
      </c>
      <c r="I435" s="22" t="s">
        <v>1729</v>
      </c>
    </row>
    <row r="436" spans="1:9" x14ac:dyDescent="0.3">
      <c r="A436" t="s">
        <v>4281</v>
      </c>
      <c r="B436" t="s">
        <v>4282</v>
      </c>
      <c r="C436" s="20">
        <v>30821</v>
      </c>
      <c r="D436" t="s">
        <v>4283</v>
      </c>
      <c r="E436" t="s">
        <v>4284</v>
      </c>
      <c r="F436" t="s">
        <v>4285</v>
      </c>
      <c r="G436" t="s">
        <v>4286</v>
      </c>
      <c r="H436" s="21">
        <v>41601.40520833333</v>
      </c>
      <c r="I436" s="22" t="s">
        <v>1729</v>
      </c>
    </row>
    <row r="437" spans="1:9" x14ac:dyDescent="0.3">
      <c r="A437" t="s">
        <v>4287</v>
      </c>
      <c r="B437" t="s">
        <v>4288</v>
      </c>
      <c r="C437" s="20">
        <v>35828</v>
      </c>
      <c r="D437" t="s">
        <v>4289</v>
      </c>
      <c r="E437" t="s">
        <v>4290</v>
      </c>
      <c r="F437" t="s">
        <v>4291</v>
      </c>
      <c r="G437" t="s">
        <v>4292</v>
      </c>
      <c r="H437" s="21">
        <v>38679.405347222222</v>
      </c>
      <c r="I437" s="22" t="s">
        <v>1684</v>
      </c>
    </row>
    <row r="438" spans="1:9" x14ac:dyDescent="0.3">
      <c r="A438" t="s">
        <v>4293</v>
      </c>
      <c r="B438" t="s">
        <v>4294</v>
      </c>
      <c r="C438" s="20">
        <v>32689</v>
      </c>
      <c r="D438" t="s">
        <v>4295</v>
      </c>
      <c r="E438" t="s">
        <v>4296</v>
      </c>
      <c r="F438" t="s">
        <v>4297</v>
      </c>
      <c r="G438" t="s">
        <v>4298</v>
      </c>
      <c r="H438" s="21">
        <v>40217.636030092595</v>
      </c>
      <c r="I438" s="22" t="s">
        <v>1691</v>
      </c>
    </row>
    <row r="439" spans="1:9" x14ac:dyDescent="0.3">
      <c r="A439" t="s">
        <v>4299</v>
      </c>
      <c r="B439" t="s">
        <v>4300</v>
      </c>
      <c r="C439" s="20">
        <v>25949</v>
      </c>
      <c r="D439" t="s">
        <v>4301</v>
      </c>
      <c r="E439" t="s">
        <v>4302</v>
      </c>
      <c r="F439" t="s">
        <v>4303</v>
      </c>
      <c r="G439" t="s">
        <v>4304</v>
      </c>
      <c r="H439" s="21">
        <v>40493.858854166669</v>
      </c>
      <c r="I439" s="22" t="s">
        <v>1691</v>
      </c>
    </row>
    <row r="440" spans="1:9" x14ac:dyDescent="0.3">
      <c r="A440" t="s">
        <v>4305</v>
      </c>
      <c r="B440" t="s">
        <v>4306</v>
      </c>
      <c r="C440" s="20">
        <v>35729</v>
      </c>
      <c r="D440" t="s">
        <v>4307</v>
      </c>
      <c r="E440" t="s">
        <v>4308</v>
      </c>
      <c r="F440" t="s">
        <v>4309</v>
      </c>
      <c r="G440" t="s">
        <v>4310</v>
      </c>
      <c r="H440" s="21">
        <v>41839.453333333331</v>
      </c>
      <c r="I440" s="22" t="s">
        <v>1729</v>
      </c>
    </row>
    <row r="441" spans="1:9" x14ac:dyDescent="0.3">
      <c r="A441" t="s">
        <v>4311</v>
      </c>
      <c r="B441" t="s">
        <v>4312</v>
      </c>
      <c r="C441" s="20">
        <v>31613</v>
      </c>
      <c r="D441" t="s">
        <v>4313</v>
      </c>
      <c r="E441" t="s">
        <v>4314</v>
      </c>
      <c r="F441" t="s">
        <v>4315</v>
      </c>
      <c r="G441" t="s">
        <v>4316</v>
      </c>
      <c r="H441" s="21">
        <v>41559.492581018516</v>
      </c>
      <c r="I441" s="22" t="s">
        <v>1710</v>
      </c>
    </row>
    <row r="442" spans="1:9" x14ac:dyDescent="0.3">
      <c r="A442" t="s">
        <v>4317</v>
      </c>
      <c r="B442" t="s">
        <v>4318</v>
      </c>
      <c r="C442" s="20">
        <v>31785</v>
      </c>
      <c r="D442" t="s">
        <v>4319</v>
      </c>
      <c r="E442" t="s">
        <v>4320</v>
      </c>
      <c r="F442" t="s">
        <v>4321</v>
      </c>
      <c r="G442" t="s">
        <v>4322</v>
      </c>
      <c r="H442" s="21">
        <v>40305.466886574075</v>
      </c>
      <c r="I442" s="22" t="s">
        <v>1691</v>
      </c>
    </row>
    <row r="443" spans="1:9" x14ac:dyDescent="0.3">
      <c r="A443" t="s">
        <v>4323</v>
      </c>
      <c r="B443" t="s">
        <v>4324</v>
      </c>
      <c r="C443" s="20">
        <v>34823</v>
      </c>
      <c r="D443" t="s">
        <v>4325</v>
      </c>
      <c r="E443" t="s">
        <v>4326</v>
      </c>
      <c r="F443" t="s">
        <v>4327</v>
      </c>
      <c r="G443" t="s">
        <v>4328</v>
      </c>
      <c r="H443" s="21">
        <v>39346.321539351855</v>
      </c>
      <c r="I443" s="22" t="s">
        <v>1684</v>
      </c>
    </row>
    <row r="444" spans="1:9" x14ac:dyDescent="0.3">
      <c r="A444" t="s">
        <v>4329</v>
      </c>
      <c r="B444" t="s">
        <v>4330</v>
      </c>
      <c r="C444" s="20">
        <v>27734</v>
      </c>
      <c r="D444" t="s">
        <v>4331</v>
      </c>
      <c r="E444" t="s">
        <v>4332</v>
      </c>
      <c r="F444" t="s">
        <v>4333</v>
      </c>
      <c r="G444" t="s">
        <v>4334</v>
      </c>
      <c r="H444" s="21">
        <v>43330.941979166666</v>
      </c>
      <c r="I444" s="22" t="s">
        <v>1729</v>
      </c>
    </row>
    <row r="445" spans="1:9" x14ac:dyDescent="0.3">
      <c r="A445" t="s">
        <v>4335</v>
      </c>
      <c r="B445" t="s">
        <v>4336</v>
      </c>
      <c r="C445" s="20">
        <v>27701</v>
      </c>
      <c r="D445" t="s">
        <v>4337</v>
      </c>
      <c r="E445" t="s">
        <v>4338</v>
      </c>
      <c r="F445" t="s">
        <v>4339</v>
      </c>
      <c r="G445" t="s">
        <v>4340</v>
      </c>
      <c r="H445" s="21">
        <v>38993.13989583333</v>
      </c>
      <c r="I445" s="22" t="s">
        <v>1710</v>
      </c>
    </row>
    <row r="446" spans="1:9" x14ac:dyDescent="0.3">
      <c r="A446" t="s">
        <v>4341</v>
      </c>
      <c r="B446" t="s">
        <v>4342</v>
      </c>
      <c r="C446" s="20">
        <v>32941</v>
      </c>
      <c r="D446" t="s">
        <v>4343</v>
      </c>
      <c r="E446" t="s">
        <v>4344</v>
      </c>
      <c r="F446" t="s">
        <v>4345</v>
      </c>
      <c r="G446" t="s">
        <v>4346</v>
      </c>
      <c r="H446" s="21">
        <v>43841.962916666664</v>
      </c>
      <c r="I446" s="22" t="s">
        <v>1691</v>
      </c>
    </row>
    <row r="447" spans="1:9" x14ac:dyDescent="0.3">
      <c r="A447" t="s">
        <v>4347</v>
      </c>
      <c r="B447" t="s">
        <v>4348</v>
      </c>
      <c r="C447" s="20">
        <v>30877</v>
      </c>
      <c r="D447" t="s">
        <v>4349</v>
      </c>
      <c r="E447" t="s">
        <v>4350</v>
      </c>
      <c r="F447" t="s">
        <v>4351</v>
      </c>
      <c r="G447" t="s">
        <v>4352</v>
      </c>
      <c r="H447" s="21">
        <v>42233.47483796296</v>
      </c>
      <c r="I447" s="22" t="s">
        <v>1684</v>
      </c>
    </row>
    <row r="448" spans="1:9" x14ac:dyDescent="0.3">
      <c r="A448" t="s">
        <v>4353</v>
      </c>
      <c r="B448" t="s">
        <v>4354</v>
      </c>
      <c r="C448" s="20">
        <v>25743</v>
      </c>
      <c r="D448" t="s">
        <v>4355</v>
      </c>
      <c r="E448" t="s">
        <v>4356</v>
      </c>
      <c r="F448" t="s">
        <v>4357</v>
      </c>
      <c r="G448" t="s">
        <v>4358</v>
      </c>
      <c r="H448" s="21">
        <v>41060.554988425924</v>
      </c>
      <c r="I448" s="22" t="s">
        <v>1691</v>
      </c>
    </row>
    <row r="449" spans="1:9" x14ac:dyDescent="0.3">
      <c r="A449" t="s">
        <v>4359</v>
      </c>
      <c r="B449" t="s">
        <v>4360</v>
      </c>
      <c r="C449" s="20">
        <v>30040</v>
      </c>
      <c r="D449" t="s">
        <v>4361</v>
      </c>
      <c r="E449" t="s">
        <v>4362</v>
      </c>
      <c r="F449" t="s">
        <v>4363</v>
      </c>
      <c r="G449" t="s">
        <v>4364</v>
      </c>
      <c r="H449" s="21">
        <v>42309.375231481485</v>
      </c>
      <c r="I449" s="22" t="s">
        <v>1691</v>
      </c>
    </row>
    <row r="450" spans="1:9" x14ac:dyDescent="0.3">
      <c r="A450" t="s">
        <v>4365</v>
      </c>
      <c r="B450" t="s">
        <v>4366</v>
      </c>
      <c r="C450" s="20">
        <v>34209</v>
      </c>
      <c r="D450" t="s">
        <v>4367</v>
      </c>
      <c r="E450" t="s">
        <v>4368</v>
      </c>
      <c r="F450" t="s">
        <v>4369</v>
      </c>
      <c r="G450" t="s">
        <v>4370</v>
      </c>
      <c r="H450" s="21">
        <v>43885.972546296296</v>
      </c>
      <c r="I450" s="22" t="s">
        <v>1729</v>
      </c>
    </row>
    <row r="451" spans="1:9" x14ac:dyDescent="0.3">
      <c r="A451" t="s">
        <v>4371</v>
      </c>
      <c r="B451" t="s">
        <v>4372</v>
      </c>
      <c r="C451" s="20">
        <v>31287</v>
      </c>
      <c r="D451" t="s">
        <v>4373</v>
      </c>
      <c r="E451" t="s">
        <v>4374</v>
      </c>
      <c r="F451" t="s">
        <v>4375</v>
      </c>
      <c r="G451" t="s">
        <v>4376</v>
      </c>
      <c r="H451" s="21">
        <v>40296.341481481482</v>
      </c>
      <c r="I451" s="22" t="s">
        <v>1736</v>
      </c>
    </row>
    <row r="452" spans="1:9" x14ac:dyDescent="0.3">
      <c r="A452" t="s">
        <v>4377</v>
      </c>
      <c r="B452" t="s">
        <v>4378</v>
      </c>
      <c r="C452" s="20">
        <v>27532</v>
      </c>
      <c r="D452" t="s">
        <v>4379</v>
      </c>
      <c r="E452" t="s">
        <v>4380</v>
      </c>
      <c r="F452" t="s">
        <v>4381</v>
      </c>
      <c r="G452" t="s">
        <v>4382</v>
      </c>
      <c r="H452" s="21">
        <v>44309.167222222219</v>
      </c>
      <c r="I452" s="22" t="s">
        <v>1729</v>
      </c>
    </row>
    <row r="453" spans="1:9" x14ac:dyDescent="0.3">
      <c r="A453" t="s">
        <v>4383</v>
      </c>
      <c r="B453" t="s">
        <v>4384</v>
      </c>
      <c r="C453" s="20">
        <v>29961</v>
      </c>
      <c r="D453" t="s">
        <v>4385</v>
      </c>
      <c r="E453" t="s">
        <v>4386</v>
      </c>
      <c r="F453" t="s">
        <v>4387</v>
      </c>
      <c r="G453" t="s">
        <v>4388</v>
      </c>
      <c r="H453" s="21">
        <v>40960.755381944444</v>
      </c>
      <c r="I453" s="22" t="s">
        <v>1691</v>
      </c>
    </row>
    <row r="454" spans="1:9" x14ac:dyDescent="0.3">
      <c r="A454" t="s">
        <v>4389</v>
      </c>
      <c r="B454" t="s">
        <v>4390</v>
      </c>
      <c r="C454" s="20">
        <v>30118</v>
      </c>
      <c r="D454" t="s">
        <v>4391</v>
      </c>
      <c r="E454" t="s">
        <v>4392</v>
      </c>
      <c r="F454" t="s">
        <v>4393</v>
      </c>
      <c r="G454" t="s">
        <v>4394</v>
      </c>
      <c r="H454" s="21">
        <v>39781.432627314818</v>
      </c>
      <c r="I454" s="22" t="s">
        <v>1736</v>
      </c>
    </row>
    <row r="455" spans="1:9" x14ac:dyDescent="0.3">
      <c r="A455" t="s">
        <v>4395</v>
      </c>
      <c r="B455" t="s">
        <v>4396</v>
      </c>
      <c r="C455" s="20">
        <v>28222</v>
      </c>
      <c r="D455" t="s">
        <v>4397</v>
      </c>
      <c r="E455" t="s">
        <v>4398</v>
      </c>
      <c r="F455" t="s">
        <v>4399</v>
      </c>
      <c r="G455" t="s">
        <v>4400</v>
      </c>
      <c r="H455" s="21">
        <v>43176.546365740738</v>
      </c>
      <c r="I455" s="22" t="s">
        <v>1736</v>
      </c>
    </row>
    <row r="456" spans="1:9" x14ac:dyDescent="0.3">
      <c r="A456" t="s">
        <v>4401</v>
      </c>
      <c r="B456" t="s">
        <v>4402</v>
      </c>
      <c r="C456" s="20">
        <v>35938</v>
      </c>
      <c r="D456" t="s">
        <v>4403</v>
      </c>
      <c r="E456" t="s">
        <v>4404</v>
      </c>
      <c r="F456" t="s">
        <v>4405</v>
      </c>
      <c r="G456" t="s">
        <v>4406</v>
      </c>
      <c r="H456" s="21">
        <v>40678.880393518521</v>
      </c>
      <c r="I456" s="22" t="s">
        <v>1729</v>
      </c>
    </row>
    <row r="457" spans="1:9" x14ac:dyDescent="0.3">
      <c r="A457" t="s">
        <v>4407</v>
      </c>
      <c r="B457" t="s">
        <v>4408</v>
      </c>
      <c r="C457" s="20">
        <v>32420</v>
      </c>
      <c r="D457" t="s">
        <v>4409</v>
      </c>
      <c r="E457" t="s">
        <v>4410</v>
      </c>
      <c r="F457" t="s">
        <v>4411</v>
      </c>
      <c r="G457" t="s">
        <v>4412</v>
      </c>
      <c r="H457" s="21">
        <v>41479.957280092596</v>
      </c>
      <c r="I457" s="22" t="s">
        <v>1736</v>
      </c>
    </row>
    <row r="458" spans="1:9" x14ac:dyDescent="0.3">
      <c r="A458" t="s">
        <v>4413</v>
      </c>
      <c r="B458" t="s">
        <v>4414</v>
      </c>
      <c r="C458" s="20">
        <v>29681</v>
      </c>
      <c r="D458" t="s">
        <v>4415</v>
      </c>
      <c r="E458" t="s">
        <v>4416</v>
      </c>
      <c r="F458" t="s">
        <v>4417</v>
      </c>
      <c r="G458" t="s">
        <v>4418</v>
      </c>
      <c r="H458" s="21">
        <v>43263.136238425926</v>
      </c>
      <c r="I458" s="22" t="s">
        <v>1729</v>
      </c>
    </row>
    <row r="459" spans="1:9" x14ac:dyDescent="0.3">
      <c r="A459" t="s">
        <v>4419</v>
      </c>
      <c r="B459" t="s">
        <v>4420</v>
      </c>
      <c r="C459" s="20">
        <v>35941</v>
      </c>
      <c r="D459" t="s">
        <v>4421</v>
      </c>
      <c r="E459" t="s">
        <v>4422</v>
      </c>
      <c r="F459" t="s">
        <v>4423</v>
      </c>
      <c r="G459" t="s">
        <v>4424</v>
      </c>
      <c r="H459" s="21">
        <v>42061.751898148148</v>
      </c>
      <c r="I459" s="22" t="s">
        <v>1729</v>
      </c>
    </row>
    <row r="460" spans="1:9" x14ac:dyDescent="0.3">
      <c r="A460" t="s">
        <v>4425</v>
      </c>
      <c r="B460" t="s">
        <v>4426</v>
      </c>
      <c r="C460" s="20">
        <v>27440</v>
      </c>
      <c r="D460" t="s">
        <v>4427</v>
      </c>
      <c r="E460" t="s">
        <v>4428</v>
      </c>
      <c r="F460" t="s">
        <v>4429</v>
      </c>
      <c r="G460" t="s">
        <v>4430</v>
      </c>
      <c r="H460" s="21">
        <v>39327.306608796294</v>
      </c>
      <c r="I460" s="22" t="s">
        <v>1691</v>
      </c>
    </row>
    <row r="461" spans="1:9" x14ac:dyDescent="0.3">
      <c r="A461" t="s">
        <v>4431</v>
      </c>
      <c r="B461" t="s">
        <v>4432</v>
      </c>
      <c r="C461" s="20">
        <v>28847</v>
      </c>
      <c r="D461" t="s">
        <v>4433</v>
      </c>
      <c r="E461" t="s">
        <v>4434</v>
      </c>
      <c r="F461" t="s">
        <v>4435</v>
      </c>
      <c r="G461" t="s">
        <v>4436</v>
      </c>
      <c r="H461" s="21">
        <v>43806.158067129632</v>
      </c>
      <c r="I461" s="22" t="s">
        <v>1691</v>
      </c>
    </row>
    <row r="462" spans="1:9" x14ac:dyDescent="0.3">
      <c r="A462" t="s">
        <v>4437</v>
      </c>
      <c r="B462" t="s">
        <v>4438</v>
      </c>
      <c r="C462" s="20">
        <v>27211</v>
      </c>
      <c r="D462" t="s">
        <v>4439</v>
      </c>
      <c r="E462" t="s">
        <v>4440</v>
      </c>
      <c r="F462" t="s">
        <v>4441</v>
      </c>
      <c r="G462" t="s">
        <v>4442</v>
      </c>
      <c r="H462" s="21">
        <v>42030.860405092593</v>
      </c>
      <c r="I462" s="22" t="s">
        <v>1736</v>
      </c>
    </row>
    <row r="463" spans="1:9" x14ac:dyDescent="0.3">
      <c r="A463" t="s">
        <v>4443</v>
      </c>
      <c r="B463" t="s">
        <v>4444</v>
      </c>
      <c r="C463" s="20">
        <v>27943</v>
      </c>
      <c r="D463" t="s">
        <v>4445</v>
      </c>
      <c r="E463" t="s">
        <v>4446</v>
      </c>
      <c r="F463" t="s">
        <v>4447</v>
      </c>
      <c r="G463" t="s">
        <v>4448</v>
      </c>
      <c r="H463" s="21">
        <v>41849.680972222224</v>
      </c>
      <c r="I463" s="22" t="s">
        <v>1684</v>
      </c>
    </row>
    <row r="464" spans="1:9" x14ac:dyDescent="0.3">
      <c r="A464" t="s">
        <v>4449</v>
      </c>
      <c r="B464" t="s">
        <v>4450</v>
      </c>
      <c r="C464" s="20">
        <v>28991</v>
      </c>
      <c r="D464" t="s">
        <v>4451</v>
      </c>
      <c r="E464" t="s">
        <v>4452</v>
      </c>
      <c r="F464" t="s">
        <v>4453</v>
      </c>
      <c r="G464" t="s">
        <v>4454</v>
      </c>
      <c r="H464" s="21">
        <v>38441.913854166669</v>
      </c>
      <c r="I464" s="22" t="s">
        <v>1684</v>
      </c>
    </row>
    <row r="465" spans="1:9" x14ac:dyDescent="0.3">
      <c r="A465" t="s">
        <v>4455</v>
      </c>
      <c r="B465" t="s">
        <v>4456</v>
      </c>
      <c r="C465" s="20">
        <v>26528</v>
      </c>
      <c r="D465" t="s">
        <v>4457</v>
      </c>
      <c r="E465" t="s">
        <v>4458</v>
      </c>
      <c r="F465" t="s">
        <v>4459</v>
      </c>
      <c r="G465" t="s">
        <v>4460</v>
      </c>
      <c r="H465" s="21">
        <v>43241.59715277778</v>
      </c>
      <c r="I465" s="22" t="s">
        <v>1691</v>
      </c>
    </row>
    <row r="466" spans="1:9" x14ac:dyDescent="0.3">
      <c r="A466" t="s">
        <v>4461</v>
      </c>
      <c r="B466" t="s">
        <v>4462</v>
      </c>
      <c r="C466" s="20">
        <v>31862</v>
      </c>
      <c r="D466" t="s">
        <v>4463</v>
      </c>
      <c r="E466" t="s">
        <v>4464</v>
      </c>
      <c r="F466" t="s">
        <v>4465</v>
      </c>
      <c r="G466" t="s">
        <v>4466</v>
      </c>
      <c r="H466" s="21">
        <v>40848.874456018515</v>
      </c>
      <c r="I466" s="22" t="s">
        <v>1691</v>
      </c>
    </row>
    <row r="467" spans="1:9" x14ac:dyDescent="0.3">
      <c r="A467" t="s">
        <v>4467</v>
      </c>
      <c r="B467" t="s">
        <v>4468</v>
      </c>
      <c r="C467" s="20">
        <v>28557</v>
      </c>
      <c r="D467" t="s">
        <v>4469</v>
      </c>
      <c r="E467" t="s">
        <v>4470</v>
      </c>
      <c r="F467" t="s">
        <v>4471</v>
      </c>
      <c r="G467" t="s">
        <v>4472</v>
      </c>
      <c r="H467" s="21">
        <v>42371.562002314815</v>
      </c>
      <c r="I467" s="22" t="s">
        <v>1684</v>
      </c>
    </row>
    <row r="468" spans="1:9" x14ac:dyDescent="0.3">
      <c r="A468" t="s">
        <v>4473</v>
      </c>
      <c r="B468" t="s">
        <v>4474</v>
      </c>
      <c r="C468" s="20">
        <v>34274</v>
      </c>
      <c r="D468" t="s">
        <v>4475</v>
      </c>
      <c r="E468" t="s">
        <v>4476</v>
      </c>
      <c r="F468" t="s">
        <v>4477</v>
      </c>
      <c r="G468" t="s">
        <v>4478</v>
      </c>
      <c r="H468" s="21">
        <v>41144.163900462961</v>
      </c>
      <c r="I468" s="22" t="s">
        <v>1736</v>
      </c>
    </row>
    <row r="469" spans="1:9" x14ac:dyDescent="0.3">
      <c r="A469" t="s">
        <v>4479</v>
      </c>
      <c r="B469" t="s">
        <v>4480</v>
      </c>
      <c r="C469" s="20">
        <v>30361</v>
      </c>
      <c r="D469" t="s">
        <v>4481</v>
      </c>
      <c r="E469" t="s">
        <v>4482</v>
      </c>
      <c r="F469" t="s">
        <v>4483</v>
      </c>
      <c r="G469" t="s">
        <v>4484</v>
      </c>
      <c r="H469" s="21">
        <v>41289.489016203705</v>
      </c>
      <c r="I469" s="22" t="s">
        <v>1736</v>
      </c>
    </row>
    <row r="470" spans="1:9" x14ac:dyDescent="0.3">
      <c r="A470" t="s">
        <v>4485</v>
      </c>
      <c r="B470" t="s">
        <v>4486</v>
      </c>
      <c r="C470" s="20">
        <v>32667</v>
      </c>
      <c r="D470" t="s">
        <v>4487</v>
      </c>
      <c r="E470" t="s">
        <v>4488</v>
      </c>
      <c r="F470" t="s">
        <v>4489</v>
      </c>
      <c r="G470" t="s">
        <v>4490</v>
      </c>
      <c r="H470" s="21">
        <v>39942.603634259256</v>
      </c>
      <c r="I470" s="22" t="s">
        <v>1736</v>
      </c>
    </row>
    <row r="471" spans="1:9" x14ac:dyDescent="0.3">
      <c r="A471" t="s">
        <v>4491</v>
      </c>
      <c r="B471" t="s">
        <v>4492</v>
      </c>
      <c r="C471" s="20">
        <v>35883</v>
      </c>
      <c r="D471" t="s">
        <v>4493</v>
      </c>
      <c r="E471" t="s">
        <v>4494</v>
      </c>
      <c r="F471" t="s">
        <v>4495</v>
      </c>
      <c r="G471" t="s">
        <v>4496</v>
      </c>
      <c r="H471" s="21">
        <v>40026.08971064815</v>
      </c>
      <c r="I471" s="22" t="s">
        <v>1729</v>
      </c>
    </row>
    <row r="472" spans="1:9" x14ac:dyDescent="0.3">
      <c r="A472" t="s">
        <v>4497</v>
      </c>
      <c r="B472" t="s">
        <v>4498</v>
      </c>
      <c r="C472" s="20">
        <v>35934</v>
      </c>
      <c r="D472" t="s">
        <v>4499</v>
      </c>
      <c r="E472" t="s">
        <v>4500</v>
      </c>
      <c r="F472" t="s">
        <v>4501</v>
      </c>
      <c r="G472" t="s">
        <v>4502</v>
      </c>
      <c r="H472" s="21">
        <v>41625.276956018519</v>
      </c>
      <c r="I472" s="22" t="s">
        <v>1684</v>
      </c>
    </row>
    <row r="473" spans="1:9" x14ac:dyDescent="0.3">
      <c r="A473" t="s">
        <v>4503</v>
      </c>
      <c r="B473" t="s">
        <v>4504</v>
      </c>
      <c r="C473" s="20">
        <v>27999</v>
      </c>
      <c r="D473" t="s">
        <v>4505</v>
      </c>
      <c r="E473" t="s">
        <v>4506</v>
      </c>
      <c r="F473" t="s">
        <v>4507</v>
      </c>
      <c r="G473" t="s">
        <v>4508</v>
      </c>
      <c r="H473" s="21">
        <v>40240.265752314815</v>
      </c>
      <c r="I473" s="22" t="s">
        <v>1691</v>
      </c>
    </row>
    <row r="474" spans="1:9" x14ac:dyDescent="0.3">
      <c r="A474" t="s">
        <v>4509</v>
      </c>
      <c r="B474" t="s">
        <v>4510</v>
      </c>
      <c r="C474" s="20">
        <v>30717</v>
      </c>
      <c r="D474" t="s">
        <v>4511</v>
      </c>
      <c r="E474" t="s">
        <v>4512</v>
      </c>
      <c r="F474" t="s">
        <v>4513</v>
      </c>
      <c r="G474" t="s">
        <v>4514</v>
      </c>
      <c r="H474" s="21">
        <v>38762.590428240743</v>
      </c>
      <c r="I474" s="22" t="s">
        <v>1736</v>
      </c>
    </row>
    <row r="475" spans="1:9" x14ac:dyDescent="0.3">
      <c r="A475" t="s">
        <v>4515</v>
      </c>
      <c r="B475" t="s">
        <v>4516</v>
      </c>
      <c r="C475" s="20">
        <v>30499</v>
      </c>
      <c r="D475" t="s">
        <v>4517</v>
      </c>
      <c r="E475" t="s">
        <v>4518</v>
      </c>
      <c r="F475" t="s">
        <v>4519</v>
      </c>
      <c r="G475" t="s">
        <v>4520</v>
      </c>
      <c r="H475" s="21">
        <v>39198.979768518519</v>
      </c>
      <c r="I475" s="22" t="s">
        <v>1684</v>
      </c>
    </row>
    <row r="476" spans="1:9" x14ac:dyDescent="0.3">
      <c r="A476" t="s">
        <v>4521</v>
      </c>
      <c r="B476" t="s">
        <v>4522</v>
      </c>
      <c r="C476" s="20">
        <v>27395</v>
      </c>
      <c r="D476" t="s">
        <v>4523</v>
      </c>
      <c r="E476" t="s">
        <v>4524</v>
      </c>
      <c r="F476" t="s">
        <v>4525</v>
      </c>
      <c r="G476" t="s">
        <v>4526</v>
      </c>
      <c r="H476" s="21">
        <v>40170.650173611109</v>
      </c>
      <c r="I476" s="22" t="s">
        <v>1729</v>
      </c>
    </row>
    <row r="477" spans="1:9" x14ac:dyDescent="0.3">
      <c r="A477" t="s">
        <v>4527</v>
      </c>
      <c r="B477" t="s">
        <v>4528</v>
      </c>
      <c r="C477" s="20">
        <v>35367</v>
      </c>
      <c r="D477" t="s">
        <v>4529</v>
      </c>
      <c r="E477" t="s">
        <v>4530</v>
      </c>
      <c r="F477" t="s">
        <v>4531</v>
      </c>
      <c r="G477" t="s">
        <v>4532</v>
      </c>
      <c r="H477" s="21">
        <v>42970.953449074077</v>
      </c>
      <c r="I477" s="22" t="s">
        <v>1691</v>
      </c>
    </row>
    <row r="478" spans="1:9" x14ac:dyDescent="0.3">
      <c r="A478" t="s">
        <v>4533</v>
      </c>
      <c r="B478" t="s">
        <v>4534</v>
      </c>
      <c r="C478" s="20">
        <v>30313</v>
      </c>
      <c r="D478" t="s">
        <v>4535</v>
      </c>
      <c r="E478" t="s">
        <v>4536</v>
      </c>
      <c r="F478" t="s">
        <v>4537</v>
      </c>
      <c r="G478" t="s">
        <v>4538</v>
      </c>
      <c r="H478" s="21">
        <v>41323.584745370368</v>
      </c>
      <c r="I478" s="22" t="s">
        <v>1736</v>
      </c>
    </row>
    <row r="479" spans="1:9" x14ac:dyDescent="0.3">
      <c r="A479" t="s">
        <v>4539</v>
      </c>
      <c r="B479" t="s">
        <v>4540</v>
      </c>
      <c r="C479" s="20">
        <v>28472</v>
      </c>
      <c r="D479" t="s">
        <v>4541</v>
      </c>
      <c r="E479" t="s">
        <v>4542</v>
      </c>
      <c r="F479" t="s">
        <v>4543</v>
      </c>
      <c r="G479" t="s">
        <v>4544</v>
      </c>
      <c r="H479" s="21">
        <v>41029.637974537036</v>
      </c>
      <c r="I479" s="22" t="s">
        <v>1691</v>
      </c>
    </row>
    <row r="480" spans="1:9" x14ac:dyDescent="0.3">
      <c r="A480" t="s">
        <v>4545</v>
      </c>
      <c r="B480" t="s">
        <v>4546</v>
      </c>
      <c r="C480" s="20">
        <v>31808</v>
      </c>
      <c r="D480" t="s">
        <v>4547</v>
      </c>
      <c r="E480" t="s">
        <v>4548</v>
      </c>
      <c r="F480" t="s">
        <v>4549</v>
      </c>
      <c r="G480" t="s">
        <v>4550</v>
      </c>
      <c r="H480" s="21">
        <v>39527.968622685185</v>
      </c>
      <c r="I480" s="22" t="s">
        <v>1736</v>
      </c>
    </row>
    <row r="481" spans="1:9" x14ac:dyDescent="0.3">
      <c r="A481" t="s">
        <v>4551</v>
      </c>
      <c r="B481" t="s">
        <v>4552</v>
      </c>
      <c r="C481" s="20">
        <v>35915</v>
      </c>
      <c r="D481" t="s">
        <v>4553</v>
      </c>
      <c r="E481" t="s">
        <v>4554</v>
      </c>
      <c r="F481" t="s">
        <v>4555</v>
      </c>
      <c r="G481" t="s">
        <v>4556</v>
      </c>
      <c r="H481" s="21">
        <v>39375.977696759262</v>
      </c>
      <c r="I481" s="22" t="s">
        <v>1691</v>
      </c>
    </row>
    <row r="482" spans="1:9" x14ac:dyDescent="0.3">
      <c r="A482" t="s">
        <v>4557</v>
      </c>
      <c r="B482" t="s">
        <v>4558</v>
      </c>
      <c r="C482" s="20">
        <v>33965</v>
      </c>
      <c r="D482" t="s">
        <v>4548</v>
      </c>
      <c r="E482" t="s">
        <v>4559</v>
      </c>
      <c r="F482" t="s">
        <v>4560</v>
      </c>
      <c r="G482" t="s">
        <v>2904</v>
      </c>
      <c r="H482" s="21">
        <v>38512.569224537037</v>
      </c>
      <c r="I482" s="22" t="s">
        <v>1729</v>
      </c>
    </row>
    <row r="483" spans="1:9" x14ac:dyDescent="0.3">
      <c r="A483" t="s">
        <v>4561</v>
      </c>
      <c r="B483" t="s">
        <v>4562</v>
      </c>
      <c r="C483" s="20">
        <v>33722</v>
      </c>
      <c r="D483" t="s">
        <v>4563</v>
      </c>
      <c r="E483" t="s">
        <v>4548</v>
      </c>
      <c r="F483" t="s">
        <v>4564</v>
      </c>
      <c r="G483" t="s">
        <v>4565</v>
      </c>
      <c r="H483" s="21">
        <v>42655.610937500001</v>
      </c>
      <c r="I483" s="22" t="s">
        <v>1736</v>
      </c>
    </row>
    <row r="484" spans="1:9" x14ac:dyDescent="0.3">
      <c r="A484" t="s">
        <v>4566</v>
      </c>
      <c r="B484" t="s">
        <v>4567</v>
      </c>
      <c r="C484" s="20">
        <v>26094</v>
      </c>
      <c r="D484" t="s">
        <v>4568</v>
      </c>
      <c r="E484" t="s">
        <v>4569</v>
      </c>
      <c r="F484" t="s">
        <v>4570</v>
      </c>
      <c r="G484" t="s">
        <v>4571</v>
      </c>
      <c r="H484" s="21">
        <v>39320.320532407408</v>
      </c>
      <c r="I484" s="22" t="s">
        <v>1710</v>
      </c>
    </row>
    <row r="485" spans="1:9" x14ac:dyDescent="0.3">
      <c r="A485" t="s">
        <v>4572</v>
      </c>
      <c r="B485" t="s">
        <v>4573</v>
      </c>
      <c r="C485" s="20">
        <v>25933</v>
      </c>
      <c r="D485" t="s">
        <v>4548</v>
      </c>
      <c r="E485" t="s">
        <v>4574</v>
      </c>
      <c r="F485" t="s">
        <v>4575</v>
      </c>
      <c r="G485" t="s">
        <v>4576</v>
      </c>
      <c r="H485" s="21">
        <v>39280.830069444448</v>
      </c>
      <c r="I485" s="22" t="s">
        <v>1729</v>
      </c>
    </row>
    <row r="486" spans="1:9" x14ac:dyDescent="0.3">
      <c r="A486" t="s">
        <v>4577</v>
      </c>
      <c r="B486" t="s">
        <v>4578</v>
      </c>
      <c r="C486" s="20">
        <v>36648</v>
      </c>
      <c r="D486" t="s">
        <v>4579</v>
      </c>
      <c r="E486" t="s">
        <v>4548</v>
      </c>
      <c r="F486" t="s">
        <v>4580</v>
      </c>
      <c r="G486" t="s">
        <v>4581</v>
      </c>
      <c r="H486" s="21">
        <v>40866.096319444441</v>
      </c>
      <c r="I486" s="22" t="s">
        <v>1736</v>
      </c>
    </row>
    <row r="487" spans="1:9" x14ac:dyDescent="0.3">
      <c r="A487" t="s">
        <v>4582</v>
      </c>
      <c r="B487" t="s">
        <v>4583</v>
      </c>
      <c r="C487" s="20">
        <v>29069</v>
      </c>
      <c r="D487" t="s">
        <v>4584</v>
      </c>
      <c r="E487" t="s">
        <v>4585</v>
      </c>
      <c r="F487" t="s">
        <v>4586</v>
      </c>
      <c r="G487" t="s">
        <v>4587</v>
      </c>
      <c r="H487" s="21">
        <v>44001.318078703705</v>
      </c>
      <c r="I487" s="22" t="s">
        <v>1729</v>
      </c>
    </row>
    <row r="488" spans="1:9" x14ac:dyDescent="0.3">
      <c r="A488" t="s">
        <v>4588</v>
      </c>
      <c r="B488" t="s">
        <v>4589</v>
      </c>
      <c r="C488" s="20">
        <v>33341</v>
      </c>
      <c r="D488" t="s">
        <v>4548</v>
      </c>
      <c r="E488" t="s">
        <v>4590</v>
      </c>
      <c r="F488" t="s">
        <v>4591</v>
      </c>
      <c r="G488" t="s">
        <v>4592</v>
      </c>
      <c r="H488" s="21">
        <v>38918.742800925924</v>
      </c>
      <c r="I488" s="22" t="s">
        <v>1710</v>
      </c>
    </row>
    <row r="489" spans="1:9" x14ac:dyDescent="0.3">
      <c r="A489" t="s">
        <v>4593</v>
      </c>
      <c r="B489" t="s">
        <v>4594</v>
      </c>
      <c r="C489" s="20">
        <v>30260</v>
      </c>
      <c r="D489" t="s">
        <v>4595</v>
      </c>
      <c r="E489" t="s">
        <v>4548</v>
      </c>
      <c r="F489" t="s">
        <v>4596</v>
      </c>
      <c r="G489" t="s">
        <v>4597</v>
      </c>
      <c r="H489" s="21">
        <v>40637.337731481479</v>
      </c>
      <c r="I489" s="22" t="s">
        <v>1710</v>
      </c>
    </row>
    <row r="490" spans="1:9" x14ac:dyDescent="0.3">
      <c r="A490" t="s">
        <v>4598</v>
      </c>
      <c r="B490" t="s">
        <v>4599</v>
      </c>
      <c r="C490" s="20">
        <v>36454</v>
      </c>
      <c r="D490" t="s">
        <v>4600</v>
      </c>
      <c r="E490" t="s">
        <v>4601</v>
      </c>
      <c r="F490" t="s">
        <v>4602</v>
      </c>
      <c r="G490" t="s">
        <v>4603</v>
      </c>
      <c r="H490" s="21">
        <v>38790.970196759263</v>
      </c>
      <c r="I490" s="22" t="s">
        <v>1710</v>
      </c>
    </row>
    <row r="491" spans="1:9" x14ac:dyDescent="0.3">
      <c r="A491" t="s">
        <v>4604</v>
      </c>
      <c r="B491" t="s">
        <v>4605</v>
      </c>
      <c r="C491" s="20">
        <v>33268</v>
      </c>
      <c r="D491" t="s">
        <v>4548</v>
      </c>
      <c r="E491" t="s">
        <v>4606</v>
      </c>
      <c r="F491" t="s">
        <v>4607</v>
      </c>
      <c r="G491" t="s">
        <v>4608</v>
      </c>
      <c r="H491" s="21">
        <v>41373.765300925923</v>
      </c>
      <c r="I491" s="22" t="s">
        <v>1684</v>
      </c>
    </row>
    <row r="492" spans="1:9" x14ac:dyDescent="0.3">
      <c r="A492" t="s">
        <v>4609</v>
      </c>
      <c r="B492" t="s">
        <v>4610</v>
      </c>
      <c r="C492" s="20">
        <v>33286</v>
      </c>
      <c r="D492" t="s">
        <v>4611</v>
      </c>
      <c r="E492" t="s">
        <v>4548</v>
      </c>
      <c r="F492" t="s">
        <v>4612</v>
      </c>
      <c r="G492" t="s">
        <v>4613</v>
      </c>
      <c r="H492" s="21">
        <v>38899.095324074071</v>
      </c>
      <c r="I492" s="22" t="s">
        <v>1736</v>
      </c>
    </row>
    <row r="493" spans="1:9" x14ac:dyDescent="0.3">
      <c r="A493" t="s">
        <v>4614</v>
      </c>
      <c r="B493" t="s">
        <v>4615</v>
      </c>
      <c r="C493" s="20">
        <v>27009</v>
      </c>
      <c r="D493" t="s">
        <v>4616</v>
      </c>
      <c r="E493" t="s">
        <v>4617</v>
      </c>
      <c r="F493" t="s">
        <v>4618</v>
      </c>
      <c r="G493" t="s">
        <v>4619</v>
      </c>
      <c r="H493" s="21">
        <v>40319.049131944441</v>
      </c>
      <c r="I493" s="22" t="s">
        <v>1729</v>
      </c>
    </row>
    <row r="494" spans="1:9" x14ac:dyDescent="0.3">
      <c r="A494" t="s">
        <v>4620</v>
      </c>
      <c r="B494" t="s">
        <v>4621</v>
      </c>
      <c r="C494" s="20">
        <v>31966</v>
      </c>
      <c r="D494" t="s">
        <v>4548</v>
      </c>
      <c r="E494" t="s">
        <v>4622</v>
      </c>
      <c r="F494" t="s">
        <v>4623</v>
      </c>
      <c r="G494" t="s">
        <v>4624</v>
      </c>
      <c r="H494" s="21">
        <v>41256.014849537038</v>
      </c>
      <c r="I494" s="22" t="s">
        <v>1729</v>
      </c>
    </row>
    <row r="495" spans="1:9" x14ac:dyDescent="0.3">
      <c r="A495" t="s">
        <v>4625</v>
      </c>
      <c r="B495" t="s">
        <v>4626</v>
      </c>
      <c r="C495" s="20">
        <v>25733</v>
      </c>
      <c r="D495" t="s">
        <v>4627</v>
      </c>
      <c r="E495" t="s">
        <v>4548</v>
      </c>
      <c r="F495" t="s">
        <v>4628</v>
      </c>
      <c r="G495" t="s">
        <v>4629</v>
      </c>
      <c r="H495" s="21">
        <v>42296.47215277778</v>
      </c>
      <c r="I495" s="22" t="s">
        <v>1710</v>
      </c>
    </row>
    <row r="496" spans="1:9" x14ac:dyDescent="0.3">
      <c r="A496" t="s">
        <v>4630</v>
      </c>
      <c r="B496" t="s">
        <v>4631</v>
      </c>
      <c r="C496" s="20">
        <v>31573</v>
      </c>
      <c r="D496" t="s">
        <v>4632</v>
      </c>
      <c r="E496" t="s">
        <v>4633</v>
      </c>
      <c r="F496" t="s">
        <v>4634</v>
      </c>
      <c r="G496" t="s">
        <v>4635</v>
      </c>
      <c r="H496" s="21">
        <v>39359.855995370373</v>
      </c>
      <c r="I496" s="22" t="s">
        <v>1729</v>
      </c>
    </row>
    <row r="497" spans="1:9" x14ac:dyDescent="0.3">
      <c r="A497" t="s">
        <v>4636</v>
      </c>
      <c r="B497" t="s">
        <v>4637</v>
      </c>
      <c r="C497" s="20">
        <v>35214</v>
      </c>
      <c r="D497" t="s">
        <v>4548</v>
      </c>
      <c r="E497" t="s">
        <v>4638</v>
      </c>
      <c r="F497" t="s">
        <v>4639</v>
      </c>
      <c r="G497" t="s">
        <v>4640</v>
      </c>
      <c r="H497" s="21">
        <v>43951.22855324074</v>
      </c>
      <c r="I497" s="22" t="s">
        <v>1691</v>
      </c>
    </row>
    <row r="498" spans="1:9" x14ac:dyDescent="0.3">
      <c r="A498" t="s">
        <v>4641</v>
      </c>
      <c r="B498" t="s">
        <v>4642</v>
      </c>
      <c r="C498" s="20">
        <v>26430</v>
      </c>
      <c r="D498" t="s">
        <v>4643</v>
      </c>
      <c r="E498" t="s">
        <v>4548</v>
      </c>
      <c r="F498" t="s">
        <v>4644</v>
      </c>
      <c r="G498" t="s">
        <v>4645</v>
      </c>
      <c r="H498" s="21">
        <v>42719.361620370371</v>
      </c>
      <c r="I498" s="22" t="s">
        <v>1729</v>
      </c>
    </row>
    <row r="499" spans="1:9" x14ac:dyDescent="0.3">
      <c r="A499" t="s">
        <v>4646</v>
      </c>
      <c r="B499" t="s">
        <v>4647</v>
      </c>
      <c r="C499" s="20">
        <v>31169</v>
      </c>
      <c r="D499" t="s">
        <v>4648</v>
      </c>
      <c r="E499" t="s">
        <v>4649</v>
      </c>
      <c r="F499" t="s">
        <v>4650</v>
      </c>
      <c r="G499" t="s">
        <v>4651</v>
      </c>
      <c r="H499" s="21">
        <v>42501.584699074076</v>
      </c>
      <c r="I499" s="22" t="s">
        <v>1710</v>
      </c>
    </row>
    <row r="500" spans="1:9" x14ac:dyDescent="0.3">
      <c r="A500" t="s">
        <v>4652</v>
      </c>
      <c r="B500" t="s">
        <v>4653</v>
      </c>
      <c r="C500" s="20">
        <v>36473</v>
      </c>
      <c r="D500" t="s">
        <v>4548</v>
      </c>
      <c r="E500" t="s">
        <v>4654</v>
      </c>
      <c r="F500" t="s">
        <v>4655</v>
      </c>
      <c r="G500" t="s">
        <v>4656</v>
      </c>
      <c r="H500" s="21">
        <v>41155.792314814818</v>
      </c>
      <c r="I500" s="22" t="s">
        <v>1729</v>
      </c>
    </row>
    <row r="501" spans="1:9" x14ac:dyDescent="0.3">
      <c r="A501" t="s">
        <v>4657</v>
      </c>
      <c r="B501" t="s">
        <v>4658</v>
      </c>
      <c r="C501" s="20">
        <v>30856</v>
      </c>
      <c r="D501" t="s">
        <v>4659</v>
      </c>
      <c r="E501" t="s">
        <v>4548</v>
      </c>
      <c r="F501" t="s">
        <v>4660</v>
      </c>
      <c r="G501" t="s">
        <v>4661</v>
      </c>
      <c r="H501" s="21">
        <v>39007.760833333334</v>
      </c>
      <c r="I501" s="22" t="s">
        <v>1729</v>
      </c>
    </row>
    <row r="502" spans="1:9" x14ac:dyDescent="0.3">
      <c r="A502" t="s">
        <v>4662</v>
      </c>
      <c r="B502" t="s">
        <v>4663</v>
      </c>
      <c r="C502" s="20">
        <v>33507</v>
      </c>
      <c r="D502" t="s">
        <v>4664</v>
      </c>
      <c r="E502" t="s">
        <v>4665</v>
      </c>
      <c r="F502" t="s">
        <v>4666</v>
      </c>
      <c r="G502" t="s">
        <v>4667</v>
      </c>
      <c r="H502" s="21">
        <v>42435.169930555552</v>
      </c>
      <c r="I502" s="22" t="s">
        <v>1710</v>
      </c>
    </row>
    <row r="503" spans="1:9" x14ac:dyDescent="0.3">
      <c r="A503" t="s">
        <v>4668</v>
      </c>
      <c r="B503" t="s">
        <v>4669</v>
      </c>
      <c r="C503" s="20">
        <v>36106</v>
      </c>
      <c r="D503" t="s">
        <v>4548</v>
      </c>
      <c r="E503" t="s">
        <v>4670</v>
      </c>
      <c r="F503" t="s">
        <v>4671</v>
      </c>
      <c r="G503" t="s">
        <v>4672</v>
      </c>
      <c r="H503" s="21">
        <v>39783.546747685185</v>
      </c>
      <c r="I503" s="22" t="s">
        <v>1710</v>
      </c>
    </row>
    <row r="504" spans="1:9" x14ac:dyDescent="0.3">
      <c r="A504" t="s">
        <v>4673</v>
      </c>
      <c r="B504" t="s">
        <v>4674</v>
      </c>
      <c r="C504" s="20">
        <v>36210</v>
      </c>
      <c r="D504" t="s">
        <v>4675</v>
      </c>
      <c r="E504" t="s">
        <v>4548</v>
      </c>
      <c r="F504" t="s">
        <v>4676</v>
      </c>
      <c r="G504" t="s">
        <v>4677</v>
      </c>
      <c r="H504" s="21">
        <v>38764.817118055558</v>
      </c>
      <c r="I504" s="22" t="s">
        <v>1710</v>
      </c>
    </row>
    <row r="505" spans="1:9" x14ac:dyDescent="0.3">
      <c r="A505" t="s">
        <v>4678</v>
      </c>
      <c r="B505" t="s">
        <v>4679</v>
      </c>
      <c r="C505" s="20">
        <v>25819</v>
      </c>
      <c r="D505" t="s">
        <v>4680</v>
      </c>
      <c r="E505" t="s">
        <v>4681</v>
      </c>
      <c r="F505" t="s">
        <v>4682</v>
      </c>
      <c r="G505" t="s">
        <v>4683</v>
      </c>
      <c r="H505" s="21">
        <v>40231.861921296295</v>
      </c>
      <c r="I505" s="22" t="s">
        <v>1710</v>
      </c>
    </row>
    <row r="506" spans="1:9" x14ac:dyDescent="0.3">
      <c r="A506" t="s">
        <v>4684</v>
      </c>
      <c r="B506" t="s">
        <v>4685</v>
      </c>
      <c r="C506" s="20">
        <v>26250</v>
      </c>
      <c r="D506" t="s">
        <v>4548</v>
      </c>
      <c r="E506" t="s">
        <v>4686</v>
      </c>
      <c r="F506" t="s">
        <v>4687</v>
      </c>
      <c r="G506" t="s">
        <v>4688</v>
      </c>
      <c r="H506" s="21">
        <v>38775.646087962959</v>
      </c>
      <c r="I506" s="22" t="s">
        <v>1736</v>
      </c>
    </row>
    <row r="507" spans="1:9" x14ac:dyDescent="0.3">
      <c r="A507" t="s">
        <v>4689</v>
      </c>
      <c r="B507" t="s">
        <v>4690</v>
      </c>
      <c r="C507" s="20">
        <v>31443</v>
      </c>
      <c r="D507" t="s">
        <v>4691</v>
      </c>
      <c r="E507" t="s">
        <v>4548</v>
      </c>
      <c r="F507" t="s">
        <v>4692</v>
      </c>
      <c r="G507" t="s">
        <v>4693</v>
      </c>
      <c r="H507" s="21">
        <v>40115.736064814817</v>
      </c>
      <c r="I507" s="22" t="s">
        <v>1736</v>
      </c>
    </row>
    <row r="508" spans="1:9" x14ac:dyDescent="0.3">
      <c r="A508" t="s">
        <v>4694</v>
      </c>
      <c r="B508" t="s">
        <v>4695</v>
      </c>
      <c r="C508" s="20">
        <v>32576</v>
      </c>
      <c r="D508" t="s">
        <v>4696</v>
      </c>
      <c r="E508" t="s">
        <v>4697</v>
      </c>
      <c r="F508" t="s">
        <v>4698</v>
      </c>
      <c r="G508" t="s">
        <v>4699</v>
      </c>
      <c r="H508" s="21">
        <v>42668.472245370373</v>
      </c>
      <c r="I508" s="22" t="s">
        <v>1710</v>
      </c>
    </row>
    <row r="509" spans="1:9" x14ac:dyDescent="0.3">
      <c r="A509" t="s">
        <v>4700</v>
      </c>
      <c r="B509" t="s">
        <v>4701</v>
      </c>
      <c r="C509" s="20">
        <v>25961</v>
      </c>
      <c r="D509" t="s">
        <v>4548</v>
      </c>
      <c r="E509" t="s">
        <v>4702</v>
      </c>
      <c r="F509" t="s">
        <v>4703</v>
      </c>
      <c r="G509" t="s">
        <v>4704</v>
      </c>
      <c r="H509" s="21">
        <v>40959.624803240738</v>
      </c>
      <c r="I509" s="22" t="s">
        <v>1691</v>
      </c>
    </row>
    <row r="510" spans="1:9" x14ac:dyDescent="0.3">
      <c r="A510" t="s">
        <v>4705</v>
      </c>
      <c r="B510" t="s">
        <v>4706</v>
      </c>
      <c r="C510" s="20">
        <v>33939</v>
      </c>
      <c r="D510" t="s">
        <v>4707</v>
      </c>
      <c r="E510" t="s">
        <v>4548</v>
      </c>
      <c r="F510" t="s">
        <v>4708</v>
      </c>
      <c r="G510" t="s">
        <v>4709</v>
      </c>
      <c r="H510" s="21">
        <v>43019.355486111112</v>
      </c>
      <c r="I510" s="22" t="s">
        <v>1691</v>
      </c>
    </row>
    <row r="511" spans="1:9" x14ac:dyDescent="0.3">
      <c r="A511" t="s">
        <v>4710</v>
      </c>
      <c r="B511" t="s">
        <v>4711</v>
      </c>
      <c r="C511" s="20">
        <v>29664</v>
      </c>
      <c r="D511" t="s">
        <v>4712</v>
      </c>
      <c r="E511" t="s">
        <v>4713</v>
      </c>
      <c r="F511" t="s">
        <v>4714</v>
      </c>
      <c r="G511" t="s">
        <v>4715</v>
      </c>
      <c r="H511" s="21">
        <v>39510.062118055554</v>
      </c>
      <c r="I511" s="22" t="s">
        <v>1691</v>
      </c>
    </row>
    <row r="512" spans="1:9" x14ac:dyDescent="0.3">
      <c r="A512" t="s">
        <v>4716</v>
      </c>
      <c r="B512" t="s">
        <v>4717</v>
      </c>
      <c r="C512" s="20">
        <v>29097</v>
      </c>
      <c r="D512" t="s">
        <v>4548</v>
      </c>
      <c r="E512" t="s">
        <v>4718</v>
      </c>
      <c r="F512" t="s">
        <v>4719</v>
      </c>
      <c r="G512" t="s">
        <v>4720</v>
      </c>
      <c r="H512" s="21">
        <v>42988.854907407411</v>
      </c>
      <c r="I512" s="22" t="s">
        <v>1710</v>
      </c>
    </row>
    <row r="513" spans="1:9" x14ac:dyDescent="0.3">
      <c r="A513" t="s">
        <v>4721</v>
      </c>
      <c r="B513" t="s">
        <v>4722</v>
      </c>
      <c r="C513" s="20">
        <v>29873</v>
      </c>
      <c r="D513" t="s">
        <v>4723</v>
      </c>
      <c r="E513" t="s">
        <v>4548</v>
      </c>
      <c r="F513" t="s">
        <v>4724</v>
      </c>
      <c r="G513" t="s">
        <v>4725</v>
      </c>
      <c r="H513" s="21">
        <v>42766.142997685187</v>
      </c>
      <c r="I513" s="22" t="s">
        <v>1684</v>
      </c>
    </row>
    <row r="514" spans="1:9" x14ac:dyDescent="0.3">
      <c r="A514" t="s">
        <v>4726</v>
      </c>
      <c r="B514" t="s">
        <v>4727</v>
      </c>
      <c r="C514" s="20">
        <v>26786</v>
      </c>
      <c r="D514" t="s">
        <v>4728</v>
      </c>
      <c r="E514" t="s">
        <v>4729</v>
      </c>
      <c r="F514" t="s">
        <v>4730</v>
      </c>
      <c r="G514" t="s">
        <v>4731</v>
      </c>
      <c r="H514" s="21">
        <v>42742.136296296296</v>
      </c>
      <c r="I514" s="22" t="s">
        <v>1710</v>
      </c>
    </row>
    <row r="515" spans="1:9" x14ac:dyDescent="0.3">
      <c r="A515" t="s">
        <v>4732</v>
      </c>
      <c r="B515" t="s">
        <v>4733</v>
      </c>
      <c r="C515" s="20">
        <v>34794</v>
      </c>
      <c r="D515" t="s">
        <v>4548</v>
      </c>
      <c r="E515" t="s">
        <v>4734</v>
      </c>
      <c r="F515" t="s">
        <v>4735</v>
      </c>
      <c r="G515" t="s">
        <v>4736</v>
      </c>
      <c r="H515" s="21">
        <v>39860.20076388889</v>
      </c>
      <c r="I515" s="22" t="s">
        <v>1691</v>
      </c>
    </row>
    <row r="516" spans="1:9" x14ac:dyDescent="0.3">
      <c r="A516" t="s">
        <v>4737</v>
      </c>
      <c r="B516" t="s">
        <v>4738</v>
      </c>
      <c r="C516" s="20">
        <v>35706</v>
      </c>
      <c r="D516" t="s">
        <v>4739</v>
      </c>
      <c r="E516" t="s">
        <v>4548</v>
      </c>
      <c r="F516" t="s">
        <v>4740</v>
      </c>
      <c r="G516" t="s">
        <v>4741</v>
      </c>
      <c r="H516" s="21">
        <v>39779.940011574072</v>
      </c>
      <c r="I516" s="22" t="s">
        <v>1691</v>
      </c>
    </row>
    <row r="517" spans="1:9" x14ac:dyDescent="0.3">
      <c r="A517" t="s">
        <v>4742</v>
      </c>
      <c r="B517" t="s">
        <v>4743</v>
      </c>
      <c r="C517" s="20">
        <v>30797</v>
      </c>
      <c r="D517" t="s">
        <v>4744</v>
      </c>
      <c r="E517" t="s">
        <v>4745</v>
      </c>
      <c r="F517" t="s">
        <v>4746</v>
      </c>
      <c r="G517" t="s">
        <v>4747</v>
      </c>
      <c r="H517" s="21">
        <v>39813.896956018521</v>
      </c>
      <c r="I517" s="22" t="s">
        <v>1729</v>
      </c>
    </row>
    <row r="518" spans="1:9" x14ac:dyDescent="0.3">
      <c r="A518" t="s">
        <v>4748</v>
      </c>
      <c r="B518" t="s">
        <v>4749</v>
      </c>
      <c r="C518" s="20">
        <v>34011</v>
      </c>
      <c r="D518" t="s">
        <v>4548</v>
      </c>
      <c r="E518" t="s">
        <v>4750</v>
      </c>
      <c r="F518" t="s">
        <v>4751</v>
      </c>
      <c r="G518" t="s">
        <v>4752</v>
      </c>
      <c r="H518" s="21">
        <v>43987.248668981483</v>
      </c>
      <c r="I518" s="22" t="s">
        <v>1684</v>
      </c>
    </row>
    <row r="519" spans="1:9" x14ac:dyDescent="0.3">
      <c r="A519" t="s">
        <v>4753</v>
      </c>
      <c r="B519" t="s">
        <v>4754</v>
      </c>
      <c r="C519" s="20">
        <v>32785</v>
      </c>
      <c r="D519" t="s">
        <v>4755</v>
      </c>
      <c r="E519" t="s">
        <v>4548</v>
      </c>
      <c r="F519" t="s">
        <v>4756</v>
      </c>
      <c r="G519" t="s">
        <v>4757</v>
      </c>
      <c r="H519" s="21">
        <v>43596.22384259259</v>
      </c>
      <c r="I519" s="22" t="s">
        <v>1736</v>
      </c>
    </row>
    <row r="520" spans="1:9" x14ac:dyDescent="0.3">
      <c r="A520" t="s">
        <v>4758</v>
      </c>
      <c r="B520" t="s">
        <v>4759</v>
      </c>
      <c r="C520" s="20">
        <v>34072</v>
      </c>
      <c r="D520" t="s">
        <v>4760</v>
      </c>
      <c r="E520" t="s">
        <v>4761</v>
      </c>
      <c r="F520" t="s">
        <v>4762</v>
      </c>
      <c r="G520" t="s">
        <v>4763</v>
      </c>
      <c r="H520" s="21">
        <v>43123.631296296298</v>
      </c>
      <c r="I520" s="22" t="s">
        <v>1729</v>
      </c>
    </row>
    <row r="521" spans="1:9" x14ac:dyDescent="0.3">
      <c r="A521" t="s">
        <v>4764</v>
      </c>
      <c r="B521" t="s">
        <v>4765</v>
      </c>
      <c r="C521" s="20">
        <v>29544</v>
      </c>
      <c r="D521" t="s">
        <v>4548</v>
      </c>
      <c r="E521" t="s">
        <v>4766</v>
      </c>
      <c r="F521" t="s">
        <v>4767</v>
      </c>
      <c r="G521" t="s">
        <v>4768</v>
      </c>
      <c r="H521" s="21">
        <v>40863.966597222221</v>
      </c>
      <c r="I521" s="22" t="s">
        <v>1691</v>
      </c>
    </row>
    <row r="522" spans="1:9" x14ac:dyDescent="0.3">
      <c r="A522" t="s">
        <v>4769</v>
      </c>
      <c r="B522" t="s">
        <v>4770</v>
      </c>
      <c r="C522" s="20">
        <v>27855</v>
      </c>
      <c r="D522" t="s">
        <v>4771</v>
      </c>
      <c r="E522" t="s">
        <v>4548</v>
      </c>
      <c r="F522" t="s">
        <v>4772</v>
      </c>
      <c r="G522" t="s">
        <v>4773</v>
      </c>
      <c r="H522" s="21">
        <v>39761.989247685182</v>
      </c>
      <c r="I522" s="22" t="s">
        <v>1710</v>
      </c>
    </row>
    <row r="523" spans="1:9" x14ac:dyDescent="0.3">
      <c r="A523" t="s">
        <v>4774</v>
      </c>
      <c r="B523" t="s">
        <v>4775</v>
      </c>
      <c r="C523" s="20">
        <v>27708</v>
      </c>
      <c r="D523" t="s">
        <v>4776</v>
      </c>
      <c r="E523" t="s">
        <v>4777</v>
      </c>
      <c r="F523" t="s">
        <v>4778</v>
      </c>
      <c r="G523" t="s">
        <v>4779</v>
      </c>
      <c r="H523" s="21">
        <v>40169.900740740741</v>
      </c>
      <c r="I523" s="22" t="s">
        <v>1729</v>
      </c>
    </row>
    <row r="524" spans="1:9" x14ac:dyDescent="0.3">
      <c r="A524" t="s">
        <v>4780</v>
      </c>
      <c r="B524" t="s">
        <v>4781</v>
      </c>
      <c r="C524" s="20">
        <v>27927</v>
      </c>
      <c r="D524" t="s">
        <v>4548</v>
      </c>
      <c r="E524" t="s">
        <v>4782</v>
      </c>
      <c r="F524" t="s">
        <v>4783</v>
      </c>
      <c r="G524" t="s">
        <v>4784</v>
      </c>
      <c r="H524" s="21">
        <v>40284.942569444444</v>
      </c>
      <c r="I524" s="22" t="s">
        <v>1691</v>
      </c>
    </row>
    <row r="525" spans="1:9" x14ac:dyDescent="0.3">
      <c r="A525" t="s">
        <v>4785</v>
      </c>
      <c r="B525" t="s">
        <v>4786</v>
      </c>
      <c r="C525" s="20">
        <v>32052</v>
      </c>
      <c r="D525" t="s">
        <v>4787</v>
      </c>
      <c r="E525" t="s">
        <v>4548</v>
      </c>
      <c r="F525" t="s">
        <v>4788</v>
      </c>
      <c r="G525" t="s">
        <v>4789</v>
      </c>
      <c r="H525" s="21">
        <v>42208.687037037038</v>
      </c>
      <c r="I525" s="22" t="s">
        <v>1691</v>
      </c>
    </row>
    <row r="526" spans="1:9" x14ac:dyDescent="0.3">
      <c r="A526" t="s">
        <v>4790</v>
      </c>
      <c r="B526" t="s">
        <v>4791</v>
      </c>
      <c r="C526" s="20">
        <v>29053</v>
      </c>
      <c r="D526" t="s">
        <v>4792</v>
      </c>
      <c r="E526" t="s">
        <v>4793</v>
      </c>
      <c r="F526" t="s">
        <v>4794</v>
      </c>
      <c r="G526" t="s">
        <v>4795</v>
      </c>
      <c r="H526" s="21">
        <v>42044.905173611114</v>
      </c>
      <c r="I526" s="22" t="s">
        <v>1710</v>
      </c>
    </row>
    <row r="527" spans="1:9" x14ac:dyDescent="0.3">
      <c r="A527" t="s">
        <v>4796</v>
      </c>
      <c r="B527" t="s">
        <v>4797</v>
      </c>
      <c r="C527" s="20">
        <v>36016</v>
      </c>
      <c r="D527" t="s">
        <v>4548</v>
      </c>
      <c r="E527" t="s">
        <v>4798</v>
      </c>
      <c r="F527" t="s">
        <v>4799</v>
      </c>
      <c r="G527" t="s">
        <v>4800</v>
      </c>
      <c r="H527" s="21">
        <v>38458.951805555553</v>
      </c>
      <c r="I527" s="22" t="s">
        <v>1684</v>
      </c>
    </row>
    <row r="528" spans="1:9" x14ac:dyDescent="0.3">
      <c r="A528" t="s">
        <v>4801</v>
      </c>
      <c r="B528" t="s">
        <v>4802</v>
      </c>
      <c r="C528" s="20">
        <v>36607</v>
      </c>
      <c r="D528" t="s">
        <v>4803</v>
      </c>
      <c r="E528" t="s">
        <v>4548</v>
      </c>
      <c r="F528" t="s">
        <v>4804</v>
      </c>
      <c r="G528" t="s">
        <v>4805</v>
      </c>
      <c r="H528" s="21">
        <v>42867.072094907409</v>
      </c>
      <c r="I528" s="22" t="s">
        <v>1684</v>
      </c>
    </row>
    <row r="529" spans="1:9" x14ac:dyDescent="0.3">
      <c r="A529" t="s">
        <v>4806</v>
      </c>
      <c r="B529" t="s">
        <v>4807</v>
      </c>
      <c r="C529" s="20">
        <v>33323</v>
      </c>
      <c r="D529" t="s">
        <v>4808</v>
      </c>
      <c r="E529" t="s">
        <v>4809</v>
      </c>
      <c r="F529" t="s">
        <v>4810</v>
      </c>
      <c r="G529" t="s">
        <v>4811</v>
      </c>
      <c r="H529" s="21">
        <v>38697.586030092592</v>
      </c>
      <c r="I529" s="22" t="s">
        <v>1691</v>
      </c>
    </row>
    <row r="530" spans="1:9" x14ac:dyDescent="0.3">
      <c r="A530" t="s">
        <v>4812</v>
      </c>
      <c r="B530" t="s">
        <v>4813</v>
      </c>
      <c r="C530" s="20">
        <v>30237</v>
      </c>
      <c r="D530" t="s">
        <v>4548</v>
      </c>
      <c r="E530" t="s">
        <v>4814</v>
      </c>
      <c r="F530" t="s">
        <v>4815</v>
      </c>
      <c r="G530" t="s">
        <v>4816</v>
      </c>
      <c r="H530" s="21">
        <v>40648.901921296296</v>
      </c>
      <c r="I530" s="22" t="s">
        <v>1736</v>
      </c>
    </row>
    <row r="531" spans="1:9" x14ac:dyDescent="0.3">
      <c r="A531" t="s">
        <v>4817</v>
      </c>
      <c r="B531" t="s">
        <v>4818</v>
      </c>
      <c r="C531" s="20">
        <v>36127</v>
      </c>
      <c r="D531" t="s">
        <v>4819</v>
      </c>
      <c r="E531" t="s">
        <v>4548</v>
      </c>
      <c r="F531" t="s">
        <v>4820</v>
      </c>
      <c r="G531" t="s">
        <v>4821</v>
      </c>
      <c r="H531" s="21">
        <v>43151.250821759262</v>
      </c>
      <c r="I531" s="22" t="s">
        <v>1691</v>
      </c>
    </row>
    <row r="532" spans="1:9" x14ac:dyDescent="0.3">
      <c r="A532" t="s">
        <v>4822</v>
      </c>
      <c r="B532" t="s">
        <v>4823</v>
      </c>
      <c r="C532" s="20">
        <v>30150</v>
      </c>
      <c r="D532" t="s">
        <v>4824</v>
      </c>
      <c r="E532" t="s">
        <v>4825</v>
      </c>
      <c r="F532" t="s">
        <v>4826</v>
      </c>
      <c r="G532" t="s">
        <v>4827</v>
      </c>
      <c r="H532" s="21">
        <v>38643.299201388887</v>
      </c>
      <c r="I532" s="22" t="s">
        <v>1736</v>
      </c>
    </row>
    <row r="533" spans="1:9" x14ac:dyDescent="0.3">
      <c r="A533" t="s">
        <v>4828</v>
      </c>
      <c r="B533" t="s">
        <v>4829</v>
      </c>
      <c r="C533" s="20">
        <v>33517</v>
      </c>
      <c r="D533" t="s">
        <v>4548</v>
      </c>
      <c r="E533" t="s">
        <v>4830</v>
      </c>
      <c r="F533" t="s">
        <v>4831</v>
      </c>
      <c r="G533" t="s">
        <v>4832</v>
      </c>
      <c r="H533" s="21">
        <v>42940.784722222219</v>
      </c>
      <c r="I533" s="22" t="s">
        <v>1691</v>
      </c>
    </row>
    <row r="534" spans="1:9" x14ac:dyDescent="0.3">
      <c r="A534" t="s">
        <v>4833</v>
      </c>
      <c r="B534" t="s">
        <v>4834</v>
      </c>
      <c r="C534" s="20">
        <v>35920</v>
      </c>
      <c r="D534" t="s">
        <v>4835</v>
      </c>
      <c r="E534" t="s">
        <v>4548</v>
      </c>
      <c r="F534" t="s">
        <v>4836</v>
      </c>
      <c r="G534" t="s">
        <v>4837</v>
      </c>
      <c r="H534" s="21">
        <v>39771.709386574075</v>
      </c>
      <c r="I534" s="22" t="s">
        <v>1684</v>
      </c>
    </row>
    <row r="535" spans="1:9" x14ac:dyDescent="0.3">
      <c r="A535" t="s">
        <v>4838</v>
      </c>
      <c r="B535" t="s">
        <v>4839</v>
      </c>
      <c r="C535" s="20">
        <v>28362</v>
      </c>
      <c r="D535" t="s">
        <v>4840</v>
      </c>
      <c r="E535" t="s">
        <v>4841</v>
      </c>
      <c r="F535" t="s">
        <v>4842</v>
      </c>
      <c r="G535" t="s">
        <v>4843</v>
      </c>
      <c r="H535" s="21">
        <v>41364.185428240744</v>
      </c>
      <c r="I535" s="22" t="s">
        <v>1710</v>
      </c>
    </row>
    <row r="536" spans="1:9" x14ac:dyDescent="0.3">
      <c r="A536" t="s">
        <v>4844</v>
      </c>
      <c r="B536" t="s">
        <v>4845</v>
      </c>
      <c r="C536" s="20">
        <v>30361</v>
      </c>
      <c r="D536" t="s">
        <v>4548</v>
      </c>
      <c r="E536" t="s">
        <v>4846</v>
      </c>
      <c r="F536" t="s">
        <v>4847</v>
      </c>
      <c r="G536" t="s">
        <v>4848</v>
      </c>
      <c r="H536" s="21">
        <v>43997.151678240742</v>
      </c>
      <c r="I536" s="22" t="s">
        <v>1691</v>
      </c>
    </row>
    <row r="537" spans="1:9" x14ac:dyDescent="0.3">
      <c r="A537" t="s">
        <v>4849</v>
      </c>
      <c r="B537" t="s">
        <v>4850</v>
      </c>
      <c r="C537" s="20">
        <v>27838</v>
      </c>
      <c r="D537" t="s">
        <v>4851</v>
      </c>
      <c r="E537" t="s">
        <v>4548</v>
      </c>
      <c r="F537" t="s">
        <v>4852</v>
      </c>
      <c r="G537" t="s">
        <v>4853</v>
      </c>
      <c r="H537" s="21">
        <v>42825.312407407408</v>
      </c>
      <c r="I537" s="22" t="s">
        <v>1729</v>
      </c>
    </row>
    <row r="538" spans="1:9" x14ac:dyDescent="0.3">
      <c r="A538" t="s">
        <v>4854</v>
      </c>
      <c r="B538" t="s">
        <v>4855</v>
      </c>
      <c r="C538" s="20">
        <v>29214</v>
      </c>
      <c r="D538" t="s">
        <v>4856</v>
      </c>
      <c r="E538" t="s">
        <v>4857</v>
      </c>
      <c r="F538" t="s">
        <v>4858</v>
      </c>
      <c r="G538" t="s">
        <v>4859</v>
      </c>
      <c r="H538" s="21">
        <v>39017.162129629629</v>
      </c>
      <c r="I538" s="22" t="s">
        <v>1736</v>
      </c>
    </row>
    <row r="539" spans="1:9" x14ac:dyDescent="0.3">
      <c r="A539" t="s">
        <v>4860</v>
      </c>
      <c r="B539" t="s">
        <v>4861</v>
      </c>
      <c r="C539" s="20">
        <v>30793</v>
      </c>
      <c r="D539" t="s">
        <v>4548</v>
      </c>
      <c r="E539" t="s">
        <v>4862</v>
      </c>
      <c r="F539" t="s">
        <v>4863</v>
      </c>
      <c r="G539" t="s">
        <v>4864</v>
      </c>
      <c r="H539" s="21">
        <v>38821.366747685184</v>
      </c>
      <c r="I539" s="22" t="s">
        <v>1729</v>
      </c>
    </row>
    <row r="540" spans="1:9" x14ac:dyDescent="0.3">
      <c r="A540" t="s">
        <v>4865</v>
      </c>
      <c r="B540" t="s">
        <v>4866</v>
      </c>
      <c r="C540" s="20">
        <v>27310</v>
      </c>
      <c r="D540" t="s">
        <v>4867</v>
      </c>
      <c r="E540" t="s">
        <v>4548</v>
      </c>
      <c r="F540" t="s">
        <v>4868</v>
      </c>
      <c r="G540" t="s">
        <v>4869</v>
      </c>
      <c r="H540" s="21">
        <v>39221.182083333333</v>
      </c>
      <c r="I540" s="22" t="s">
        <v>1691</v>
      </c>
    </row>
    <row r="541" spans="1:9" x14ac:dyDescent="0.3">
      <c r="A541" t="s">
        <v>4870</v>
      </c>
      <c r="B541" t="s">
        <v>4871</v>
      </c>
      <c r="C541" s="20">
        <v>36605</v>
      </c>
      <c r="D541" t="s">
        <v>4872</v>
      </c>
      <c r="E541" t="s">
        <v>4873</v>
      </c>
      <c r="F541" t="s">
        <v>4874</v>
      </c>
      <c r="G541" t="s">
        <v>4875</v>
      </c>
      <c r="H541" s="21">
        <v>43536.05810185185</v>
      </c>
      <c r="I541" s="22" t="s">
        <v>1684</v>
      </c>
    </row>
    <row r="542" spans="1:9" x14ac:dyDescent="0.3">
      <c r="A542" t="s">
        <v>4876</v>
      </c>
      <c r="B542" t="s">
        <v>4877</v>
      </c>
      <c r="C542" s="20">
        <v>31820</v>
      </c>
      <c r="D542" t="s">
        <v>4548</v>
      </c>
      <c r="E542" t="s">
        <v>4878</v>
      </c>
      <c r="F542" t="s">
        <v>4879</v>
      </c>
      <c r="G542" t="s">
        <v>4880</v>
      </c>
      <c r="H542" s="21">
        <v>38757.301041666666</v>
      </c>
      <c r="I542" s="22" t="s">
        <v>1684</v>
      </c>
    </row>
    <row r="543" spans="1:9" x14ac:dyDescent="0.3">
      <c r="A543" t="s">
        <v>4881</v>
      </c>
      <c r="B543" t="s">
        <v>4882</v>
      </c>
      <c r="C543" s="20">
        <v>31858</v>
      </c>
      <c r="D543" t="s">
        <v>1968</v>
      </c>
      <c r="E543" t="s">
        <v>4548</v>
      </c>
      <c r="F543" t="s">
        <v>4883</v>
      </c>
      <c r="G543" t="s">
        <v>4884</v>
      </c>
      <c r="H543" s="21">
        <v>41194.374386574076</v>
      </c>
      <c r="I543" s="22" t="s">
        <v>1736</v>
      </c>
    </row>
    <row r="544" spans="1:9" x14ac:dyDescent="0.3">
      <c r="A544" t="s">
        <v>4885</v>
      </c>
      <c r="B544" t="s">
        <v>4886</v>
      </c>
      <c r="C544" s="20">
        <v>34036</v>
      </c>
      <c r="D544" t="s">
        <v>4887</v>
      </c>
      <c r="E544" t="s">
        <v>4888</v>
      </c>
      <c r="F544" t="s">
        <v>4889</v>
      </c>
      <c r="G544" t="s">
        <v>4890</v>
      </c>
      <c r="H544" s="21">
        <v>38926.931041666663</v>
      </c>
      <c r="I544" s="22" t="s">
        <v>1729</v>
      </c>
    </row>
    <row r="545" spans="1:9" x14ac:dyDescent="0.3">
      <c r="A545" t="s">
        <v>4891</v>
      </c>
      <c r="B545" t="s">
        <v>4892</v>
      </c>
      <c r="C545" s="20">
        <v>30611</v>
      </c>
      <c r="D545" t="s">
        <v>4548</v>
      </c>
      <c r="E545" t="s">
        <v>4893</v>
      </c>
      <c r="F545" t="s">
        <v>4894</v>
      </c>
      <c r="G545" t="s">
        <v>4895</v>
      </c>
      <c r="H545" s="21">
        <v>39665.307303240741</v>
      </c>
      <c r="I545" s="22" t="s">
        <v>1710</v>
      </c>
    </row>
    <row r="546" spans="1:9" x14ac:dyDescent="0.3">
      <c r="A546" t="s">
        <v>4896</v>
      </c>
      <c r="B546" t="s">
        <v>4897</v>
      </c>
      <c r="C546" s="20">
        <v>34349</v>
      </c>
      <c r="D546" t="s">
        <v>4898</v>
      </c>
      <c r="E546" t="s">
        <v>4548</v>
      </c>
      <c r="F546" t="s">
        <v>4899</v>
      </c>
      <c r="G546" t="s">
        <v>4900</v>
      </c>
      <c r="H546" s="21">
        <v>43572.948125000003</v>
      </c>
      <c r="I546" s="22" t="s">
        <v>1684</v>
      </c>
    </row>
    <row r="547" spans="1:9" x14ac:dyDescent="0.3">
      <c r="A547" t="s">
        <v>4901</v>
      </c>
      <c r="B547" t="s">
        <v>4902</v>
      </c>
      <c r="C547" s="20">
        <v>25988</v>
      </c>
      <c r="D547" t="s">
        <v>4903</v>
      </c>
      <c r="E547" t="s">
        <v>4904</v>
      </c>
      <c r="F547" t="s">
        <v>4905</v>
      </c>
      <c r="G547" t="s">
        <v>4906</v>
      </c>
      <c r="H547" s="21">
        <v>43932.051412037035</v>
      </c>
      <c r="I547" s="22" t="s">
        <v>1710</v>
      </c>
    </row>
    <row r="548" spans="1:9" x14ac:dyDescent="0.3">
      <c r="A548" t="s">
        <v>4907</v>
      </c>
      <c r="B548" t="s">
        <v>4908</v>
      </c>
      <c r="C548" s="20">
        <v>33620</v>
      </c>
      <c r="D548" t="s">
        <v>4548</v>
      </c>
      <c r="E548" t="s">
        <v>4909</v>
      </c>
      <c r="F548" t="s">
        <v>4910</v>
      </c>
      <c r="G548" t="s">
        <v>4911</v>
      </c>
      <c r="H548" s="21">
        <v>43817.920949074076</v>
      </c>
      <c r="I548" s="22" t="s">
        <v>1729</v>
      </c>
    </row>
    <row r="549" spans="1:9" x14ac:dyDescent="0.3">
      <c r="A549" t="s">
        <v>4912</v>
      </c>
      <c r="B549" t="s">
        <v>4913</v>
      </c>
      <c r="C549" s="20">
        <v>28667</v>
      </c>
      <c r="D549" t="s">
        <v>4914</v>
      </c>
      <c r="E549" t="s">
        <v>4548</v>
      </c>
      <c r="F549" t="s">
        <v>4915</v>
      </c>
      <c r="G549" t="s">
        <v>4916</v>
      </c>
      <c r="H549" s="21">
        <v>43138.86824074074</v>
      </c>
      <c r="I549" s="22" t="s">
        <v>1691</v>
      </c>
    </row>
    <row r="550" spans="1:9" x14ac:dyDescent="0.3">
      <c r="A550" t="s">
        <v>4917</v>
      </c>
      <c r="B550" t="s">
        <v>4918</v>
      </c>
      <c r="C550" s="20">
        <v>34590</v>
      </c>
      <c r="D550" t="s">
        <v>4919</v>
      </c>
      <c r="E550" t="s">
        <v>4920</v>
      </c>
      <c r="F550" t="s">
        <v>4921</v>
      </c>
      <c r="G550" t="s">
        <v>4922</v>
      </c>
      <c r="H550" s="21">
        <v>41170.480486111112</v>
      </c>
      <c r="I550" s="22" t="s">
        <v>1710</v>
      </c>
    </row>
    <row r="551" spans="1:9" x14ac:dyDescent="0.3">
      <c r="A551" t="s">
        <v>4923</v>
      </c>
      <c r="B551" t="s">
        <v>4924</v>
      </c>
      <c r="C551" s="20">
        <v>25570</v>
      </c>
      <c r="D551" t="s">
        <v>4548</v>
      </c>
      <c r="E551" t="s">
        <v>4925</v>
      </c>
      <c r="F551" t="s">
        <v>4926</v>
      </c>
      <c r="G551" t="s">
        <v>4927</v>
      </c>
      <c r="H551" s="21">
        <v>43825.128634259258</v>
      </c>
      <c r="I551" s="22" t="s">
        <v>1729</v>
      </c>
    </row>
    <row r="552" spans="1:9" x14ac:dyDescent="0.3">
      <c r="A552" t="s">
        <v>4928</v>
      </c>
      <c r="B552" t="s">
        <v>4929</v>
      </c>
      <c r="C552" s="20">
        <v>27093</v>
      </c>
      <c r="D552" t="s">
        <v>4930</v>
      </c>
      <c r="E552" t="s">
        <v>4548</v>
      </c>
      <c r="F552" t="s">
        <v>4931</v>
      </c>
      <c r="G552" t="s">
        <v>4932</v>
      </c>
      <c r="H552" s="21">
        <v>43194.756111111114</v>
      </c>
      <c r="I552" s="22" t="s">
        <v>1736</v>
      </c>
    </row>
    <row r="553" spans="1:9" x14ac:dyDescent="0.3">
      <c r="A553" t="s">
        <v>4933</v>
      </c>
      <c r="B553" t="s">
        <v>4934</v>
      </c>
      <c r="C553" s="20">
        <v>32204</v>
      </c>
      <c r="D553" t="s">
        <v>4935</v>
      </c>
      <c r="E553" t="s">
        <v>4936</v>
      </c>
      <c r="F553" t="s">
        <v>4937</v>
      </c>
      <c r="G553" t="s">
        <v>4938</v>
      </c>
      <c r="H553" s="21">
        <v>43376.085763888892</v>
      </c>
      <c r="I553" s="22" t="s">
        <v>1729</v>
      </c>
    </row>
    <row r="554" spans="1:9" x14ac:dyDescent="0.3">
      <c r="A554" t="s">
        <v>4939</v>
      </c>
      <c r="B554" t="s">
        <v>4940</v>
      </c>
      <c r="C554" s="20">
        <v>33994</v>
      </c>
      <c r="D554" t="s">
        <v>4548</v>
      </c>
      <c r="E554" t="s">
        <v>4941</v>
      </c>
      <c r="F554" t="s">
        <v>4942</v>
      </c>
      <c r="G554" t="s">
        <v>4943</v>
      </c>
      <c r="H554" s="21">
        <v>41051.193148148152</v>
      </c>
      <c r="I554" s="22" t="s">
        <v>1684</v>
      </c>
    </row>
    <row r="555" spans="1:9" x14ac:dyDescent="0.3">
      <c r="A555" t="s">
        <v>4944</v>
      </c>
      <c r="B555" t="s">
        <v>4945</v>
      </c>
      <c r="C555" s="20">
        <v>26961</v>
      </c>
      <c r="D555" t="s">
        <v>4946</v>
      </c>
      <c r="E555" t="s">
        <v>4548</v>
      </c>
      <c r="F555" t="s">
        <v>4947</v>
      </c>
      <c r="G555" t="s">
        <v>4948</v>
      </c>
      <c r="H555" s="21">
        <v>43790.346354166664</v>
      </c>
      <c r="I555" s="22" t="s">
        <v>1710</v>
      </c>
    </row>
    <row r="556" spans="1:9" x14ac:dyDescent="0.3">
      <c r="A556" t="s">
        <v>4949</v>
      </c>
      <c r="B556" t="s">
        <v>4950</v>
      </c>
      <c r="C556" s="20">
        <v>29234</v>
      </c>
      <c r="D556" t="s">
        <v>4951</v>
      </c>
      <c r="E556" t="s">
        <v>4952</v>
      </c>
      <c r="F556" t="s">
        <v>4953</v>
      </c>
      <c r="G556" t="s">
        <v>4954</v>
      </c>
      <c r="H556" s="21">
        <v>40134.95453703704</v>
      </c>
      <c r="I556" s="22" t="s">
        <v>1691</v>
      </c>
    </row>
    <row r="557" spans="1:9" x14ac:dyDescent="0.3">
      <c r="A557" t="s">
        <v>4955</v>
      </c>
      <c r="B557" t="s">
        <v>4956</v>
      </c>
      <c r="C557" s="20">
        <v>32918</v>
      </c>
      <c r="D557" t="s">
        <v>4548</v>
      </c>
      <c r="E557" t="s">
        <v>4957</v>
      </c>
      <c r="F557" t="s">
        <v>4958</v>
      </c>
      <c r="G557" t="s">
        <v>4959</v>
      </c>
      <c r="H557" s="21">
        <v>41905.536249999997</v>
      </c>
      <c r="I557" s="22" t="s">
        <v>1691</v>
      </c>
    </row>
    <row r="558" spans="1:9" x14ac:dyDescent="0.3">
      <c r="A558" t="s">
        <v>4960</v>
      </c>
      <c r="B558" t="s">
        <v>4961</v>
      </c>
      <c r="C558" s="20">
        <v>33712</v>
      </c>
      <c r="D558" t="s">
        <v>4962</v>
      </c>
      <c r="E558" t="s">
        <v>4548</v>
      </c>
      <c r="F558" t="s">
        <v>4963</v>
      </c>
      <c r="G558" t="s">
        <v>4964</v>
      </c>
      <c r="H558" s="21">
        <v>44102.861342592594</v>
      </c>
      <c r="I558" s="22" t="s">
        <v>1736</v>
      </c>
    </row>
    <row r="559" spans="1:9" x14ac:dyDescent="0.3">
      <c r="A559" t="s">
        <v>4965</v>
      </c>
      <c r="B559" t="s">
        <v>4966</v>
      </c>
      <c r="C559" s="20">
        <v>30246</v>
      </c>
      <c r="D559" t="s">
        <v>4967</v>
      </c>
      <c r="E559" t="s">
        <v>4968</v>
      </c>
      <c r="F559" t="s">
        <v>4969</v>
      </c>
      <c r="G559" t="s">
        <v>4970</v>
      </c>
      <c r="H559" s="21">
        <v>43222.728900462964</v>
      </c>
      <c r="I559" s="22" t="s">
        <v>1691</v>
      </c>
    </row>
    <row r="560" spans="1:9" x14ac:dyDescent="0.3">
      <c r="A560" t="s">
        <v>4971</v>
      </c>
      <c r="B560" t="s">
        <v>4972</v>
      </c>
      <c r="C560" s="20">
        <v>33932</v>
      </c>
      <c r="D560" t="s">
        <v>4548</v>
      </c>
      <c r="E560" t="s">
        <v>4973</v>
      </c>
      <c r="F560" t="s">
        <v>4974</v>
      </c>
      <c r="G560" t="s">
        <v>4975</v>
      </c>
      <c r="H560" s="21">
        <v>44116.309050925927</v>
      </c>
      <c r="I560" s="22" t="s">
        <v>1691</v>
      </c>
    </row>
    <row r="561" spans="1:9" x14ac:dyDescent="0.3">
      <c r="A561" t="s">
        <v>4976</v>
      </c>
      <c r="B561" t="s">
        <v>4977</v>
      </c>
      <c r="C561" s="20">
        <v>33746</v>
      </c>
      <c r="D561" t="s">
        <v>4978</v>
      </c>
      <c r="E561" t="s">
        <v>4548</v>
      </c>
      <c r="F561" t="s">
        <v>4979</v>
      </c>
      <c r="G561" t="s">
        <v>4980</v>
      </c>
      <c r="H561" s="21">
        <v>39515.051412037035</v>
      </c>
      <c r="I561" s="22" t="s">
        <v>1710</v>
      </c>
    </row>
    <row r="562" spans="1:9" x14ac:dyDescent="0.3">
      <c r="A562" t="s">
        <v>4981</v>
      </c>
      <c r="B562" t="s">
        <v>4982</v>
      </c>
      <c r="C562" s="20">
        <v>32296</v>
      </c>
      <c r="D562" t="s">
        <v>4983</v>
      </c>
      <c r="E562" t="s">
        <v>4984</v>
      </c>
      <c r="F562" t="s">
        <v>4985</v>
      </c>
      <c r="G562" t="s">
        <v>4986</v>
      </c>
      <c r="H562" s="21">
        <v>41012.15216435185</v>
      </c>
      <c r="I562" s="22" t="s">
        <v>1684</v>
      </c>
    </row>
    <row r="563" spans="1:9" x14ac:dyDescent="0.3">
      <c r="A563" t="s">
        <v>4987</v>
      </c>
      <c r="B563" t="s">
        <v>4988</v>
      </c>
      <c r="C563" s="20">
        <v>30605</v>
      </c>
      <c r="D563" t="s">
        <v>4548</v>
      </c>
      <c r="E563" t="s">
        <v>4989</v>
      </c>
      <c r="F563" t="s">
        <v>4990</v>
      </c>
      <c r="G563" t="s">
        <v>4991</v>
      </c>
      <c r="H563" s="21">
        <v>40857.18849537037</v>
      </c>
      <c r="I563" s="22" t="s">
        <v>1729</v>
      </c>
    </row>
    <row r="564" spans="1:9" x14ac:dyDescent="0.3">
      <c r="A564" t="s">
        <v>4992</v>
      </c>
      <c r="B564" t="s">
        <v>4993</v>
      </c>
      <c r="C564" s="20">
        <v>33987</v>
      </c>
      <c r="D564" t="s">
        <v>4994</v>
      </c>
      <c r="E564" t="s">
        <v>4548</v>
      </c>
      <c r="F564" t="s">
        <v>4995</v>
      </c>
      <c r="G564" t="s">
        <v>4996</v>
      </c>
      <c r="H564" s="21">
        <v>41606.849282407406</v>
      </c>
      <c r="I564" s="22" t="s">
        <v>1729</v>
      </c>
    </row>
    <row r="565" spans="1:9" x14ac:dyDescent="0.3">
      <c r="A565" t="s">
        <v>4997</v>
      </c>
      <c r="B565" t="s">
        <v>4998</v>
      </c>
      <c r="C565" s="20">
        <v>31255</v>
      </c>
      <c r="D565" t="s">
        <v>4999</v>
      </c>
      <c r="E565" t="s">
        <v>5000</v>
      </c>
      <c r="F565" t="s">
        <v>5001</v>
      </c>
      <c r="G565" t="s">
        <v>5002</v>
      </c>
      <c r="H565" s="21">
        <v>43362.95621527778</v>
      </c>
      <c r="I565" s="22" t="s">
        <v>1736</v>
      </c>
    </row>
    <row r="566" spans="1:9" x14ac:dyDescent="0.3">
      <c r="A566" t="s">
        <v>5003</v>
      </c>
      <c r="B566" t="s">
        <v>5004</v>
      </c>
      <c r="C566" s="20">
        <v>33396</v>
      </c>
      <c r="D566" t="s">
        <v>4548</v>
      </c>
      <c r="E566" t="s">
        <v>5005</v>
      </c>
      <c r="F566" t="s">
        <v>5006</v>
      </c>
      <c r="G566" t="s">
        <v>5007</v>
      </c>
      <c r="H566" s="21">
        <v>43494.343182870369</v>
      </c>
      <c r="I566" s="22" t="s">
        <v>1729</v>
      </c>
    </row>
    <row r="567" spans="1:9" x14ac:dyDescent="0.3">
      <c r="A567" t="s">
        <v>5008</v>
      </c>
      <c r="B567" t="s">
        <v>5009</v>
      </c>
      <c r="C567" s="20">
        <v>31186</v>
      </c>
      <c r="D567" t="s">
        <v>5010</v>
      </c>
      <c r="E567" t="s">
        <v>4548</v>
      </c>
      <c r="F567" t="s">
        <v>5011</v>
      </c>
      <c r="G567" t="s">
        <v>5012</v>
      </c>
      <c r="H567" s="21">
        <v>43786.778877314813</v>
      </c>
      <c r="I567" s="22" t="s">
        <v>1729</v>
      </c>
    </row>
    <row r="568" spans="1:9" x14ac:dyDescent="0.3">
      <c r="A568" t="s">
        <v>5013</v>
      </c>
      <c r="B568" t="s">
        <v>5014</v>
      </c>
      <c r="C568" s="20">
        <v>26814</v>
      </c>
      <c r="D568" t="s">
        <v>5015</v>
      </c>
      <c r="E568" t="s">
        <v>5016</v>
      </c>
      <c r="F568" t="s">
        <v>5017</v>
      </c>
      <c r="G568" t="s">
        <v>5018</v>
      </c>
      <c r="H568" s="21">
        <v>43437.397662037038</v>
      </c>
      <c r="I568" s="22" t="s">
        <v>1710</v>
      </c>
    </row>
    <row r="569" spans="1:9" x14ac:dyDescent="0.3">
      <c r="A569" t="s">
        <v>5019</v>
      </c>
      <c r="B569" t="s">
        <v>5020</v>
      </c>
      <c r="C569" s="20">
        <v>25754</v>
      </c>
      <c r="D569" t="s">
        <v>4548</v>
      </c>
      <c r="E569" t="s">
        <v>5021</v>
      </c>
      <c r="F569" t="s">
        <v>5022</v>
      </c>
      <c r="G569" t="s">
        <v>5023</v>
      </c>
      <c r="H569" s="21">
        <v>39858.491122685184</v>
      </c>
      <c r="I569" s="22" t="s">
        <v>1691</v>
      </c>
    </row>
    <row r="570" spans="1:9" x14ac:dyDescent="0.3">
      <c r="A570" t="s">
        <v>5024</v>
      </c>
      <c r="B570" t="s">
        <v>5025</v>
      </c>
      <c r="C570" s="20">
        <v>30006</v>
      </c>
      <c r="D570" t="s">
        <v>5026</v>
      </c>
      <c r="E570" t="s">
        <v>4548</v>
      </c>
      <c r="F570" t="s">
        <v>5027</v>
      </c>
      <c r="G570" t="s">
        <v>5028</v>
      </c>
      <c r="H570" s="21">
        <v>40924.777291666665</v>
      </c>
      <c r="I570" s="22" t="s">
        <v>1691</v>
      </c>
    </row>
    <row r="571" spans="1:9" x14ac:dyDescent="0.3">
      <c r="A571" t="s">
        <v>5029</v>
      </c>
      <c r="B571" t="s">
        <v>5030</v>
      </c>
      <c r="C571" s="20">
        <v>27399</v>
      </c>
      <c r="D571" t="s">
        <v>5031</v>
      </c>
      <c r="E571" t="s">
        <v>5032</v>
      </c>
      <c r="F571" t="s">
        <v>5033</v>
      </c>
      <c r="G571" t="s">
        <v>5034</v>
      </c>
      <c r="H571" s="21">
        <v>40233.646377314813</v>
      </c>
      <c r="I571" s="22" t="s">
        <v>1736</v>
      </c>
    </row>
    <row r="572" spans="1:9" x14ac:dyDescent="0.3">
      <c r="A572" t="s">
        <v>5035</v>
      </c>
      <c r="B572" t="s">
        <v>5036</v>
      </c>
      <c r="C572" s="20">
        <v>33442</v>
      </c>
      <c r="D572" t="s">
        <v>4548</v>
      </c>
      <c r="E572" t="s">
        <v>5037</v>
      </c>
      <c r="F572" t="s">
        <v>5038</v>
      </c>
      <c r="G572" t="s">
        <v>1796</v>
      </c>
      <c r="H572" s="21">
        <v>44064.029710648145</v>
      </c>
      <c r="I572" s="22" t="s">
        <v>1684</v>
      </c>
    </row>
    <row r="573" spans="1:9" x14ac:dyDescent="0.3">
      <c r="A573" t="s">
        <v>5039</v>
      </c>
      <c r="B573" t="s">
        <v>5040</v>
      </c>
      <c r="C573" s="20">
        <v>27503</v>
      </c>
      <c r="D573" t="s">
        <v>5041</v>
      </c>
      <c r="E573" t="s">
        <v>4548</v>
      </c>
      <c r="F573" t="s">
        <v>5042</v>
      </c>
      <c r="G573" t="s">
        <v>5043</v>
      </c>
      <c r="H573" s="21">
        <v>40485.733506944445</v>
      </c>
      <c r="I573" s="22" t="s">
        <v>1736</v>
      </c>
    </row>
    <row r="574" spans="1:9" x14ac:dyDescent="0.3">
      <c r="A574" t="s">
        <v>5044</v>
      </c>
      <c r="B574" t="s">
        <v>5045</v>
      </c>
      <c r="C574" s="20">
        <v>29199</v>
      </c>
      <c r="D574" t="s">
        <v>5046</v>
      </c>
      <c r="E574" t="s">
        <v>5047</v>
      </c>
      <c r="F574" t="s">
        <v>5048</v>
      </c>
      <c r="G574" t="s">
        <v>2048</v>
      </c>
      <c r="H574" s="21">
        <v>43645.656215277777</v>
      </c>
      <c r="I574" s="22" t="s">
        <v>1729</v>
      </c>
    </row>
    <row r="575" spans="1:9" x14ac:dyDescent="0.3">
      <c r="A575" t="s">
        <v>5049</v>
      </c>
      <c r="B575" t="s">
        <v>5050</v>
      </c>
      <c r="C575" s="20">
        <v>31062</v>
      </c>
      <c r="D575" t="s">
        <v>4548</v>
      </c>
      <c r="E575" t="s">
        <v>5051</v>
      </c>
      <c r="F575" t="s">
        <v>5052</v>
      </c>
      <c r="G575" t="s">
        <v>5053</v>
      </c>
      <c r="H575" s="21">
        <v>43428.074988425928</v>
      </c>
      <c r="I575" s="22" t="s">
        <v>1691</v>
      </c>
    </row>
    <row r="576" spans="1:9" x14ac:dyDescent="0.3">
      <c r="A576" t="s">
        <v>5054</v>
      </c>
      <c r="B576" t="s">
        <v>5055</v>
      </c>
      <c r="C576" s="20">
        <v>32150</v>
      </c>
      <c r="D576" t="s">
        <v>5056</v>
      </c>
      <c r="E576" t="s">
        <v>4548</v>
      </c>
      <c r="F576" t="s">
        <v>5057</v>
      </c>
      <c r="G576" t="s">
        <v>5058</v>
      </c>
      <c r="H576" s="21">
        <v>38658.521006944444</v>
      </c>
      <c r="I576" s="22" t="s">
        <v>1710</v>
      </c>
    </row>
    <row r="577" spans="1:9" x14ac:dyDescent="0.3">
      <c r="A577" t="s">
        <v>5059</v>
      </c>
      <c r="B577" t="s">
        <v>5060</v>
      </c>
      <c r="C577" s="20">
        <v>36445</v>
      </c>
      <c r="D577" t="s">
        <v>5061</v>
      </c>
      <c r="E577" t="s">
        <v>5062</v>
      </c>
      <c r="F577" t="s">
        <v>5063</v>
      </c>
      <c r="G577" t="s">
        <v>5064</v>
      </c>
      <c r="H577" s="21">
        <v>38656.982048611113</v>
      </c>
      <c r="I577" s="22" t="s">
        <v>1736</v>
      </c>
    </row>
    <row r="578" spans="1:9" x14ac:dyDescent="0.3">
      <c r="A578" t="s">
        <v>5065</v>
      </c>
      <c r="B578" t="s">
        <v>5066</v>
      </c>
      <c r="C578" s="20">
        <v>35768</v>
      </c>
      <c r="D578" t="s">
        <v>4548</v>
      </c>
      <c r="E578" t="s">
        <v>5067</v>
      </c>
      <c r="F578" t="s">
        <v>5068</v>
      </c>
      <c r="G578" t="s">
        <v>5069</v>
      </c>
      <c r="H578" s="21">
        <v>40185.839409722219</v>
      </c>
      <c r="I578" s="22" t="s">
        <v>1684</v>
      </c>
    </row>
    <row r="579" spans="1:9" x14ac:dyDescent="0.3">
      <c r="A579" t="s">
        <v>5070</v>
      </c>
      <c r="B579" t="s">
        <v>5071</v>
      </c>
      <c r="C579" s="20">
        <v>27538</v>
      </c>
      <c r="D579" t="s">
        <v>5072</v>
      </c>
      <c r="E579" t="s">
        <v>4548</v>
      </c>
      <c r="F579" t="s">
        <v>5073</v>
      </c>
      <c r="G579" t="s">
        <v>5074</v>
      </c>
      <c r="H579" s="21">
        <v>42592.498460648145</v>
      </c>
      <c r="I579" s="22" t="s">
        <v>1684</v>
      </c>
    </row>
    <row r="580" spans="1:9" x14ac:dyDescent="0.3">
      <c r="A580" t="s">
        <v>5075</v>
      </c>
      <c r="B580" t="s">
        <v>5076</v>
      </c>
      <c r="C580" s="20">
        <v>32453</v>
      </c>
      <c r="D580" t="s">
        <v>5077</v>
      </c>
      <c r="E580" t="s">
        <v>5078</v>
      </c>
      <c r="F580" t="s">
        <v>5079</v>
      </c>
      <c r="G580" t="s">
        <v>5080</v>
      </c>
      <c r="H580" s="21">
        <v>40199.992164351854</v>
      </c>
      <c r="I580" s="22" t="s">
        <v>1684</v>
      </c>
    </row>
    <row r="581" spans="1:9" x14ac:dyDescent="0.3">
      <c r="A581" t="s">
        <v>5081</v>
      </c>
      <c r="B581" t="s">
        <v>5082</v>
      </c>
      <c r="C581" s="20">
        <v>29482</v>
      </c>
      <c r="D581" t="s">
        <v>4548</v>
      </c>
      <c r="E581" t="s">
        <v>5083</v>
      </c>
      <c r="F581" t="s">
        <v>5084</v>
      </c>
      <c r="G581" t="s">
        <v>5085</v>
      </c>
      <c r="H581" s="21">
        <v>41405.984375</v>
      </c>
      <c r="I581" s="22" t="s">
        <v>1691</v>
      </c>
    </row>
    <row r="582" spans="1:9" x14ac:dyDescent="0.3">
      <c r="A582" t="s">
        <v>5086</v>
      </c>
      <c r="B582" t="s">
        <v>5087</v>
      </c>
      <c r="C582" s="20">
        <v>33516</v>
      </c>
      <c r="D582" t="s">
        <v>5088</v>
      </c>
      <c r="E582" t="s">
        <v>4548</v>
      </c>
      <c r="F582" t="s">
        <v>5089</v>
      </c>
      <c r="G582" t="s">
        <v>5090</v>
      </c>
      <c r="H582" s="21">
        <v>39502.659421296295</v>
      </c>
      <c r="I582" s="22" t="s">
        <v>1710</v>
      </c>
    </row>
    <row r="583" spans="1:9" x14ac:dyDescent="0.3">
      <c r="A583" t="s">
        <v>5091</v>
      </c>
      <c r="B583" t="s">
        <v>5092</v>
      </c>
      <c r="C583" s="20">
        <v>29850</v>
      </c>
      <c r="D583" t="s">
        <v>5093</v>
      </c>
      <c r="E583" t="s">
        <v>5094</v>
      </c>
      <c r="F583" t="s">
        <v>5095</v>
      </c>
      <c r="G583" t="s">
        <v>5096</v>
      </c>
      <c r="H583" s="21">
        <v>42568.665844907409</v>
      </c>
      <c r="I583" s="22" t="s">
        <v>1684</v>
      </c>
    </row>
    <row r="584" spans="1:9" x14ac:dyDescent="0.3">
      <c r="A584" t="s">
        <v>5097</v>
      </c>
      <c r="B584" t="s">
        <v>5098</v>
      </c>
      <c r="C584" s="20">
        <v>33901</v>
      </c>
      <c r="D584" t="s">
        <v>4548</v>
      </c>
      <c r="E584" t="s">
        <v>5099</v>
      </c>
      <c r="F584" t="s">
        <v>5100</v>
      </c>
      <c r="G584" t="s">
        <v>5101</v>
      </c>
      <c r="H584" s="21">
        <v>40872.167500000003</v>
      </c>
      <c r="I584" s="22" t="s">
        <v>1691</v>
      </c>
    </row>
    <row r="585" spans="1:9" x14ac:dyDescent="0.3">
      <c r="A585" t="s">
        <v>5102</v>
      </c>
      <c r="B585" t="s">
        <v>5103</v>
      </c>
      <c r="C585" s="20">
        <v>36060</v>
      </c>
      <c r="D585" t="s">
        <v>5104</v>
      </c>
      <c r="E585" t="s">
        <v>4548</v>
      </c>
      <c r="F585" t="s">
        <v>5105</v>
      </c>
      <c r="G585" t="s">
        <v>5106</v>
      </c>
      <c r="H585" s="21">
        <v>38592.106006944443</v>
      </c>
      <c r="I585" s="22" t="s">
        <v>1691</v>
      </c>
    </row>
    <row r="586" spans="1:9" x14ac:dyDescent="0.3">
      <c r="A586" t="s">
        <v>5107</v>
      </c>
      <c r="B586" t="s">
        <v>5108</v>
      </c>
      <c r="C586" s="20">
        <v>31952</v>
      </c>
      <c r="D586" t="s">
        <v>5109</v>
      </c>
      <c r="E586" t="s">
        <v>5110</v>
      </c>
      <c r="F586" t="s">
        <v>5111</v>
      </c>
      <c r="G586" t="s">
        <v>5112</v>
      </c>
      <c r="H586" s="21">
        <v>39371.01489583333</v>
      </c>
      <c r="I586" s="22" t="s">
        <v>1736</v>
      </c>
    </row>
    <row r="587" spans="1:9" x14ac:dyDescent="0.3">
      <c r="A587" t="s">
        <v>5113</v>
      </c>
      <c r="B587" t="s">
        <v>5114</v>
      </c>
      <c r="C587" s="20">
        <v>35842</v>
      </c>
      <c r="D587" t="s">
        <v>4548</v>
      </c>
      <c r="E587" t="s">
        <v>5115</v>
      </c>
      <c r="F587" t="s">
        <v>5116</v>
      </c>
      <c r="G587" t="s">
        <v>5117</v>
      </c>
      <c r="H587" s="21">
        <v>43301.497546296298</v>
      </c>
      <c r="I587" s="22" t="s">
        <v>1736</v>
      </c>
    </row>
    <row r="588" spans="1:9" x14ac:dyDescent="0.3">
      <c r="A588" t="s">
        <v>5118</v>
      </c>
      <c r="B588" t="s">
        <v>5119</v>
      </c>
      <c r="C588" s="20">
        <v>26044</v>
      </c>
      <c r="D588" t="s">
        <v>5120</v>
      </c>
      <c r="E588" t="s">
        <v>4548</v>
      </c>
      <c r="F588" t="s">
        <v>5121</v>
      </c>
      <c r="G588" t="s">
        <v>5122</v>
      </c>
      <c r="H588" s="21">
        <v>39936.895613425928</v>
      </c>
      <c r="I588" s="22" t="s">
        <v>1729</v>
      </c>
    </row>
    <row r="589" spans="1:9" x14ac:dyDescent="0.3">
      <c r="A589" t="s">
        <v>5123</v>
      </c>
      <c r="B589" t="s">
        <v>5124</v>
      </c>
      <c r="C589" s="20">
        <v>36283</v>
      </c>
      <c r="D589" t="s">
        <v>5125</v>
      </c>
      <c r="E589" t="s">
        <v>5126</v>
      </c>
      <c r="F589" t="s">
        <v>5127</v>
      </c>
      <c r="G589" t="s">
        <v>5128</v>
      </c>
      <c r="H589" s="21">
        <v>40486.182800925926</v>
      </c>
      <c r="I589" s="22" t="s">
        <v>1691</v>
      </c>
    </row>
    <row r="590" spans="1:9" x14ac:dyDescent="0.3">
      <c r="A590" t="s">
        <v>5129</v>
      </c>
      <c r="B590" t="s">
        <v>5130</v>
      </c>
      <c r="C590" s="20">
        <v>34631</v>
      </c>
      <c r="D590" t="s">
        <v>4548</v>
      </c>
      <c r="E590" t="s">
        <v>5131</v>
      </c>
      <c r="F590" t="s">
        <v>5132</v>
      </c>
      <c r="G590" t="s">
        <v>5133</v>
      </c>
      <c r="H590" s="21">
        <v>42386.730578703704</v>
      </c>
      <c r="I590" s="22" t="s">
        <v>1729</v>
      </c>
    </row>
    <row r="591" spans="1:9" x14ac:dyDescent="0.3">
      <c r="A591" t="s">
        <v>5134</v>
      </c>
      <c r="B591" t="s">
        <v>5135</v>
      </c>
      <c r="C591" s="20">
        <v>31545</v>
      </c>
      <c r="D591" t="s">
        <v>5136</v>
      </c>
      <c r="E591" t="s">
        <v>4548</v>
      </c>
      <c r="F591" t="s">
        <v>5137</v>
      </c>
      <c r="G591" t="s">
        <v>5138</v>
      </c>
      <c r="H591" s="21">
        <v>41438.115879629629</v>
      </c>
      <c r="I591" s="22" t="s">
        <v>1729</v>
      </c>
    </row>
    <row r="592" spans="1:9" x14ac:dyDescent="0.3">
      <c r="A592" t="s">
        <v>5139</v>
      </c>
      <c r="B592" t="s">
        <v>5140</v>
      </c>
      <c r="C592" s="20">
        <v>32766</v>
      </c>
      <c r="D592" t="s">
        <v>5141</v>
      </c>
      <c r="E592" t="s">
        <v>5142</v>
      </c>
      <c r="F592" t="s">
        <v>5143</v>
      </c>
      <c r="G592" t="s">
        <v>5144</v>
      </c>
      <c r="H592" s="21">
        <v>40982.447962962964</v>
      </c>
      <c r="I592" s="22" t="s">
        <v>1736</v>
      </c>
    </row>
    <row r="593" spans="1:9" x14ac:dyDescent="0.3">
      <c r="A593" t="s">
        <v>5145</v>
      </c>
      <c r="B593" t="s">
        <v>5146</v>
      </c>
      <c r="C593" s="20">
        <v>32984</v>
      </c>
      <c r="D593" t="s">
        <v>4548</v>
      </c>
      <c r="E593" t="s">
        <v>5147</v>
      </c>
      <c r="F593" t="s">
        <v>5148</v>
      </c>
      <c r="G593" t="s">
        <v>5149</v>
      </c>
      <c r="H593" s="21">
        <v>40200.213240740741</v>
      </c>
      <c r="I593" s="22" t="s">
        <v>1729</v>
      </c>
    </row>
    <row r="594" spans="1:9" x14ac:dyDescent="0.3">
      <c r="A594" t="s">
        <v>5150</v>
      </c>
      <c r="B594" t="s">
        <v>5151</v>
      </c>
      <c r="C594" s="20">
        <v>29723</v>
      </c>
      <c r="D594" t="s">
        <v>5152</v>
      </c>
      <c r="E594" t="s">
        <v>4548</v>
      </c>
      <c r="F594" t="s">
        <v>5153</v>
      </c>
      <c r="G594" t="s">
        <v>5154</v>
      </c>
      <c r="H594" s="21">
        <v>43453.252604166664</v>
      </c>
      <c r="I594" s="22" t="s">
        <v>1684</v>
      </c>
    </row>
    <row r="595" spans="1:9" x14ac:dyDescent="0.3">
      <c r="A595" t="s">
        <v>5155</v>
      </c>
      <c r="B595" t="s">
        <v>5156</v>
      </c>
      <c r="C595" s="20">
        <v>29096</v>
      </c>
      <c r="D595" t="s">
        <v>5157</v>
      </c>
      <c r="E595" t="s">
        <v>5158</v>
      </c>
      <c r="F595" t="s">
        <v>5159</v>
      </c>
      <c r="G595" t="s">
        <v>5160</v>
      </c>
      <c r="H595" s="21">
        <v>40594.650312500002</v>
      </c>
      <c r="I595" s="22" t="s">
        <v>1710</v>
      </c>
    </row>
    <row r="596" spans="1:9" x14ac:dyDescent="0.3">
      <c r="A596" t="s">
        <v>5161</v>
      </c>
      <c r="B596" t="s">
        <v>5162</v>
      </c>
      <c r="C596" s="20">
        <v>27056</v>
      </c>
      <c r="D596" t="s">
        <v>4548</v>
      </c>
      <c r="E596" t="s">
        <v>5163</v>
      </c>
      <c r="F596" t="s">
        <v>5164</v>
      </c>
      <c r="G596" t="s">
        <v>5165</v>
      </c>
      <c r="H596" s="21">
        <v>39415.045439814814</v>
      </c>
      <c r="I596" s="22" t="s">
        <v>1684</v>
      </c>
    </row>
    <row r="597" spans="1:9" x14ac:dyDescent="0.3">
      <c r="A597" t="s">
        <v>5166</v>
      </c>
      <c r="B597" t="s">
        <v>5167</v>
      </c>
      <c r="C597" s="20">
        <v>31626</v>
      </c>
      <c r="D597" t="s">
        <v>5168</v>
      </c>
      <c r="E597" t="s">
        <v>4548</v>
      </c>
      <c r="F597" t="s">
        <v>5169</v>
      </c>
      <c r="G597" t="s">
        <v>5170</v>
      </c>
      <c r="H597" s="21">
        <v>41820.083969907406</v>
      </c>
      <c r="I597" s="22" t="s">
        <v>1736</v>
      </c>
    </row>
    <row r="598" spans="1:9" x14ac:dyDescent="0.3">
      <c r="A598" t="s">
        <v>5171</v>
      </c>
      <c r="B598" t="s">
        <v>5172</v>
      </c>
      <c r="C598" s="20">
        <v>33208</v>
      </c>
      <c r="D598" t="s">
        <v>5173</v>
      </c>
      <c r="E598" t="s">
        <v>5174</v>
      </c>
      <c r="F598" t="s">
        <v>5175</v>
      </c>
      <c r="G598" t="s">
        <v>5176</v>
      </c>
      <c r="H598" s="21">
        <v>41605.891493055555</v>
      </c>
      <c r="I598" s="22" t="s">
        <v>1684</v>
      </c>
    </row>
    <row r="599" spans="1:9" x14ac:dyDescent="0.3">
      <c r="A599" t="s">
        <v>5177</v>
      </c>
      <c r="B599" t="s">
        <v>5178</v>
      </c>
      <c r="C599" s="20">
        <v>35994</v>
      </c>
      <c r="D599" t="s">
        <v>4548</v>
      </c>
      <c r="E599" t="s">
        <v>5179</v>
      </c>
      <c r="F599" t="s">
        <v>5180</v>
      </c>
      <c r="G599" t="s">
        <v>5181</v>
      </c>
      <c r="H599" s="21">
        <v>38727.48232638889</v>
      </c>
      <c r="I599" s="22" t="s">
        <v>1729</v>
      </c>
    </row>
    <row r="600" spans="1:9" x14ac:dyDescent="0.3">
      <c r="A600" t="s">
        <v>5182</v>
      </c>
      <c r="B600" t="s">
        <v>5183</v>
      </c>
      <c r="C600" s="20">
        <v>33708</v>
      </c>
      <c r="D600" t="s">
        <v>5184</v>
      </c>
      <c r="E600" t="s">
        <v>4548</v>
      </c>
      <c r="F600" t="s">
        <v>5185</v>
      </c>
      <c r="G600" t="s">
        <v>5186</v>
      </c>
      <c r="H600" s="21">
        <v>39419.307905092595</v>
      </c>
      <c r="I600" s="22" t="s">
        <v>1684</v>
      </c>
    </row>
    <row r="601" spans="1:9" x14ac:dyDescent="0.3">
      <c r="A601" t="s">
        <v>5187</v>
      </c>
      <c r="B601" t="s">
        <v>5188</v>
      </c>
      <c r="C601" s="20">
        <v>26549</v>
      </c>
      <c r="D601" t="s">
        <v>5189</v>
      </c>
      <c r="E601" t="s">
        <v>5190</v>
      </c>
      <c r="F601" t="s">
        <v>5191</v>
      </c>
      <c r="G601" t="s">
        <v>5192</v>
      </c>
      <c r="H601" s="21">
        <v>40300.540405092594</v>
      </c>
      <c r="I601" s="22" t="s">
        <v>1684</v>
      </c>
    </row>
    <row r="602" spans="1:9" x14ac:dyDescent="0.3">
      <c r="A602" t="s">
        <v>5193</v>
      </c>
      <c r="B602" t="s">
        <v>5194</v>
      </c>
      <c r="C602" s="20">
        <v>32982</v>
      </c>
      <c r="D602" t="s">
        <v>4548</v>
      </c>
      <c r="E602" t="s">
        <v>5195</v>
      </c>
      <c r="F602" t="s">
        <v>5196</v>
      </c>
      <c r="G602" t="s">
        <v>5197</v>
      </c>
      <c r="H602" s="21">
        <v>39297.459386574075</v>
      </c>
      <c r="I602" s="22" t="s">
        <v>1684</v>
      </c>
    </row>
    <row r="603" spans="1:9" x14ac:dyDescent="0.3">
      <c r="A603" t="s">
        <v>5198</v>
      </c>
      <c r="B603" t="s">
        <v>5199</v>
      </c>
      <c r="C603" s="20">
        <v>36421</v>
      </c>
      <c r="D603" t="s">
        <v>5200</v>
      </c>
      <c r="E603" t="s">
        <v>4548</v>
      </c>
      <c r="F603" t="s">
        <v>5201</v>
      </c>
      <c r="G603" t="s">
        <v>5202</v>
      </c>
      <c r="H603" s="21">
        <v>43544.039247685185</v>
      </c>
      <c r="I603" s="22" t="s">
        <v>1684</v>
      </c>
    </row>
    <row r="604" spans="1:9" x14ac:dyDescent="0.3">
      <c r="A604" t="s">
        <v>5203</v>
      </c>
      <c r="B604" t="s">
        <v>5204</v>
      </c>
      <c r="C604" s="20">
        <v>28132</v>
      </c>
      <c r="D604" t="s">
        <v>5205</v>
      </c>
      <c r="E604" t="s">
        <v>5206</v>
      </c>
      <c r="F604" t="s">
        <v>5207</v>
      </c>
      <c r="G604" t="s">
        <v>5208</v>
      </c>
      <c r="H604" s="21">
        <v>39005.619699074072</v>
      </c>
      <c r="I604" s="22" t="s">
        <v>1736</v>
      </c>
    </row>
    <row r="605" spans="1:9" x14ac:dyDescent="0.3">
      <c r="A605" t="s">
        <v>5209</v>
      </c>
      <c r="B605" t="s">
        <v>5210</v>
      </c>
      <c r="C605" s="20">
        <v>32613</v>
      </c>
      <c r="D605" t="s">
        <v>4548</v>
      </c>
      <c r="E605" t="s">
        <v>5211</v>
      </c>
      <c r="F605" t="s">
        <v>5212</v>
      </c>
      <c r="G605" t="s">
        <v>5213</v>
      </c>
      <c r="H605" s="21">
        <v>41847.720856481479</v>
      </c>
      <c r="I605" s="22" t="s">
        <v>1736</v>
      </c>
    </row>
    <row r="606" spans="1:9" x14ac:dyDescent="0.3">
      <c r="A606" t="s">
        <v>5214</v>
      </c>
      <c r="B606" t="s">
        <v>5215</v>
      </c>
      <c r="C606" s="20">
        <v>32984</v>
      </c>
      <c r="D606" t="s">
        <v>5216</v>
      </c>
      <c r="E606" t="s">
        <v>4548</v>
      </c>
      <c r="F606" t="s">
        <v>5217</v>
      </c>
      <c r="G606" t="s">
        <v>5218</v>
      </c>
      <c r="H606" s="21">
        <v>40410.157106481478</v>
      </c>
      <c r="I606" s="22" t="s">
        <v>1691</v>
      </c>
    </row>
    <row r="607" spans="1:9" x14ac:dyDescent="0.3">
      <c r="A607" t="s">
        <v>5219</v>
      </c>
      <c r="B607" t="s">
        <v>5220</v>
      </c>
      <c r="C607" s="20">
        <v>33540</v>
      </c>
      <c r="D607" t="s">
        <v>5221</v>
      </c>
      <c r="E607" t="s">
        <v>5222</v>
      </c>
      <c r="F607" t="s">
        <v>5223</v>
      </c>
      <c r="G607" t="s">
        <v>5224</v>
      </c>
      <c r="H607" s="21">
        <v>42282.564837962964</v>
      </c>
      <c r="I607" s="22" t="s">
        <v>1729</v>
      </c>
    </row>
    <row r="608" spans="1:9" x14ac:dyDescent="0.3">
      <c r="A608" t="s">
        <v>5225</v>
      </c>
      <c r="B608" t="s">
        <v>5226</v>
      </c>
      <c r="C608" s="20">
        <v>29463</v>
      </c>
      <c r="D608" t="s">
        <v>4548</v>
      </c>
      <c r="E608" t="s">
        <v>5227</v>
      </c>
      <c r="F608" t="s">
        <v>5228</v>
      </c>
      <c r="G608" t="s">
        <v>5229</v>
      </c>
      <c r="H608" s="21">
        <v>43915.478761574072</v>
      </c>
      <c r="I608" s="22" t="s">
        <v>1710</v>
      </c>
    </row>
    <row r="609" spans="1:9" x14ac:dyDescent="0.3">
      <c r="A609" t="s">
        <v>5230</v>
      </c>
      <c r="B609" t="s">
        <v>5231</v>
      </c>
      <c r="C609" s="20">
        <v>26946</v>
      </c>
      <c r="D609" t="s">
        <v>5232</v>
      </c>
      <c r="E609" t="s">
        <v>4548</v>
      </c>
      <c r="F609" t="s">
        <v>5233</v>
      </c>
      <c r="G609" t="s">
        <v>5234</v>
      </c>
      <c r="H609" s="21">
        <v>39930.420636574076</v>
      </c>
      <c r="I609" s="22" t="s">
        <v>1736</v>
      </c>
    </row>
    <row r="610" spans="1:9" x14ac:dyDescent="0.3">
      <c r="A610" t="s">
        <v>5235</v>
      </c>
      <c r="B610" t="s">
        <v>5236</v>
      </c>
      <c r="C610" s="20">
        <v>33625</v>
      </c>
      <c r="D610" t="s">
        <v>5237</v>
      </c>
      <c r="E610" t="s">
        <v>5238</v>
      </c>
      <c r="F610" t="s">
        <v>5239</v>
      </c>
      <c r="G610" t="s">
        <v>5240</v>
      </c>
      <c r="H610" s="21">
        <v>43100.147129629629</v>
      </c>
      <c r="I610" s="22" t="s">
        <v>1729</v>
      </c>
    </row>
    <row r="611" spans="1:9" x14ac:dyDescent="0.3">
      <c r="A611" t="s">
        <v>5241</v>
      </c>
      <c r="B611" t="s">
        <v>5242</v>
      </c>
      <c r="C611" s="20">
        <v>29452</v>
      </c>
      <c r="D611" t="s">
        <v>4548</v>
      </c>
      <c r="E611" t="s">
        <v>5243</v>
      </c>
      <c r="F611" t="s">
        <v>5244</v>
      </c>
      <c r="G611" t="s">
        <v>5245</v>
      </c>
      <c r="H611" s="21">
        <v>42833.844722222224</v>
      </c>
      <c r="I611" s="22" t="s">
        <v>1736</v>
      </c>
    </row>
    <row r="612" spans="1:9" x14ac:dyDescent="0.3">
      <c r="A612" t="s">
        <v>5246</v>
      </c>
      <c r="B612" t="s">
        <v>5247</v>
      </c>
      <c r="C612" s="20">
        <v>28579</v>
      </c>
      <c r="D612" t="s">
        <v>5248</v>
      </c>
      <c r="E612" t="s">
        <v>4548</v>
      </c>
      <c r="F612" t="s">
        <v>5249</v>
      </c>
      <c r="G612" t="s">
        <v>5250</v>
      </c>
      <c r="H612" s="21">
        <v>44057.112002314818</v>
      </c>
      <c r="I612" s="22" t="s">
        <v>1710</v>
      </c>
    </row>
    <row r="613" spans="1:9" x14ac:dyDescent="0.3">
      <c r="A613" t="s">
        <v>5251</v>
      </c>
      <c r="B613" t="s">
        <v>5252</v>
      </c>
      <c r="C613" s="20">
        <v>32146</v>
      </c>
      <c r="D613" t="s">
        <v>5253</v>
      </c>
      <c r="E613" t="s">
        <v>5254</v>
      </c>
      <c r="F613" t="s">
        <v>5255</v>
      </c>
      <c r="G613" t="s">
        <v>5256</v>
      </c>
      <c r="H613" s="21">
        <v>38762.82540509259</v>
      </c>
      <c r="I613" s="22" t="s">
        <v>1684</v>
      </c>
    </row>
    <row r="614" spans="1:9" x14ac:dyDescent="0.3">
      <c r="A614" t="s">
        <v>5257</v>
      </c>
      <c r="B614" t="s">
        <v>5258</v>
      </c>
      <c r="C614" s="20">
        <v>27942</v>
      </c>
      <c r="D614" t="s">
        <v>4548</v>
      </c>
      <c r="E614" t="s">
        <v>5259</v>
      </c>
      <c r="F614" t="s">
        <v>5260</v>
      </c>
      <c r="G614" t="s">
        <v>5261</v>
      </c>
      <c r="H614" s="21">
        <v>42441.580312500002</v>
      </c>
      <c r="I614" s="22" t="s">
        <v>1684</v>
      </c>
    </row>
    <row r="615" spans="1:9" x14ac:dyDescent="0.3">
      <c r="A615" t="s">
        <v>5262</v>
      </c>
      <c r="B615" t="s">
        <v>5263</v>
      </c>
      <c r="C615" s="20">
        <v>29382</v>
      </c>
      <c r="D615" t="s">
        <v>5264</v>
      </c>
      <c r="E615" t="s">
        <v>4548</v>
      </c>
      <c r="F615" t="s">
        <v>5265</v>
      </c>
      <c r="G615" t="s">
        <v>5266</v>
      </c>
      <c r="H615" s="21">
        <v>39303.910671296297</v>
      </c>
      <c r="I615" s="22" t="s">
        <v>1684</v>
      </c>
    </row>
    <row r="616" spans="1:9" x14ac:dyDescent="0.3">
      <c r="A616" t="s">
        <v>5267</v>
      </c>
      <c r="B616" t="s">
        <v>5268</v>
      </c>
      <c r="C616" s="20">
        <v>27932</v>
      </c>
      <c r="D616" t="s">
        <v>5269</v>
      </c>
      <c r="E616" t="s">
        <v>5270</v>
      </c>
      <c r="F616" t="s">
        <v>5271</v>
      </c>
      <c r="G616" t="s">
        <v>5272</v>
      </c>
      <c r="H616" s="21">
        <v>39783.514270833337</v>
      </c>
      <c r="I616" s="22" t="s">
        <v>1736</v>
      </c>
    </row>
    <row r="617" spans="1:9" x14ac:dyDescent="0.3">
      <c r="A617" t="s">
        <v>5273</v>
      </c>
      <c r="B617" t="s">
        <v>5274</v>
      </c>
      <c r="C617" s="20">
        <v>36126</v>
      </c>
      <c r="D617" t="s">
        <v>4548</v>
      </c>
      <c r="E617" t="s">
        <v>5275</v>
      </c>
      <c r="F617" t="s">
        <v>5276</v>
      </c>
      <c r="G617" t="s">
        <v>5277</v>
      </c>
      <c r="H617" s="21">
        <v>43819.191817129627</v>
      </c>
      <c r="I617" s="22" t="s">
        <v>1736</v>
      </c>
    </row>
    <row r="618" spans="1:9" x14ac:dyDescent="0.3">
      <c r="A618" t="s">
        <v>5278</v>
      </c>
      <c r="B618" t="s">
        <v>5279</v>
      </c>
      <c r="C618" s="20">
        <v>34636</v>
      </c>
      <c r="D618" t="s">
        <v>5280</v>
      </c>
      <c r="E618" t="s">
        <v>4548</v>
      </c>
      <c r="F618" t="s">
        <v>5281</v>
      </c>
      <c r="G618" t="s">
        <v>4597</v>
      </c>
      <c r="H618" s="21">
        <v>42281.165081018517</v>
      </c>
      <c r="I618" s="22" t="s">
        <v>1710</v>
      </c>
    </row>
    <row r="619" spans="1:9" x14ac:dyDescent="0.3">
      <c r="A619" t="s">
        <v>5282</v>
      </c>
      <c r="B619" t="s">
        <v>5283</v>
      </c>
      <c r="C619" s="20">
        <v>31716</v>
      </c>
      <c r="D619" t="s">
        <v>5284</v>
      </c>
      <c r="E619" t="s">
        <v>5285</v>
      </c>
      <c r="F619" t="s">
        <v>5286</v>
      </c>
      <c r="G619" t="s">
        <v>5287</v>
      </c>
      <c r="H619" s="21">
        <v>42025.406134259261</v>
      </c>
      <c r="I619" s="22" t="s">
        <v>1729</v>
      </c>
    </row>
    <row r="620" spans="1:9" x14ac:dyDescent="0.3">
      <c r="A620" t="s">
        <v>5288</v>
      </c>
      <c r="B620" t="s">
        <v>5289</v>
      </c>
      <c r="C620" s="20">
        <v>25911</v>
      </c>
      <c r="D620" t="s">
        <v>4548</v>
      </c>
      <c r="E620" t="s">
        <v>5290</v>
      </c>
      <c r="F620" t="s">
        <v>5291</v>
      </c>
      <c r="G620" t="s">
        <v>5292</v>
      </c>
      <c r="H620" s="21">
        <v>43699.444224537037</v>
      </c>
      <c r="I620" s="22" t="s">
        <v>1729</v>
      </c>
    </row>
    <row r="621" spans="1:9" x14ac:dyDescent="0.3">
      <c r="A621" t="s">
        <v>5293</v>
      </c>
      <c r="B621" t="s">
        <v>5294</v>
      </c>
      <c r="C621" s="20">
        <v>26991</v>
      </c>
      <c r="D621" t="s">
        <v>5295</v>
      </c>
      <c r="E621" t="s">
        <v>4548</v>
      </c>
      <c r="F621" t="s">
        <v>5296</v>
      </c>
      <c r="G621" t="s">
        <v>5297</v>
      </c>
      <c r="H621" s="21">
        <v>43576.3903125</v>
      </c>
      <c r="I621" s="22" t="s">
        <v>1736</v>
      </c>
    </row>
    <row r="622" spans="1:9" x14ac:dyDescent="0.3">
      <c r="A622" t="s">
        <v>5298</v>
      </c>
      <c r="B622" t="s">
        <v>5299</v>
      </c>
      <c r="C622" s="20">
        <v>30777</v>
      </c>
      <c r="D622" t="s">
        <v>5300</v>
      </c>
      <c r="E622" t="s">
        <v>5301</v>
      </c>
      <c r="F622" t="s">
        <v>5302</v>
      </c>
      <c r="G622" t="s">
        <v>5303</v>
      </c>
      <c r="H622" s="21">
        <v>39272.199814814812</v>
      </c>
      <c r="I622" s="22" t="s">
        <v>1691</v>
      </c>
    </row>
    <row r="623" spans="1:9" x14ac:dyDescent="0.3">
      <c r="A623" t="s">
        <v>5304</v>
      </c>
      <c r="B623" t="s">
        <v>5305</v>
      </c>
      <c r="C623" s="20">
        <v>32771</v>
      </c>
      <c r="D623" t="s">
        <v>4548</v>
      </c>
      <c r="E623" t="s">
        <v>5306</v>
      </c>
      <c r="F623" t="s">
        <v>5307</v>
      </c>
      <c r="G623" t="s">
        <v>5308</v>
      </c>
      <c r="H623" s="21">
        <v>41301.514432870368</v>
      </c>
      <c r="I623" s="22" t="s">
        <v>1736</v>
      </c>
    </row>
    <row r="624" spans="1:9" x14ac:dyDescent="0.3">
      <c r="A624" t="s">
        <v>5309</v>
      </c>
      <c r="B624" t="s">
        <v>5310</v>
      </c>
      <c r="C624" s="20">
        <v>35951</v>
      </c>
      <c r="D624" t="s">
        <v>5311</v>
      </c>
      <c r="E624" t="s">
        <v>4548</v>
      </c>
      <c r="F624" t="s">
        <v>5312</v>
      </c>
      <c r="G624" t="s">
        <v>5313</v>
      </c>
      <c r="H624" s="21">
        <v>38484.89880787037</v>
      </c>
      <c r="I624" s="22" t="s">
        <v>1736</v>
      </c>
    </row>
    <row r="625" spans="1:9" x14ac:dyDescent="0.3">
      <c r="A625" t="s">
        <v>5314</v>
      </c>
      <c r="B625" t="s">
        <v>5315</v>
      </c>
      <c r="C625" s="20">
        <v>32481</v>
      </c>
      <c r="D625" t="s">
        <v>5316</v>
      </c>
      <c r="E625" t="s">
        <v>5317</v>
      </c>
      <c r="F625" t="s">
        <v>5318</v>
      </c>
      <c r="G625" t="s">
        <v>5319</v>
      </c>
      <c r="H625" s="21">
        <v>40331.474629629629</v>
      </c>
      <c r="I625" s="22" t="s">
        <v>1691</v>
      </c>
    </row>
    <row r="626" spans="1:9" x14ac:dyDescent="0.3">
      <c r="A626" t="s">
        <v>5320</v>
      </c>
      <c r="B626" t="s">
        <v>5321</v>
      </c>
      <c r="C626" s="20">
        <v>32994</v>
      </c>
      <c r="D626" t="s">
        <v>4548</v>
      </c>
      <c r="E626" t="s">
        <v>5322</v>
      </c>
      <c r="F626" t="s">
        <v>5323</v>
      </c>
      <c r="G626" t="s">
        <v>5324</v>
      </c>
      <c r="H626" s="21">
        <v>40282.743206018517</v>
      </c>
      <c r="I626" s="22" t="s">
        <v>1691</v>
      </c>
    </row>
    <row r="627" spans="1:9" x14ac:dyDescent="0.3">
      <c r="A627" t="s">
        <v>5325</v>
      </c>
      <c r="B627" t="s">
        <v>5326</v>
      </c>
      <c r="C627" s="20">
        <v>35046</v>
      </c>
      <c r="D627" t="s">
        <v>5327</v>
      </c>
      <c r="E627" t="s">
        <v>4548</v>
      </c>
      <c r="F627" t="s">
        <v>5328</v>
      </c>
      <c r="G627" t="s">
        <v>5329</v>
      </c>
      <c r="H627" s="21">
        <v>38793.933993055558</v>
      </c>
      <c r="I627" s="22" t="s">
        <v>1691</v>
      </c>
    </row>
    <row r="628" spans="1:9" x14ac:dyDescent="0.3">
      <c r="A628" t="s">
        <v>5330</v>
      </c>
      <c r="B628" t="s">
        <v>5331</v>
      </c>
      <c r="C628" s="20">
        <v>31960</v>
      </c>
      <c r="D628" t="s">
        <v>5332</v>
      </c>
      <c r="E628" t="s">
        <v>5333</v>
      </c>
      <c r="F628" t="s">
        <v>5334</v>
      </c>
      <c r="G628" t="s">
        <v>5335</v>
      </c>
      <c r="H628" s="21">
        <v>43873.834687499999</v>
      </c>
      <c r="I628" s="22" t="s">
        <v>1684</v>
      </c>
    </row>
    <row r="629" spans="1:9" x14ac:dyDescent="0.3">
      <c r="A629" t="s">
        <v>5336</v>
      </c>
      <c r="B629" t="s">
        <v>5337</v>
      </c>
      <c r="C629" s="20">
        <v>28848</v>
      </c>
      <c r="D629" t="s">
        <v>4548</v>
      </c>
      <c r="E629" t="s">
        <v>5338</v>
      </c>
      <c r="F629" t="s">
        <v>5339</v>
      </c>
      <c r="G629" t="s">
        <v>5340</v>
      </c>
      <c r="H629" s="21">
        <v>41267.297025462962</v>
      </c>
      <c r="I629" s="22" t="s">
        <v>1710</v>
      </c>
    </row>
    <row r="630" spans="1:9" x14ac:dyDescent="0.3">
      <c r="A630" t="s">
        <v>5341</v>
      </c>
      <c r="B630" t="s">
        <v>5342</v>
      </c>
      <c r="C630" s="20">
        <v>36321</v>
      </c>
      <c r="D630" t="s">
        <v>5343</v>
      </c>
      <c r="E630" t="s">
        <v>4548</v>
      </c>
      <c r="F630" t="s">
        <v>5344</v>
      </c>
      <c r="G630" t="s">
        <v>5345</v>
      </c>
      <c r="H630" s="21">
        <v>38608.433263888888</v>
      </c>
      <c r="I630" s="22" t="s">
        <v>1691</v>
      </c>
    </row>
    <row r="631" spans="1:9" x14ac:dyDescent="0.3">
      <c r="A631" t="s">
        <v>5346</v>
      </c>
      <c r="B631" t="s">
        <v>5347</v>
      </c>
      <c r="C631" s="20">
        <v>26871</v>
      </c>
      <c r="D631" t="s">
        <v>5348</v>
      </c>
      <c r="E631" t="s">
        <v>5349</v>
      </c>
      <c r="F631" t="s">
        <v>5350</v>
      </c>
      <c r="G631" t="s">
        <v>5351</v>
      </c>
      <c r="H631" s="21">
        <v>42084.867407407408</v>
      </c>
      <c r="I631" s="22" t="s">
        <v>1736</v>
      </c>
    </row>
    <row r="632" spans="1:9" x14ac:dyDescent="0.3">
      <c r="A632" t="s">
        <v>5352</v>
      </c>
      <c r="B632" t="s">
        <v>5353</v>
      </c>
      <c r="C632" s="20">
        <v>34211</v>
      </c>
      <c r="D632" t="s">
        <v>4548</v>
      </c>
      <c r="E632" t="s">
        <v>5354</v>
      </c>
      <c r="F632" t="s">
        <v>5355</v>
      </c>
      <c r="G632" t="s">
        <v>5356</v>
      </c>
      <c r="H632" s="21">
        <v>39611.921064814815</v>
      </c>
      <c r="I632" s="22" t="s">
        <v>1710</v>
      </c>
    </row>
    <row r="633" spans="1:9" x14ac:dyDescent="0.3">
      <c r="A633" t="s">
        <v>5357</v>
      </c>
      <c r="B633" t="s">
        <v>5358</v>
      </c>
      <c r="C633" s="20">
        <v>25910</v>
      </c>
      <c r="D633" t="s">
        <v>5359</v>
      </c>
      <c r="E633" t="s">
        <v>4548</v>
      </c>
      <c r="F633" t="s">
        <v>5360</v>
      </c>
      <c r="G633" t="s">
        <v>5361</v>
      </c>
      <c r="H633" s="21">
        <v>44109.427407407406</v>
      </c>
      <c r="I633" s="22" t="s">
        <v>1684</v>
      </c>
    </row>
    <row r="634" spans="1:9" x14ac:dyDescent="0.3">
      <c r="A634" t="s">
        <v>5362</v>
      </c>
      <c r="B634" t="s">
        <v>5363</v>
      </c>
      <c r="C634" s="20">
        <v>32362</v>
      </c>
      <c r="D634" t="s">
        <v>5364</v>
      </c>
      <c r="E634" t="s">
        <v>5365</v>
      </c>
      <c r="F634" t="s">
        <v>5366</v>
      </c>
      <c r="G634" t="s">
        <v>5367</v>
      </c>
      <c r="H634" s="21">
        <v>40541.297777777778</v>
      </c>
      <c r="I634" s="22" t="s">
        <v>1729</v>
      </c>
    </row>
    <row r="635" spans="1:9" x14ac:dyDescent="0.3">
      <c r="A635" t="s">
        <v>5368</v>
      </c>
      <c r="B635" t="s">
        <v>5369</v>
      </c>
      <c r="C635" s="20">
        <v>27133</v>
      </c>
      <c r="D635" t="s">
        <v>4548</v>
      </c>
      <c r="E635" t="s">
        <v>5370</v>
      </c>
      <c r="F635" t="s">
        <v>5371</v>
      </c>
      <c r="G635" t="s">
        <v>5372</v>
      </c>
      <c r="H635" s="21">
        <v>40371.741863425923</v>
      </c>
      <c r="I635" s="22" t="s">
        <v>1710</v>
      </c>
    </row>
    <row r="636" spans="1:9" x14ac:dyDescent="0.3">
      <c r="A636" t="s">
        <v>5373</v>
      </c>
      <c r="B636" t="s">
        <v>5374</v>
      </c>
      <c r="C636" s="20">
        <v>26375</v>
      </c>
      <c r="D636" t="s">
        <v>5375</v>
      </c>
      <c r="E636" t="s">
        <v>4548</v>
      </c>
      <c r="F636" t="s">
        <v>5376</v>
      </c>
      <c r="G636" t="s">
        <v>5377</v>
      </c>
      <c r="H636" s="21">
        <v>40949.313657407409</v>
      </c>
      <c r="I636" s="22" t="s">
        <v>1710</v>
      </c>
    </row>
    <row r="637" spans="1:9" x14ac:dyDescent="0.3">
      <c r="A637" t="s">
        <v>5378</v>
      </c>
      <c r="B637" t="s">
        <v>5379</v>
      </c>
      <c r="C637" s="20">
        <v>36089</v>
      </c>
      <c r="D637" t="s">
        <v>5380</v>
      </c>
      <c r="E637" t="s">
        <v>5381</v>
      </c>
      <c r="F637" t="s">
        <v>5382</v>
      </c>
      <c r="G637" t="s">
        <v>5383</v>
      </c>
      <c r="H637" s="21">
        <v>39971.835775462961</v>
      </c>
      <c r="I637" s="22" t="s">
        <v>1684</v>
      </c>
    </row>
    <row r="638" spans="1:9" x14ac:dyDescent="0.3">
      <c r="A638" t="s">
        <v>5384</v>
      </c>
      <c r="B638" t="s">
        <v>5385</v>
      </c>
      <c r="C638" s="20">
        <v>30919</v>
      </c>
      <c r="D638" t="s">
        <v>4548</v>
      </c>
      <c r="E638" t="s">
        <v>5386</v>
      </c>
      <c r="F638" t="s">
        <v>5387</v>
      </c>
      <c r="G638" t="s">
        <v>5388</v>
      </c>
      <c r="H638" s="21">
        <v>39148.3672337963</v>
      </c>
      <c r="I638" s="22" t="s">
        <v>1736</v>
      </c>
    </row>
    <row r="639" spans="1:9" x14ac:dyDescent="0.3">
      <c r="A639" t="s">
        <v>5389</v>
      </c>
      <c r="B639" t="s">
        <v>5390</v>
      </c>
      <c r="C639" s="20">
        <v>27042</v>
      </c>
      <c r="D639" t="s">
        <v>5391</v>
      </c>
      <c r="E639" t="s">
        <v>4548</v>
      </c>
      <c r="F639" t="s">
        <v>5392</v>
      </c>
      <c r="G639" t="s">
        <v>5393</v>
      </c>
      <c r="H639" s="21">
        <v>38580.681030092594</v>
      </c>
      <c r="I639" s="22" t="s">
        <v>1729</v>
      </c>
    </row>
    <row r="640" spans="1:9" x14ac:dyDescent="0.3">
      <c r="A640" t="s">
        <v>5394</v>
      </c>
      <c r="B640" t="s">
        <v>5395</v>
      </c>
      <c r="C640" s="20">
        <v>29189</v>
      </c>
      <c r="D640" t="s">
        <v>5396</v>
      </c>
      <c r="E640" t="s">
        <v>5397</v>
      </c>
      <c r="F640" t="s">
        <v>5398</v>
      </c>
      <c r="G640" t="s">
        <v>5399</v>
      </c>
      <c r="H640" s="21">
        <v>42292.856076388889</v>
      </c>
      <c r="I640" s="22" t="s">
        <v>1729</v>
      </c>
    </row>
    <row r="641" spans="1:9" x14ac:dyDescent="0.3">
      <c r="A641" t="s">
        <v>5400</v>
      </c>
      <c r="B641" t="s">
        <v>5401</v>
      </c>
      <c r="C641" s="20">
        <v>26655</v>
      </c>
      <c r="D641" t="s">
        <v>4548</v>
      </c>
      <c r="E641" t="s">
        <v>5402</v>
      </c>
      <c r="F641" t="s">
        <v>5403</v>
      </c>
      <c r="G641" t="s">
        <v>5404</v>
      </c>
      <c r="H641" s="21">
        <v>40950.153113425928</v>
      </c>
      <c r="I641" s="22" t="s">
        <v>1691</v>
      </c>
    </row>
    <row r="642" spans="1:9" x14ac:dyDescent="0.3">
      <c r="A642" t="s">
        <v>5405</v>
      </c>
      <c r="B642" t="s">
        <v>5406</v>
      </c>
      <c r="C642" s="20">
        <v>30018</v>
      </c>
      <c r="D642" t="s">
        <v>5407</v>
      </c>
      <c r="E642" t="s">
        <v>4548</v>
      </c>
      <c r="F642" t="s">
        <v>5408</v>
      </c>
      <c r="G642" t="s">
        <v>5409</v>
      </c>
      <c r="H642" s="21">
        <v>42667.532164351855</v>
      </c>
      <c r="I642" s="22" t="s">
        <v>1710</v>
      </c>
    </row>
    <row r="643" spans="1:9" x14ac:dyDescent="0.3">
      <c r="A643" t="s">
        <v>5410</v>
      </c>
      <c r="B643" t="s">
        <v>5411</v>
      </c>
      <c r="C643" s="20">
        <v>27565</v>
      </c>
      <c r="D643" t="s">
        <v>5412</v>
      </c>
      <c r="E643" t="s">
        <v>5413</v>
      </c>
      <c r="F643" t="s">
        <v>5414</v>
      </c>
      <c r="G643" t="s">
        <v>5415</v>
      </c>
      <c r="H643" s="21">
        <v>41820.206863425927</v>
      </c>
      <c r="I643" s="22" t="s">
        <v>1729</v>
      </c>
    </row>
    <row r="644" spans="1:9" x14ac:dyDescent="0.3">
      <c r="A644" t="s">
        <v>5416</v>
      </c>
      <c r="B644" t="s">
        <v>5417</v>
      </c>
      <c r="C644" s="20">
        <v>34949</v>
      </c>
      <c r="D644" t="s">
        <v>4548</v>
      </c>
      <c r="E644" t="s">
        <v>5418</v>
      </c>
      <c r="F644" t="s">
        <v>5419</v>
      </c>
      <c r="G644" t="s">
        <v>5420</v>
      </c>
      <c r="H644" s="21">
        <v>40088.984074074076</v>
      </c>
      <c r="I644" s="22" t="s">
        <v>1684</v>
      </c>
    </row>
    <row r="645" spans="1:9" x14ac:dyDescent="0.3">
      <c r="A645" t="s">
        <v>5421</v>
      </c>
      <c r="B645" t="s">
        <v>5422</v>
      </c>
      <c r="C645" s="20">
        <v>29323</v>
      </c>
      <c r="D645" t="s">
        <v>5423</v>
      </c>
      <c r="E645" t="s">
        <v>4548</v>
      </c>
      <c r="F645" t="s">
        <v>5424</v>
      </c>
      <c r="G645" t="s">
        <v>5425</v>
      </c>
      <c r="H645" s="21">
        <v>43859.27648148148</v>
      </c>
      <c r="I645" s="22" t="s">
        <v>1710</v>
      </c>
    </row>
    <row r="646" spans="1:9" x14ac:dyDescent="0.3">
      <c r="A646" t="s">
        <v>5426</v>
      </c>
      <c r="B646" t="s">
        <v>5427</v>
      </c>
      <c r="C646" s="20">
        <v>34897</v>
      </c>
      <c r="D646" t="s">
        <v>5428</v>
      </c>
      <c r="E646" t="s">
        <v>5429</v>
      </c>
      <c r="F646" t="s">
        <v>5430</v>
      </c>
      <c r="G646" t="s">
        <v>5431</v>
      </c>
      <c r="H646" s="21">
        <v>40568.162060185183</v>
      </c>
      <c r="I646" s="22" t="s">
        <v>1736</v>
      </c>
    </row>
    <row r="647" spans="1:9" x14ac:dyDescent="0.3">
      <c r="A647" t="s">
        <v>5432</v>
      </c>
      <c r="B647" t="s">
        <v>5433</v>
      </c>
      <c r="C647" s="20">
        <v>35028</v>
      </c>
      <c r="D647" t="s">
        <v>4548</v>
      </c>
      <c r="E647" t="s">
        <v>5434</v>
      </c>
      <c r="F647" t="s">
        <v>5435</v>
      </c>
      <c r="G647" t="s">
        <v>5436</v>
      </c>
      <c r="H647" s="21">
        <v>39175.154247685183</v>
      </c>
      <c r="I647" s="22" t="s">
        <v>1691</v>
      </c>
    </row>
    <row r="648" spans="1:9" x14ac:dyDescent="0.3">
      <c r="A648" t="s">
        <v>5437</v>
      </c>
      <c r="B648" t="s">
        <v>5438</v>
      </c>
      <c r="C648" s="20">
        <v>31902</v>
      </c>
      <c r="D648" t="s">
        <v>5439</v>
      </c>
      <c r="E648" t="s">
        <v>4548</v>
      </c>
      <c r="F648" t="s">
        <v>5440</v>
      </c>
      <c r="G648" t="s">
        <v>5441</v>
      </c>
      <c r="H648" s="21">
        <v>41064.895115740743</v>
      </c>
      <c r="I648" s="22" t="s">
        <v>1729</v>
      </c>
    </row>
    <row r="649" spans="1:9" x14ac:dyDescent="0.3">
      <c r="A649" t="s">
        <v>5442</v>
      </c>
      <c r="B649" t="s">
        <v>5443</v>
      </c>
      <c r="C649" s="20">
        <v>29310</v>
      </c>
      <c r="D649" t="s">
        <v>5444</v>
      </c>
      <c r="E649" t="s">
        <v>5445</v>
      </c>
      <c r="F649" t="s">
        <v>5446</v>
      </c>
      <c r="G649" t="s">
        <v>5447</v>
      </c>
      <c r="H649" s="21">
        <v>40562.144999999997</v>
      </c>
      <c r="I649" s="22" t="s">
        <v>1691</v>
      </c>
    </row>
    <row r="650" spans="1:9" x14ac:dyDescent="0.3">
      <c r="A650" t="s">
        <v>5448</v>
      </c>
      <c r="B650" t="s">
        <v>5449</v>
      </c>
      <c r="C650" s="20">
        <v>35549</v>
      </c>
      <c r="D650" t="s">
        <v>4548</v>
      </c>
      <c r="E650" t="s">
        <v>5450</v>
      </c>
      <c r="F650" t="s">
        <v>5451</v>
      </c>
      <c r="G650" t="s">
        <v>5452</v>
      </c>
      <c r="H650" s="21">
        <v>40124.719780092593</v>
      </c>
      <c r="I650" s="22" t="s">
        <v>1684</v>
      </c>
    </row>
    <row r="651" spans="1:9" x14ac:dyDescent="0.3">
      <c r="A651" t="s">
        <v>5453</v>
      </c>
      <c r="B651" t="s">
        <v>5454</v>
      </c>
      <c r="C651" s="20">
        <v>30538</v>
      </c>
      <c r="D651" t="s">
        <v>5455</v>
      </c>
      <c r="E651" t="s">
        <v>4548</v>
      </c>
      <c r="F651" t="s">
        <v>5456</v>
      </c>
      <c r="G651" t="s">
        <v>5457</v>
      </c>
      <c r="H651" s="21">
        <v>39571.325219907405</v>
      </c>
      <c r="I651" s="22" t="s">
        <v>1729</v>
      </c>
    </row>
    <row r="652" spans="1:9" x14ac:dyDescent="0.3">
      <c r="A652" t="s">
        <v>5458</v>
      </c>
      <c r="B652" t="s">
        <v>5459</v>
      </c>
      <c r="C652" s="20">
        <v>31407</v>
      </c>
      <c r="D652" t="s">
        <v>5460</v>
      </c>
      <c r="E652" t="s">
        <v>5461</v>
      </c>
      <c r="F652" t="s">
        <v>5462</v>
      </c>
      <c r="G652" t="s">
        <v>5463</v>
      </c>
      <c r="H652" s="21">
        <v>42883.115763888891</v>
      </c>
      <c r="I652" s="22" t="s">
        <v>1684</v>
      </c>
    </row>
    <row r="653" spans="1:9" x14ac:dyDescent="0.3">
      <c r="A653" t="s">
        <v>5464</v>
      </c>
      <c r="B653" t="s">
        <v>5465</v>
      </c>
      <c r="C653" s="20">
        <v>27479</v>
      </c>
      <c r="D653" t="s">
        <v>4548</v>
      </c>
      <c r="E653" t="s">
        <v>5466</v>
      </c>
      <c r="F653" t="s">
        <v>5467</v>
      </c>
      <c r="G653" t="s">
        <v>5468</v>
      </c>
      <c r="H653" s="21">
        <v>43853.830312500002</v>
      </c>
      <c r="I653" s="22" t="s">
        <v>1736</v>
      </c>
    </row>
    <row r="654" spans="1:9" x14ac:dyDescent="0.3">
      <c r="A654" t="s">
        <v>5469</v>
      </c>
      <c r="B654" t="s">
        <v>5470</v>
      </c>
      <c r="C654" s="20">
        <v>33164</v>
      </c>
      <c r="D654" t="s">
        <v>5471</v>
      </c>
      <c r="E654" t="s">
        <v>4548</v>
      </c>
      <c r="F654" t="s">
        <v>5472</v>
      </c>
      <c r="G654" t="s">
        <v>5473</v>
      </c>
      <c r="H654" s="21">
        <v>42909.227939814817</v>
      </c>
      <c r="I654" s="22" t="s">
        <v>1736</v>
      </c>
    </row>
    <row r="655" spans="1:9" x14ac:dyDescent="0.3">
      <c r="A655" t="s">
        <v>5474</v>
      </c>
      <c r="B655" t="s">
        <v>5475</v>
      </c>
      <c r="C655" s="20">
        <v>32173</v>
      </c>
      <c r="D655" t="s">
        <v>5476</v>
      </c>
      <c r="E655" t="s">
        <v>5477</v>
      </c>
      <c r="F655" t="s">
        <v>5478</v>
      </c>
      <c r="G655" t="s">
        <v>5479</v>
      </c>
      <c r="H655" s="21">
        <v>42309.898298611108</v>
      </c>
      <c r="I655" s="22" t="s">
        <v>1684</v>
      </c>
    </row>
    <row r="656" spans="1:9" x14ac:dyDescent="0.3">
      <c r="A656" t="s">
        <v>5480</v>
      </c>
      <c r="B656" t="s">
        <v>5481</v>
      </c>
      <c r="C656" s="20">
        <v>34092</v>
      </c>
      <c r="D656" t="s">
        <v>4548</v>
      </c>
      <c r="E656" t="s">
        <v>5482</v>
      </c>
      <c r="F656" t="s">
        <v>5483</v>
      </c>
      <c r="G656" t="s">
        <v>5484</v>
      </c>
      <c r="H656" s="21">
        <v>40312.931458333333</v>
      </c>
      <c r="I656" s="22" t="s">
        <v>1736</v>
      </c>
    </row>
    <row r="657" spans="1:9" x14ac:dyDescent="0.3">
      <c r="A657" t="s">
        <v>5485</v>
      </c>
      <c r="B657" t="s">
        <v>5486</v>
      </c>
      <c r="C657" s="20">
        <v>34113</v>
      </c>
      <c r="D657" t="s">
        <v>5487</v>
      </c>
      <c r="E657" t="s">
        <v>4548</v>
      </c>
      <c r="F657" t="s">
        <v>5488</v>
      </c>
      <c r="G657" t="s">
        <v>5489</v>
      </c>
      <c r="H657" s="21">
        <v>39299.021851851852</v>
      </c>
      <c r="I657" s="22" t="s">
        <v>1729</v>
      </c>
    </row>
    <row r="658" spans="1:9" x14ac:dyDescent="0.3">
      <c r="A658" t="s">
        <v>5490</v>
      </c>
      <c r="B658" t="s">
        <v>5491</v>
      </c>
      <c r="C658" s="20">
        <v>29859</v>
      </c>
      <c r="D658" t="s">
        <v>5492</v>
      </c>
      <c r="E658" t="s">
        <v>5493</v>
      </c>
      <c r="F658" t="s">
        <v>5494</v>
      </c>
      <c r="G658" t="s">
        <v>5495</v>
      </c>
      <c r="H658" s="21">
        <v>41218.821956018517</v>
      </c>
      <c r="I658" s="22" t="s">
        <v>1736</v>
      </c>
    </row>
    <row r="659" spans="1:9" x14ac:dyDescent="0.3">
      <c r="A659" t="s">
        <v>5496</v>
      </c>
      <c r="B659" t="s">
        <v>5497</v>
      </c>
      <c r="C659" s="20">
        <v>31871</v>
      </c>
      <c r="D659" t="s">
        <v>4548</v>
      </c>
      <c r="E659" t="s">
        <v>5498</v>
      </c>
      <c r="F659" t="s">
        <v>5499</v>
      </c>
      <c r="G659" t="s">
        <v>2450</v>
      </c>
      <c r="H659" s="21">
        <v>38844.930509259262</v>
      </c>
      <c r="I659" s="22" t="s">
        <v>1710</v>
      </c>
    </row>
    <row r="660" spans="1:9" x14ac:dyDescent="0.3">
      <c r="A660" t="s">
        <v>5500</v>
      </c>
      <c r="B660" t="s">
        <v>5501</v>
      </c>
      <c r="C660" s="20">
        <v>30891</v>
      </c>
      <c r="D660" t="s">
        <v>5502</v>
      </c>
      <c r="E660" t="s">
        <v>4548</v>
      </c>
      <c r="F660" t="s">
        <v>5503</v>
      </c>
      <c r="G660" t="s">
        <v>5504</v>
      </c>
      <c r="H660" s="21">
        <v>39060.987662037034</v>
      </c>
      <c r="I660" s="22" t="s">
        <v>1710</v>
      </c>
    </row>
    <row r="661" spans="1:9" x14ac:dyDescent="0.3">
      <c r="A661" t="s">
        <v>5505</v>
      </c>
      <c r="B661" t="s">
        <v>5506</v>
      </c>
      <c r="C661" s="20">
        <v>35128</v>
      </c>
      <c r="D661" t="s">
        <v>5507</v>
      </c>
      <c r="E661" t="s">
        <v>5508</v>
      </c>
      <c r="F661" t="s">
        <v>5509</v>
      </c>
      <c r="G661" t="s">
        <v>5510</v>
      </c>
      <c r="H661" s="21">
        <v>41082.216921296298</v>
      </c>
      <c r="I661" s="22" t="s">
        <v>1691</v>
      </c>
    </row>
    <row r="662" spans="1:9" x14ac:dyDescent="0.3">
      <c r="A662" t="s">
        <v>5511</v>
      </c>
      <c r="B662" t="s">
        <v>5512</v>
      </c>
      <c r="C662" s="20">
        <v>30865</v>
      </c>
      <c r="D662" t="s">
        <v>4548</v>
      </c>
      <c r="E662" t="s">
        <v>5513</v>
      </c>
      <c r="F662" t="s">
        <v>5514</v>
      </c>
      <c r="G662" t="s">
        <v>5515</v>
      </c>
      <c r="H662" s="21">
        <v>42168.551574074074</v>
      </c>
      <c r="I662" s="22" t="s">
        <v>1710</v>
      </c>
    </row>
    <row r="663" spans="1:9" x14ac:dyDescent="0.3">
      <c r="A663" t="s">
        <v>5516</v>
      </c>
      <c r="B663" t="s">
        <v>5517</v>
      </c>
      <c r="C663" s="20">
        <v>30104</v>
      </c>
      <c r="D663" t="s">
        <v>5518</v>
      </c>
      <c r="E663" t="s">
        <v>4548</v>
      </c>
      <c r="F663" t="s">
        <v>5519</v>
      </c>
      <c r="G663" t="s">
        <v>5520</v>
      </c>
      <c r="H663" s="21">
        <v>39016.264456018522</v>
      </c>
      <c r="I663" s="22" t="s">
        <v>1684</v>
      </c>
    </row>
    <row r="664" spans="1:9" x14ac:dyDescent="0.3">
      <c r="A664" t="s">
        <v>5521</v>
      </c>
      <c r="B664" t="s">
        <v>5522</v>
      </c>
      <c r="C664" s="20">
        <v>33797</v>
      </c>
      <c r="D664" t="s">
        <v>5523</v>
      </c>
      <c r="E664" t="s">
        <v>5524</v>
      </c>
      <c r="F664" t="s">
        <v>5525</v>
      </c>
      <c r="G664" t="s">
        <v>5526</v>
      </c>
      <c r="H664" s="21">
        <v>41548.126180555555</v>
      </c>
      <c r="I664" s="22" t="s">
        <v>1691</v>
      </c>
    </row>
    <row r="665" spans="1:9" x14ac:dyDescent="0.3">
      <c r="A665" t="s">
        <v>5527</v>
      </c>
      <c r="B665" t="s">
        <v>5528</v>
      </c>
      <c r="C665" s="20">
        <v>26731</v>
      </c>
      <c r="D665" t="s">
        <v>4548</v>
      </c>
      <c r="E665" t="s">
        <v>5529</v>
      </c>
      <c r="F665" t="s">
        <v>5530</v>
      </c>
      <c r="G665" t="s">
        <v>5531</v>
      </c>
      <c r="H665" s="21">
        <v>44269.968958333331</v>
      </c>
      <c r="I665" s="22" t="s">
        <v>1736</v>
      </c>
    </row>
    <row r="666" spans="1:9" x14ac:dyDescent="0.3">
      <c r="A666" t="s">
        <v>5532</v>
      </c>
      <c r="B666" t="s">
        <v>5533</v>
      </c>
      <c r="C666" s="20">
        <v>34041</v>
      </c>
      <c r="D666" t="s">
        <v>5534</v>
      </c>
      <c r="E666" t="s">
        <v>4548</v>
      </c>
      <c r="F666" t="s">
        <v>5535</v>
      </c>
      <c r="G666" t="s">
        <v>5536</v>
      </c>
      <c r="H666" s="21">
        <v>42301.663356481484</v>
      </c>
      <c r="I666" s="22" t="s">
        <v>1691</v>
      </c>
    </row>
    <row r="667" spans="1:9" x14ac:dyDescent="0.3">
      <c r="A667" t="s">
        <v>5537</v>
      </c>
      <c r="B667" t="s">
        <v>5538</v>
      </c>
      <c r="C667" s="20">
        <v>28248</v>
      </c>
      <c r="D667" t="s">
        <v>5539</v>
      </c>
      <c r="E667" t="s">
        <v>5540</v>
      </c>
      <c r="F667" t="s">
        <v>5541</v>
      </c>
      <c r="G667" t="s">
        <v>5542</v>
      </c>
      <c r="H667" s="21">
        <v>44239.982303240744</v>
      </c>
      <c r="I667" s="22" t="s">
        <v>1691</v>
      </c>
    </row>
    <row r="668" spans="1:9" x14ac:dyDescent="0.3">
      <c r="A668" t="s">
        <v>5543</v>
      </c>
      <c r="B668" t="s">
        <v>5544</v>
      </c>
      <c r="C668" s="20">
        <v>30465</v>
      </c>
      <c r="D668" t="s">
        <v>4548</v>
      </c>
      <c r="E668" t="s">
        <v>5545</v>
      </c>
      <c r="F668" t="s">
        <v>5546</v>
      </c>
      <c r="G668" t="s">
        <v>5547</v>
      </c>
      <c r="H668" s="21">
        <v>42797.515879629631</v>
      </c>
      <c r="I668" s="22" t="s">
        <v>1691</v>
      </c>
    </row>
    <row r="669" spans="1:9" x14ac:dyDescent="0.3">
      <c r="A669" t="s">
        <v>5548</v>
      </c>
      <c r="B669" t="s">
        <v>5549</v>
      </c>
      <c r="C669" s="20">
        <v>27448</v>
      </c>
      <c r="D669" t="s">
        <v>5550</v>
      </c>
      <c r="E669" t="s">
        <v>4548</v>
      </c>
      <c r="F669" t="s">
        <v>5551</v>
      </c>
      <c r="G669" t="s">
        <v>5552</v>
      </c>
      <c r="H669" s="21">
        <v>38850.953553240739</v>
      </c>
      <c r="I669" s="22" t="s">
        <v>1691</v>
      </c>
    </row>
    <row r="670" spans="1:9" x14ac:dyDescent="0.3">
      <c r="A670" t="s">
        <v>5553</v>
      </c>
      <c r="B670" t="s">
        <v>5554</v>
      </c>
      <c r="C670" s="20">
        <v>30631</v>
      </c>
      <c r="D670" t="s">
        <v>5555</v>
      </c>
      <c r="E670" t="s">
        <v>5556</v>
      </c>
      <c r="F670" t="s">
        <v>5557</v>
      </c>
      <c r="G670" t="s">
        <v>5558</v>
      </c>
      <c r="H670" s="21">
        <v>43764.358194444445</v>
      </c>
      <c r="I670" s="22" t="s">
        <v>1729</v>
      </c>
    </row>
    <row r="671" spans="1:9" x14ac:dyDescent="0.3">
      <c r="A671" t="s">
        <v>5559</v>
      </c>
      <c r="B671" t="s">
        <v>5560</v>
      </c>
      <c r="C671" s="20">
        <v>27150</v>
      </c>
      <c r="D671" t="s">
        <v>4548</v>
      </c>
      <c r="E671" t="s">
        <v>5561</v>
      </c>
      <c r="F671" t="s">
        <v>5562</v>
      </c>
      <c r="G671" t="s">
        <v>5563</v>
      </c>
      <c r="H671" s="21">
        <v>42838.912395833337</v>
      </c>
      <c r="I671" s="22" t="s">
        <v>1684</v>
      </c>
    </row>
    <row r="672" spans="1:9" x14ac:dyDescent="0.3">
      <c r="A672" t="s">
        <v>5564</v>
      </c>
      <c r="B672" t="s">
        <v>5565</v>
      </c>
      <c r="C672" s="20">
        <v>26242</v>
      </c>
      <c r="D672" t="s">
        <v>5566</v>
      </c>
      <c r="E672" t="s">
        <v>4548</v>
      </c>
      <c r="F672" t="s">
        <v>5567</v>
      </c>
      <c r="G672" t="s">
        <v>5568</v>
      </c>
      <c r="H672" s="21">
        <v>44045.210659722223</v>
      </c>
      <c r="I672" s="22" t="s">
        <v>1710</v>
      </c>
    </row>
    <row r="673" spans="1:9" x14ac:dyDescent="0.3">
      <c r="A673" t="s">
        <v>5569</v>
      </c>
      <c r="B673" t="s">
        <v>5570</v>
      </c>
      <c r="C673" s="20">
        <v>27925</v>
      </c>
      <c r="D673" t="s">
        <v>5571</v>
      </c>
      <c r="E673" t="s">
        <v>5572</v>
      </c>
      <c r="F673" t="s">
        <v>5573</v>
      </c>
      <c r="G673" t="s">
        <v>5574</v>
      </c>
      <c r="H673" s="21">
        <v>44175.83766203704</v>
      </c>
      <c r="I673" s="22" t="s">
        <v>1684</v>
      </c>
    </row>
    <row r="674" spans="1:9" x14ac:dyDescent="0.3">
      <c r="A674" t="s">
        <v>5575</v>
      </c>
      <c r="B674" t="s">
        <v>5576</v>
      </c>
      <c r="C674" s="20">
        <v>27985</v>
      </c>
      <c r="D674" t="s">
        <v>4548</v>
      </c>
      <c r="E674" t="s">
        <v>5577</v>
      </c>
      <c r="F674" t="s">
        <v>5578</v>
      </c>
      <c r="G674" t="s">
        <v>5579</v>
      </c>
      <c r="H674" s="21">
        <v>39929.033761574072</v>
      </c>
      <c r="I674" s="22" t="s">
        <v>1684</v>
      </c>
    </row>
    <row r="675" spans="1:9" x14ac:dyDescent="0.3">
      <c r="A675" t="s">
        <v>5580</v>
      </c>
      <c r="B675" t="s">
        <v>5581</v>
      </c>
      <c r="C675" s="20">
        <v>28127</v>
      </c>
      <c r="D675" t="s">
        <v>5582</v>
      </c>
      <c r="E675" t="s">
        <v>4548</v>
      </c>
      <c r="F675" t="s">
        <v>5583</v>
      </c>
      <c r="G675" t="s">
        <v>5584</v>
      </c>
      <c r="H675" s="21">
        <v>41843.33284722222</v>
      </c>
      <c r="I675" s="22" t="s">
        <v>1729</v>
      </c>
    </row>
    <row r="676" spans="1:9" x14ac:dyDescent="0.3">
      <c r="A676" t="s">
        <v>5585</v>
      </c>
      <c r="B676" t="s">
        <v>5586</v>
      </c>
      <c r="C676" s="20">
        <v>35881</v>
      </c>
      <c r="D676" t="s">
        <v>5587</v>
      </c>
      <c r="E676" t="s">
        <v>5588</v>
      </c>
      <c r="F676" t="s">
        <v>5589</v>
      </c>
      <c r="G676" t="s">
        <v>5590</v>
      </c>
      <c r="H676" s="21">
        <v>39306.225011574075</v>
      </c>
      <c r="I676" s="22" t="s">
        <v>1691</v>
      </c>
    </row>
    <row r="677" spans="1:9" x14ac:dyDescent="0.3">
      <c r="A677" t="s">
        <v>5591</v>
      </c>
      <c r="B677" t="s">
        <v>5592</v>
      </c>
      <c r="C677" s="20">
        <v>28092</v>
      </c>
      <c r="D677" t="s">
        <v>4548</v>
      </c>
      <c r="E677" t="s">
        <v>5593</v>
      </c>
      <c r="F677" t="s">
        <v>5594</v>
      </c>
      <c r="G677" t="s">
        <v>5595</v>
      </c>
      <c r="H677" s="21">
        <v>42477.303460648145</v>
      </c>
      <c r="I677" s="22" t="s">
        <v>1729</v>
      </c>
    </row>
    <row r="678" spans="1:9" x14ac:dyDescent="0.3">
      <c r="A678" t="s">
        <v>5596</v>
      </c>
      <c r="B678" t="s">
        <v>5597</v>
      </c>
      <c r="C678" s="20">
        <v>31624</v>
      </c>
      <c r="D678" t="s">
        <v>5598</v>
      </c>
      <c r="E678" t="s">
        <v>4548</v>
      </c>
      <c r="F678" t="s">
        <v>5599</v>
      </c>
      <c r="G678" t="s">
        <v>5600</v>
      </c>
      <c r="H678" s="21">
        <v>39493.355381944442</v>
      </c>
      <c r="I678" s="22" t="s">
        <v>1736</v>
      </c>
    </row>
    <row r="679" spans="1:9" x14ac:dyDescent="0.3">
      <c r="A679" t="s">
        <v>5601</v>
      </c>
      <c r="B679" t="s">
        <v>5602</v>
      </c>
      <c r="C679" s="20">
        <v>34199</v>
      </c>
      <c r="D679" t="s">
        <v>5603</v>
      </c>
      <c r="E679" t="s">
        <v>5604</v>
      </c>
      <c r="F679" t="s">
        <v>5605</v>
      </c>
      <c r="G679" t="s">
        <v>5606</v>
      </c>
      <c r="H679" s="21">
        <v>39082.134189814817</v>
      </c>
      <c r="I679" s="22" t="s">
        <v>1736</v>
      </c>
    </row>
    <row r="680" spans="1:9" x14ac:dyDescent="0.3">
      <c r="A680" t="s">
        <v>5607</v>
      </c>
      <c r="B680" t="s">
        <v>5608</v>
      </c>
      <c r="C680" s="20">
        <v>27368</v>
      </c>
      <c r="D680" t="s">
        <v>4548</v>
      </c>
      <c r="E680" t="s">
        <v>5609</v>
      </c>
      <c r="F680" t="s">
        <v>5610</v>
      </c>
      <c r="G680" t="s">
        <v>5611</v>
      </c>
      <c r="H680" s="21">
        <v>40536.733946759261</v>
      </c>
      <c r="I680" s="22" t="s">
        <v>1729</v>
      </c>
    </row>
    <row r="681" spans="1:9" x14ac:dyDescent="0.3">
      <c r="A681" t="s">
        <v>5612</v>
      </c>
      <c r="B681" t="s">
        <v>5613</v>
      </c>
      <c r="C681" s="20">
        <v>35829</v>
      </c>
      <c r="D681" t="s">
        <v>5614</v>
      </c>
      <c r="E681" t="s">
        <v>4548</v>
      </c>
      <c r="F681" t="s">
        <v>5615</v>
      </c>
      <c r="G681" t="s">
        <v>5616</v>
      </c>
      <c r="H681" s="21">
        <v>39202.26053240741</v>
      </c>
      <c r="I681" s="22" t="s">
        <v>1691</v>
      </c>
    </row>
    <row r="682" spans="1:9" x14ac:dyDescent="0.3">
      <c r="A682" t="s">
        <v>5617</v>
      </c>
      <c r="B682" t="s">
        <v>5618</v>
      </c>
      <c r="C682" s="20">
        <v>25705</v>
      </c>
      <c r="D682" t="s">
        <v>5619</v>
      </c>
      <c r="E682" t="s">
        <v>5620</v>
      </c>
      <c r="F682" t="s">
        <v>5621</v>
      </c>
      <c r="G682" t="s">
        <v>5622</v>
      </c>
      <c r="H682" s="21">
        <v>39576.140636574077</v>
      </c>
      <c r="I682" s="22" t="s">
        <v>1710</v>
      </c>
    </row>
    <row r="683" spans="1:9" x14ac:dyDescent="0.3">
      <c r="A683" t="s">
        <v>5623</v>
      </c>
      <c r="B683" t="s">
        <v>5624</v>
      </c>
      <c r="C683" s="20">
        <v>30501</v>
      </c>
      <c r="D683" t="s">
        <v>4548</v>
      </c>
      <c r="E683" t="s">
        <v>5625</v>
      </c>
      <c r="F683" t="s">
        <v>5626</v>
      </c>
      <c r="G683" t="s">
        <v>5627</v>
      </c>
      <c r="H683" s="21">
        <v>39117.768773148149</v>
      </c>
      <c r="I683" s="22" t="s">
        <v>1710</v>
      </c>
    </row>
    <row r="684" spans="1:9" x14ac:dyDescent="0.3">
      <c r="A684" t="s">
        <v>5628</v>
      </c>
      <c r="B684" t="s">
        <v>5629</v>
      </c>
      <c r="C684" s="20">
        <v>32308</v>
      </c>
      <c r="D684" t="s">
        <v>5630</v>
      </c>
      <c r="E684" t="s">
        <v>4548</v>
      </c>
      <c r="F684" t="s">
        <v>5631</v>
      </c>
      <c r="G684" t="s">
        <v>5632</v>
      </c>
      <c r="H684" s="21">
        <v>38927.117256944446</v>
      </c>
      <c r="I684" s="22" t="s">
        <v>1729</v>
      </c>
    </row>
    <row r="685" spans="1:9" x14ac:dyDescent="0.3">
      <c r="A685" t="s">
        <v>5633</v>
      </c>
      <c r="B685" t="s">
        <v>5634</v>
      </c>
      <c r="C685" s="20">
        <v>28490</v>
      </c>
      <c r="D685" t="s">
        <v>5635</v>
      </c>
      <c r="E685" t="s">
        <v>5636</v>
      </c>
      <c r="F685" t="s">
        <v>5637</v>
      </c>
      <c r="G685" t="s">
        <v>5638</v>
      </c>
      <c r="H685" s="21">
        <v>44270.88008101852</v>
      </c>
      <c r="I685" s="22" t="s">
        <v>1691</v>
      </c>
    </row>
    <row r="686" spans="1:9" x14ac:dyDescent="0.3">
      <c r="A686" t="s">
        <v>5639</v>
      </c>
      <c r="B686" t="s">
        <v>5640</v>
      </c>
      <c r="C686" s="20">
        <v>31019</v>
      </c>
      <c r="D686" t="s">
        <v>4548</v>
      </c>
      <c r="E686" t="s">
        <v>5641</v>
      </c>
      <c r="F686" t="s">
        <v>5642</v>
      </c>
      <c r="G686" t="s">
        <v>5643</v>
      </c>
      <c r="H686" s="21">
        <v>40194.405706018515</v>
      </c>
      <c r="I686" s="22" t="s">
        <v>1710</v>
      </c>
    </row>
    <row r="687" spans="1:9" x14ac:dyDescent="0.3">
      <c r="A687" t="s">
        <v>5644</v>
      </c>
      <c r="B687" t="s">
        <v>5645</v>
      </c>
      <c r="C687" s="20">
        <v>26418</v>
      </c>
      <c r="D687" t="s">
        <v>5646</v>
      </c>
      <c r="E687" t="s">
        <v>4548</v>
      </c>
      <c r="F687" t="s">
        <v>5647</v>
      </c>
      <c r="G687" t="s">
        <v>5648</v>
      </c>
      <c r="H687" s="21">
        <v>42177.801053240742</v>
      </c>
      <c r="I687" s="22" t="s">
        <v>1736</v>
      </c>
    </row>
    <row r="688" spans="1:9" x14ac:dyDescent="0.3">
      <c r="A688" t="s">
        <v>5649</v>
      </c>
      <c r="B688" t="s">
        <v>5650</v>
      </c>
      <c r="C688" s="20">
        <v>31039</v>
      </c>
      <c r="D688" t="s">
        <v>5651</v>
      </c>
      <c r="E688" t="s">
        <v>5652</v>
      </c>
      <c r="F688" t="s">
        <v>5653</v>
      </c>
      <c r="G688" t="s">
        <v>5654</v>
      </c>
      <c r="H688" s="21">
        <v>42404.738368055558</v>
      </c>
      <c r="I688" s="22" t="s">
        <v>1691</v>
      </c>
    </row>
    <row r="689" spans="1:9" x14ac:dyDescent="0.3">
      <c r="A689" t="s">
        <v>5655</v>
      </c>
      <c r="B689" t="s">
        <v>5656</v>
      </c>
      <c r="C689" s="20">
        <v>25671</v>
      </c>
      <c r="D689" t="s">
        <v>4548</v>
      </c>
      <c r="E689" t="s">
        <v>5657</v>
      </c>
      <c r="F689" t="s">
        <v>5658</v>
      </c>
      <c r="G689" t="s">
        <v>5659</v>
      </c>
      <c r="H689" s="21">
        <v>40693.788055555553</v>
      </c>
      <c r="I689" s="22" t="s">
        <v>1729</v>
      </c>
    </row>
    <row r="690" spans="1:9" x14ac:dyDescent="0.3">
      <c r="A690" t="s">
        <v>5660</v>
      </c>
      <c r="B690" t="s">
        <v>5661</v>
      </c>
      <c r="C690" s="20">
        <v>28197</v>
      </c>
      <c r="D690" t="s">
        <v>5662</v>
      </c>
      <c r="E690" t="s">
        <v>4548</v>
      </c>
      <c r="F690" t="s">
        <v>5663</v>
      </c>
      <c r="G690" t="s">
        <v>5664</v>
      </c>
      <c r="H690" s="21">
        <v>41824.2184837963</v>
      </c>
      <c r="I690" s="22" t="s">
        <v>1736</v>
      </c>
    </row>
    <row r="691" spans="1:9" x14ac:dyDescent="0.3">
      <c r="A691" t="s">
        <v>5665</v>
      </c>
      <c r="B691" t="s">
        <v>5666</v>
      </c>
      <c r="C691" s="20">
        <v>30775</v>
      </c>
      <c r="D691" t="s">
        <v>5667</v>
      </c>
      <c r="E691" t="s">
        <v>5668</v>
      </c>
      <c r="F691" t="s">
        <v>5669</v>
      </c>
      <c r="G691" t="s">
        <v>5670</v>
      </c>
      <c r="H691" s="21">
        <v>43393.850185185183</v>
      </c>
      <c r="I691" s="22" t="s">
        <v>1710</v>
      </c>
    </row>
    <row r="692" spans="1:9" x14ac:dyDescent="0.3">
      <c r="A692" t="s">
        <v>5671</v>
      </c>
      <c r="B692" t="s">
        <v>5672</v>
      </c>
      <c r="C692" s="20">
        <v>30465</v>
      </c>
      <c r="D692" t="s">
        <v>4548</v>
      </c>
      <c r="E692" t="s">
        <v>5673</v>
      </c>
      <c r="F692" t="s">
        <v>5674</v>
      </c>
      <c r="G692" t="s">
        <v>5675</v>
      </c>
      <c r="H692" s="21">
        <v>40657.717766203707</v>
      </c>
      <c r="I692" s="22" t="s">
        <v>1691</v>
      </c>
    </row>
    <row r="693" spans="1:9" x14ac:dyDescent="0.3">
      <c r="A693" t="s">
        <v>5676</v>
      </c>
      <c r="B693" t="s">
        <v>5677</v>
      </c>
      <c r="C693" s="20">
        <v>34333</v>
      </c>
      <c r="D693" t="s">
        <v>2069</v>
      </c>
      <c r="E693" t="s">
        <v>4548</v>
      </c>
      <c r="F693" t="s">
        <v>5678</v>
      </c>
      <c r="G693" t="s">
        <v>5679</v>
      </c>
      <c r="H693" s="21">
        <v>38920.365914351853</v>
      </c>
      <c r="I693" s="22" t="s">
        <v>1729</v>
      </c>
    </row>
    <row r="694" spans="1:9" x14ac:dyDescent="0.3">
      <c r="A694" t="s">
        <v>5680</v>
      </c>
      <c r="B694" t="s">
        <v>5681</v>
      </c>
      <c r="C694" s="20">
        <v>29574</v>
      </c>
      <c r="D694" t="s">
        <v>5682</v>
      </c>
      <c r="E694" t="s">
        <v>5683</v>
      </c>
      <c r="F694" t="s">
        <v>5684</v>
      </c>
      <c r="G694" t="s">
        <v>5685</v>
      </c>
      <c r="H694" s="21">
        <v>40938.204386574071</v>
      </c>
      <c r="I694" s="22" t="s">
        <v>1684</v>
      </c>
    </row>
    <row r="695" spans="1:9" x14ac:dyDescent="0.3">
      <c r="A695" t="s">
        <v>5686</v>
      </c>
      <c r="B695" t="s">
        <v>5687</v>
      </c>
      <c r="C695" s="20">
        <v>33286</v>
      </c>
      <c r="D695" t="s">
        <v>4548</v>
      </c>
      <c r="E695" t="s">
        <v>5688</v>
      </c>
      <c r="F695" t="s">
        <v>5689</v>
      </c>
      <c r="G695" t="s">
        <v>5690</v>
      </c>
      <c r="H695" s="21">
        <v>38473.09878472222</v>
      </c>
      <c r="I695" s="22" t="s">
        <v>1729</v>
      </c>
    </row>
    <row r="696" spans="1:9" x14ac:dyDescent="0.3">
      <c r="A696" t="s">
        <v>5691</v>
      </c>
      <c r="B696" t="s">
        <v>5692</v>
      </c>
      <c r="C696" s="20">
        <v>26922</v>
      </c>
      <c r="D696" t="s">
        <v>5693</v>
      </c>
      <c r="E696" t="s">
        <v>4548</v>
      </c>
      <c r="F696" t="s">
        <v>5694</v>
      </c>
      <c r="G696" t="s">
        <v>5695</v>
      </c>
      <c r="H696" s="21">
        <v>39691.305937500001</v>
      </c>
      <c r="I696" s="22" t="s">
        <v>1684</v>
      </c>
    </row>
    <row r="697" spans="1:9" x14ac:dyDescent="0.3">
      <c r="A697" t="s">
        <v>5696</v>
      </c>
      <c r="B697" t="s">
        <v>5697</v>
      </c>
      <c r="C697" s="20">
        <v>28197</v>
      </c>
      <c r="D697" t="s">
        <v>5698</v>
      </c>
      <c r="E697" t="s">
        <v>5699</v>
      </c>
      <c r="F697" t="s">
        <v>5700</v>
      </c>
      <c r="G697" t="s">
        <v>5701</v>
      </c>
      <c r="H697" s="21">
        <v>39900.889293981483</v>
      </c>
      <c r="I697" s="22" t="s">
        <v>1710</v>
      </c>
    </row>
    <row r="698" spans="1:9" x14ac:dyDescent="0.3">
      <c r="A698" t="s">
        <v>5702</v>
      </c>
      <c r="B698" t="s">
        <v>5703</v>
      </c>
      <c r="C698" s="20">
        <v>34350</v>
      </c>
      <c r="D698" t="s">
        <v>4548</v>
      </c>
      <c r="E698" t="s">
        <v>5704</v>
      </c>
      <c r="F698" t="s">
        <v>5705</v>
      </c>
      <c r="G698" t="s">
        <v>5706</v>
      </c>
      <c r="H698" s="21">
        <v>41373.123194444444</v>
      </c>
      <c r="I698" s="22" t="s">
        <v>1710</v>
      </c>
    </row>
    <row r="699" spans="1:9" x14ac:dyDescent="0.3">
      <c r="A699" t="s">
        <v>5707</v>
      </c>
      <c r="B699" t="s">
        <v>5708</v>
      </c>
      <c r="C699" s="20">
        <v>26286</v>
      </c>
      <c r="D699" t="s">
        <v>5709</v>
      </c>
      <c r="E699" t="s">
        <v>4548</v>
      </c>
      <c r="F699" t="s">
        <v>5710</v>
      </c>
      <c r="G699" t="s">
        <v>5711</v>
      </c>
      <c r="H699" s="21">
        <v>43001.872546296298</v>
      </c>
      <c r="I699" s="22" t="s">
        <v>1729</v>
      </c>
    </row>
    <row r="700" spans="1:9" x14ac:dyDescent="0.3">
      <c r="A700" t="s">
        <v>5712</v>
      </c>
      <c r="B700" t="s">
        <v>5713</v>
      </c>
      <c r="C700" s="20">
        <v>32550</v>
      </c>
      <c r="D700" t="s">
        <v>5714</v>
      </c>
      <c r="E700" t="s">
        <v>5715</v>
      </c>
      <c r="F700" t="s">
        <v>5716</v>
      </c>
      <c r="G700" t="s">
        <v>5717</v>
      </c>
      <c r="H700" s="21">
        <v>38654.639780092592</v>
      </c>
      <c r="I700" s="22" t="s">
        <v>1710</v>
      </c>
    </row>
    <row r="701" spans="1:9" x14ac:dyDescent="0.3">
      <c r="A701" t="s">
        <v>5718</v>
      </c>
      <c r="B701" t="s">
        <v>5719</v>
      </c>
      <c r="C701" s="20">
        <v>29162</v>
      </c>
      <c r="D701" t="s">
        <v>4548</v>
      </c>
      <c r="E701" t="s">
        <v>5720</v>
      </c>
      <c r="F701" t="s">
        <v>5721</v>
      </c>
      <c r="G701" t="s">
        <v>5722</v>
      </c>
      <c r="H701" s="21">
        <v>43215.082418981481</v>
      </c>
      <c r="I701" s="22" t="s">
        <v>1684</v>
      </c>
    </row>
    <row r="702" spans="1:9" x14ac:dyDescent="0.3">
      <c r="A702" t="s">
        <v>5723</v>
      </c>
      <c r="B702" t="s">
        <v>5724</v>
      </c>
      <c r="C702" s="20">
        <v>27991</v>
      </c>
      <c r="D702" t="s">
        <v>5725</v>
      </c>
      <c r="E702" t="s">
        <v>4548</v>
      </c>
      <c r="F702" t="s">
        <v>5726</v>
      </c>
      <c r="G702" t="s">
        <v>5727</v>
      </c>
      <c r="H702" s="21">
        <v>39861.399745370371</v>
      </c>
      <c r="I702" s="22" t="s">
        <v>1729</v>
      </c>
    </row>
    <row r="703" spans="1:9" x14ac:dyDescent="0.3">
      <c r="A703" t="s">
        <v>5728</v>
      </c>
      <c r="B703" t="s">
        <v>5729</v>
      </c>
      <c r="C703" s="20">
        <v>31034</v>
      </c>
      <c r="D703" t="s">
        <v>5730</v>
      </c>
      <c r="E703" t="s">
        <v>5731</v>
      </c>
      <c r="F703" t="s">
        <v>5732</v>
      </c>
      <c r="G703" t="s">
        <v>2252</v>
      </c>
      <c r="H703" s="21">
        <v>40736.415648148148</v>
      </c>
      <c r="I703" s="22" t="s">
        <v>1729</v>
      </c>
    </row>
    <row r="704" spans="1:9" x14ac:dyDescent="0.3">
      <c r="A704" t="s">
        <v>5733</v>
      </c>
      <c r="B704" t="s">
        <v>5734</v>
      </c>
      <c r="C704" s="20">
        <v>33848</v>
      </c>
      <c r="D704" t="s">
        <v>4548</v>
      </c>
      <c r="E704" t="s">
        <v>5735</v>
      </c>
      <c r="F704" t="s">
        <v>5736</v>
      </c>
      <c r="G704" t="s">
        <v>5737</v>
      </c>
      <c r="H704" s="21">
        <v>44104.994351851848</v>
      </c>
      <c r="I704" s="22" t="s">
        <v>1736</v>
      </c>
    </row>
    <row r="705" spans="1:9" x14ac:dyDescent="0.3">
      <c r="A705" t="s">
        <v>5738</v>
      </c>
      <c r="B705" t="s">
        <v>5739</v>
      </c>
      <c r="C705" s="20">
        <v>26724</v>
      </c>
      <c r="D705" t="s">
        <v>5740</v>
      </c>
      <c r="E705" t="s">
        <v>4548</v>
      </c>
      <c r="F705" t="s">
        <v>5741</v>
      </c>
      <c r="G705" t="s">
        <v>5742</v>
      </c>
      <c r="H705" s="21">
        <v>42127.583553240744</v>
      </c>
      <c r="I705" s="22" t="s">
        <v>1710</v>
      </c>
    </row>
    <row r="706" spans="1:9" x14ac:dyDescent="0.3">
      <c r="A706" t="s">
        <v>5743</v>
      </c>
      <c r="B706" t="s">
        <v>5744</v>
      </c>
      <c r="C706" s="20">
        <v>27545</v>
      </c>
      <c r="D706" t="s">
        <v>5745</v>
      </c>
      <c r="E706" t="s">
        <v>5746</v>
      </c>
      <c r="F706" t="s">
        <v>5747</v>
      </c>
      <c r="G706" t="s">
        <v>5748</v>
      </c>
      <c r="H706" s="21">
        <v>42076.595405092594</v>
      </c>
      <c r="I706" s="22" t="s">
        <v>1684</v>
      </c>
    </row>
    <row r="707" spans="1:9" x14ac:dyDescent="0.3">
      <c r="A707" t="s">
        <v>5749</v>
      </c>
      <c r="B707" t="s">
        <v>5750</v>
      </c>
      <c r="C707" s="20">
        <v>28748</v>
      </c>
      <c r="D707" t="s">
        <v>4548</v>
      </c>
      <c r="E707" t="s">
        <v>5751</v>
      </c>
      <c r="F707" t="s">
        <v>5752</v>
      </c>
      <c r="G707" t="s">
        <v>5753</v>
      </c>
      <c r="H707" s="21">
        <v>38950.725208333337</v>
      </c>
      <c r="I707" s="22" t="s">
        <v>1684</v>
      </c>
    </row>
    <row r="708" spans="1:9" x14ac:dyDescent="0.3">
      <c r="A708" t="s">
        <v>5754</v>
      </c>
      <c r="B708" t="s">
        <v>5755</v>
      </c>
      <c r="C708" s="20">
        <v>29624</v>
      </c>
      <c r="D708" t="s">
        <v>5756</v>
      </c>
      <c r="E708" t="s">
        <v>4548</v>
      </c>
      <c r="F708" t="s">
        <v>5757</v>
      </c>
      <c r="G708" t="s">
        <v>5758</v>
      </c>
      <c r="H708" s="21">
        <v>41708.800821759258</v>
      </c>
      <c r="I708" s="22" t="s">
        <v>1736</v>
      </c>
    </row>
    <row r="709" spans="1:9" x14ac:dyDescent="0.3">
      <c r="A709" t="s">
        <v>5759</v>
      </c>
      <c r="B709" t="s">
        <v>5760</v>
      </c>
      <c r="C709" s="20">
        <v>32517</v>
      </c>
      <c r="D709" t="s">
        <v>5761</v>
      </c>
      <c r="E709" t="s">
        <v>5762</v>
      </c>
      <c r="F709" t="s">
        <v>5763</v>
      </c>
      <c r="G709" t="s">
        <v>5764</v>
      </c>
      <c r="H709" s="21">
        <v>41786.562685185185</v>
      </c>
      <c r="I709" s="22" t="s">
        <v>1684</v>
      </c>
    </row>
    <row r="710" spans="1:9" x14ac:dyDescent="0.3">
      <c r="A710" t="s">
        <v>5765</v>
      </c>
      <c r="B710" t="s">
        <v>5766</v>
      </c>
      <c r="C710" s="20">
        <v>28443</v>
      </c>
      <c r="D710" t="s">
        <v>4548</v>
      </c>
      <c r="E710" t="s">
        <v>5767</v>
      </c>
      <c r="F710" t="s">
        <v>5768</v>
      </c>
      <c r="G710" t="s">
        <v>5769</v>
      </c>
      <c r="H710" s="21">
        <v>41130.728483796294</v>
      </c>
      <c r="I710" s="22" t="s">
        <v>1684</v>
      </c>
    </row>
    <row r="711" spans="1:9" x14ac:dyDescent="0.3">
      <c r="A711" t="s">
        <v>5770</v>
      </c>
      <c r="B711" t="s">
        <v>5771</v>
      </c>
      <c r="C711" s="20">
        <v>25826</v>
      </c>
      <c r="D711" t="s">
        <v>5772</v>
      </c>
      <c r="E711" t="s">
        <v>4548</v>
      </c>
      <c r="F711" t="s">
        <v>5773</v>
      </c>
      <c r="G711" t="s">
        <v>5774</v>
      </c>
      <c r="H711" s="21">
        <v>39997.168275462966</v>
      </c>
      <c r="I711" s="22" t="s">
        <v>1736</v>
      </c>
    </row>
    <row r="712" spans="1:9" x14ac:dyDescent="0.3">
      <c r="A712" t="s">
        <v>5775</v>
      </c>
      <c r="B712" t="s">
        <v>5776</v>
      </c>
      <c r="C712" s="20">
        <v>36192</v>
      </c>
      <c r="D712" t="s">
        <v>5777</v>
      </c>
      <c r="E712" t="s">
        <v>5778</v>
      </c>
      <c r="F712" t="s">
        <v>5779</v>
      </c>
      <c r="G712" t="s">
        <v>5780</v>
      </c>
      <c r="H712" s="21">
        <v>43470.409398148149</v>
      </c>
      <c r="I712" s="22" t="s">
        <v>1729</v>
      </c>
    </row>
    <row r="713" spans="1:9" x14ac:dyDescent="0.3">
      <c r="A713" t="s">
        <v>5781</v>
      </c>
      <c r="B713" t="s">
        <v>5782</v>
      </c>
      <c r="C713" s="20">
        <v>35267</v>
      </c>
      <c r="D713" t="s">
        <v>4548</v>
      </c>
      <c r="E713" t="s">
        <v>5783</v>
      </c>
      <c r="F713" t="s">
        <v>5784</v>
      </c>
      <c r="G713" t="s">
        <v>5785</v>
      </c>
      <c r="H713" s="21">
        <v>44199.014861111114</v>
      </c>
      <c r="I713" s="22" t="s">
        <v>1736</v>
      </c>
    </row>
    <row r="714" spans="1:9" x14ac:dyDescent="0.3">
      <c r="A714" t="s">
        <v>5786</v>
      </c>
      <c r="B714" t="s">
        <v>5787</v>
      </c>
      <c r="C714" s="20">
        <v>36076</v>
      </c>
      <c r="D714" t="s">
        <v>5788</v>
      </c>
      <c r="E714" t="s">
        <v>4548</v>
      </c>
      <c r="F714" t="s">
        <v>5789</v>
      </c>
      <c r="G714" t="s">
        <v>5790</v>
      </c>
      <c r="H714" s="21">
        <v>40151.573206018518</v>
      </c>
      <c r="I714" s="22" t="s">
        <v>1691</v>
      </c>
    </row>
    <row r="715" spans="1:9" x14ac:dyDescent="0.3">
      <c r="A715" t="s">
        <v>5791</v>
      </c>
      <c r="B715" t="s">
        <v>5792</v>
      </c>
      <c r="C715" s="20">
        <v>25985</v>
      </c>
      <c r="D715" t="s">
        <v>5793</v>
      </c>
      <c r="E715" t="s">
        <v>5794</v>
      </c>
      <c r="F715" t="s">
        <v>5795</v>
      </c>
      <c r="G715" t="s">
        <v>5796</v>
      </c>
      <c r="H715" s="21">
        <v>43912.749490740738</v>
      </c>
      <c r="I715" s="22" t="s">
        <v>1710</v>
      </c>
    </row>
    <row r="716" spans="1:9" x14ac:dyDescent="0.3">
      <c r="A716" t="s">
        <v>5797</v>
      </c>
      <c r="B716" t="s">
        <v>5798</v>
      </c>
      <c r="C716" s="20">
        <v>27875</v>
      </c>
      <c r="D716" t="s">
        <v>4548</v>
      </c>
      <c r="E716" t="s">
        <v>5799</v>
      </c>
      <c r="F716" t="s">
        <v>5800</v>
      </c>
      <c r="G716" t="s">
        <v>5801</v>
      </c>
      <c r="H716" s="21">
        <v>43279.292523148149</v>
      </c>
      <c r="I716" s="22" t="s">
        <v>1691</v>
      </c>
    </row>
    <row r="717" spans="1:9" x14ac:dyDescent="0.3">
      <c r="A717" t="s">
        <v>5802</v>
      </c>
      <c r="B717" t="s">
        <v>5803</v>
      </c>
      <c r="C717" s="20">
        <v>28924</v>
      </c>
      <c r="D717" t="s">
        <v>5804</v>
      </c>
      <c r="E717" t="s">
        <v>4548</v>
      </c>
      <c r="F717" t="s">
        <v>5805</v>
      </c>
      <c r="G717" t="s">
        <v>5806</v>
      </c>
      <c r="H717" s="21">
        <v>40674.78765046296</v>
      </c>
      <c r="I717" s="22" t="s">
        <v>1729</v>
      </c>
    </row>
    <row r="718" spans="1:9" x14ac:dyDescent="0.3">
      <c r="A718" t="s">
        <v>5807</v>
      </c>
      <c r="B718" t="s">
        <v>5808</v>
      </c>
      <c r="C718" s="20">
        <v>35745</v>
      </c>
      <c r="D718" t="s">
        <v>5809</v>
      </c>
      <c r="E718" t="s">
        <v>5810</v>
      </c>
      <c r="F718" t="s">
        <v>5811</v>
      </c>
      <c r="G718" t="s">
        <v>5812</v>
      </c>
      <c r="H718" s="21">
        <v>41654.085601851853</v>
      </c>
      <c r="I718" s="22" t="s">
        <v>1684</v>
      </c>
    </row>
    <row r="719" spans="1:9" x14ac:dyDescent="0.3">
      <c r="A719" t="s">
        <v>5813</v>
      </c>
      <c r="B719" t="s">
        <v>5814</v>
      </c>
      <c r="C719" s="20">
        <v>30247</v>
      </c>
      <c r="D719" t="s">
        <v>4548</v>
      </c>
      <c r="E719" t="s">
        <v>5815</v>
      </c>
      <c r="F719" t="s">
        <v>5816</v>
      </c>
      <c r="G719" t="s">
        <v>5817</v>
      </c>
      <c r="H719" s="21">
        <v>43371.163634259261</v>
      </c>
      <c r="I719" s="22" t="s">
        <v>1710</v>
      </c>
    </row>
    <row r="720" spans="1:9" x14ac:dyDescent="0.3">
      <c r="A720" t="s">
        <v>5818</v>
      </c>
      <c r="B720" t="s">
        <v>5819</v>
      </c>
      <c r="C720" s="20">
        <v>34172</v>
      </c>
      <c r="D720" t="s">
        <v>5820</v>
      </c>
      <c r="E720" t="s">
        <v>4548</v>
      </c>
      <c r="F720" t="s">
        <v>5821</v>
      </c>
      <c r="G720" t="s">
        <v>5822</v>
      </c>
      <c r="H720" s="21">
        <v>41178.282361111109</v>
      </c>
      <c r="I720" s="22" t="s">
        <v>1710</v>
      </c>
    </row>
    <row r="721" spans="1:9" x14ac:dyDescent="0.3">
      <c r="A721" t="s">
        <v>5823</v>
      </c>
      <c r="B721" t="s">
        <v>5824</v>
      </c>
      <c r="C721" s="20">
        <v>31635</v>
      </c>
      <c r="D721" t="s">
        <v>5825</v>
      </c>
      <c r="E721" t="s">
        <v>5826</v>
      </c>
      <c r="F721" t="s">
        <v>5827</v>
      </c>
      <c r="G721" t="s">
        <v>5828</v>
      </c>
      <c r="H721" s="21">
        <v>41547.661215277774</v>
      </c>
      <c r="I721" s="22" t="s">
        <v>1729</v>
      </c>
    </row>
    <row r="722" spans="1:9" x14ac:dyDescent="0.3">
      <c r="A722" t="s">
        <v>5829</v>
      </c>
      <c r="B722" t="s">
        <v>5830</v>
      </c>
      <c r="C722" s="20">
        <v>29702</v>
      </c>
      <c r="D722" t="s">
        <v>4548</v>
      </c>
      <c r="E722" t="s">
        <v>5831</v>
      </c>
      <c r="F722" t="s">
        <v>5832</v>
      </c>
      <c r="G722" t="s">
        <v>5833</v>
      </c>
      <c r="H722" s="21">
        <v>38785.946863425925</v>
      </c>
      <c r="I722" s="22" t="s">
        <v>1710</v>
      </c>
    </row>
    <row r="723" spans="1:9" x14ac:dyDescent="0.3">
      <c r="A723" t="s">
        <v>5834</v>
      </c>
      <c r="B723" t="s">
        <v>5835</v>
      </c>
      <c r="C723" s="20">
        <v>28995</v>
      </c>
      <c r="D723" t="s">
        <v>5836</v>
      </c>
      <c r="E723" t="s">
        <v>4548</v>
      </c>
      <c r="F723" t="s">
        <v>5837</v>
      </c>
      <c r="G723" t="s">
        <v>5838</v>
      </c>
      <c r="H723" s="21">
        <v>43569.434293981481</v>
      </c>
      <c r="I723" s="22" t="s">
        <v>1729</v>
      </c>
    </row>
    <row r="724" spans="1:9" x14ac:dyDescent="0.3">
      <c r="A724" t="s">
        <v>5839</v>
      </c>
      <c r="B724" t="s">
        <v>5840</v>
      </c>
      <c r="C724" s="20">
        <v>36410</v>
      </c>
      <c r="D724" t="s">
        <v>5841</v>
      </c>
      <c r="E724" t="s">
        <v>5842</v>
      </c>
      <c r="F724" t="s">
        <v>5843</v>
      </c>
      <c r="G724" t="s">
        <v>5844</v>
      </c>
      <c r="H724" s="21">
        <v>41398.976076388892</v>
      </c>
      <c r="I724" s="22" t="s">
        <v>1736</v>
      </c>
    </row>
    <row r="725" spans="1:9" x14ac:dyDescent="0.3">
      <c r="A725" t="s">
        <v>5845</v>
      </c>
      <c r="B725" t="s">
        <v>5846</v>
      </c>
      <c r="C725" s="20">
        <v>29849</v>
      </c>
      <c r="D725" t="s">
        <v>4548</v>
      </c>
      <c r="E725" t="s">
        <v>5847</v>
      </c>
      <c r="F725" t="s">
        <v>5848</v>
      </c>
      <c r="G725" t="s">
        <v>5849</v>
      </c>
      <c r="H725" s="21">
        <v>41987.423090277778</v>
      </c>
      <c r="I725" s="22" t="s">
        <v>1684</v>
      </c>
    </row>
    <row r="726" spans="1:9" x14ac:dyDescent="0.3">
      <c r="A726" t="s">
        <v>5850</v>
      </c>
      <c r="B726" t="s">
        <v>5851</v>
      </c>
      <c r="C726" s="20">
        <v>34528</v>
      </c>
      <c r="D726" t="s">
        <v>5852</v>
      </c>
      <c r="E726" t="s">
        <v>4548</v>
      </c>
      <c r="F726" t="s">
        <v>5853</v>
      </c>
      <c r="G726" t="s">
        <v>5854</v>
      </c>
      <c r="H726" s="21">
        <v>42117.114872685182</v>
      </c>
      <c r="I726" s="22" t="s">
        <v>1684</v>
      </c>
    </row>
    <row r="727" spans="1:9" x14ac:dyDescent="0.3">
      <c r="A727" t="s">
        <v>5855</v>
      </c>
      <c r="B727" t="s">
        <v>5856</v>
      </c>
      <c r="C727" s="20">
        <v>31903</v>
      </c>
      <c r="D727" t="s">
        <v>5857</v>
      </c>
      <c r="E727" t="s">
        <v>5858</v>
      </c>
      <c r="F727" t="s">
        <v>5859</v>
      </c>
      <c r="G727" t="s">
        <v>5860</v>
      </c>
      <c r="H727" s="21">
        <v>40959.533888888887</v>
      </c>
      <c r="I727" s="22" t="s">
        <v>1710</v>
      </c>
    </row>
    <row r="728" spans="1:9" x14ac:dyDescent="0.3">
      <c r="A728" t="s">
        <v>5861</v>
      </c>
      <c r="B728" t="s">
        <v>5862</v>
      </c>
      <c r="C728" s="20">
        <v>32968</v>
      </c>
      <c r="D728" t="s">
        <v>4548</v>
      </c>
      <c r="E728" t="s">
        <v>5863</v>
      </c>
      <c r="F728" t="s">
        <v>5864</v>
      </c>
      <c r="G728" t="s">
        <v>5865</v>
      </c>
      <c r="H728" s="21">
        <v>43585.164317129631</v>
      </c>
      <c r="I728" s="22" t="s">
        <v>1710</v>
      </c>
    </row>
    <row r="729" spans="1:9" x14ac:dyDescent="0.3">
      <c r="A729" t="s">
        <v>5866</v>
      </c>
      <c r="B729" t="s">
        <v>5867</v>
      </c>
      <c r="C729" s="20">
        <v>32012</v>
      </c>
      <c r="D729" t="s">
        <v>5868</v>
      </c>
      <c r="E729" t="s">
        <v>4548</v>
      </c>
      <c r="F729" t="s">
        <v>5869</v>
      </c>
      <c r="G729" t="s">
        <v>5870</v>
      </c>
      <c r="H729" s="21">
        <v>42514.24459490741</v>
      </c>
      <c r="I729" s="22" t="s">
        <v>1691</v>
      </c>
    </row>
    <row r="730" spans="1:9" x14ac:dyDescent="0.3">
      <c r="A730" t="s">
        <v>5871</v>
      </c>
      <c r="B730" t="s">
        <v>5872</v>
      </c>
      <c r="C730" s="20">
        <v>28573</v>
      </c>
      <c r="D730" t="s">
        <v>5873</v>
      </c>
      <c r="E730" t="s">
        <v>5874</v>
      </c>
      <c r="F730" t="s">
        <v>5875</v>
      </c>
      <c r="G730" t="s">
        <v>5876</v>
      </c>
      <c r="H730" s="21">
        <v>40597.134085648147</v>
      </c>
      <c r="I730" s="22" t="s">
        <v>1684</v>
      </c>
    </row>
    <row r="731" spans="1:9" x14ac:dyDescent="0.3">
      <c r="A731" t="s">
        <v>5877</v>
      </c>
      <c r="B731" t="s">
        <v>5878</v>
      </c>
      <c r="C731" s="20">
        <v>36023</v>
      </c>
      <c r="D731" t="s">
        <v>4548</v>
      </c>
      <c r="E731" t="s">
        <v>5879</v>
      </c>
      <c r="F731" t="s">
        <v>5880</v>
      </c>
      <c r="G731" t="s">
        <v>5881</v>
      </c>
      <c r="H731" s="21">
        <v>43916.808310185188</v>
      </c>
      <c r="I731" s="22" t="s">
        <v>1684</v>
      </c>
    </row>
    <row r="732" spans="1:9" x14ac:dyDescent="0.3">
      <c r="A732" t="s">
        <v>5882</v>
      </c>
      <c r="B732" t="s">
        <v>5883</v>
      </c>
      <c r="C732" s="20">
        <v>35544</v>
      </c>
      <c r="D732" t="s">
        <v>5884</v>
      </c>
      <c r="E732" t="s">
        <v>4548</v>
      </c>
      <c r="F732" t="s">
        <v>5885</v>
      </c>
      <c r="G732" t="s">
        <v>5886</v>
      </c>
      <c r="H732" s="21">
        <v>39761.956585648149</v>
      </c>
      <c r="I732" s="22" t="s">
        <v>1691</v>
      </c>
    </row>
    <row r="733" spans="1:9" x14ac:dyDescent="0.3">
      <c r="A733" t="s">
        <v>5887</v>
      </c>
      <c r="B733" t="s">
        <v>5888</v>
      </c>
      <c r="C733" s="20">
        <v>35099</v>
      </c>
      <c r="D733" t="s">
        <v>5889</v>
      </c>
      <c r="E733" t="s">
        <v>5890</v>
      </c>
      <c r="F733" t="s">
        <v>5891</v>
      </c>
      <c r="G733" t="s">
        <v>5892</v>
      </c>
      <c r="H733" s="21">
        <v>42647.118449074071</v>
      </c>
      <c r="I733" s="22" t="s">
        <v>1691</v>
      </c>
    </row>
    <row r="734" spans="1:9" x14ac:dyDescent="0.3">
      <c r="A734" t="s">
        <v>5893</v>
      </c>
      <c r="B734" t="s">
        <v>5894</v>
      </c>
      <c r="C734" s="20">
        <v>29436</v>
      </c>
      <c r="D734" t="s">
        <v>4548</v>
      </c>
      <c r="E734" t="s">
        <v>5895</v>
      </c>
      <c r="F734" t="s">
        <v>5896</v>
      </c>
      <c r="G734" t="s">
        <v>5897</v>
      </c>
      <c r="H734" s="21">
        <v>42500.703252314815</v>
      </c>
      <c r="I734" s="22" t="s">
        <v>1691</v>
      </c>
    </row>
    <row r="735" spans="1:9" x14ac:dyDescent="0.3">
      <c r="A735" t="s">
        <v>5898</v>
      </c>
      <c r="B735" t="s">
        <v>5899</v>
      </c>
      <c r="C735" s="20">
        <v>36269</v>
      </c>
      <c r="D735" t="s">
        <v>5900</v>
      </c>
      <c r="E735" t="s">
        <v>4548</v>
      </c>
      <c r="F735" t="s">
        <v>5901</v>
      </c>
      <c r="G735" t="s">
        <v>5902</v>
      </c>
      <c r="H735" s="21">
        <v>38668.449884259258</v>
      </c>
      <c r="I735" s="22" t="s">
        <v>1736</v>
      </c>
    </row>
    <row r="736" spans="1:9" x14ac:dyDescent="0.3">
      <c r="A736" t="s">
        <v>5903</v>
      </c>
      <c r="B736" t="s">
        <v>5904</v>
      </c>
      <c r="C736" s="20">
        <v>26727</v>
      </c>
      <c r="D736" t="s">
        <v>5905</v>
      </c>
      <c r="E736" t="s">
        <v>5906</v>
      </c>
      <c r="F736" t="s">
        <v>5907</v>
      </c>
      <c r="G736" t="s">
        <v>5908</v>
      </c>
      <c r="H736" s="21">
        <v>41606.477638888886</v>
      </c>
      <c r="I736" s="22" t="s">
        <v>1729</v>
      </c>
    </row>
    <row r="737" spans="1:9" x14ac:dyDescent="0.3">
      <c r="A737" t="s">
        <v>5909</v>
      </c>
      <c r="B737" t="s">
        <v>5910</v>
      </c>
      <c r="C737" s="20">
        <v>28951</v>
      </c>
      <c r="D737" t="s">
        <v>4548</v>
      </c>
      <c r="E737" t="s">
        <v>5911</v>
      </c>
      <c r="F737" t="s">
        <v>5912</v>
      </c>
      <c r="G737" t="s">
        <v>1820</v>
      </c>
      <c r="H737" s="21">
        <v>38559.19226851852</v>
      </c>
      <c r="I737" s="22" t="s">
        <v>1691</v>
      </c>
    </row>
    <row r="738" spans="1:9" x14ac:dyDescent="0.3">
      <c r="A738" t="s">
        <v>5913</v>
      </c>
      <c r="B738" t="s">
        <v>5914</v>
      </c>
      <c r="C738" s="20">
        <v>35371</v>
      </c>
      <c r="D738" t="s">
        <v>5915</v>
      </c>
      <c r="E738" t="s">
        <v>4548</v>
      </c>
      <c r="F738" t="s">
        <v>5916</v>
      </c>
      <c r="G738" t="s">
        <v>5917</v>
      </c>
      <c r="H738" s="21">
        <v>41204.944976851853</v>
      </c>
      <c r="I738" s="22" t="s">
        <v>1684</v>
      </c>
    </row>
    <row r="739" spans="1:9" x14ac:dyDescent="0.3">
      <c r="A739" t="s">
        <v>5918</v>
      </c>
      <c r="B739" t="s">
        <v>5919</v>
      </c>
      <c r="C739" s="20">
        <v>35886</v>
      </c>
      <c r="D739" t="s">
        <v>5920</v>
      </c>
      <c r="E739" t="s">
        <v>5921</v>
      </c>
      <c r="F739" t="s">
        <v>5922</v>
      </c>
      <c r="G739" t="s">
        <v>5923</v>
      </c>
      <c r="H739" s="21">
        <v>41074.985868055555</v>
      </c>
      <c r="I739" s="22" t="s">
        <v>1684</v>
      </c>
    </row>
    <row r="740" spans="1:9" x14ac:dyDescent="0.3">
      <c r="A740" t="s">
        <v>5924</v>
      </c>
      <c r="B740" t="s">
        <v>5925</v>
      </c>
      <c r="C740" s="20">
        <v>31830</v>
      </c>
      <c r="D740" t="s">
        <v>4548</v>
      </c>
      <c r="E740" t="s">
        <v>5926</v>
      </c>
      <c r="F740" t="s">
        <v>5927</v>
      </c>
      <c r="G740" t="s">
        <v>5928</v>
      </c>
      <c r="H740" s="21">
        <v>41715.082881944443</v>
      </c>
      <c r="I740" s="22" t="s">
        <v>1684</v>
      </c>
    </row>
    <row r="741" spans="1:9" x14ac:dyDescent="0.3">
      <c r="A741" t="s">
        <v>5929</v>
      </c>
      <c r="B741" t="s">
        <v>5930</v>
      </c>
      <c r="C741" s="20">
        <v>34112</v>
      </c>
      <c r="D741" t="s">
        <v>5931</v>
      </c>
      <c r="E741" t="s">
        <v>4548</v>
      </c>
      <c r="F741" t="s">
        <v>5932</v>
      </c>
      <c r="G741" t="s">
        <v>5933</v>
      </c>
      <c r="H741" s="21">
        <v>40947.593622685185</v>
      </c>
      <c r="I741" s="22" t="s">
        <v>1729</v>
      </c>
    </row>
    <row r="742" spans="1:9" x14ac:dyDescent="0.3">
      <c r="A742" t="s">
        <v>5934</v>
      </c>
      <c r="B742" t="s">
        <v>5935</v>
      </c>
      <c r="C742" s="20">
        <v>27144</v>
      </c>
      <c r="D742" t="s">
        <v>5936</v>
      </c>
      <c r="E742" t="s">
        <v>5937</v>
      </c>
      <c r="F742" t="s">
        <v>5938</v>
      </c>
      <c r="G742" t="s">
        <v>5939</v>
      </c>
      <c r="H742" s="21">
        <v>39747.221747685187</v>
      </c>
      <c r="I742" s="22" t="s">
        <v>1684</v>
      </c>
    </row>
    <row r="743" spans="1:9" x14ac:dyDescent="0.3">
      <c r="A743" t="s">
        <v>5940</v>
      </c>
      <c r="B743" t="s">
        <v>5941</v>
      </c>
      <c r="C743" s="20">
        <v>36580</v>
      </c>
      <c r="D743" t="s">
        <v>4548</v>
      </c>
      <c r="E743" t="s">
        <v>5942</v>
      </c>
      <c r="F743" t="s">
        <v>5943</v>
      </c>
      <c r="G743" t="s">
        <v>5944</v>
      </c>
      <c r="H743" s="21">
        <v>41837.452685185184</v>
      </c>
      <c r="I743" s="22" t="s">
        <v>1710</v>
      </c>
    </row>
    <row r="744" spans="1:9" x14ac:dyDescent="0.3">
      <c r="A744" t="s">
        <v>5945</v>
      </c>
      <c r="B744" t="s">
        <v>5946</v>
      </c>
      <c r="C744" s="20">
        <v>34973</v>
      </c>
      <c r="D744" t="s">
        <v>5947</v>
      </c>
      <c r="E744" t="s">
        <v>4548</v>
      </c>
      <c r="F744" t="s">
        <v>5948</v>
      </c>
      <c r="G744" t="s">
        <v>5949</v>
      </c>
      <c r="H744" s="21">
        <v>42025.668645833335</v>
      </c>
      <c r="I744" s="22" t="s">
        <v>1710</v>
      </c>
    </row>
    <row r="745" spans="1:9" x14ac:dyDescent="0.3">
      <c r="A745" t="s">
        <v>5950</v>
      </c>
      <c r="B745" t="s">
        <v>5951</v>
      </c>
      <c r="C745" s="20">
        <v>34977</v>
      </c>
      <c r="D745" t="s">
        <v>5952</v>
      </c>
      <c r="E745" t="s">
        <v>5953</v>
      </c>
      <c r="F745" t="s">
        <v>5954</v>
      </c>
      <c r="G745" t="s">
        <v>5955</v>
      </c>
      <c r="H745" s="21">
        <v>42444.864236111112</v>
      </c>
      <c r="I745" s="22" t="s">
        <v>1729</v>
      </c>
    </row>
    <row r="746" spans="1:9" x14ac:dyDescent="0.3">
      <c r="A746" t="s">
        <v>5956</v>
      </c>
      <c r="B746" t="s">
        <v>5957</v>
      </c>
      <c r="C746" s="20">
        <v>33619</v>
      </c>
      <c r="D746" t="s">
        <v>4548</v>
      </c>
      <c r="E746" t="s">
        <v>5958</v>
      </c>
      <c r="F746" t="s">
        <v>5959</v>
      </c>
      <c r="G746" t="s">
        <v>5960</v>
      </c>
      <c r="H746" s="21">
        <v>41927.277002314811</v>
      </c>
      <c r="I746" s="22" t="s">
        <v>1736</v>
      </c>
    </row>
    <row r="747" spans="1:9" x14ac:dyDescent="0.3">
      <c r="A747" t="s">
        <v>5961</v>
      </c>
      <c r="B747" t="s">
        <v>5962</v>
      </c>
      <c r="C747" s="20">
        <v>25738</v>
      </c>
      <c r="D747" t="s">
        <v>5963</v>
      </c>
      <c r="E747" t="s">
        <v>4548</v>
      </c>
      <c r="F747" t="s">
        <v>5964</v>
      </c>
      <c r="G747" t="s">
        <v>5965</v>
      </c>
      <c r="H747" s="21">
        <v>41759.735949074071</v>
      </c>
      <c r="I747" s="22" t="s">
        <v>1691</v>
      </c>
    </row>
    <row r="748" spans="1:9" x14ac:dyDescent="0.3">
      <c r="A748" t="s">
        <v>5966</v>
      </c>
      <c r="B748" t="s">
        <v>5967</v>
      </c>
      <c r="C748" s="20">
        <v>32921</v>
      </c>
      <c r="D748" t="s">
        <v>5968</v>
      </c>
      <c r="E748" t="s">
        <v>5969</v>
      </c>
      <c r="F748" t="s">
        <v>5970</v>
      </c>
      <c r="G748" t="s">
        <v>5971</v>
      </c>
      <c r="H748" s="21">
        <v>43026.278449074074</v>
      </c>
      <c r="I748" s="22" t="s">
        <v>1736</v>
      </c>
    </row>
    <row r="749" spans="1:9" x14ac:dyDescent="0.3">
      <c r="A749" t="s">
        <v>5972</v>
      </c>
      <c r="B749" t="s">
        <v>5973</v>
      </c>
      <c r="C749" s="20">
        <v>27301</v>
      </c>
      <c r="D749" t="s">
        <v>4548</v>
      </c>
      <c r="E749" t="s">
        <v>5974</v>
      </c>
      <c r="F749" t="s">
        <v>5975</v>
      </c>
      <c r="G749" t="s">
        <v>5976</v>
      </c>
      <c r="H749" s="21">
        <v>43421.624710648146</v>
      </c>
      <c r="I749" s="22" t="s">
        <v>1736</v>
      </c>
    </row>
    <row r="750" spans="1:9" x14ac:dyDescent="0.3">
      <c r="A750" t="s">
        <v>5977</v>
      </c>
      <c r="B750" t="s">
        <v>5978</v>
      </c>
      <c r="C750" s="20">
        <v>33415</v>
      </c>
      <c r="D750" t="s">
        <v>5979</v>
      </c>
      <c r="E750" t="s">
        <v>4548</v>
      </c>
      <c r="F750" t="s">
        <v>5980</v>
      </c>
      <c r="G750" t="s">
        <v>3149</v>
      </c>
      <c r="H750" s="21">
        <v>42673.342824074076</v>
      </c>
      <c r="I750" s="22" t="s">
        <v>1684</v>
      </c>
    </row>
    <row r="751" spans="1:9" x14ac:dyDescent="0.3">
      <c r="A751" t="s">
        <v>5981</v>
      </c>
      <c r="B751" t="s">
        <v>5982</v>
      </c>
      <c r="C751" s="20">
        <v>26514</v>
      </c>
      <c r="D751" t="s">
        <v>5983</v>
      </c>
      <c r="E751" t="s">
        <v>5984</v>
      </c>
      <c r="F751" t="s">
        <v>5985</v>
      </c>
      <c r="G751" t="s">
        <v>5986</v>
      </c>
      <c r="H751" s="21">
        <v>43837.938159722224</v>
      </c>
      <c r="I751" s="22" t="s">
        <v>1691</v>
      </c>
    </row>
    <row r="752" spans="1:9" x14ac:dyDescent="0.3">
      <c r="A752" t="s">
        <v>5987</v>
      </c>
      <c r="B752" t="s">
        <v>5988</v>
      </c>
      <c r="C752" s="20">
        <v>35927</v>
      </c>
      <c r="D752" t="s">
        <v>4548</v>
      </c>
      <c r="E752" t="s">
        <v>5989</v>
      </c>
      <c r="F752" t="s">
        <v>5990</v>
      </c>
      <c r="G752" t="s">
        <v>5991</v>
      </c>
      <c r="H752" s="21">
        <v>44280.695474537039</v>
      </c>
      <c r="I752" s="22" t="s">
        <v>1691</v>
      </c>
    </row>
    <row r="753" spans="1:9" x14ac:dyDescent="0.3">
      <c r="A753" t="s">
        <v>5992</v>
      </c>
      <c r="B753" t="s">
        <v>5993</v>
      </c>
      <c r="C753" s="20">
        <v>30769</v>
      </c>
      <c r="D753" t="s">
        <v>5994</v>
      </c>
      <c r="E753" t="s">
        <v>4548</v>
      </c>
      <c r="F753" t="s">
        <v>5995</v>
      </c>
      <c r="G753" t="s">
        <v>5996</v>
      </c>
      <c r="H753" s="21">
        <v>40729.800034722219</v>
      </c>
      <c r="I753" s="22" t="s">
        <v>1710</v>
      </c>
    </row>
    <row r="754" spans="1:9" x14ac:dyDescent="0.3">
      <c r="A754" t="s">
        <v>5997</v>
      </c>
      <c r="B754" t="s">
        <v>5998</v>
      </c>
      <c r="C754" s="20">
        <v>35955</v>
      </c>
      <c r="D754" t="s">
        <v>5999</v>
      </c>
      <c r="E754" t="s">
        <v>6000</v>
      </c>
      <c r="F754" t="s">
        <v>6001</v>
      </c>
      <c r="G754" t="s">
        <v>6002</v>
      </c>
      <c r="H754" s="21">
        <v>41057.017361111109</v>
      </c>
      <c r="I754" s="22" t="s">
        <v>1736</v>
      </c>
    </row>
    <row r="755" spans="1:9" x14ac:dyDescent="0.3">
      <c r="A755" t="s">
        <v>6003</v>
      </c>
      <c r="B755" t="s">
        <v>6004</v>
      </c>
      <c r="C755" s="20">
        <v>34241</v>
      </c>
      <c r="D755" t="s">
        <v>4548</v>
      </c>
      <c r="E755" t="s">
        <v>6005</v>
      </c>
      <c r="F755" t="s">
        <v>6006</v>
      </c>
      <c r="G755" t="s">
        <v>6007</v>
      </c>
      <c r="H755" s="21">
        <v>39878.067916666667</v>
      </c>
      <c r="I755" s="22" t="s">
        <v>1710</v>
      </c>
    </row>
    <row r="756" spans="1:9" x14ac:dyDescent="0.3">
      <c r="A756" t="s">
        <v>6008</v>
      </c>
      <c r="B756" t="s">
        <v>6009</v>
      </c>
      <c r="C756" s="20">
        <v>27897</v>
      </c>
      <c r="D756" t="s">
        <v>6010</v>
      </c>
      <c r="E756" t="s">
        <v>4548</v>
      </c>
      <c r="F756" t="s">
        <v>6011</v>
      </c>
      <c r="G756" t="s">
        <v>6012</v>
      </c>
      <c r="H756" s="21">
        <v>38433.094340277778</v>
      </c>
      <c r="I756" s="22" t="s">
        <v>1710</v>
      </c>
    </row>
    <row r="757" spans="1:9" x14ac:dyDescent="0.3">
      <c r="A757" t="s">
        <v>6013</v>
      </c>
      <c r="B757" t="s">
        <v>6014</v>
      </c>
      <c r="C757" s="20">
        <v>32655</v>
      </c>
      <c r="D757" t="s">
        <v>6015</v>
      </c>
      <c r="E757" t="s">
        <v>6016</v>
      </c>
      <c r="F757" t="s">
        <v>6017</v>
      </c>
      <c r="G757" t="s">
        <v>6018</v>
      </c>
      <c r="H757" s="21">
        <v>40869.630023148151</v>
      </c>
      <c r="I757" s="22" t="s">
        <v>1710</v>
      </c>
    </row>
    <row r="758" spans="1:9" x14ac:dyDescent="0.3">
      <c r="A758" t="s">
        <v>6019</v>
      </c>
      <c r="B758" t="s">
        <v>6020</v>
      </c>
      <c r="C758" s="20">
        <v>32352</v>
      </c>
      <c r="D758" t="s">
        <v>4548</v>
      </c>
      <c r="E758" t="s">
        <v>6021</v>
      </c>
      <c r="F758" t="s">
        <v>6022</v>
      </c>
      <c r="G758" t="s">
        <v>6023</v>
      </c>
      <c r="H758" s="21">
        <v>40994.507210648146</v>
      </c>
      <c r="I758" s="22" t="s">
        <v>1691</v>
      </c>
    </row>
    <row r="759" spans="1:9" x14ac:dyDescent="0.3">
      <c r="A759" t="s">
        <v>6024</v>
      </c>
      <c r="B759" t="s">
        <v>6025</v>
      </c>
      <c r="C759" s="20">
        <v>36529</v>
      </c>
      <c r="D759" t="s">
        <v>6026</v>
      </c>
      <c r="E759" t="s">
        <v>4548</v>
      </c>
      <c r="F759" t="s">
        <v>6027</v>
      </c>
      <c r="G759" t="s">
        <v>6028</v>
      </c>
      <c r="H759" s="21">
        <v>39299.056134259263</v>
      </c>
      <c r="I759" s="22" t="s">
        <v>1729</v>
      </c>
    </row>
    <row r="760" spans="1:9" x14ac:dyDescent="0.3">
      <c r="A760" t="s">
        <v>6029</v>
      </c>
      <c r="B760" t="s">
        <v>6030</v>
      </c>
      <c r="C760" s="20">
        <v>28418</v>
      </c>
      <c r="D760" t="s">
        <v>6031</v>
      </c>
      <c r="E760" t="s">
        <v>5636</v>
      </c>
      <c r="F760" t="s">
        <v>6032</v>
      </c>
      <c r="G760" t="s">
        <v>6033</v>
      </c>
      <c r="H760" s="21">
        <v>43142.622395833336</v>
      </c>
      <c r="I760" s="22" t="s">
        <v>1729</v>
      </c>
    </row>
    <row r="761" spans="1:9" x14ac:dyDescent="0.3">
      <c r="A761" t="s">
        <v>6034</v>
      </c>
      <c r="B761" t="s">
        <v>6035</v>
      </c>
      <c r="C761" s="20">
        <v>35618</v>
      </c>
      <c r="D761" t="s">
        <v>4548</v>
      </c>
      <c r="E761" t="s">
        <v>6036</v>
      </c>
      <c r="F761" t="s">
        <v>6037</v>
      </c>
      <c r="G761" t="s">
        <v>4376</v>
      </c>
      <c r="H761" s="21">
        <v>43036.935555555552</v>
      </c>
      <c r="I761" s="22" t="s">
        <v>1684</v>
      </c>
    </row>
    <row r="762" spans="1:9" x14ac:dyDescent="0.3">
      <c r="A762" t="s">
        <v>6038</v>
      </c>
      <c r="B762" t="s">
        <v>6039</v>
      </c>
      <c r="C762" s="20">
        <v>30932</v>
      </c>
      <c r="D762" t="s">
        <v>6040</v>
      </c>
      <c r="E762" t="s">
        <v>6041</v>
      </c>
      <c r="F762" t="s">
        <v>6042</v>
      </c>
      <c r="G762" t="s">
        <v>6043</v>
      </c>
      <c r="H762" s="21">
        <v>40181.425254629627</v>
      </c>
      <c r="I762" s="22" t="s">
        <v>1710</v>
      </c>
    </row>
    <row r="763" spans="1:9" x14ac:dyDescent="0.3">
      <c r="A763" t="s">
        <v>6044</v>
      </c>
      <c r="B763" t="s">
        <v>6045</v>
      </c>
      <c r="C763" s="20">
        <v>31456</v>
      </c>
      <c r="D763" t="s">
        <v>6046</v>
      </c>
      <c r="E763" t="s">
        <v>6047</v>
      </c>
      <c r="F763" t="s">
        <v>6048</v>
      </c>
      <c r="G763" t="s">
        <v>6049</v>
      </c>
      <c r="H763" s="21">
        <v>39143.313518518517</v>
      </c>
      <c r="I763" s="22" t="s">
        <v>1736</v>
      </c>
    </row>
    <row r="764" spans="1:9" x14ac:dyDescent="0.3">
      <c r="A764" t="s">
        <v>6050</v>
      </c>
      <c r="B764" t="s">
        <v>6051</v>
      </c>
      <c r="C764" s="20">
        <v>30220</v>
      </c>
      <c r="D764" t="s">
        <v>6052</v>
      </c>
      <c r="E764" t="s">
        <v>6053</v>
      </c>
      <c r="F764" t="s">
        <v>6054</v>
      </c>
      <c r="G764" t="s">
        <v>6055</v>
      </c>
      <c r="H764" s="21">
        <v>42464.900023148148</v>
      </c>
      <c r="I764" s="22" t="s">
        <v>1736</v>
      </c>
    </row>
    <row r="765" spans="1:9" x14ac:dyDescent="0.3">
      <c r="A765" t="s">
        <v>6056</v>
      </c>
      <c r="B765" t="s">
        <v>6057</v>
      </c>
      <c r="C765" s="20">
        <v>29690</v>
      </c>
      <c r="D765" t="s">
        <v>6058</v>
      </c>
      <c r="E765" t="s">
        <v>6059</v>
      </c>
      <c r="F765" t="s">
        <v>6060</v>
      </c>
      <c r="G765" t="s">
        <v>6061</v>
      </c>
      <c r="H765" s="21">
        <v>41455.740972222222</v>
      </c>
      <c r="I765" s="22" t="s">
        <v>1684</v>
      </c>
    </row>
    <row r="766" spans="1:9" x14ac:dyDescent="0.3">
      <c r="A766" t="s">
        <v>6062</v>
      </c>
      <c r="B766" t="s">
        <v>6063</v>
      </c>
      <c r="C766" s="20">
        <v>29636</v>
      </c>
      <c r="D766" t="s">
        <v>6064</v>
      </c>
      <c r="E766" t="s">
        <v>6065</v>
      </c>
      <c r="F766" t="s">
        <v>6066</v>
      </c>
      <c r="G766" t="s">
        <v>6067</v>
      </c>
      <c r="H766" s="21">
        <v>41538.797858796293</v>
      </c>
      <c r="I766" s="22" t="s">
        <v>1684</v>
      </c>
    </row>
    <row r="767" spans="1:9" x14ac:dyDescent="0.3">
      <c r="A767" t="s">
        <v>6068</v>
      </c>
      <c r="B767" t="s">
        <v>6069</v>
      </c>
      <c r="C767" s="20">
        <v>34340</v>
      </c>
      <c r="D767" t="s">
        <v>6070</v>
      </c>
      <c r="E767" t="s">
        <v>6071</v>
      </c>
      <c r="F767" t="s">
        <v>6072</v>
      </c>
      <c r="G767" t="s">
        <v>6073</v>
      </c>
      <c r="H767" s="21">
        <v>40501.422175925924</v>
      </c>
      <c r="I767" s="22" t="s">
        <v>1729</v>
      </c>
    </row>
    <row r="768" spans="1:9" x14ac:dyDescent="0.3">
      <c r="A768" t="s">
        <v>6074</v>
      </c>
      <c r="B768" t="s">
        <v>6075</v>
      </c>
      <c r="C768" s="20">
        <v>27036</v>
      </c>
      <c r="D768" t="s">
        <v>6076</v>
      </c>
      <c r="E768" t="s">
        <v>6077</v>
      </c>
      <c r="F768" t="s">
        <v>6078</v>
      </c>
      <c r="G768" t="s">
        <v>6079</v>
      </c>
      <c r="H768" s="21">
        <v>41882.254340277781</v>
      </c>
      <c r="I768" s="22" t="s">
        <v>1710</v>
      </c>
    </row>
    <row r="769" spans="1:9" x14ac:dyDescent="0.3">
      <c r="A769" t="s">
        <v>6080</v>
      </c>
      <c r="B769" t="s">
        <v>6081</v>
      </c>
      <c r="C769" s="20">
        <v>29707</v>
      </c>
      <c r="D769" t="s">
        <v>6082</v>
      </c>
      <c r="E769" t="s">
        <v>6083</v>
      </c>
      <c r="F769" t="s">
        <v>6084</v>
      </c>
      <c r="G769" t="s">
        <v>6085</v>
      </c>
      <c r="H769" s="21">
        <v>43223.985127314816</v>
      </c>
      <c r="I769" s="22" t="s">
        <v>1710</v>
      </c>
    </row>
    <row r="770" spans="1:9" x14ac:dyDescent="0.3">
      <c r="A770" t="s">
        <v>6086</v>
      </c>
      <c r="B770" t="s">
        <v>6087</v>
      </c>
      <c r="C770" s="20">
        <v>31574</v>
      </c>
      <c r="D770" t="s">
        <v>6088</v>
      </c>
      <c r="E770" t="s">
        <v>6089</v>
      </c>
      <c r="F770" t="s">
        <v>6090</v>
      </c>
      <c r="G770" t="s">
        <v>6091</v>
      </c>
      <c r="H770" s="21">
        <v>43569.197800925926</v>
      </c>
      <c r="I770" s="22" t="s">
        <v>1710</v>
      </c>
    </row>
    <row r="771" spans="1:9" x14ac:dyDescent="0.3">
      <c r="A771" t="s">
        <v>6092</v>
      </c>
      <c r="B771" t="s">
        <v>6093</v>
      </c>
      <c r="C771" s="20">
        <v>31696</v>
      </c>
      <c r="D771" t="s">
        <v>6094</v>
      </c>
      <c r="E771" t="s">
        <v>6095</v>
      </c>
      <c r="F771" t="s">
        <v>6096</v>
      </c>
      <c r="G771" t="s">
        <v>6097</v>
      </c>
      <c r="H771" s="21">
        <v>43508.367592592593</v>
      </c>
      <c r="I771" s="22" t="s">
        <v>1736</v>
      </c>
    </row>
    <row r="772" spans="1:9" x14ac:dyDescent="0.3">
      <c r="A772" t="s">
        <v>6098</v>
      </c>
      <c r="B772" t="s">
        <v>6099</v>
      </c>
      <c r="C772" s="20">
        <v>30713</v>
      </c>
      <c r="D772" t="s">
        <v>6100</v>
      </c>
      <c r="E772" t="s">
        <v>6101</v>
      </c>
      <c r="F772" t="s">
        <v>6102</v>
      </c>
      <c r="G772" t="s">
        <v>2946</v>
      </c>
      <c r="H772" s="21">
        <v>40103.933125000003</v>
      </c>
      <c r="I772" s="22" t="s">
        <v>1684</v>
      </c>
    </row>
    <row r="773" spans="1:9" x14ac:dyDescent="0.3">
      <c r="A773" t="s">
        <v>6103</v>
      </c>
      <c r="B773" t="s">
        <v>6104</v>
      </c>
      <c r="C773" s="20">
        <v>32172</v>
      </c>
      <c r="D773" t="s">
        <v>6105</v>
      </c>
      <c r="E773" t="s">
        <v>6106</v>
      </c>
      <c r="F773" t="s">
        <v>6107</v>
      </c>
      <c r="G773" t="s">
        <v>6108</v>
      </c>
      <c r="H773" s="21">
        <v>38468.540844907409</v>
      </c>
      <c r="I773" s="22" t="s">
        <v>1691</v>
      </c>
    </row>
    <row r="774" spans="1:9" x14ac:dyDescent="0.3">
      <c r="A774" t="s">
        <v>6109</v>
      </c>
      <c r="B774" t="s">
        <v>6110</v>
      </c>
      <c r="C774" s="20">
        <v>29211</v>
      </c>
      <c r="D774" t="s">
        <v>6111</v>
      </c>
      <c r="E774" t="s">
        <v>6112</v>
      </c>
      <c r="F774" t="s">
        <v>6113</v>
      </c>
      <c r="G774" t="s">
        <v>6114</v>
      </c>
      <c r="H774" s="21">
        <v>43970.168171296296</v>
      </c>
      <c r="I774" s="22" t="s">
        <v>1729</v>
      </c>
    </row>
    <row r="775" spans="1:9" x14ac:dyDescent="0.3">
      <c r="A775" t="s">
        <v>6115</v>
      </c>
      <c r="B775" t="s">
        <v>6116</v>
      </c>
      <c r="C775" s="20">
        <v>26668</v>
      </c>
      <c r="D775" t="s">
        <v>6117</v>
      </c>
      <c r="E775" t="s">
        <v>6118</v>
      </c>
      <c r="F775" t="s">
        <v>6119</v>
      </c>
      <c r="G775" t="s">
        <v>6120</v>
      </c>
      <c r="H775" s="21">
        <v>40186.232372685183</v>
      </c>
      <c r="I775" s="22" t="s">
        <v>1691</v>
      </c>
    </row>
    <row r="776" spans="1:9" x14ac:dyDescent="0.3">
      <c r="A776" t="s">
        <v>6121</v>
      </c>
      <c r="B776" t="s">
        <v>6122</v>
      </c>
      <c r="C776" s="20">
        <v>32007</v>
      </c>
      <c r="D776" t="s">
        <v>6123</v>
      </c>
      <c r="E776" t="s">
        <v>6124</v>
      </c>
      <c r="F776" t="s">
        <v>6125</v>
      </c>
      <c r="G776" t="s">
        <v>6126</v>
      </c>
      <c r="H776" s="21">
        <v>41001.930300925924</v>
      </c>
      <c r="I776" s="22" t="s">
        <v>1684</v>
      </c>
    </row>
    <row r="777" spans="1:9" x14ac:dyDescent="0.3">
      <c r="A777" t="s">
        <v>6127</v>
      </c>
      <c r="B777" t="s">
        <v>6128</v>
      </c>
      <c r="C777" s="20">
        <v>32400</v>
      </c>
      <c r="D777" t="s">
        <v>6129</v>
      </c>
      <c r="E777" t="s">
        <v>6130</v>
      </c>
      <c r="F777" t="s">
        <v>6131</v>
      </c>
      <c r="G777" t="s">
        <v>6132</v>
      </c>
      <c r="H777" s="21">
        <v>44319.212546296294</v>
      </c>
      <c r="I777" s="22" t="s">
        <v>1729</v>
      </c>
    </row>
    <row r="778" spans="1:9" x14ac:dyDescent="0.3">
      <c r="A778" t="s">
        <v>6133</v>
      </c>
      <c r="B778" t="s">
        <v>6134</v>
      </c>
      <c r="C778" s="20">
        <v>35884</v>
      </c>
      <c r="D778" t="s">
        <v>6135</v>
      </c>
      <c r="E778" t="s">
        <v>6136</v>
      </c>
      <c r="F778" t="s">
        <v>6137</v>
      </c>
      <c r="G778" t="s">
        <v>6138</v>
      </c>
      <c r="H778" s="21">
        <v>43702.71197916667</v>
      </c>
      <c r="I778" s="22" t="s">
        <v>1691</v>
      </c>
    </row>
    <row r="779" spans="1:9" x14ac:dyDescent="0.3">
      <c r="A779" t="s">
        <v>6139</v>
      </c>
      <c r="B779" t="s">
        <v>6140</v>
      </c>
      <c r="C779" s="20">
        <v>34712</v>
      </c>
      <c r="D779" t="s">
        <v>6141</v>
      </c>
      <c r="E779" t="s">
        <v>6142</v>
      </c>
      <c r="F779" t="s">
        <v>6143</v>
      </c>
      <c r="G779" t="s">
        <v>6144</v>
      </c>
      <c r="H779" s="21">
        <v>41484.820277777777</v>
      </c>
      <c r="I779" s="22" t="s">
        <v>1691</v>
      </c>
    </row>
    <row r="780" spans="1:9" x14ac:dyDescent="0.3">
      <c r="A780" t="s">
        <v>6145</v>
      </c>
      <c r="B780" t="s">
        <v>6146</v>
      </c>
      <c r="C780" s="20">
        <v>31959</v>
      </c>
      <c r="D780" t="s">
        <v>6147</v>
      </c>
      <c r="E780" t="s">
        <v>6148</v>
      </c>
      <c r="F780" t="s">
        <v>6149</v>
      </c>
      <c r="G780" t="s">
        <v>6150</v>
      </c>
      <c r="H780" s="21">
        <v>41534.801342592589</v>
      </c>
      <c r="I780" s="22" t="s">
        <v>1710</v>
      </c>
    </row>
    <row r="781" spans="1:9" x14ac:dyDescent="0.3">
      <c r="A781" t="s">
        <v>6151</v>
      </c>
      <c r="B781" t="s">
        <v>6152</v>
      </c>
      <c r="C781" s="20">
        <v>36265</v>
      </c>
      <c r="D781" t="s">
        <v>6153</v>
      </c>
      <c r="E781" t="s">
        <v>6154</v>
      </c>
      <c r="F781" t="s">
        <v>6155</v>
      </c>
      <c r="G781" t="s">
        <v>6156</v>
      </c>
      <c r="H781" s="21">
        <v>44308.210914351854</v>
      </c>
      <c r="I781" s="22" t="s">
        <v>1729</v>
      </c>
    </row>
    <row r="782" spans="1:9" x14ac:dyDescent="0.3">
      <c r="A782" t="s">
        <v>6157</v>
      </c>
      <c r="B782" t="s">
        <v>6158</v>
      </c>
      <c r="C782" s="20">
        <v>35295</v>
      </c>
      <c r="D782" t="s">
        <v>6159</v>
      </c>
      <c r="E782" t="s">
        <v>6160</v>
      </c>
      <c r="F782" t="s">
        <v>6161</v>
      </c>
      <c r="G782" t="s">
        <v>6162</v>
      </c>
      <c r="H782" s="21">
        <v>44268.747118055559</v>
      </c>
      <c r="I782" s="22" t="s">
        <v>1736</v>
      </c>
    </row>
    <row r="783" spans="1:9" x14ac:dyDescent="0.3">
      <c r="A783" t="s">
        <v>6163</v>
      </c>
      <c r="B783" t="s">
        <v>6164</v>
      </c>
      <c r="C783" s="20">
        <v>36307</v>
      </c>
      <c r="D783" t="s">
        <v>6165</v>
      </c>
      <c r="E783" t="s">
        <v>6166</v>
      </c>
      <c r="F783" t="s">
        <v>6167</v>
      </c>
      <c r="G783" t="s">
        <v>6168</v>
      </c>
      <c r="H783" s="21">
        <v>42010.661712962959</v>
      </c>
      <c r="I783" s="22" t="s">
        <v>1736</v>
      </c>
    </row>
    <row r="784" spans="1:9" x14ac:dyDescent="0.3">
      <c r="A784" t="s">
        <v>6169</v>
      </c>
      <c r="B784" t="s">
        <v>6170</v>
      </c>
      <c r="C784" s="20">
        <v>30703</v>
      </c>
      <c r="D784" t="s">
        <v>6171</v>
      </c>
      <c r="E784" t="s">
        <v>6172</v>
      </c>
      <c r="F784" t="s">
        <v>6173</v>
      </c>
      <c r="G784" t="s">
        <v>6174</v>
      </c>
      <c r="H784" s="21">
        <v>40769.972812499997</v>
      </c>
      <c r="I784" s="22" t="s">
        <v>1691</v>
      </c>
    </row>
    <row r="785" spans="1:9" x14ac:dyDescent="0.3">
      <c r="A785" t="s">
        <v>6175</v>
      </c>
      <c r="B785" t="s">
        <v>6176</v>
      </c>
      <c r="C785" s="20">
        <v>30673</v>
      </c>
      <c r="D785" t="s">
        <v>6177</v>
      </c>
      <c r="E785" t="s">
        <v>6178</v>
      </c>
      <c r="F785" t="s">
        <v>6179</v>
      </c>
      <c r="G785" t="s">
        <v>6180</v>
      </c>
      <c r="H785" s="21">
        <v>40267.126203703701</v>
      </c>
      <c r="I785" s="22" t="s">
        <v>1691</v>
      </c>
    </row>
    <row r="786" spans="1:9" x14ac:dyDescent="0.3">
      <c r="A786" t="s">
        <v>6181</v>
      </c>
      <c r="B786" t="s">
        <v>6182</v>
      </c>
      <c r="C786" s="20">
        <v>28967</v>
      </c>
      <c r="D786" t="s">
        <v>6183</v>
      </c>
      <c r="E786" t="s">
        <v>6184</v>
      </c>
      <c r="F786" t="s">
        <v>6185</v>
      </c>
      <c r="G786" t="s">
        <v>6186</v>
      </c>
      <c r="H786" s="21">
        <v>43781.870729166665</v>
      </c>
      <c r="I786" s="22" t="s">
        <v>1736</v>
      </c>
    </row>
    <row r="787" spans="1:9" x14ac:dyDescent="0.3">
      <c r="A787" t="s">
        <v>6187</v>
      </c>
      <c r="B787" t="s">
        <v>6188</v>
      </c>
      <c r="C787" s="20">
        <v>33032</v>
      </c>
      <c r="D787" t="s">
        <v>6189</v>
      </c>
      <c r="E787" t="s">
        <v>6190</v>
      </c>
      <c r="F787" t="s">
        <v>6191</v>
      </c>
      <c r="G787" t="s">
        <v>6192</v>
      </c>
      <c r="H787" s="21">
        <v>40600.060335648152</v>
      </c>
      <c r="I787" s="22" t="s">
        <v>1710</v>
      </c>
    </row>
    <row r="788" spans="1:9" x14ac:dyDescent="0.3">
      <c r="A788" t="s">
        <v>6193</v>
      </c>
      <c r="B788" t="s">
        <v>6194</v>
      </c>
      <c r="C788" s="20">
        <v>29676</v>
      </c>
      <c r="D788" t="s">
        <v>6195</v>
      </c>
      <c r="E788" t="s">
        <v>6196</v>
      </c>
      <c r="F788" t="s">
        <v>6197</v>
      </c>
      <c r="G788" t="s">
        <v>6198</v>
      </c>
      <c r="H788" s="21">
        <v>44184.774097222224</v>
      </c>
      <c r="I788" s="22" t="s">
        <v>1710</v>
      </c>
    </row>
    <row r="789" spans="1:9" x14ac:dyDescent="0.3">
      <c r="A789" t="s">
        <v>6199</v>
      </c>
      <c r="B789" t="s">
        <v>6200</v>
      </c>
      <c r="C789" s="20">
        <v>34685</v>
      </c>
      <c r="D789" t="s">
        <v>6201</v>
      </c>
      <c r="E789" t="s">
        <v>1740</v>
      </c>
      <c r="F789" t="s">
        <v>6202</v>
      </c>
      <c r="G789" t="s">
        <v>6203</v>
      </c>
      <c r="H789" s="21">
        <v>40585.714432870373</v>
      </c>
      <c r="I789" s="22" t="s">
        <v>1691</v>
      </c>
    </row>
    <row r="790" spans="1:9" x14ac:dyDescent="0.3">
      <c r="A790" t="s">
        <v>6204</v>
      </c>
      <c r="B790" t="s">
        <v>6205</v>
      </c>
      <c r="C790" s="20">
        <v>30736</v>
      </c>
      <c r="D790" t="s">
        <v>6206</v>
      </c>
      <c r="E790" t="s">
        <v>6207</v>
      </c>
      <c r="F790" t="s">
        <v>6208</v>
      </c>
      <c r="G790" t="s">
        <v>6209</v>
      </c>
      <c r="H790" s="21">
        <v>38978.709490740737</v>
      </c>
      <c r="I790" s="22" t="s">
        <v>1684</v>
      </c>
    </row>
    <row r="791" spans="1:9" x14ac:dyDescent="0.3">
      <c r="A791" t="s">
        <v>6210</v>
      </c>
      <c r="B791" t="s">
        <v>6211</v>
      </c>
      <c r="C791" s="20">
        <v>29408</v>
      </c>
      <c r="D791" t="s">
        <v>6212</v>
      </c>
      <c r="E791" t="s">
        <v>6213</v>
      </c>
      <c r="F791" t="s">
        <v>6214</v>
      </c>
      <c r="G791" t="s">
        <v>6215</v>
      </c>
      <c r="H791" s="21">
        <v>40800.560057870367</v>
      </c>
      <c r="I791" s="22" t="s">
        <v>1684</v>
      </c>
    </row>
    <row r="792" spans="1:9" x14ac:dyDescent="0.3">
      <c r="A792" t="s">
        <v>6216</v>
      </c>
      <c r="B792" t="s">
        <v>6217</v>
      </c>
      <c r="C792" s="20">
        <v>33954</v>
      </c>
      <c r="D792" t="s">
        <v>6218</v>
      </c>
      <c r="E792" t="s">
        <v>6219</v>
      </c>
      <c r="F792" t="s">
        <v>6220</v>
      </c>
      <c r="G792" t="s">
        <v>6221</v>
      </c>
      <c r="H792" s="21">
        <v>43631.964629629627</v>
      </c>
      <c r="I792" s="22" t="s">
        <v>1729</v>
      </c>
    </row>
    <row r="793" spans="1:9" x14ac:dyDescent="0.3">
      <c r="A793" t="s">
        <v>6222</v>
      </c>
      <c r="B793" t="s">
        <v>6223</v>
      </c>
      <c r="C793" s="20">
        <v>26772</v>
      </c>
      <c r="D793" t="s">
        <v>6224</v>
      </c>
      <c r="E793" t="s">
        <v>6225</v>
      </c>
      <c r="F793" t="s">
        <v>6226</v>
      </c>
      <c r="G793" t="s">
        <v>6227</v>
      </c>
      <c r="H793" s="21">
        <v>38886.242777777778</v>
      </c>
      <c r="I793" s="22" t="s">
        <v>1736</v>
      </c>
    </row>
    <row r="794" spans="1:9" x14ac:dyDescent="0.3">
      <c r="A794" t="s">
        <v>6228</v>
      </c>
      <c r="B794" t="s">
        <v>6229</v>
      </c>
      <c r="C794" s="20">
        <v>31633</v>
      </c>
      <c r="D794" t="s">
        <v>6230</v>
      </c>
      <c r="E794" t="s">
        <v>6231</v>
      </c>
      <c r="F794" t="s">
        <v>6232</v>
      </c>
      <c r="G794" t="s">
        <v>6233</v>
      </c>
      <c r="H794" s="21">
        <v>40023.896273148152</v>
      </c>
      <c r="I794" s="22" t="s">
        <v>1729</v>
      </c>
    </row>
    <row r="795" spans="1:9" x14ac:dyDescent="0.3">
      <c r="A795" t="s">
        <v>6234</v>
      </c>
      <c r="B795" t="s">
        <v>6235</v>
      </c>
      <c r="C795" s="20">
        <v>26434</v>
      </c>
      <c r="D795" t="s">
        <v>6236</v>
      </c>
      <c r="E795" t="s">
        <v>6237</v>
      </c>
      <c r="F795" t="s">
        <v>6238</v>
      </c>
      <c r="G795" t="s">
        <v>6239</v>
      </c>
      <c r="H795" s="21">
        <v>40989.721851851849</v>
      </c>
      <c r="I795" s="22" t="s">
        <v>1684</v>
      </c>
    </row>
    <row r="796" spans="1:9" x14ac:dyDescent="0.3">
      <c r="A796" t="s">
        <v>6240</v>
      </c>
      <c r="B796" t="s">
        <v>6241</v>
      </c>
      <c r="C796" s="20">
        <v>28639</v>
      </c>
      <c r="D796" t="s">
        <v>6242</v>
      </c>
      <c r="E796" t="s">
        <v>6243</v>
      </c>
      <c r="F796" t="s">
        <v>6244</v>
      </c>
      <c r="G796" t="s">
        <v>6245</v>
      </c>
      <c r="H796" s="21">
        <v>39470.547118055554</v>
      </c>
      <c r="I796" s="22" t="s">
        <v>1736</v>
      </c>
    </row>
    <row r="797" spans="1:9" x14ac:dyDescent="0.3">
      <c r="A797" t="s">
        <v>6246</v>
      </c>
      <c r="B797" t="s">
        <v>6247</v>
      </c>
      <c r="C797" s="20">
        <v>28761</v>
      </c>
      <c r="D797" t="s">
        <v>6248</v>
      </c>
      <c r="E797" t="s">
        <v>6249</v>
      </c>
      <c r="F797" t="s">
        <v>6250</v>
      </c>
      <c r="G797" t="s">
        <v>6251</v>
      </c>
      <c r="H797" s="21">
        <v>43582.424571759257</v>
      </c>
      <c r="I797" s="22" t="s">
        <v>1691</v>
      </c>
    </row>
    <row r="798" spans="1:9" x14ac:dyDescent="0.3">
      <c r="A798" t="s">
        <v>6252</v>
      </c>
      <c r="B798" t="s">
        <v>6253</v>
      </c>
      <c r="C798" s="20">
        <v>34537</v>
      </c>
      <c r="D798" t="s">
        <v>6254</v>
      </c>
      <c r="E798" t="s">
        <v>6255</v>
      </c>
      <c r="F798" t="s">
        <v>6256</v>
      </c>
      <c r="G798" t="s">
        <v>6257</v>
      </c>
      <c r="H798" s="21">
        <v>42159.413229166668</v>
      </c>
      <c r="I798" s="22" t="s">
        <v>1736</v>
      </c>
    </row>
    <row r="799" spans="1:9" x14ac:dyDescent="0.3">
      <c r="A799" t="s">
        <v>6258</v>
      </c>
      <c r="B799" t="s">
        <v>6259</v>
      </c>
      <c r="C799" s="20">
        <v>31783</v>
      </c>
      <c r="D799" t="s">
        <v>6260</v>
      </c>
      <c r="E799" t="s">
        <v>6261</v>
      </c>
      <c r="F799" t="s">
        <v>6262</v>
      </c>
      <c r="G799" t="s">
        <v>6263</v>
      </c>
      <c r="H799" s="21">
        <v>38927.610682870371</v>
      </c>
      <c r="I799" s="22" t="s">
        <v>1729</v>
      </c>
    </row>
    <row r="800" spans="1:9" x14ac:dyDescent="0.3">
      <c r="A800" t="s">
        <v>6264</v>
      </c>
      <c r="B800" t="s">
        <v>6265</v>
      </c>
      <c r="C800" s="20">
        <v>34457</v>
      </c>
      <c r="D800" t="s">
        <v>6266</v>
      </c>
      <c r="E800" t="s">
        <v>6267</v>
      </c>
      <c r="F800" t="s">
        <v>6268</v>
      </c>
      <c r="G800" t="s">
        <v>6269</v>
      </c>
      <c r="H800" s="21">
        <v>40090.429664351854</v>
      </c>
      <c r="I800" s="22" t="s">
        <v>1684</v>
      </c>
    </row>
    <row r="801" spans="1:9" x14ac:dyDescent="0.3">
      <c r="A801" t="s">
        <v>6270</v>
      </c>
      <c r="B801" t="s">
        <v>6271</v>
      </c>
      <c r="C801" s="20">
        <v>29056</v>
      </c>
      <c r="D801" t="s">
        <v>6272</v>
      </c>
      <c r="E801" t="s">
        <v>6273</v>
      </c>
      <c r="F801" t="s">
        <v>6274</v>
      </c>
      <c r="G801" t="s">
        <v>6275</v>
      </c>
      <c r="H801" s="21">
        <v>38887.521863425929</v>
      </c>
      <c r="I801" s="22" t="s">
        <v>1710</v>
      </c>
    </row>
    <row r="802" spans="1:9" x14ac:dyDescent="0.3">
      <c r="A802" t="s">
        <v>6276</v>
      </c>
      <c r="B802" t="s">
        <v>6277</v>
      </c>
      <c r="C802" s="20">
        <v>31861</v>
      </c>
      <c r="D802" t="s">
        <v>6278</v>
      </c>
      <c r="E802" t="s">
        <v>6279</v>
      </c>
      <c r="F802" t="s">
        <v>6280</v>
      </c>
      <c r="G802" t="s">
        <v>6281</v>
      </c>
      <c r="H802" s="21">
        <v>40312.03334490741</v>
      </c>
      <c r="I802" s="22" t="s">
        <v>1684</v>
      </c>
    </row>
    <row r="803" spans="1:9" x14ac:dyDescent="0.3">
      <c r="A803" t="s">
        <v>6282</v>
      </c>
      <c r="B803" t="s">
        <v>6283</v>
      </c>
      <c r="C803" s="20">
        <v>36517</v>
      </c>
      <c r="D803" t="s">
        <v>6284</v>
      </c>
      <c r="E803" t="s">
        <v>6285</v>
      </c>
      <c r="F803" t="s">
        <v>6286</v>
      </c>
      <c r="G803" t="s">
        <v>6287</v>
      </c>
      <c r="H803" s="21">
        <v>40591.263379629629</v>
      </c>
      <c r="I803" s="22" t="s">
        <v>1736</v>
      </c>
    </row>
    <row r="804" spans="1:9" x14ac:dyDescent="0.3">
      <c r="A804" t="s">
        <v>6288</v>
      </c>
      <c r="B804" t="s">
        <v>6289</v>
      </c>
      <c r="C804" s="20">
        <v>30654</v>
      </c>
      <c r="D804" t="s">
        <v>6290</v>
      </c>
      <c r="E804" t="s">
        <v>6291</v>
      </c>
      <c r="F804" t="s">
        <v>6292</v>
      </c>
      <c r="G804" t="s">
        <v>6293</v>
      </c>
      <c r="H804" s="21">
        <v>42035.980613425927</v>
      </c>
      <c r="I804" s="22" t="s">
        <v>1684</v>
      </c>
    </row>
    <row r="805" spans="1:9" x14ac:dyDescent="0.3">
      <c r="A805" t="s">
        <v>6294</v>
      </c>
      <c r="B805" t="s">
        <v>6295</v>
      </c>
      <c r="C805" s="20">
        <v>29657</v>
      </c>
      <c r="D805" t="s">
        <v>6296</v>
      </c>
      <c r="E805" t="s">
        <v>6297</v>
      </c>
      <c r="F805" t="s">
        <v>6298</v>
      </c>
      <c r="G805" t="s">
        <v>6299</v>
      </c>
      <c r="H805" s="21">
        <v>42338.018888888888</v>
      </c>
      <c r="I805" s="22" t="s">
        <v>1710</v>
      </c>
    </row>
    <row r="806" spans="1:9" x14ac:dyDescent="0.3">
      <c r="A806" t="s">
        <v>6300</v>
      </c>
      <c r="B806" t="s">
        <v>6301</v>
      </c>
      <c r="C806" s="20">
        <v>32494</v>
      </c>
      <c r="D806" t="s">
        <v>6302</v>
      </c>
      <c r="E806" t="s">
        <v>6303</v>
      </c>
      <c r="F806" t="s">
        <v>6304</v>
      </c>
      <c r="G806" t="s">
        <v>6305</v>
      </c>
      <c r="H806" s="21">
        <v>41664.204872685186</v>
      </c>
      <c r="I806" s="22" t="s">
        <v>1736</v>
      </c>
    </row>
    <row r="807" spans="1:9" x14ac:dyDescent="0.3">
      <c r="A807" t="s">
        <v>6306</v>
      </c>
      <c r="B807" t="s">
        <v>6307</v>
      </c>
      <c r="C807" s="20">
        <v>32397</v>
      </c>
      <c r="D807" t="s">
        <v>6308</v>
      </c>
      <c r="E807" t="s">
        <v>6309</v>
      </c>
      <c r="F807" t="s">
        <v>6310</v>
      </c>
      <c r="G807" t="s">
        <v>6311</v>
      </c>
      <c r="H807" s="21">
        <v>42323.799907407411</v>
      </c>
      <c r="I807" s="22" t="s">
        <v>1736</v>
      </c>
    </row>
    <row r="808" spans="1:9" x14ac:dyDescent="0.3">
      <c r="A808" t="s">
        <v>6312</v>
      </c>
      <c r="B808" t="s">
        <v>6313</v>
      </c>
      <c r="C808" s="20">
        <v>33086</v>
      </c>
      <c r="D808" t="s">
        <v>6314</v>
      </c>
      <c r="E808" t="s">
        <v>6315</v>
      </c>
      <c r="F808" t="s">
        <v>6316</v>
      </c>
      <c r="G808" t="s">
        <v>6317</v>
      </c>
      <c r="H808" s="21">
        <v>40806.960219907407</v>
      </c>
      <c r="I808" s="22" t="s">
        <v>1736</v>
      </c>
    </row>
    <row r="809" spans="1:9" x14ac:dyDescent="0.3">
      <c r="A809" t="s">
        <v>6318</v>
      </c>
      <c r="B809" t="s">
        <v>6319</v>
      </c>
      <c r="C809" s="20">
        <v>31304</v>
      </c>
      <c r="D809" t="s">
        <v>6320</v>
      </c>
      <c r="E809" t="s">
        <v>6321</v>
      </c>
      <c r="F809" t="s">
        <v>6322</v>
      </c>
      <c r="G809" t="s">
        <v>6323</v>
      </c>
      <c r="H809" s="21">
        <v>40963.225347222222</v>
      </c>
      <c r="I809" s="22" t="s">
        <v>1736</v>
      </c>
    </row>
    <row r="810" spans="1:9" x14ac:dyDescent="0.3">
      <c r="A810" t="s">
        <v>6324</v>
      </c>
      <c r="B810" t="s">
        <v>6325</v>
      </c>
      <c r="C810" s="20">
        <v>26532</v>
      </c>
      <c r="D810" t="s">
        <v>6326</v>
      </c>
      <c r="E810" t="s">
        <v>6327</v>
      </c>
      <c r="F810" t="s">
        <v>6328</v>
      </c>
      <c r="G810" t="s">
        <v>6329</v>
      </c>
      <c r="H810" s="21">
        <v>40486.53261574074</v>
      </c>
      <c r="I810" s="22" t="s">
        <v>1729</v>
      </c>
    </row>
    <row r="811" spans="1:9" x14ac:dyDescent="0.3">
      <c r="A811" t="s">
        <v>6330</v>
      </c>
      <c r="B811" t="s">
        <v>6331</v>
      </c>
      <c r="C811" s="20">
        <v>30828</v>
      </c>
      <c r="D811" t="s">
        <v>6332</v>
      </c>
      <c r="E811" t="s">
        <v>6333</v>
      </c>
      <c r="F811" t="s">
        <v>6334</v>
      </c>
      <c r="G811" t="s">
        <v>6335</v>
      </c>
      <c r="H811" s="21">
        <v>41171.256562499999</v>
      </c>
      <c r="I811" s="22" t="s">
        <v>1710</v>
      </c>
    </row>
    <row r="812" spans="1:9" x14ac:dyDescent="0.3">
      <c r="A812" t="s">
        <v>6336</v>
      </c>
      <c r="B812" t="s">
        <v>6337</v>
      </c>
      <c r="C812" s="20">
        <v>29492</v>
      </c>
      <c r="D812" t="s">
        <v>6338</v>
      </c>
      <c r="E812" t="s">
        <v>6339</v>
      </c>
      <c r="F812" t="s">
        <v>6340</v>
      </c>
      <c r="G812" t="s">
        <v>6341</v>
      </c>
      <c r="H812" s="21">
        <v>41370.41479166667</v>
      </c>
      <c r="I812" s="22" t="s">
        <v>1736</v>
      </c>
    </row>
    <row r="813" spans="1:9" x14ac:dyDescent="0.3">
      <c r="A813" t="s">
        <v>6342</v>
      </c>
      <c r="B813" t="s">
        <v>6343</v>
      </c>
      <c r="C813" s="20">
        <v>35014</v>
      </c>
      <c r="D813" t="s">
        <v>6344</v>
      </c>
      <c r="E813" t="s">
        <v>6345</v>
      </c>
      <c r="F813" t="s">
        <v>6346</v>
      </c>
      <c r="G813" t="s">
        <v>6347</v>
      </c>
      <c r="H813" s="21">
        <v>44052.716666666667</v>
      </c>
      <c r="I813" s="22" t="s">
        <v>1684</v>
      </c>
    </row>
    <row r="814" spans="1:9" x14ac:dyDescent="0.3">
      <c r="A814" t="s">
        <v>6348</v>
      </c>
      <c r="B814" t="s">
        <v>6349</v>
      </c>
      <c r="C814" s="20">
        <v>31756</v>
      </c>
      <c r="D814" t="s">
        <v>6350</v>
      </c>
      <c r="E814" t="s">
        <v>6351</v>
      </c>
      <c r="F814" t="s">
        <v>6352</v>
      </c>
      <c r="G814" t="s">
        <v>6353</v>
      </c>
      <c r="H814" s="21">
        <v>43587.988368055558</v>
      </c>
      <c r="I814" s="22" t="s">
        <v>1729</v>
      </c>
    </row>
    <row r="815" spans="1:9" x14ac:dyDescent="0.3">
      <c r="A815" t="s">
        <v>6354</v>
      </c>
      <c r="B815" t="s">
        <v>6355</v>
      </c>
      <c r="C815" s="20">
        <v>35934</v>
      </c>
      <c r="D815" t="s">
        <v>6356</v>
      </c>
      <c r="E815" t="s">
        <v>6357</v>
      </c>
      <c r="F815" t="s">
        <v>6358</v>
      </c>
      <c r="G815" t="s">
        <v>6359</v>
      </c>
      <c r="H815" s="21">
        <v>39796.232534722221</v>
      </c>
      <c r="I815" s="22" t="s">
        <v>1710</v>
      </c>
    </row>
    <row r="816" spans="1:9" x14ac:dyDescent="0.3">
      <c r="A816" t="s">
        <v>6360</v>
      </c>
      <c r="B816" t="s">
        <v>6361</v>
      </c>
      <c r="C816" s="20">
        <v>29599</v>
      </c>
      <c r="D816" t="s">
        <v>6362</v>
      </c>
      <c r="E816" t="s">
        <v>6363</v>
      </c>
      <c r="F816" t="s">
        <v>6364</v>
      </c>
      <c r="G816" t="s">
        <v>6365</v>
      </c>
      <c r="H816" s="21">
        <v>42207.666956018518</v>
      </c>
      <c r="I816" s="22" t="s">
        <v>1684</v>
      </c>
    </row>
    <row r="817" spans="1:9" x14ac:dyDescent="0.3">
      <c r="A817" t="s">
        <v>6366</v>
      </c>
      <c r="B817" t="s">
        <v>6367</v>
      </c>
      <c r="C817" s="20">
        <v>32948</v>
      </c>
      <c r="D817" t="s">
        <v>6368</v>
      </c>
      <c r="E817" t="s">
        <v>6369</v>
      </c>
      <c r="F817" t="s">
        <v>6370</v>
      </c>
      <c r="G817" t="s">
        <v>6371</v>
      </c>
      <c r="H817" s="21">
        <v>43589.778611111113</v>
      </c>
      <c r="I817" s="22" t="s">
        <v>1710</v>
      </c>
    </row>
    <row r="818" spans="1:9" x14ac:dyDescent="0.3">
      <c r="A818" t="s">
        <v>6372</v>
      </c>
      <c r="B818" t="s">
        <v>6373</v>
      </c>
      <c r="C818" s="20">
        <v>33483</v>
      </c>
      <c r="D818" t="s">
        <v>6374</v>
      </c>
      <c r="E818" t="s">
        <v>6375</v>
      </c>
      <c r="F818" t="s">
        <v>6376</v>
      </c>
      <c r="G818" t="s">
        <v>6377</v>
      </c>
      <c r="H818" s="21">
        <v>38547.350185185183</v>
      </c>
      <c r="I818" s="22" t="s">
        <v>1684</v>
      </c>
    </row>
    <row r="819" spans="1:9" x14ac:dyDescent="0.3">
      <c r="A819" t="s">
        <v>6378</v>
      </c>
      <c r="B819" t="s">
        <v>6379</v>
      </c>
      <c r="C819" s="20">
        <v>33989</v>
      </c>
      <c r="D819" t="s">
        <v>6380</v>
      </c>
      <c r="E819" t="s">
        <v>6381</v>
      </c>
      <c r="F819" t="s">
        <v>6382</v>
      </c>
      <c r="G819" t="s">
        <v>6383</v>
      </c>
      <c r="H819" s="21">
        <v>42586.212048611109</v>
      </c>
      <c r="I819" s="22" t="s">
        <v>1729</v>
      </c>
    </row>
    <row r="820" spans="1:9" x14ac:dyDescent="0.3">
      <c r="A820" t="s">
        <v>6384</v>
      </c>
      <c r="B820" t="s">
        <v>6385</v>
      </c>
      <c r="C820" s="20">
        <v>29122</v>
      </c>
      <c r="D820" t="s">
        <v>6386</v>
      </c>
      <c r="E820" t="s">
        <v>6387</v>
      </c>
      <c r="F820" t="s">
        <v>6388</v>
      </c>
      <c r="G820" t="s">
        <v>6389</v>
      </c>
      <c r="H820" s="21">
        <v>41746.048067129632</v>
      </c>
      <c r="I820" s="22" t="s">
        <v>1736</v>
      </c>
    </row>
    <row r="821" spans="1:9" x14ac:dyDescent="0.3">
      <c r="A821" t="s">
        <v>6390</v>
      </c>
      <c r="B821" t="s">
        <v>6391</v>
      </c>
      <c r="C821" s="20">
        <v>33208</v>
      </c>
      <c r="D821" t="s">
        <v>6392</v>
      </c>
      <c r="E821" t="s">
        <v>6393</v>
      </c>
      <c r="F821" t="s">
        <v>6394</v>
      </c>
      <c r="G821" t="s">
        <v>6395</v>
      </c>
      <c r="H821" s="21">
        <v>39106.202685185184</v>
      </c>
      <c r="I821" s="22" t="s">
        <v>1736</v>
      </c>
    </row>
    <row r="822" spans="1:9" x14ac:dyDescent="0.3">
      <c r="A822" t="s">
        <v>6396</v>
      </c>
      <c r="B822" t="s">
        <v>6397</v>
      </c>
      <c r="C822" s="20">
        <v>35186</v>
      </c>
      <c r="D822" t="s">
        <v>6398</v>
      </c>
      <c r="E822" t="s">
        <v>1714</v>
      </c>
      <c r="F822" t="s">
        <v>6399</v>
      </c>
      <c r="G822" t="s">
        <v>6400</v>
      </c>
      <c r="H822" s="21">
        <v>44070.450092592589</v>
      </c>
      <c r="I822" s="22" t="s">
        <v>1729</v>
      </c>
    </row>
    <row r="823" spans="1:9" x14ac:dyDescent="0.3">
      <c r="A823" t="s">
        <v>6401</v>
      </c>
      <c r="B823" t="s">
        <v>6402</v>
      </c>
      <c r="C823" s="20">
        <v>29486</v>
      </c>
      <c r="D823" t="s">
        <v>6403</v>
      </c>
      <c r="E823" t="s">
        <v>6404</v>
      </c>
      <c r="F823" t="s">
        <v>6405</v>
      </c>
      <c r="G823" t="s">
        <v>6406</v>
      </c>
      <c r="H823" s="21">
        <v>40116.971817129626</v>
      </c>
      <c r="I823" s="22" t="s">
        <v>1684</v>
      </c>
    </row>
    <row r="824" spans="1:9" x14ac:dyDescent="0.3">
      <c r="A824" t="s">
        <v>6407</v>
      </c>
      <c r="B824" t="s">
        <v>6408</v>
      </c>
      <c r="C824" s="20">
        <v>28084</v>
      </c>
      <c r="D824" t="s">
        <v>6409</v>
      </c>
      <c r="E824" t="s">
        <v>6410</v>
      </c>
      <c r="F824" t="s">
        <v>6411</v>
      </c>
      <c r="G824" t="s">
        <v>6412</v>
      </c>
      <c r="H824" s="21">
        <v>40417.572175925925</v>
      </c>
      <c r="I824" s="22" t="s">
        <v>1691</v>
      </c>
    </row>
    <row r="825" spans="1:9" x14ac:dyDescent="0.3">
      <c r="A825" t="s">
        <v>6413</v>
      </c>
      <c r="B825" t="s">
        <v>6414</v>
      </c>
      <c r="C825" s="20">
        <v>28431</v>
      </c>
      <c r="D825" t="s">
        <v>6415</v>
      </c>
      <c r="E825" t="s">
        <v>6416</v>
      </c>
      <c r="F825" t="s">
        <v>6417</v>
      </c>
      <c r="G825" t="s">
        <v>6418</v>
      </c>
      <c r="H825" s="21">
        <v>42375.771770833337</v>
      </c>
      <c r="I825" s="22" t="s">
        <v>1729</v>
      </c>
    </row>
    <row r="826" spans="1:9" x14ac:dyDescent="0.3">
      <c r="A826" t="s">
        <v>6419</v>
      </c>
      <c r="B826" t="s">
        <v>6420</v>
      </c>
      <c r="C826" s="20">
        <v>26340</v>
      </c>
      <c r="D826" t="s">
        <v>6421</v>
      </c>
      <c r="E826" t="s">
        <v>6422</v>
      </c>
      <c r="F826" t="s">
        <v>6423</v>
      </c>
      <c r="G826" t="s">
        <v>6424</v>
      </c>
      <c r="H826" s="21">
        <v>38687.856296296297</v>
      </c>
      <c r="I826" s="22" t="s">
        <v>1684</v>
      </c>
    </row>
    <row r="827" spans="1:9" x14ac:dyDescent="0.3">
      <c r="A827" t="s">
        <v>6425</v>
      </c>
      <c r="B827" t="s">
        <v>6426</v>
      </c>
      <c r="C827" s="20">
        <v>29490</v>
      </c>
      <c r="D827" t="s">
        <v>6427</v>
      </c>
      <c r="E827" t="s">
        <v>6428</v>
      </c>
      <c r="F827" t="s">
        <v>6429</v>
      </c>
      <c r="G827" t="s">
        <v>6430</v>
      </c>
      <c r="H827" s="21">
        <v>38421.332129629627</v>
      </c>
      <c r="I827" s="22" t="s">
        <v>1691</v>
      </c>
    </row>
    <row r="828" spans="1:9" x14ac:dyDescent="0.3">
      <c r="A828" t="s">
        <v>6431</v>
      </c>
      <c r="B828" t="s">
        <v>6432</v>
      </c>
      <c r="C828" s="20">
        <v>34441</v>
      </c>
      <c r="D828" t="s">
        <v>6433</v>
      </c>
      <c r="E828" t="s">
        <v>6434</v>
      </c>
      <c r="F828" t="s">
        <v>6435</v>
      </c>
      <c r="G828" t="s">
        <v>6436</v>
      </c>
      <c r="H828" s="21">
        <v>44075.330231481479</v>
      </c>
      <c r="I828" s="22" t="s">
        <v>1736</v>
      </c>
    </row>
    <row r="829" spans="1:9" x14ac:dyDescent="0.3">
      <c r="A829" t="s">
        <v>6437</v>
      </c>
      <c r="B829" t="s">
        <v>6438</v>
      </c>
      <c r="C829" s="20">
        <v>33904</v>
      </c>
      <c r="D829" t="s">
        <v>6439</v>
      </c>
      <c r="E829" t="s">
        <v>6440</v>
      </c>
      <c r="F829" t="s">
        <v>6441</v>
      </c>
      <c r="G829" t="s">
        <v>6442</v>
      </c>
      <c r="H829" s="21">
        <v>38820.256956018522</v>
      </c>
      <c r="I829" s="22" t="s">
        <v>1710</v>
      </c>
    </row>
    <row r="830" spans="1:9" x14ac:dyDescent="0.3">
      <c r="A830" t="s">
        <v>6443</v>
      </c>
      <c r="B830" t="s">
        <v>6444</v>
      </c>
      <c r="C830" s="20">
        <v>31400</v>
      </c>
      <c r="D830" t="s">
        <v>6445</v>
      </c>
      <c r="E830" t="s">
        <v>6446</v>
      </c>
      <c r="F830" t="s">
        <v>6447</v>
      </c>
      <c r="G830" t="s">
        <v>6448</v>
      </c>
      <c r="H830" s="21">
        <v>39019.742615740739</v>
      </c>
      <c r="I830" s="22" t="s">
        <v>1684</v>
      </c>
    </row>
    <row r="831" spans="1:9" x14ac:dyDescent="0.3">
      <c r="A831" t="s">
        <v>6449</v>
      </c>
      <c r="B831" t="s">
        <v>6450</v>
      </c>
      <c r="C831" s="20">
        <v>32488</v>
      </c>
      <c r="D831" t="s">
        <v>6451</v>
      </c>
      <c r="E831" t="s">
        <v>6452</v>
      </c>
      <c r="F831" t="s">
        <v>6453</v>
      </c>
      <c r="G831" t="s">
        <v>6454</v>
      </c>
      <c r="H831" s="21">
        <v>40188.946574074071</v>
      </c>
      <c r="I831" s="22" t="s">
        <v>1684</v>
      </c>
    </row>
    <row r="832" spans="1:9" x14ac:dyDescent="0.3">
      <c r="A832" t="s">
        <v>6455</v>
      </c>
      <c r="B832" t="s">
        <v>6456</v>
      </c>
      <c r="C832" s="20">
        <v>29778</v>
      </c>
      <c r="D832" t="s">
        <v>6457</v>
      </c>
      <c r="E832" t="s">
        <v>6458</v>
      </c>
      <c r="F832" t="s">
        <v>6459</v>
      </c>
      <c r="G832" t="s">
        <v>6460</v>
      </c>
      <c r="H832" s="21">
        <v>43566.589537037034</v>
      </c>
      <c r="I832" s="22" t="s">
        <v>1710</v>
      </c>
    </row>
    <row r="833" spans="1:9" x14ac:dyDescent="0.3">
      <c r="A833" t="s">
        <v>6461</v>
      </c>
      <c r="B833" t="s">
        <v>6462</v>
      </c>
      <c r="C833" s="20">
        <v>28664</v>
      </c>
      <c r="D833" t="s">
        <v>6463</v>
      </c>
      <c r="E833" t="s">
        <v>6464</v>
      </c>
      <c r="F833" t="s">
        <v>6465</v>
      </c>
      <c r="G833" t="s">
        <v>6466</v>
      </c>
      <c r="H833" s="21">
        <v>43217.863692129627</v>
      </c>
      <c r="I833" s="22" t="s">
        <v>1729</v>
      </c>
    </row>
    <row r="834" spans="1:9" x14ac:dyDescent="0.3">
      <c r="A834" t="s">
        <v>6467</v>
      </c>
      <c r="B834" t="s">
        <v>6468</v>
      </c>
      <c r="C834" s="20">
        <v>30360</v>
      </c>
      <c r="D834" t="s">
        <v>6469</v>
      </c>
      <c r="E834" t="s">
        <v>6470</v>
      </c>
      <c r="F834" t="s">
        <v>6471</v>
      </c>
      <c r="G834" t="s">
        <v>6472</v>
      </c>
      <c r="H834" s="21">
        <v>42706.903229166666</v>
      </c>
      <c r="I834" s="22" t="s">
        <v>1684</v>
      </c>
    </row>
    <row r="835" spans="1:9" x14ac:dyDescent="0.3">
      <c r="A835" t="s">
        <v>6473</v>
      </c>
      <c r="B835" t="s">
        <v>6474</v>
      </c>
      <c r="C835" s="20">
        <v>28732</v>
      </c>
      <c r="D835" t="s">
        <v>6475</v>
      </c>
      <c r="E835" t="s">
        <v>6476</v>
      </c>
      <c r="F835" t="s">
        <v>6477</v>
      </c>
      <c r="G835" t="s">
        <v>6478</v>
      </c>
      <c r="H835" s="21">
        <v>41055.443333333336</v>
      </c>
      <c r="I835" s="22" t="s">
        <v>1691</v>
      </c>
    </row>
    <row r="836" spans="1:9" x14ac:dyDescent="0.3">
      <c r="A836" t="s">
        <v>6479</v>
      </c>
      <c r="B836" t="s">
        <v>6480</v>
      </c>
      <c r="C836" s="20">
        <v>35995</v>
      </c>
      <c r="D836" t="s">
        <v>6481</v>
      </c>
      <c r="E836" t="s">
        <v>6482</v>
      </c>
      <c r="F836" t="s">
        <v>6483</v>
      </c>
      <c r="G836" t="s">
        <v>6484</v>
      </c>
      <c r="H836" s="21">
        <v>43742.646041666667</v>
      </c>
      <c r="I836" s="22" t="s">
        <v>1729</v>
      </c>
    </row>
    <row r="837" spans="1:9" x14ac:dyDescent="0.3">
      <c r="A837" t="s">
        <v>6485</v>
      </c>
      <c r="B837" t="s">
        <v>6486</v>
      </c>
      <c r="C837" s="20">
        <v>35000</v>
      </c>
      <c r="D837" t="s">
        <v>6487</v>
      </c>
      <c r="E837" t="s">
        <v>6488</v>
      </c>
      <c r="F837" t="s">
        <v>6489</v>
      </c>
      <c r="G837" t="s">
        <v>6490</v>
      </c>
      <c r="H837" s="21">
        <v>41098.835439814815</v>
      </c>
      <c r="I837" s="22" t="s">
        <v>1684</v>
      </c>
    </row>
    <row r="838" spans="1:9" x14ac:dyDescent="0.3">
      <c r="A838" t="s">
        <v>6491</v>
      </c>
      <c r="B838" t="s">
        <v>6492</v>
      </c>
      <c r="C838" s="20">
        <v>33053</v>
      </c>
      <c r="D838" t="s">
        <v>6493</v>
      </c>
      <c r="E838" t="s">
        <v>6494</v>
      </c>
      <c r="F838" t="s">
        <v>6495</v>
      </c>
      <c r="G838" t="s">
        <v>6496</v>
      </c>
      <c r="H838" s="21">
        <v>43205.605092592596</v>
      </c>
      <c r="I838" s="22" t="s">
        <v>1736</v>
      </c>
    </row>
    <row r="839" spans="1:9" x14ac:dyDescent="0.3">
      <c r="A839" t="s">
        <v>6497</v>
      </c>
      <c r="B839" t="s">
        <v>6498</v>
      </c>
      <c r="C839" s="20">
        <v>29322</v>
      </c>
      <c r="D839" t="s">
        <v>6499</v>
      </c>
      <c r="E839" t="s">
        <v>6500</v>
      </c>
      <c r="F839" t="s">
        <v>6501</v>
      </c>
      <c r="G839" t="s">
        <v>6502</v>
      </c>
      <c r="H839" s="21">
        <v>42927.409386574072</v>
      </c>
      <c r="I839" s="22" t="s">
        <v>1684</v>
      </c>
    </row>
    <row r="840" spans="1:9" x14ac:dyDescent="0.3">
      <c r="A840" t="s">
        <v>6503</v>
      </c>
      <c r="B840" t="s">
        <v>6504</v>
      </c>
      <c r="C840" s="20">
        <v>27727</v>
      </c>
      <c r="D840" t="s">
        <v>6505</v>
      </c>
      <c r="E840" t="s">
        <v>6506</v>
      </c>
      <c r="F840" t="s">
        <v>6507</v>
      </c>
      <c r="G840" t="s">
        <v>6508</v>
      </c>
      <c r="H840" s="21">
        <v>42081.129780092589</v>
      </c>
      <c r="I840" s="22" t="s">
        <v>1736</v>
      </c>
    </row>
    <row r="841" spans="1:9" x14ac:dyDescent="0.3">
      <c r="A841" t="s">
        <v>6509</v>
      </c>
      <c r="B841" t="s">
        <v>6510</v>
      </c>
      <c r="C841" s="20">
        <v>28387</v>
      </c>
      <c r="D841" t="s">
        <v>6511</v>
      </c>
      <c r="E841" t="s">
        <v>6512</v>
      </c>
      <c r="F841" t="s">
        <v>6513</v>
      </c>
      <c r="G841" t="s">
        <v>6514</v>
      </c>
      <c r="H841" s="21">
        <v>43388.995474537034</v>
      </c>
      <c r="I841" s="22" t="s">
        <v>1736</v>
      </c>
    </row>
    <row r="842" spans="1:9" x14ac:dyDescent="0.3">
      <c r="A842" t="s">
        <v>6515</v>
      </c>
      <c r="B842" t="s">
        <v>6516</v>
      </c>
      <c r="C842" s="20">
        <v>33365</v>
      </c>
      <c r="D842" t="s">
        <v>6517</v>
      </c>
      <c r="E842" t="s">
        <v>6518</v>
      </c>
      <c r="F842" t="s">
        <v>6519</v>
      </c>
      <c r="G842" t="s">
        <v>6520</v>
      </c>
      <c r="H842" s="21">
        <v>43132.967638888891</v>
      </c>
      <c r="I842" s="22" t="s">
        <v>1710</v>
      </c>
    </row>
    <row r="843" spans="1:9" x14ac:dyDescent="0.3">
      <c r="A843" t="s">
        <v>6521</v>
      </c>
      <c r="B843" t="s">
        <v>6522</v>
      </c>
      <c r="C843" s="20">
        <v>28089</v>
      </c>
      <c r="D843" t="s">
        <v>6523</v>
      </c>
      <c r="E843" t="s">
        <v>6524</v>
      </c>
      <c r="F843" t="s">
        <v>6525</v>
      </c>
      <c r="G843" t="s">
        <v>6526</v>
      </c>
      <c r="H843" s="21">
        <v>44323.760983796295</v>
      </c>
      <c r="I843" s="22" t="s">
        <v>1729</v>
      </c>
    </row>
    <row r="844" spans="1:9" x14ac:dyDescent="0.3">
      <c r="A844" t="s">
        <v>6527</v>
      </c>
      <c r="B844" t="s">
        <v>6528</v>
      </c>
      <c r="C844" s="20">
        <v>31633</v>
      </c>
      <c r="D844" t="s">
        <v>6529</v>
      </c>
      <c r="E844" t="s">
        <v>6530</v>
      </c>
      <c r="F844" t="s">
        <v>6531</v>
      </c>
      <c r="G844" t="s">
        <v>6532</v>
      </c>
      <c r="H844" s="21">
        <v>38688.23641203704</v>
      </c>
      <c r="I844" s="22" t="s">
        <v>1684</v>
      </c>
    </row>
    <row r="845" spans="1:9" x14ac:dyDescent="0.3">
      <c r="A845" t="s">
        <v>6533</v>
      </c>
      <c r="B845" t="s">
        <v>6534</v>
      </c>
      <c r="C845" s="20">
        <v>28084</v>
      </c>
      <c r="D845" t="s">
        <v>6535</v>
      </c>
      <c r="E845" t="s">
        <v>6536</v>
      </c>
      <c r="F845" t="s">
        <v>6537</v>
      </c>
      <c r="G845" t="s">
        <v>6538</v>
      </c>
      <c r="H845" s="21">
        <v>42853.28733796296</v>
      </c>
      <c r="I845" s="22" t="s">
        <v>1684</v>
      </c>
    </row>
    <row r="846" spans="1:9" x14ac:dyDescent="0.3">
      <c r="A846" t="s">
        <v>6539</v>
      </c>
      <c r="B846" t="s">
        <v>6540</v>
      </c>
      <c r="C846" s="20">
        <v>28175</v>
      </c>
      <c r="D846" t="s">
        <v>6541</v>
      </c>
      <c r="E846" t="s">
        <v>6542</v>
      </c>
      <c r="F846" t="s">
        <v>6543</v>
      </c>
      <c r="G846" t="s">
        <v>6544</v>
      </c>
      <c r="H846" s="21">
        <v>41732.928414351853</v>
      </c>
      <c r="I846" s="22" t="s">
        <v>1710</v>
      </c>
    </row>
    <row r="847" spans="1:9" x14ac:dyDescent="0.3">
      <c r="A847" t="s">
        <v>6545</v>
      </c>
      <c r="B847" t="s">
        <v>6546</v>
      </c>
      <c r="C847" s="20">
        <v>33633</v>
      </c>
      <c r="D847" t="s">
        <v>6547</v>
      </c>
      <c r="E847" t="s">
        <v>6548</v>
      </c>
      <c r="F847" t="s">
        <v>6549</v>
      </c>
      <c r="G847" t="s">
        <v>6550</v>
      </c>
      <c r="H847" s="21">
        <v>42777.051226851851</v>
      </c>
      <c r="I847" s="22" t="s">
        <v>1710</v>
      </c>
    </row>
    <row r="848" spans="1:9" x14ac:dyDescent="0.3">
      <c r="A848" t="s">
        <v>6551</v>
      </c>
      <c r="B848" t="s">
        <v>6552</v>
      </c>
      <c r="C848" s="20">
        <v>26846</v>
      </c>
      <c r="D848" t="s">
        <v>6553</v>
      </c>
      <c r="E848" t="s">
        <v>6554</v>
      </c>
      <c r="F848" t="s">
        <v>6555</v>
      </c>
      <c r="G848" t="s">
        <v>3700</v>
      </c>
      <c r="H848" s="21">
        <v>41930.640081018515</v>
      </c>
      <c r="I848" s="22" t="s">
        <v>1691</v>
      </c>
    </row>
    <row r="849" spans="1:9" x14ac:dyDescent="0.3">
      <c r="A849" t="s">
        <v>6556</v>
      </c>
      <c r="B849" t="s">
        <v>6557</v>
      </c>
      <c r="C849" s="20">
        <v>26398</v>
      </c>
      <c r="D849" t="s">
        <v>6558</v>
      </c>
      <c r="E849" t="s">
        <v>6559</v>
      </c>
      <c r="F849" t="s">
        <v>6560</v>
      </c>
      <c r="G849" t="s">
        <v>6561</v>
      </c>
      <c r="H849" s="21">
        <v>43341.440983796296</v>
      </c>
      <c r="I849" s="22" t="s">
        <v>1710</v>
      </c>
    </row>
    <row r="850" spans="1:9" x14ac:dyDescent="0.3">
      <c r="A850" t="s">
        <v>6562</v>
      </c>
      <c r="B850" t="s">
        <v>6563</v>
      </c>
      <c r="C850" s="20">
        <v>33630</v>
      </c>
      <c r="D850" t="s">
        <v>6564</v>
      </c>
      <c r="E850" t="s">
        <v>6565</v>
      </c>
      <c r="F850" t="s">
        <v>6566</v>
      </c>
      <c r="G850" t="s">
        <v>6567</v>
      </c>
      <c r="H850" s="21">
        <v>42762.771909722222</v>
      </c>
      <c r="I850" s="22" t="s">
        <v>1684</v>
      </c>
    </row>
    <row r="851" spans="1:9" x14ac:dyDescent="0.3">
      <c r="A851" t="s">
        <v>6568</v>
      </c>
      <c r="B851" t="s">
        <v>6569</v>
      </c>
      <c r="C851" s="20">
        <v>36499</v>
      </c>
      <c r="D851" t="s">
        <v>6570</v>
      </c>
      <c r="E851" t="s">
        <v>6571</v>
      </c>
      <c r="F851" t="s">
        <v>6572</v>
      </c>
      <c r="G851" t="s">
        <v>6573</v>
      </c>
      <c r="H851" s="21">
        <v>41050.649305555555</v>
      </c>
      <c r="I851" s="22" t="s">
        <v>1684</v>
      </c>
    </row>
    <row r="852" spans="1:9" x14ac:dyDescent="0.3">
      <c r="A852" t="s">
        <v>6574</v>
      </c>
      <c r="B852" t="s">
        <v>6575</v>
      </c>
      <c r="C852" s="20">
        <v>27653</v>
      </c>
      <c r="D852" t="s">
        <v>6576</v>
      </c>
      <c r="E852" t="s">
        <v>6577</v>
      </c>
      <c r="F852" t="s">
        <v>6578</v>
      </c>
      <c r="G852" t="s">
        <v>6579</v>
      </c>
      <c r="H852" s="21">
        <v>43680.31931712963</v>
      </c>
      <c r="I852" s="22" t="s">
        <v>1691</v>
      </c>
    </row>
    <row r="853" spans="1:9" x14ac:dyDescent="0.3">
      <c r="A853" t="s">
        <v>6580</v>
      </c>
      <c r="B853" t="s">
        <v>6581</v>
      </c>
      <c r="C853" s="20">
        <v>31700</v>
      </c>
      <c r="D853" t="s">
        <v>6582</v>
      </c>
      <c r="E853" t="s">
        <v>6583</v>
      </c>
      <c r="F853" t="s">
        <v>6584</v>
      </c>
      <c r="G853" t="s">
        <v>6585</v>
      </c>
      <c r="H853" s="21">
        <v>44322.075925925928</v>
      </c>
      <c r="I853" s="22" t="s">
        <v>1691</v>
      </c>
    </row>
    <row r="854" spans="1:9" x14ac:dyDescent="0.3">
      <c r="A854" t="s">
        <v>6586</v>
      </c>
      <c r="B854" t="s">
        <v>6587</v>
      </c>
      <c r="C854" s="20">
        <v>29524</v>
      </c>
      <c r="D854" t="s">
        <v>6588</v>
      </c>
      <c r="E854" t="s">
        <v>6589</v>
      </c>
      <c r="F854" t="s">
        <v>6590</v>
      </c>
      <c r="G854" t="s">
        <v>6591</v>
      </c>
      <c r="H854" s="21">
        <v>39833.199189814812</v>
      </c>
      <c r="I854" s="22" t="s">
        <v>1684</v>
      </c>
    </row>
    <row r="855" spans="1:9" x14ac:dyDescent="0.3">
      <c r="A855" t="s">
        <v>6592</v>
      </c>
      <c r="B855" t="s">
        <v>6593</v>
      </c>
      <c r="C855" s="20">
        <v>30587</v>
      </c>
      <c r="D855" t="s">
        <v>6594</v>
      </c>
      <c r="E855" t="s">
        <v>6595</v>
      </c>
      <c r="F855" t="s">
        <v>6596</v>
      </c>
      <c r="G855" t="s">
        <v>6597</v>
      </c>
      <c r="H855" s="21">
        <v>44326.50199074074</v>
      </c>
      <c r="I855" s="22" t="s">
        <v>1691</v>
      </c>
    </row>
    <row r="856" spans="1:9" x14ac:dyDescent="0.3">
      <c r="A856" t="s">
        <v>6598</v>
      </c>
      <c r="B856" t="s">
        <v>6599</v>
      </c>
      <c r="C856" s="20">
        <v>30437</v>
      </c>
      <c r="D856" t="s">
        <v>6600</v>
      </c>
      <c r="E856" t="s">
        <v>6601</v>
      </c>
      <c r="F856" t="s">
        <v>6602</v>
      </c>
      <c r="G856" t="s">
        <v>6603</v>
      </c>
      <c r="H856" s="21">
        <v>42675.536296296297</v>
      </c>
      <c r="I856" s="22" t="s">
        <v>1729</v>
      </c>
    </row>
    <row r="857" spans="1:9" x14ac:dyDescent="0.3">
      <c r="A857" t="s">
        <v>6604</v>
      </c>
      <c r="B857" t="s">
        <v>6605</v>
      </c>
      <c r="C857" s="20">
        <v>30140</v>
      </c>
      <c r="D857" t="s">
        <v>6606</v>
      </c>
      <c r="E857" t="s">
        <v>6607</v>
      </c>
      <c r="F857" t="s">
        <v>6608</v>
      </c>
      <c r="G857" t="s">
        <v>6609</v>
      </c>
      <c r="H857" s="21">
        <v>41049.85628472222</v>
      </c>
      <c r="I857" s="22" t="s">
        <v>1684</v>
      </c>
    </row>
    <row r="858" spans="1:9" x14ac:dyDescent="0.3">
      <c r="A858" t="s">
        <v>6610</v>
      </c>
      <c r="B858" t="s">
        <v>6611</v>
      </c>
      <c r="C858" s="20">
        <v>27421</v>
      </c>
      <c r="D858" t="s">
        <v>6612</v>
      </c>
      <c r="E858" t="s">
        <v>6613</v>
      </c>
      <c r="F858" t="s">
        <v>6614</v>
      </c>
      <c r="G858" t="s">
        <v>6615</v>
      </c>
      <c r="H858" s="21">
        <v>40755.063148148147</v>
      </c>
      <c r="I858" s="22" t="s">
        <v>1736</v>
      </c>
    </row>
    <row r="859" spans="1:9" x14ac:dyDescent="0.3">
      <c r="A859" t="s">
        <v>6616</v>
      </c>
      <c r="B859" t="s">
        <v>6617</v>
      </c>
      <c r="C859" s="20">
        <v>28730</v>
      </c>
      <c r="D859" t="s">
        <v>6618</v>
      </c>
      <c r="E859" t="s">
        <v>6619</v>
      </c>
      <c r="F859" t="s">
        <v>6620</v>
      </c>
      <c r="G859" t="s">
        <v>6621</v>
      </c>
      <c r="H859" s="21">
        <v>44105.27375</v>
      </c>
      <c r="I859" s="22" t="s">
        <v>1691</v>
      </c>
    </row>
    <row r="860" spans="1:9" x14ac:dyDescent="0.3">
      <c r="A860" t="s">
        <v>6622</v>
      </c>
      <c r="B860" t="s">
        <v>6623</v>
      </c>
      <c r="C860" s="20">
        <v>35983</v>
      </c>
      <c r="D860" t="s">
        <v>6624</v>
      </c>
      <c r="E860" t="s">
        <v>6625</v>
      </c>
      <c r="F860" t="s">
        <v>6626</v>
      </c>
      <c r="G860" t="s">
        <v>6627</v>
      </c>
      <c r="H860" s="21">
        <v>38554.107708333337</v>
      </c>
      <c r="I860" s="22" t="s">
        <v>1736</v>
      </c>
    </row>
    <row r="861" spans="1:9" x14ac:dyDescent="0.3">
      <c r="A861" t="s">
        <v>6628</v>
      </c>
      <c r="B861" t="s">
        <v>6629</v>
      </c>
      <c r="C861" s="20">
        <v>34892</v>
      </c>
      <c r="D861" t="s">
        <v>6630</v>
      </c>
      <c r="E861" t="s">
        <v>6631</v>
      </c>
      <c r="F861" t="s">
        <v>6632</v>
      </c>
      <c r="G861" t="s">
        <v>6633</v>
      </c>
      <c r="H861" s="21">
        <v>38848.523611111108</v>
      </c>
      <c r="I861" s="22" t="s">
        <v>1684</v>
      </c>
    </row>
    <row r="862" spans="1:9" x14ac:dyDescent="0.3">
      <c r="A862" t="s">
        <v>6634</v>
      </c>
      <c r="B862" t="s">
        <v>6635</v>
      </c>
      <c r="C862" s="20">
        <v>31422</v>
      </c>
      <c r="D862" t="s">
        <v>6636</v>
      </c>
      <c r="E862" t="s">
        <v>6637</v>
      </c>
      <c r="F862" t="s">
        <v>6638</v>
      </c>
      <c r="G862" t="s">
        <v>6639</v>
      </c>
      <c r="H862" s="21">
        <v>39291.421377314815</v>
      </c>
      <c r="I862" s="22" t="s">
        <v>1684</v>
      </c>
    </row>
    <row r="863" spans="1:9" x14ac:dyDescent="0.3">
      <c r="A863" t="s">
        <v>6640</v>
      </c>
      <c r="B863" t="s">
        <v>6641</v>
      </c>
      <c r="C863" s="20">
        <v>30416</v>
      </c>
      <c r="D863" t="s">
        <v>6642</v>
      </c>
      <c r="E863" t="s">
        <v>6643</v>
      </c>
      <c r="F863" t="s">
        <v>6644</v>
      </c>
      <c r="G863" t="s">
        <v>6645</v>
      </c>
      <c r="H863" s="21">
        <v>43909.344976851855</v>
      </c>
      <c r="I863" s="22" t="s">
        <v>1736</v>
      </c>
    </row>
    <row r="864" spans="1:9" x14ac:dyDescent="0.3">
      <c r="A864" t="s">
        <v>6646</v>
      </c>
      <c r="B864" t="s">
        <v>6647</v>
      </c>
      <c r="C864" s="20">
        <v>34505</v>
      </c>
      <c r="D864" t="s">
        <v>6648</v>
      </c>
      <c r="E864" t="s">
        <v>6649</v>
      </c>
      <c r="F864" t="s">
        <v>6650</v>
      </c>
      <c r="G864" t="s">
        <v>6651</v>
      </c>
      <c r="H864" s="21">
        <v>44055.070590277777</v>
      </c>
      <c r="I864" s="22" t="s">
        <v>1684</v>
      </c>
    </row>
    <row r="865" spans="1:9" x14ac:dyDescent="0.3">
      <c r="A865" t="s">
        <v>6652</v>
      </c>
      <c r="B865" t="s">
        <v>6653</v>
      </c>
      <c r="C865" s="20">
        <v>31240</v>
      </c>
      <c r="D865" t="s">
        <v>6654</v>
      </c>
      <c r="E865" t="s">
        <v>6655</v>
      </c>
      <c r="F865" t="s">
        <v>6656</v>
      </c>
      <c r="G865" t="s">
        <v>6657</v>
      </c>
      <c r="H865" s="21">
        <v>43724.427997685183</v>
      </c>
      <c r="I865" s="22" t="s">
        <v>1710</v>
      </c>
    </row>
    <row r="866" spans="1:9" x14ac:dyDescent="0.3">
      <c r="A866" t="s">
        <v>6658</v>
      </c>
      <c r="B866" t="s">
        <v>6659</v>
      </c>
      <c r="C866" s="20">
        <v>25809</v>
      </c>
      <c r="D866" t="s">
        <v>6660</v>
      </c>
      <c r="E866" t="s">
        <v>6661</v>
      </c>
      <c r="F866" t="s">
        <v>6662</v>
      </c>
      <c r="G866" t="s">
        <v>6663</v>
      </c>
      <c r="H866" s="21">
        <v>43436.830555555556</v>
      </c>
      <c r="I866" s="22" t="s">
        <v>1684</v>
      </c>
    </row>
    <row r="867" spans="1:9" x14ac:dyDescent="0.3">
      <c r="A867" t="s">
        <v>6664</v>
      </c>
      <c r="B867" t="s">
        <v>6665</v>
      </c>
      <c r="C867" s="20">
        <v>33565</v>
      </c>
      <c r="D867" t="s">
        <v>6666</v>
      </c>
      <c r="E867" t="s">
        <v>6667</v>
      </c>
      <c r="F867" t="s">
        <v>6668</v>
      </c>
      <c r="G867" t="s">
        <v>6669</v>
      </c>
      <c r="H867" s="21">
        <v>41808.443206018521</v>
      </c>
      <c r="I867" s="22" t="s">
        <v>1729</v>
      </c>
    </row>
    <row r="868" spans="1:9" x14ac:dyDescent="0.3">
      <c r="A868" t="s">
        <v>6670</v>
      </c>
      <c r="B868" t="s">
        <v>6671</v>
      </c>
      <c r="C868" s="20">
        <v>28004</v>
      </c>
      <c r="D868" t="s">
        <v>6672</v>
      </c>
      <c r="E868" t="s">
        <v>6673</v>
      </c>
      <c r="F868" t="s">
        <v>6674</v>
      </c>
      <c r="G868" t="s">
        <v>6675</v>
      </c>
      <c r="H868" s="21">
        <v>41620.680810185186</v>
      </c>
      <c r="I868" s="22" t="s">
        <v>1684</v>
      </c>
    </row>
    <row r="869" spans="1:9" x14ac:dyDescent="0.3">
      <c r="A869" t="s">
        <v>6676</v>
      </c>
      <c r="B869" t="s">
        <v>6677</v>
      </c>
      <c r="C869" s="20">
        <v>36159</v>
      </c>
      <c r="D869" t="s">
        <v>6678</v>
      </c>
      <c r="E869" t="s">
        <v>6679</v>
      </c>
      <c r="F869" t="s">
        <v>6680</v>
      </c>
      <c r="G869" t="s">
        <v>6681</v>
      </c>
      <c r="H869" s="21">
        <v>43134.556192129632</v>
      </c>
      <c r="I869" s="22" t="s">
        <v>1691</v>
      </c>
    </row>
    <row r="870" spans="1:9" x14ac:dyDescent="0.3">
      <c r="A870" t="s">
        <v>6682</v>
      </c>
      <c r="B870" t="s">
        <v>6683</v>
      </c>
      <c r="C870" s="20">
        <v>28810</v>
      </c>
      <c r="D870" t="s">
        <v>6684</v>
      </c>
      <c r="E870" t="s">
        <v>6685</v>
      </c>
      <c r="F870" t="s">
        <v>6686</v>
      </c>
      <c r="G870" t="s">
        <v>6687</v>
      </c>
      <c r="H870" s="21">
        <v>44203.776192129626</v>
      </c>
      <c r="I870" s="22" t="s">
        <v>1736</v>
      </c>
    </row>
    <row r="871" spans="1:9" x14ac:dyDescent="0.3">
      <c r="A871" t="s">
        <v>6688</v>
      </c>
      <c r="B871" t="s">
        <v>6689</v>
      </c>
      <c r="C871" s="20">
        <v>30698</v>
      </c>
      <c r="D871" t="s">
        <v>6690</v>
      </c>
      <c r="E871" t="s">
        <v>6691</v>
      </c>
      <c r="F871" t="s">
        <v>6692</v>
      </c>
      <c r="G871" t="s">
        <v>6693</v>
      </c>
      <c r="H871" s="21">
        <v>44228.238287037035</v>
      </c>
      <c r="I871" s="22" t="s">
        <v>1684</v>
      </c>
    </row>
    <row r="872" spans="1:9" x14ac:dyDescent="0.3">
      <c r="A872" t="s">
        <v>6694</v>
      </c>
      <c r="B872" t="s">
        <v>6695</v>
      </c>
      <c r="C872" s="20">
        <v>35635</v>
      </c>
      <c r="D872" t="s">
        <v>6696</v>
      </c>
      <c r="E872" t="s">
        <v>6697</v>
      </c>
      <c r="F872" t="s">
        <v>6698</v>
      </c>
      <c r="G872" t="s">
        <v>6699</v>
      </c>
      <c r="H872" s="21">
        <v>44215.409907407404</v>
      </c>
      <c r="I872" s="22" t="s">
        <v>1710</v>
      </c>
    </row>
    <row r="873" spans="1:9" x14ac:dyDescent="0.3">
      <c r="A873" t="s">
        <v>6700</v>
      </c>
      <c r="B873" t="s">
        <v>6701</v>
      </c>
      <c r="C873" s="20">
        <v>26486</v>
      </c>
      <c r="D873" t="s">
        <v>6702</v>
      </c>
      <c r="E873" t="s">
        <v>6703</v>
      </c>
      <c r="F873" t="s">
        <v>6704</v>
      </c>
      <c r="G873" t="s">
        <v>6705</v>
      </c>
      <c r="H873" s="21">
        <v>38909.113298611112</v>
      </c>
      <c r="I873" s="22" t="s">
        <v>1691</v>
      </c>
    </row>
    <row r="874" spans="1:9" x14ac:dyDescent="0.3">
      <c r="A874" t="s">
        <v>6706</v>
      </c>
      <c r="B874" t="s">
        <v>6707</v>
      </c>
      <c r="C874" s="20">
        <v>29697</v>
      </c>
      <c r="D874" t="s">
        <v>6708</v>
      </c>
      <c r="E874" t="s">
        <v>6709</v>
      </c>
      <c r="F874" t="s">
        <v>6710</v>
      </c>
      <c r="G874" t="s">
        <v>6711</v>
      </c>
      <c r="H874" s="21">
        <v>41672.752233796295</v>
      </c>
      <c r="I874" s="22" t="s">
        <v>1691</v>
      </c>
    </row>
    <row r="875" spans="1:9" x14ac:dyDescent="0.3">
      <c r="A875" t="s">
        <v>6712</v>
      </c>
      <c r="B875" t="s">
        <v>6713</v>
      </c>
      <c r="C875" s="20">
        <v>35794</v>
      </c>
      <c r="D875" t="s">
        <v>6714</v>
      </c>
      <c r="E875" t="s">
        <v>6715</v>
      </c>
      <c r="F875" t="s">
        <v>6716</v>
      </c>
      <c r="G875" t="s">
        <v>6717</v>
      </c>
      <c r="H875" s="21">
        <v>43587.292291666665</v>
      </c>
      <c r="I875" s="22" t="s">
        <v>1729</v>
      </c>
    </row>
    <row r="876" spans="1:9" x14ac:dyDescent="0.3">
      <c r="A876" t="s">
        <v>6718</v>
      </c>
      <c r="B876" t="s">
        <v>6719</v>
      </c>
      <c r="C876" s="20">
        <v>33486</v>
      </c>
      <c r="D876" t="s">
        <v>6720</v>
      </c>
      <c r="E876" t="s">
        <v>6721</v>
      </c>
      <c r="F876" t="s">
        <v>6722</v>
      </c>
      <c r="G876" t="s">
        <v>6723</v>
      </c>
      <c r="H876" s="21">
        <v>42264.55914351852</v>
      </c>
      <c r="I876" s="22" t="s">
        <v>1736</v>
      </c>
    </row>
    <row r="877" spans="1:9" x14ac:dyDescent="0.3">
      <c r="A877" t="s">
        <v>6724</v>
      </c>
      <c r="B877" t="s">
        <v>6725</v>
      </c>
      <c r="C877" s="20">
        <v>26704</v>
      </c>
      <c r="D877" t="s">
        <v>6726</v>
      </c>
      <c r="E877" t="s">
        <v>6727</v>
      </c>
      <c r="F877" t="s">
        <v>6728</v>
      </c>
      <c r="G877" t="s">
        <v>6729</v>
      </c>
      <c r="H877" s="21">
        <v>42577.288530092592</v>
      </c>
      <c r="I877" s="22" t="s">
        <v>1710</v>
      </c>
    </row>
    <row r="878" spans="1:9" x14ac:dyDescent="0.3">
      <c r="A878" t="s">
        <v>6730</v>
      </c>
      <c r="B878" t="s">
        <v>6731</v>
      </c>
      <c r="C878" s="20">
        <v>35588</v>
      </c>
      <c r="D878" t="s">
        <v>6732</v>
      </c>
      <c r="E878" t="s">
        <v>6733</v>
      </c>
      <c r="F878" t="s">
        <v>6734</v>
      </c>
      <c r="G878" t="s">
        <v>6735</v>
      </c>
      <c r="H878" s="21">
        <v>40137.060636574075</v>
      </c>
      <c r="I878" s="22" t="s">
        <v>1710</v>
      </c>
    </row>
    <row r="879" spans="1:9" x14ac:dyDescent="0.3">
      <c r="A879" t="s">
        <v>6736</v>
      </c>
      <c r="B879" t="s">
        <v>6737</v>
      </c>
      <c r="C879" s="20">
        <v>26673</v>
      </c>
      <c r="D879" t="s">
        <v>6738</v>
      </c>
      <c r="E879" t="s">
        <v>6739</v>
      </c>
      <c r="F879" t="s">
        <v>6740</v>
      </c>
      <c r="G879" t="s">
        <v>6741</v>
      </c>
      <c r="H879" s="21">
        <v>42939.357453703706</v>
      </c>
      <c r="I879" s="22" t="s">
        <v>1710</v>
      </c>
    </row>
    <row r="880" spans="1:9" x14ac:dyDescent="0.3">
      <c r="A880" t="s">
        <v>6742</v>
      </c>
      <c r="B880" t="s">
        <v>6743</v>
      </c>
      <c r="C880" s="20">
        <v>31703</v>
      </c>
      <c r="D880" t="s">
        <v>6744</v>
      </c>
      <c r="E880" t="s">
        <v>6745</v>
      </c>
      <c r="F880" t="s">
        <v>6746</v>
      </c>
      <c r="G880" t="s">
        <v>6747</v>
      </c>
      <c r="H880" s="21">
        <v>41467.030057870368</v>
      </c>
      <c r="I880" s="22" t="s">
        <v>1691</v>
      </c>
    </row>
    <row r="881" spans="1:9" x14ac:dyDescent="0.3">
      <c r="A881" t="s">
        <v>6748</v>
      </c>
      <c r="B881" t="s">
        <v>6749</v>
      </c>
      <c r="C881" s="20">
        <v>29840</v>
      </c>
      <c r="D881" t="s">
        <v>6750</v>
      </c>
      <c r="E881" t="s">
        <v>6751</v>
      </c>
      <c r="F881" t="s">
        <v>6752</v>
      </c>
      <c r="G881" t="s">
        <v>6753</v>
      </c>
      <c r="H881" s="21">
        <v>40478.042071759257</v>
      </c>
      <c r="I881" s="22" t="s">
        <v>1710</v>
      </c>
    </row>
    <row r="882" spans="1:9" x14ac:dyDescent="0.3">
      <c r="A882" t="s">
        <v>6754</v>
      </c>
      <c r="B882" t="s">
        <v>6755</v>
      </c>
      <c r="C882" s="20">
        <v>33102</v>
      </c>
      <c r="D882" t="s">
        <v>6756</v>
      </c>
      <c r="E882" t="s">
        <v>6757</v>
      </c>
      <c r="F882" t="s">
        <v>6758</v>
      </c>
      <c r="G882" t="s">
        <v>6759</v>
      </c>
      <c r="H882" s="21">
        <v>40360.030034722222</v>
      </c>
      <c r="I882" s="22" t="s">
        <v>1684</v>
      </c>
    </row>
    <row r="883" spans="1:9" x14ac:dyDescent="0.3">
      <c r="A883" t="s">
        <v>6760</v>
      </c>
      <c r="B883" t="s">
        <v>6761</v>
      </c>
      <c r="C883" s="20">
        <v>32141</v>
      </c>
      <c r="D883" t="s">
        <v>6762</v>
      </c>
      <c r="E883" t="s">
        <v>6196</v>
      </c>
      <c r="F883" t="s">
        <v>6763</v>
      </c>
      <c r="G883" t="s">
        <v>6764</v>
      </c>
      <c r="H883" s="21">
        <v>41120.332476851851</v>
      </c>
      <c r="I883" s="22" t="s">
        <v>1684</v>
      </c>
    </row>
    <row r="884" spans="1:9" x14ac:dyDescent="0.3">
      <c r="A884" t="s">
        <v>6765</v>
      </c>
      <c r="B884" t="s">
        <v>6766</v>
      </c>
      <c r="C884" s="20">
        <v>29844</v>
      </c>
      <c r="D884" t="s">
        <v>6767</v>
      </c>
      <c r="E884" t="s">
        <v>6243</v>
      </c>
      <c r="F884" t="s">
        <v>6768</v>
      </c>
      <c r="G884" t="s">
        <v>6769</v>
      </c>
      <c r="H884" s="21">
        <v>42702.922060185185</v>
      </c>
      <c r="I884" s="22" t="s">
        <v>1684</v>
      </c>
    </row>
    <row r="885" spans="1:9" x14ac:dyDescent="0.3">
      <c r="A885" t="s">
        <v>6770</v>
      </c>
      <c r="B885" t="s">
        <v>6771</v>
      </c>
      <c r="C885" s="20">
        <v>34131</v>
      </c>
      <c r="D885" t="s">
        <v>6772</v>
      </c>
      <c r="E885" t="s">
        <v>6387</v>
      </c>
      <c r="F885" t="s">
        <v>6773</v>
      </c>
      <c r="G885" t="s">
        <v>6774</v>
      </c>
      <c r="H885" s="21">
        <v>42632.141770833332</v>
      </c>
      <c r="I885" s="22" t="s">
        <v>1710</v>
      </c>
    </row>
    <row r="886" spans="1:9" x14ac:dyDescent="0.3">
      <c r="A886" t="s">
        <v>6775</v>
      </c>
      <c r="B886" t="s">
        <v>6776</v>
      </c>
      <c r="C886" s="20">
        <v>27504</v>
      </c>
      <c r="D886" t="s">
        <v>6777</v>
      </c>
      <c r="E886" t="s">
        <v>6500</v>
      </c>
      <c r="F886" t="s">
        <v>6778</v>
      </c>
      <c r="G886" t="s">
        <v>6779</v>
      </c>
      <c r="H886" s="21">
        <v>39872.793321759258</v>
      </c>
      <c r="I886" s="22" t="s">
        <v>1729</v>
      </c>
    </row>
    <row r="887" spans="1:9" x14ac:dyDescent="0.3">
      <c r="A887" t="s">
        <v>6780</v>
      </c>
      <c r="B887" t="s">
        <v>6781</v>
      </c>
      <c r="C887" s="20">
        <v>30755</v>
      </c>
      <c r="D887" t="s">
        <v>6782</v>
      </c>
      <c r="E887" t="s">
        <v>6101</v>
      </c>
      <c r="F887" t="s">
        <v>6783</v>
      </c>
      <c r="G887" t="s">
        <v>6784</v>
      </c>
      <c r="H887" s="21">
        <v>44202.688472222224</v>
      </c>
      <c r="I887" s="22" t="s">
        <v>1729</v>
      </c>
    </row>
    <row r="888" spans="1:9" x14ac:dyDescent="0.3">
      <c r="A888" t="s">
        <v>6785</v>
      </c>
      <c r="B888" t="s">
        <v>6786</v>
      </c>
      <c r="C888" s="20">
        <v>25630</v>
      </c>
      <c r="D888" t="s">
        <v>6787</v>
      </c>
      <c r="E888" t="s">
        <v>6154</v>
      </c>
      <c r="F888" t="s">
        <v>6788</v>
      </c>
      <c r="G888" t="s">
        <v>6789</v>
      </c>
      <c r="H888" s="21">
        <v>42547.003391203703</v>
      </c>
      <c r="I888" s="22" t="s">
        <v>1684</v>
      </c>
    </row>
    <row r="889" spans="1:9" x14ac:dyDescent="0.3">
      <c r="A889" t="s">
        <v>6790</v>
      </c>
      <c r="B889" t="s">
        <v>6791</v>
      </c>
      <c r="C889" s="20">
        <v>34701</v>
      </c>
      <c r="D889" t="s">
        <v>6792</v>
      </c>
      <c r="E889" t="s">
        <v>6095</v>
      </c>
      <c r="F889" t="s">
        <v>6793</v>
      </c>
      <c r="G889" t="s">
        <v>6794</v>
      </c>
      <c r="H889" s="21">
        <v>39718.784537037034</v>
      </c>
      <c r="I889" s="22" t="s">
        <v>1684</v>
      </c>
    </row>
    <row r="890" spans="1:9" x14ac:dyDescent="0.3">
      <c r="A890" t="s">
        <v>6795</v>
      </c>
      <c r="B890" t="s">
        <v>6796</v>
      </c>
      <c r="C890" s="20">
        <v>29956</v>
      </c>
      <c r="D890" t="s">
        <v>6797</v>
      </c>
      <c r="E890" t="s">
        <v>6524</v>
      </c>
      <c r="F890" t="s">
        <v>6798</v>
      </c>
      <c r="G890" t="s">
        <v>6799</v>
      </c>
      <c r="H890" s="21">
        <v>41781.191064814811</v>
      </c>
      <c r="I890" s="22" t="s">
        <v>1691</v>
      </c>
    </row>
    <row r="891" spans="1:9" x14ac:dyDescent="0.3">
      <c r="A891" t="s">
        <v>6800</v>
      </c>
      <c r="B891" t="s">
        <v>6801</v>
      </c>
      <c r="C891" s="20">
        <v>34240</v>
      </c>
      <c r="D891" t="s">
        <v>6802</v>
      </c>
      <c r="E891" t="s">
        <v>6333</v>
      </c>
      <c r="F891" t="s">
        <v>6803</v>
      </c>
      <c r="G891" t="s">
        <v>6804</v>
      </c>
      <c r="H891" s="21">
        <v>43850.108738425923</v>
      </c>
      <c r="I891" s="22" t="s">
        <v>1710</v>
      </c>
    </row>
    <row r="892" spans="1:9" x14ac:dyDescent="0.3">
      <c r="A892" t="s">
        <v>6805</v>
      </c>
      <c r="B892" t="s">
        <v>6806</v>
      </c>
      <c r="C892" s="20">
        <v>33632</v>
      </c>
      <c r="D892" t="s">
        <v>6807</v>
      </c>
      <c r="E892" t="s">
        <v>6446</v>
      </c>
      <c r="F892" t="s">
        <v>6808</v>
      </c>
      <c r="G892" t="s">
        <v>6809</v>
      </c>
      <c r="H892" s="21">
        <v>42416.725277777776</v>
      </c>
      <c r="I892" s="22" t="s">
        <v>1729</v>
      </c>
    </row>
    <row r="893" spans="1:9" x14ac:dyDescent="0.3">
      <c r="A893" t="s">
        <v>6810</v>
      </c>
      <c r="B893" t="s">
        <v>6811</v>
      </c>
      <c r="C893" s="20">
        <v>26518</v>
      </c>
      <c r="D893" t="s">
        <v>6812</v>
      </c>
      <c r="E893" t="s">
        <v>6148</v>
      </c>
      <c r="F893" t="s">
        <v>6813</v>
      </c>
      <c r="G893" t="s">
        <v>6814</v>
      </c>
      <c r="H893" s="21">
        <v>38955.997800925928</v>
      </c>
      <c r="I893" s="22" t="s">
        <v>1729</v>
      </c>
    </row>
    <row r="894" spans="1:9" x14ac:dyDescent="0.3">
      <c r="A894" t="s">
        <v>6815</v>
      </c>
      <c r="B894" t="s">
        <v>6816</v>
      </c>
      <c r="C894" s="20">
        <v>29349</v>
      </c>
      <c r="D894" t="s">
        <v>6817</v>
      </c>
      <c r="E894" t="s">
        <v>6721</v>
      </c>
      <c r="F894" t="s">
        <v>6818</v>
      </c>
      <c r="G894" t="s">
        <v>6819</v>
      </c>
      <c r="H894" s="21">
        <v>41718.850428240738</v>
      </c>
      <c r="I894" s="22" t="s">
        <v>1710</v>
      </c>
    </row>
    <row r="895" spans="1:9" x14ac:dyDescent="0.3">
      <c r="A895" t="s">
        <v>6820</v>
      </c>
      <c r="B895" t="s">
        <v>6821</v>
      </c>
      <c r="C895" s="20">
        <v>35949</v>
      </c>
      <c r="D895" t="s">
        <v>6822</v>
      </c>
      <c r="E895" t="s">
        <v>6285</v>
      </c>
      <c r="F895" t="s">
        <v>6823</v>
      </c>
      <c r="G895" t="s">
        <v>6824</v>
      </c>
      <c r="H895" s="21">
        <v>40960.902962962966</v>
      </c>
      <c r="I895" s="22" t="s">
        <v>1736</v>
      </c>
    </row>
    <row r="896" spans="1:9" x14ac:dyDescent="0.3">
      <c r="A896" t="s">
        <v>6825</v>
      </c>
      <c r="B896" t="s">
        <v>6826</v>
      </c>
      <c r="C896" s="20">
        <v>29418</v>
      </c>
      <c r="D896" t="s">
        <v>6827</v>
      </c>
      <c r="E896" t="s">
        <v>6142</v>
      </c>
      <c r="F896" t="s">
        <v>6828</v>
      </c>
      <c r="G896" t="s">
        <v>6829</v>
      </c>
      <c r="H896" s="21">
        <v>39182.628217592595</v>
      </c>
      <c r="I896" s="22" t="s">
        <v>1710</v>
      </c>
    </row>
    <row r="897" spans="1:9" x14ac:dyDescent="0.3">
      <c r="A897" t="s">
        <v>6830</v>
      </c>
      <c r="B897" t="s">
        <v>6831</v>
      </c>
      <c r="C897" s="20">
        <v>36414</v>
      </c>
      <c r="D897" t="s">
        <v>6832</v>
      </c>
      <c r="E897" t="s">
        <v>6363</v>
      </c>
      <c r="F897" t="s">
        <v>6833</v>
      </c>
      <c r="G897" t="s">
        <v>6834</v>
      </c>
      <c r="H897" s="21">
        <v>39770.409884259258</v>
      </c>
      <c r="I897" s="22" t="s">
        <v>1729</v>
      </c>
    </row>
    <row r="898" spans="1:9" x14ac:dyDescent="0.3">
      <c r="A898" t="s">
        <v>6835</v>
      </c>
      <c r="B898" t="s">
        <v>6836</v>
      </c>
      <c r="C898" s="20">
        <v>30390</v>
      </c>
      <c r="D898" t="s">
        <v>6837</v>
      </c>
      <c r="E898" t="s">
        <v>6345</v>
      </c>
      <c r="F898" t="s">
        <v>6838</v>
      </c>
      <c r="G898" t="s">
        <v>6839</v>
      </c>
      <c r="H898" s="21">
        <v>38884.750451388885</v>
      </c>
      <c r="I898" s="22" t="s">
        <v>1729</v>
      </c>
    </row>
    <row r="899" spans="1:9" x14ac:dyDescent="0.3">
      <c r="A899" t="s">
        <v>6840</v>
      </c>
      <c r="B899" t="s">
        <v>6841</v>
      </c>
      <c r="C899" s="20">
        <v>30787</v>
      </c>
      <c r="D899" t="s">
        <v>6842</v>
      </c>
      <c r="E899" t="s">
        <v>6613</v>
      </c>
      <c r="F899" t="s">
        <v>6843</v>
      </c>
      <c r="G899" t="s">
        <v>6844</v>
      </c>
      <c r="H899" s="21">
        <v>40531.633032407408</v>
      </c>
      <c r="I899" s="22" t="s">
        <v>1729</v>
      </c>
    </row>
    <row r="900" spans="1:9" x14ac:dyDescent="0.3">
      <c r="A900" t="s">
        <v>6845</v>
      </c>
      <c r="B900" t="s">
        <v>6846</v>
      </c>
      <c r="C900" s="20">
        <v>28533</v>
      </c>
      <c r="D900" t="s">
        <v>6847</v>
      </c>
      <c r="E900" t="s">
        <v>6160</v>
      </c>
      <c r="F900" t="s">
        <v>6848</v>
      </c>
      <c r="G900" t="s">
        <v>6849</v>
      </c>
      <c r="H900" s="21">
        <v>40518.38821759259</v>
      </c>
      <c r="I900" s="22" t="s">
        <v>1684</v>
      </c>
    </row>
    <row r="901" spans="1:9" x14ac:dyDescent="0.3">
      <c r="A901" t="s">
        <v>6850</v>
      </c>
      <c r="B901" t="s">
        <v>6851</v>
      </c>
      <c r="C901" s="20">
        <v>33872</v>
      </c>
      <c r="D901" t="s">
        <v>6852</v>
      </c>
      <c r="E901" t="s">
        <v>6118</v>
      </c>
      <c r="F901" t="s">
        <v>6853</v>
      </c>
      <c r="G901" t="s">
        <v>6854</v>
      </c>
      <c r="H901" s="21">
        <v>40563.592962962961</v>
      </c>
      <c r="I901" s="22" t="s">
        <v>1710</v>
      </c>
    </row>
    <row r="902" spans="1:9" x14ac:dyDescent="0.3">
      <c r="A902" t="s">
        <v>6855</v>
      </c>
      <c r="B902" t="s">
        <v>6856</v>
      </c>
      <c r="C902" s="20">
        <v>25914</v>
      </c>
      <c r="D902" t="s">
        <v>6857</v>
      </c>
      <c r="E902" t="s">
        <v>6219</v>
      </c>
      <c r="F902" t="s">
        <v>6858</v>
      </c>
      <c r="G902" t="s">
        <v>6859</v>
      </c>
      <c r="H902" s="21">
        <v>43818.721898148149</v>
      </c>
      <c r="I902" s="22" t="s">
        <v>1691</v>
      </c>
    </row>
    <row r="903" spans="1:9" x14ac:dyDescent="0.3">
      <c r="A903" t="s">
        <v>6860</v>
      </c>
      <c r="B903" t="s">
        <v>6861</v>
      </c>
      <c r="C903" s="20">
        <v>28609</v>
      </c>
      <c r="D903" t="s">
        <v>6862</v>
      </c>
      <c r="E903" t="s">
        <v>6703</v>
      </c>
      <c r="F903" t="s">
        <v>6863</v>
      </c>
      <c r="G903" t="s">
        <v>6864</v>
      </c>
      <c r="H903" s="21">
        <v>43752.568020833336</v>
      </c>
      <c r="I903" s="22" t="s">
        <v>1691</v>
      </c>
    </row>
    <row r="904" spans="1:9" x14ac:dyDescent="0.3">
      <c r="A904" t="s">
        <v>6865</v>
      </c>
      <c r="B904" t="s">
        <v>6866</v>
      </c>
      <c r="C904" s="20">
        <v>27071</v>
      </c>
      <c r="D904" t="s">
        <v>6867</v>
      </c>
      <c r="E904" t="s">
        <v>6303</v>
      </c>
      <c r="F904" t="s">
        <v>6868</v>
      </c>
      <c r="G904" t="s">
        <v>6869</v>
      </c>
      <c r="H904" s="21">
        <v>42224.691122685188</v>
      </c>
      <c r="I904" s="22" t="s">
        <v>1691</v>
      </c>
    </row>
    <row r="905" spans="1:9" x14ac:dyDescent="0.3">
      <c r="A905" t="s">
        <v>6870</v>
      </c>
      <c r="B905" t="s">
        <v>6871</v>
      </c>
      <c r="C905" s="20">
        <v>35289</v>
      </c>
      <c r="D905" t="s">
        <v>6872</v>
      </c>
      <c r="E905" t="s">
        <v>1740</v>
      </c>
      <c r="F905" t="s">
        <v>6873</v>
      </c>
      <c r="G905" t="s">
        <v>6874</v>
      </c>
      <c r="H905" s="21">
        <v>39540.50922453704</v>
      </c>
      <c r="I905" s="22" t="s">
        <v>1684</v>
      </c>
    </row>
    <row r="906" spans="1:9" x14ac:dyDescent="0.3">
      <c r="A906" t="s">
        <v>6875</v>
      </c>
      <c r="B906" t="s">
        <v>6876</v>
      </c>
      <c r="C906" s="20">
        <v>27861</v>
      </c>
      <c r="D906" t="s">
        <v>6877</v>
      </c>
      <c r="E906" t="s">
        <v>6506</v>
      </c>
      <c r="F906" t="s">
        <v>6878</v>
      </c>
      <c r="G906" t="s">
        <v>6879</v>
      </c>
      <c r="H906" s="21">
        <v>38692.368009259262</v>
      </c>
      <c r="I906" s="22" t="s">
        <v>1736</v>
      </c>
    </row>
    <row r="907" spans="1:9" x14ac:dyDescent="0.3">
      <c r="A907" t="s">
        <v>6880</v>
      </c>
      <c r="B907" t="s">
        <v>6881</v>
      </c>
      <c r="C907" s="20">
        <v>32837</v>
      </c>
      <c r="D907" t="s">
        <v>6882</v>
      </c>
      <c r="E907" t="s">
        <v>6213</v>
      </c>
      <c r="F907" t="s">
        <v>6883</v>
      </c>
      <c r="G907" t="s">
        <v>6884</v>
      </c>
      <c r="H907" s="21">
        <v>42164.290405092594</v>
      </c>
      <c r="I907" s="22" t="s">
        <v>1684</v>
      </c>
    </row>
    <row r="908" spans="1:9" x14ac:dyDescent="0.3">
      <c r="A908" t="s">
        <v>6885</v>
      </c>
      <c r="B908" t="s">
        <v>6886</v>
      </c>
      <c r="C908" s="20">
        <v>35213</v>
      </c>
      <c r="D908" t="s">
        <v>6887</v>
      </c>
      <c r="E908" t="s">
        <v>6470</v>
      </c>
      <c r="F908" t="s">
        <v>6888</v>
      </c>
      <c r="G908" t="s">
        <v>6889</v>
      </c>
      <c r="H908" s="21">
        <v>42453.71402777778</v>
      </c>
      <c r="I908" s="22" t="s">
        <v>1684</v>
      </c>
    </row>
    <row r="909" spans="1:9" x14ac:dyDescent="0.3">
      <c r="A909" t="s">
        <v>6890</v>
      </c>
      <c r="B909" t="s">
        <v>6891</v>
      </c>
      <c r="C909" s="20">
        <v>35811</v>
      </c>
      <c r="D909" t="s">
        <v>6892</v>
      </c>
      <c r="E909" t="s">
        <v>6452</v>
      </c>
      <c r="F909" t="s">
        <v>6893</v>
      </c>
      <c r="G909" t="s">
        <v>6894</v>
      </c>
      <c r="H909" s="21">
        <v>38518.488703703704</v>
      </c>
      <c r="I909" s="22" t="s">
        <v>1691</v>
      </c>
    </row>
    <row r="910" spans="1:9" x14ac:dyDescent="0.3">
      <c r="A910" t="s">
        <v>6895</v>
      </c>
      <c r="B910" t="s">
        <v>6896</v>
      </c>
      <c r="C910" s="20">
        <v>31833</v>
      </c>
      <c r="D910" t="s">
        <v>6897</v>
      </c>
      <c r="E910" t="s">
        <v>6530</v>
      </c>
      <c r="F910" t="s">
        <v>6898</v>
      </c>
      <c r="G910" t="s">
        <v>6899</v>
      </c>
      <c r="H910" s="21">
        <v>44247.115717592591</v>
      </c>
      <c r="I910" s="22" t="s">
        <v>1736</v>
      </c>
    </row>
    <row r="911" spans="1:9" x14ac:dyDescent="0.3">
      <c r="A911" t="s">
        <v>6900</v>
      </c>
      <c r="B911" t="s">
        <v>6901</v>
      </c>
      <c r="C911" s="20">
        <v>32386</v>
      </c>
      <c r="D911" t="s">
        <v>6902</v>
      </c>
      <c r="E911" t="s">
        <v>6130</v>
      </c>
      <c r="F911" t="s">
        <v>6903</v>
      </c>
      <c r="G911" t="s">
        <v>6904</v>
      </c>
      <c r="H911" s="21">
        <v>39594.054120370369</v>
      </c>
      <c r="I911" s="22" t="s">
        <v>1691</v>
      </c>
    </row>
    <row r="912" spans="1:9" x14ac:dyDescent="0.3">
      <c r="A912" t="s">
        <v>6905</v>
      </c>
      <c r="B912" t="s">
        <v>6906</v>
      </c>
      <c r="C912" s="20">
        <v>26258</v>
      </c>
      <c r="D912" t="s">
        <v>6907</v>
      </c>
      <c r="E912" t="s">
        <v>6166</v>
      </c>
      <c r="F912" t="s">
        <v>6908</v>
      </c>
      <c r="G912" t="s">
        <v>6909</v>
      </c>
      <c r="H912" s="21">
        <v>39207.77008101852</v>
      </c>
      <c r="I912" s="22" t="s">
        <v>1729</v>
      </c>
    </row>
    <row r="913" spans="1:9" x14ac:dyDescent="0.3">
      <c r="A913" t="s">
        <v>6910</v>
      </c>
      <c r="B913" t="s">
        <v>6911</v>
      </c>
      <c r="C913" s="20">
        <v>32632</v>
      </c>
      <c r="D913" t="s">
        <v>6912</v>
      </c>
      <c r="E913" t="s">
        <v>6327</v>
      </c>
      <c r="F913" t="s">
        <v>6913</v>
      </c>
      <c r="G913" t="s">
        <v>6914</v>
      </c>
      <c r="H913" s="21">
        <v>43934.65252314815</v>
      </c>
      <c r="I913" s="22" t="s">
        <v>1684</v>
      </c>
    </row>
    <row r="914" spans="1:9" x14ac:dyDescent="0.3">
      <c r="A914" t="s">
        <v>6915</v>
      </c>
      <c r="B914" t="s">
        <v>6916</v>
      </c>
      <c r="C914" s="20">
        <v>31932</v>
      </c>
      <c r="D914" t="s">
        <v>6917</v>
      </c>
      <c r="E914" t="s">
        <v>6375</v>
      </c>
      <c r="F914" t="s">
        <v>6918</v>
      </c>
      <c r="G914" t="s">
        <v>2072</v>
      </c>
      <c r="H914" s="21">
        <v>43777.393703703703</v>
      </c>
      <c r="I914" s="22" t="s">
        <v>1729</v>
      </c>
    </row>
    <row r="915" spans="1:9" x14ac:dyDescent="0.3">
      <c r="A915" t="s">
        <v>6919</v>
      </c>
      <c r="B915" t="s">
        <v>6920</v>
      </c>
      <c r="C915" s="20">
        <v>30080</v>
      </c>
      <c r="D915" t="s">
        <v>6921</v>
      </c>
      <c r="E915" t="s">
        <v>6237</v>
      </c>
      <c r="F915" t="s">
        <v>6922</v>
      </c>
      <c r="G915" t="s">
        <v>6923</v>
      </c>
      <c r="H915" s="21">
        <v>42925.551944444444</v>
      </c>
      <c r="I915" s="22" t="s">
        <v>1729</v>
      </c>
    </row>
    <row r="916" spans="1:9" x14ac:dyDescent="0.3">
      <c r="A916" t="s">
        <v>6924</v>
      </c>
      <c r="B916" t="s">
        <v>6925</v>
      </c>
      <c r="C916" s="20">
        <v>35825</v>
      </c>
      <c r="D916" t="s">
        <v>6926</v>
      </c>
      <c r="E916" t="s">
        <v>6733</v>
      </c>
      <c r="F916" t="s">
        <v>6927</v>
      </c>
      <c r="G916" t="s">
        <v>6928</v>
      </c>
      <c r="H916" s="21">
        <v>44299.835416666669</v>
      </c>
      <c r="I916" s="22" t="s">
        <v>1736</v>
      </c>
    </row>
    <row r="917" spans="1:9" x14ac:dyDescent="0.3">
      <c r="A917" t="s">
        <v>6929</v>
      </c>
      <c r="B917" t="s">
        <v>6930</v>
      </c>
      <c r="C917" s="20">
        <v>25572</v>
      </c>
      <c r="D917" t="s">
        <v>6931</v>
      </c>
      <c r="E917" t="s">
        <v>6434</v>
      </c>
      <c r="F917" t="s">
        <v>6932</v>
      </c>
      <c r="G917" t="s">
        <v>6933</v>
      </c>
      <c r="H917" s="21">
        <v>40527.02039351852</v>
      </c>
      <c r="I917" s="22" t="s">
        <v>1729</v>
      </c>
    </row>
    <row r="918" spans="1:9" x14ac:dyDescent="0.3">
      <c r="A918" t="s">
        <v>6934</v>
      </c>
      <c r="B918" t="s">
        <v>6935</v>
      </c>
      <c r="C918" s="20">
        <v>25995</v>
      </c>
      <c r="D918" t="s">
        <v>6936</v>
      </c>
      <c r="E918" t="s">
        <v>6571</v>
      </c>
      <c r="F918" t="s">
        <v>6937</v>
      </c>
      <c r="G918" t="s">
        <v>6938</v>
      </c>
      <c r="H918" s="21">
        <v>42059.845659722225</v>
      </c>
      <c r="I918" s="22" t="s">
        <v>1684</v>
      </c>
    </row>
    <row r="919" spans="1:9" x14ac:dyDescent="0.3">
      <c r="A919" t="s">
        <v>6939</v>
      </c>
      <c r="B919" t="s">
        <v>6940</v>
      </c>
      <c r="C919" s="20">
        <v>36581</v>
      </c>
      <c r="D919" t="s">
        <v>6941</v>
      </c>
      <c r="E919" t="s">
        <v>6745</v>
      </c>
      <c r="F919" t="s">
        <v>6942</v>
      </c>
      <c r="G919" t="s">
        <v>6943</v>
      </c>
      <c r="H919" s="21">
        <v>38785.635682870372</v>
      </c>
      <c r="I919" s="22" t="s">
        <v>1736</v>
      </c>
    </row>
    <row r="920" spans="1:9" x14ac:dyDescent="0.3">
      <c r="A920" t="s">
        <v>6944</v>
      </c>
      <c r="B920" t="s">
        <v>6945</v>
      </c>
      <c r="C920" s="20">
        <v>26166</v>
      </c>
      <c r="D920" t="s">
        <v>6946</v>
      </c>
      <c r="E920" t="s">
        <v>6691</v>
      </c>
      <c r="F920" t="s">
        <v>6947</v>
      </c>
      <c r="G920" t="s">
        <v>6948</v>
      </c>
      <c r="H920" s="21">
        <v>40438.532210648147</v>
      </c>
      <c r="I920" s="22" t="s">
        <v>1736</v>
      </c>
    </row>
    <row r="921" spans="1:9" x14ac:dyDescent="0.3">
      <c r="A921" t="s">
        <v>6949</v>
      </c>
      <c r="B921" t="s">
        <v>6950</v>
      </c>
      <c r="C921" s="20">
        <v>34091</v>
      </c>
      <c r="D921" t="s">
        <v>6951</v>
      </c>
      <c r="E921" t="s">
        <v>6583</v>
      </c>
      <c r="F921" t="s">
        <v>6952</v>
      </c>
      <c r="G921" t="s">
        <v>6953</v>
      </c>
      <c r="H921" s="21">
        <v>43138.464062500003</v>
      </c>
      <c r="I921" s="22" t="s">
        <v>1684</v>
      </c>
    </row>
    <row r="922" spans="1:9" x14ac:dyDescent="0.3">
      <c r="A922" t="s">
        <v>6954</v>
      </c>
      <c r="B922" t="s">
        <v>6955</v>
      </c>
      <c r="C922" s="20">
        <v>32042</v>
      </c>
      <c r="D922" t="s">
        <v>6956</v>
      </c>
      <c r="E922" t="s">
        <v>6667</v>
      </c>
      <c r="F922" t="s">
        <v>6957</v>
      </c>
      <c r="G922" t="s">
        <v>6958</v>
      </c>
      <c r="H922" s="21">
        <v>38456.895254629628</v>
      </c>
      <c r="I922" s="22" t="s">
        <v>1736</v>
      </c>
    </row>
    <row r="923" spans="1:9" x14ac:dyDescent="0.3">
      <c r="A923" t="s">
        <v>6959</v>
      </c>
      <c r="B923" t="s">
        <v>6960</v>
      </c>
      <c r="C923" s="20">
        <v>34930</v>
      </c>
      <c r="D923" t="s">
        <v>6961</v>
      </c>
      <c r="E923" t="s">
        <v>6619</v>
      </c>
      <c r="F923" t="s">
        <v>6962</v>
      </c>
      <c r="G923" t="s">
        <v>6963</v>
      </c>
      <c r="H923" s="21">
        <v>38753.61041666667</v>
      </c>
      <c r="I923" s="22" t="s">
        <v>1684</v>
      </c>
    </row>
    <row r="924" spans="1:9" x14ac:dyDescent="0.3">
      <c r="A924" t="s">
        <v>6964</v>
      </c>
      <c r="B924" t="s">
        <v>6965</v>
      </c>
      <c r="C924" s="20">
        <v>28284</v>
      </c>
      <c r="D924" t="s">
        <v>6966</v>
      </c>
      <c r="E924" t="s">
        <v>6410</v>
      </c>
      <c r="F924" t="s">
        <v>6967</v>
      </c>
      <c r="G924" t="s">
        <v>6968</v>
      </c>
      <c r="H924" s="21">
        <v>43631.030740740738</v>
      </c>
      <c r="I924" s="22" t="s">
        <v>1729</v>
      </c>
    </row>
    <row r="925" spans="1:9" x14ac:dyDescent="0.3">
      <c r="A925" t="s">
        <v>6969</v>
      </c>
      <c r="B925" t="s">
        <v>6970</v>
      </c>
      <c r="C925" s="20">
        <v>29036</v>
      </c>
      <c r="D925" t="s">
        <v>6971</v>
      </c>
      <c r="E925" t="s">
        <v>6464</v>
      </c>
      <c r="F925" t="s">
        <v>6972</v>
      </c>
      <c r="G925" t="s">
        <v>6973</v>
      </c>
      <c r="H925" s="21">
        <v>43786.40121527778</v>
      </c>
      <c r="I925" s="22" t="s">
        <v>1684</v>
      </c>
    </row>
    <row r="926" spans="1:9" x14ac:dyDescent="0.3">
      <c r="A926" t="s">
        <v>6974</v>
      </c>
      <c r="B926" t="s">
        <v>6975</v>
      </c>
      <c r="C926" s="20">
        <v>32066</v>
      </c>
      <c r="D926" t="s">
        <v>6976</v>
      </c>
      <c r="E926" t="s">
        <v>6565</v>
      </c>
      <c r="F926" t="s">
        <v>6977</v>
      </c>
      <c r="G926" t="s">
        <v>6978</v>
      </c>
      <c r="H926" s="21">
        <v>42208.750081018516</v>
      </c>
      <c r="I926" s="22" t="s">
        <v>1736</v>
      </c>
    </row>
    <row r="927" spans="1:9" x14ac:dyDescent="0.3">
      <c r="A927" t="s">
        <v>6979</v>
      </c>
      <c r="B927" t="s">
        <v>6980</v>
      </c>
      <c r="C927" s="20">
        <v>36339</v>
      </c>
      <c r="D927" t="s">
        <v>6981</v>
      </c>
      <c r="E927" t="s">
        <v>6393</v>
      </c>
      <c r="F927" t="s">
        <v>6982</v>
      </c>
      <c r="G927" t="s">
        <v>6983</v>
      </c>
      <c r="H927" s="21">
        <v>39311.629618055558</v>
      </c>
      <c r="I927" s="22" t="s">
        <v>1729</v>
      </c>
    </row>
    <row r="928" spans="1:9" x14ac:dyDescent="0.3">
      <c r="A928" t="s">
        <v>6984</v>
      </c>
      <c r="B928" t="s">
        <v>6985</v>
      </c>
      <c r="C928" s="20">
        <v>32783</v>
      </c>
      <c r="D928" t="s">
        <v>6986</v>
      </c>
      <c r="E928" t="s">
        <v>6673</v>
      </c>
      <c r="F928" t="s">
        <v>6987</v>
      </c>
      <c r="G928" t="s">
        <v>6988</v>
      </c>
      <c r="H928" s="21">
        <v>38443.885243055556</v>
      </c>
      <c r="I928" s="22" t="s">
        <v>1710</v>
      </c>
    </row>
    <row r="929" spans="1:9" x14ac:dyDescent="0.3">
      <c r="A929" t="s">
        <v>6989</v>
      </c>
      <c r="B929" t="s">
        <v>6990</v>
      </c>
      <c r="C929" s="20">
        <v>34855</v>
      </c>
      <c r="D929" t="s">
        <v>6991</v>
      </c>
      <c r="E929" t="s">
        <v>6685</v>
      </c>
      <c r="F929" t="s">
        <v>6992</v>
      </c>
      <c r="G929" t="s">
        <v>6993</v>
      </c>
      <c r="H929" s="21">
        <v>39448.47991898148</v>
      </c>
      <c r="I929" s="22" t="s">
        <v>1736</v>
      </c>
    </row>
    <row r="930" spans="1:9" x14ac:dyDescent="0.3">
      <c r="A930" t="s">
        <v>6994</v>
      </c>
      <c r="B930" t="s">
        <v>6995</v>
      </c>
      <c r="C930" s="20">
        <v>32835</v>
      </c>
      <c r="D930" t="s">
        <v>6996</v>
      </c>
      <c r="E930" t="s">
        <v>6440</v>
      </c>
      <c r="F930" t="s">
        <v>6997</v>
      </c>
      <c r="G930" t="s">
        <v>6998</v>
      </c>
      <c r="H930" s="21">
        <v>38751.847303240742</v>
      </c>
      <c r="I930" s="22" t="s">
        <v>1710</v>
      </c>
    </row>
    <row r="931" spans="1:9" x14ac:dyDescent="0.3">
      <c r="A931" t="s">
        <v>6999</v>
      </c>
      <c r="B931" t="s">
        <v>7000</v>
      </c>
      <c r="C931" s="20">
        <v>27089</v>
      </c>
      <c r="D931" t="s">
        <v>7001</v>
      </c>
      <c r="E931" t="s">
        <v>6625</v>
      </c>
      <c r="F931" t="s">
        <v>7002</v>
      </c>
      <c r="G931" t="s">
        <v>7003</v>
      </c>
      <c r="H931" s="21">
        <v>40908.528148148151</v>
      </c>
      <c r="I931" s="22" t="s">
        <v>1710</v>
      </c>
    </row>
    <row r="932" spans="1:9" x14ac:dyDescent="0.3">
      <c r="A932" t="s">
        <v>7004</v>
      </c>
      <c r="B932" t="s">
        <v>7005</v>
      </c>
      <c r="C932" s="20">
        <v>29287</v>
      </c>
      <c r="D932" t="s">
        <v>7006</v>
      </c>
      <c r="E932" t="s">
        <v>6178</v>
      </c>
      <c r="F932" t="s">
        <v>7007</v>
      </c>
      <c r="G932" t="s">
        <v>7008</v>
      </c>
      <c r="H932" s="21">
        <v>41954.149201388886</v>
      </c>
      <c r="I932" s="22" t="s">
        <v>1710</v>
      </c>
    </row>
    <row r="933" spans="1:9" x14ac:dyDescent="0.3">
      <c r="A933" t="s">
        <v>7009</v>
      </c>
      <c r="B933" t="s">
        <v>7010</v>
      </c>
      <c r="C933" s="20">
        <v>28011</v>
      </c>
      <c r="D933" t="s">
        <v>7011</v>
      </c>
      <c r="E933" t="s">
        <v>6751</v>
      </c>
      <c r="F933" t="s">
        <v>7012</v>
      </c>
      <c r="G933" t="s">
        <v>7013</v>
      </c>
      <c r="H933" s="21">
        <v>42059.875555555554</v>
      </c>
      <c r="I933" s="22" t="s">
        <v>1691</v>
      </c>
    </row>
    <row r="934" spans="1:9" x14ac:dyDescent="0.3">
      <c r="A934" t="s">
        <v>7014</v>
      </c>
      <c r="B934" t="s">
        <v>7015</v>
      </c>
      <c r="C934" s="20">
        <v>34588</v>
      </c>
      <c r="D934" t="s">
        <v>7016</v>
      </c>
      <c r="E934" t="s">
        <v>6190</v>
      </c>
      <c r="F934" t="s">
        <v>7017</v>
      </c>
      <c r="G934" t="s">
        <v>7018</v>
      </c>
      <c r="H934" s="21">
        <v>38968.974259259259</v>
      </c>
      <c r="I934" s="22" t="s">
        <v>1684</v>
      </c>
    </row>
    <row r="935" spans="1:9" x14ac:dyDescent="0.3">
      <c r="A935" t="s">
        <v>7019</v>
      </c>
      <c r="B935" t="s">
        <v>7020</v>
      </c>
      <c r="C935" s="20">
        <v>25860</v>
      </c>
      <c r="D935" t="s">
        <v>7021</v>
      </c>
      <c r="E935" t="s">
        <v>6225</v>
      </c>
      <c r="F935" t="s">
        <v>7022</v>
      </c>
      <c r="G935" t="s">
        <v>7023</v>
      </c>
      <c r="H935" s="21">
        <v>40280.837233796294</v>
      </c>
      <c r="I935" s="22" t="s">
        <v>1691</v>
      </c>
    </row>
    <row r="936" spans="1:9" x14ac:dyDescent="0.3">
      <c r="A936" t="s">
        <v>7024</v>
      </c>
      <c r="B936" t="s">
        <v>7025</v>
      </c>
      <c r="C936" s="20">
        <v>26311</v>
      </c>
      <c r="D936" t="s">
        <v>7026</v>
      </c>
      <c r="E936" t="s">
        <v>6172</v>
      </c>
      <c r="F936" t="s">
        <v>7027</v>
      </c>
      <c r="G936" t="s">
        <v>7028</v>
      </c>
      <c r="H936" s="21">
        <v>40482.452800925923</v>
      </c>
      <c r="I936" s="22" t="s">
        <v>1691</v>
      </c>
    </row>
    <row r="937" spans="1:9" x14ac:dyDescent="0.3">
      <c r="A937" t="s">
        <v>7029</v>
      </c>
      <c r="B937" t="s">
        <v>7030</v>
      </c>
      <c r="C937" s="20">
        <v>28283</v>
      </c>
      <c r="D937" t="s">
        <v>7031</v>
      </c>
      <c r="E937" t="s">
        <v>6554</v>
      </c>
      <c r="F937" t="s">
        <v>7032</v>
      </c>
      <c r="G937" t="s">
        <v>7033</v>
      </c>
      <c r="H937" s="21">
        <v>42310.298125000001</v>
      </c>
      <c r="I937" s="22" t="s">
        <v>1691</v>
      </c>
    </row>
    <row r="938" spans="1:9" x14ac:dyDescent="0.3">
      <c r="A938" t="s">
        <v>7034</v>
      </c>
      <c r="B938" t="s">
        <v>7035</v>
      </c>
      <c r="C938" s="20">
        <v>32353</v>
      </c>
      <c r="D938" t="s">
        <v>7036</v>
      </c>
      <c r="E938" t="s">
        <v>6458</v>
      </c>
      <c r="F938" t="s">
        <v>7037</v>
      </c>
      <c r="G938" t="s">
        <v>7038</v>
      </c>
      <c r="H938" s="21">
        <v>40999.297997685186</v>
      </c>
      <c r="I938" s="22" t="s">
        <v>1684</v>
      </c>
    </row>
    <row r="939" spans="1:9" x14ac:dyDescent="0.3">
      <c r="A939" t="s">
        <v>7039</v>
      </c>
      <c r="B939" t="s">
        <v>7040</v>
      </c>
      <c r="C939" s="20">
        <v>26493</v>
      </c>
      <c r="D939" t="s">
        <v>7041</v>
      </c>
      <c r="E939" t="s">
        <v>6273</v>
      </c>
      <c r="F939" t="s">
        <v>7042</v>
      </c>
      <c r="G939" t="s">
        <v>7043</v>
      </c>
      <c r="H939" s="21">
        <v>43342.646655092591</v>
      </c>
      <c r="I939" s="22" t="s">
        <v>1710</v>
      </c>
    </row>
    <row r="940" spans="1:9" x14ac:dyDescent="0.3">
      <c r="A940" t="s">
        <v>7044</v>
      </c>
      <c r="B940" t="s">
        <v>7045</v>
      </c>
      <c r="C940" s="20">
        <v>36274</v>
      </c>
      <c r="D940" t="s">
        <v>7046</v>
      </c>
      <c r="E940" t="s">
        <v>6047</v>
      </c>
      <c r="F940" t="s">
        <v>7047</v>
      </c>
      <c r="G940" t="s">
        <v>7048</v>
      </c>
      <c r="H940" s="21">
        <v>40402.806666666664</v>
      </c>
      <c r="I940" s="22" t="s">
        <v>1691</v>
      </c>
    </row>
    <row r="941" spans="1:9" x14ac:dyDescent="0.3">
      <c r="A941" t="s">
        <v>7049</v>
      </c>
      <c r="B941" t="s">
        <v>7050</v>
      </c>
      <c r="C941" s="20">
        <v>29981</v>
      </c>
      <c r="D941" t="s">
        <v>7051</v>
      </c>
      <c r="E941" t="s">
        <v>6053</v>
      </c>
      <c r="F941" t="s">
        <v>7052</v>
      </c>
      <c r="G941" t="s">
        <v>7053</v>
      </c>
      <c r="H941" s="21">
        <v>39265.846886574072</v>
      </c>
      <c r="I941" s="22" t="s">
        <v>1736</v>
      </c>
    </row>
    <row r="942" spans="1:9" x14ac:dyDescent="0.3">
      <c r="A942" t="s">
        <v>7054</v>
      </c>
      <c r="B942" t="s">
        <v>7055</v>
      </c>
      <c r="C942" s="20">
        <v>29304</v>
      </c>
      <c r="D942" t="s">
        <v>7056</v>
      </c>
      <c r="E942" t="s">
        <v>6351</v>
      </c>
      <c r="F942" t="s">
        <v>7057</v>
      </c>
      <c r="G942" t="s">
        <v>7058</v>
      </c>
      <c r="H942" s="21">
        <v>38938.648148148146</v>
      </c>
      <c r="I942" s="22" t="s">
        <v>1736</v>
      </c>
    </row>
    <row r="943" spans="1:9" x14ac:dyDescent="0.3">
      <c r="A943" t="s">
        <v>7059</v>
      </c>
      <c r="B943" t="s">
        <v>7060</v>
      </c>
      <c r="C943" s="20">
        <v>32590</v>
      </c>
      <c r="D943" t="s">
        <v>7061</v>
      </c>
      <c r="E943" t="s">
        <v>6757</v>
      </c>
      <c r="F943" t="s">
        <v>7062</v>
      </c>
      <c r="G943" t="s">
        <v>7063</v>
      </c>
      <c r="H943" s="21">
        <v>40909.384375000001</v>
      </c>
      <c r="I943" s="22" t="s">
        <v>1691</v>
      </c>
    </row>
    <row r="944" spans="1:9" x14ac:dyDescent="0.3">
      <c r="A944" t="s">
        <v>7064</v>
      </c>
      <c r="B944" t="s">
        <v>7065</v>
      </c>
      <c r="C944" s="20">
        <v>26774</v>
      </c>
      <c r="D944" t="s">
        <v>7066</v>
      </c>
      <c r="E944" t="s">
        <v>6559</v>
      </c>
      <c r="F944" t="s">
        <v>7067</v>
      </c>
      <c r="G944" t="s">
        <v>7068</v>
      </c>
      <c r="H944" s="21">
        <v>39548.542314814818</v>
      </c>
      <c r="I944" s="22" t="s">
        <v>1729</v>
      </c>
    </row>
    <row r="945" spans="1:9" x14ac:dyDescent="0.3">
      <c r="A945" t="s">
        <v>7069</v>
      </c>
      <c r="B945" t="s">
        <v>7070</v>
      </c>
      <c r="C945" s="20">
        <v>29151</v>
      </c>
      <c r="D945" t="s">
        <v>7071</v>
      </c>
      <c r="E945" t="s">
        <v>6536</v>
      </c>
      <c r="F945" t="s">
        <v>7072</v>
      </c>
      <c r="G945" t="s">
        <v>7073</v>
      </c>
      <c r="H945" s="21">
        <v>41942.188067129631</v>
      </c>
      <c r="I945" s="22" t="s">
        <v>1684</v>
      </c>
    </row>
    <row r="946" spans="1:9" x14ac:dyDescent="0.3">
      <c r="A946" t="s">
        <v>7074</v>
      </c>
      <c r="B946" t="s">
        <v>7075</v>
      </c>
      <c r="C946" s="20">
        <v>31055</v>
      </c>
      <c r="D946" t="s">
        <v>7076</v>
      </c>
      <c r="E946" t="s">
        <v>6595</v>
      </c>
      <c r="F946" t="s">
        <v>7077</v>
      </c>
      <c r="G946" t="s">
        <v>7078</v>
      </c>
      <c r="H946" s="21">
        <v>41926.29078703704</v>
      </c>
      <c r="I946" s="22" t="s">
        <v>1691</v>
      </c>
    </row>
    <row r="947" spans="1:9" x14ac:dyDescent="0.3">
      <c r="A947" t="s">
        <v>7079</v>
      </c>
      <c r="B947" t="s">
        <v>7080</v>
      </c>
      <c r="C947" s="20">
        <v>27236</v>
      </c>
      <c r="D947" t="s">
        <v>7081</v>
      </c>
      <c r="E947" t="s">
        <v>6357</v>
      </c>
      <c r="F947" t="s">
        <v>7082</v>
      </c>
      <c r="G947" t="s">
        <v>7083</v>
      </c>
      <c r="H947" s="21">
        <v>41903.483252314814</v>
      </c>
      <c r="I947" s="22" t="s">
        <v>1729</v>
      </c>
    </row>
    <row r="948" spans="1:9" x14ac:dyDescent="0.3">
      <c r="A948" t="s">
        <v>7084</v>
      </c>
      <c r="B948" t="s">
        <v>7085</v>
      </c>
      <c r="C948" s="20">
        <v>30345</v>
      </c>
      <c r="D948" t="s">
        <v>7086</v>
      </c>
      <c r="E948" t="s">
        <v>6255</v>
      </c>
      <c r="F948" t="s">
        <v>7087</v>
      </c>
      <c r="G948" t="s">
        <v>7088</v>
      </c>
      <c r="H948" s="21">
        <v>41063.276087962964</v>
      </c>
      <c r="I948" s="22" t="s">
        <v>1691</v>
      </c>
    </row>
    <row r="949" spans="1:9" x14ac:dyDescent="0.3">
      <c r="A949" t="s">
        <v>7089</v>
      </c>
      <c r="B949" t="s">
        <v>7090</v>
      </c>
      <c r="C949" s="20">
        <v>34989</v>
      </c>
      <c r="D949" t="s">
        <v>7091</v>
      </c>
      <c r="E949" t="s">
        <v>6643</v>
      </c>
      <c r="F949" t="s">
        <v>7092</v>
      </c>
      <c r="G949" t="s">
        <v>7093</v>
      </c>
      <c r="H949" s="21">
        <v>40657.379259259258</v>
      </c>
      <c r="I949" s="22" t="s">
        <v>1729</v>
      </c>
    </row>
    <row r="950" spans="1:9" x14ac:dyDescent="0.3">
      <c r="A950" t="s">
        <v>7094</v>
      </c>
      <c r="B950" t="s">
        <v>7095</v>
      </c>
      <c r="C950" s="20">
        <v>32250</v>
      </c>
      <c r="D950" t="s">
        <v>7096</v>
      </c>
      <c r="E950" t="s">
        <v>6184</v>
      </c>
      <c r="F950" t="s">
        <v>7097</v>
      </c>
      <c r="G950" t="s">
        <v>3628</v>
      </c>
      <c r="H950" s="21">
        <v>41749.10732638889</v>
      </c>
      <c r="I950" s="22" t="s">
        <v>1710</v>
      </c>
    </row>
    <row r="951" spans="1:9" x14ac:dyDescent="0.3">
      <c r="A951" t="s">
        <v>7098</v>
      </c>
      <c r="B951" t="s">
        <v>7099</v>
      </c>
      <c r="C951" s="20">
        <v>33187</v>
      </c>
      <c r="D951" t="s">
        <v>7100</v>
      </c>
      <c r="E951" t="s">
        <v>6321</v>
      </c>
      <c r="F951" t="s">
        <v>7101</v>
      </c>
      <c r="G951" t="s">
        <v>7102</v>
      </c>
      <c r="H951" s="21">
        <v>43130.435057870367</v>
      </c>
      <c r="I951" s="22" t="s">
        <v>1684</v>
      </c>
    </row>
    <row r="952" spans="1:9" x14ac:dyDescent="0.3">
      <c r="A952" t="s">
        <v>7103</v>
      </c>
      <c r="B952" t="s">
        <v>7104</v>
      </c>
      <c r="C952" s="20">
        <v>34327</v>
      </c>
      <c r="D952" t="s">
        <v>7105</v>
      </c>
      <c r="E952" t="s">
        <v>6548</v>
      </c>
      <c r="F952" t="s">
        <v>7106</v>
      </c>
      <c r="G952" t="s">
        <v>7107</v>
      </c>
      <c r="H952" s="21">
        <v>41088.270891203705</v>
      </c>
      <c r="I952" s="22" t="s">
        <v>1691</v>
      </c>
    </row>
    <row r="953" spans="1:9" x14ac:dyDescent="0.3">
      <c r="A953" t="s">
        <v>7108</v>
      </c>
      <c r="B953" t="s">
        <v>7109</v>
      </c>
      <c r="C953" s="20">
        <v>33293</v>
      </c>
      <c r="D953" t="s">
        <v>7110</v>
      </c>
      <c r="E953" t="s">
        <v>6649</v>
      </c>
      <c r="F953" t="s">
        <v>7111</v>
      </c>
      <c r="G953" t="s">
        <v>7112</v>
      </c>
      <c r="H953" s="21">
        <v>39602.426493055558</v>
      </c>
      <c r="I953" s="22" t="s">
        <v>1710</v>
      </c>
    </row>
    <row r="954" spans="1:9" x14ac:dyDescent="0.3">
      <c r="A954" t="s">
        <v>7113</v>
      </c>
      <c r="B954" t="s">
        <v>7114</v>
      </c>
      <c r="C954" s="20">
        <v>36472</v>
      </c>
      <c r="D954" t="s">
        <v>7115</v>
      </c>
      <c r="E954" t="s">
        <v>6297</v>
      </c>
      <c r="F954" t="s">
        <v>7116</v>
      </c>
      <c r="G954" t="s">
        <v>7117</v>
      </c>
      <c r="H954" s="21">
        <v>40061.588229166664</v>
      </c>
      <c r="I954" s="22" t="s">
        <v>1684</v>
      </c>
    </row>
    <row r="955" spans="1:9" x14ac:dyDescent="0.3">
      <c r="A955" t="s">
        <v>7118</v>
      </c>
      <c r="B955" t="s">
        <v>7119</v>
      </c>
      <c r="C955" s="20">
        <v>26863</v>
      </c>
      <c r="D955" t="s">
        <v>7120</v>
      </c>
      <c r="E955" t="s">
        <v>6589</v>
      </c>
      <c r="F955" t="s">
        <v>7121</v>
      </c>
      <c r="G955" t="s">
        <v>7122</v>
      </c>
      <c r="H955" s="21">
        <v>43482.852916666663</v>
      </c>
      <c r="I955" s="22" t="s">
        <v>1736</v>
      </c>
    </row>
    <row r="956" spans="1:9" x14ac:dyDescent="0.3">
      <c r="A956" t="s">
        <v>7123</v>
      </c>
      <c r="B956" t="s">
        <v>7124</v>
      </c>
      <c r="C956" s="20">
        <v>36210</v>
      </c>
      <c r="D956" t="s">
        <v>7125</v>
      </c>
      <c r="E956" t="s">
        <v>6315</v>
      </c>
      <c r="F956" t="s">
        <v>7126</v>
      </c>
      <c r="G956" t="s">
        <v>7127</v>
      </c>
      <c r="H956" s="21">
        <v>39966.437407407408</v>
      </c>
      <c r="I956" s="22" t="s">
        <v>1684</v>
      </c>
    </row>
    <row r="957" spans="1:9" x14ac:dyDescent="0.3">
      <c r="A957" t="s">
        <v>7128</v>
      </c>
      <c r="B957" t="s">
        <v>7129</v>
      </c>
      <c r="C957" s="20">
        <v>29667</v>
      </c>
      <c r="D957" t="s">
        <v>7130</v>
      </c>
      <c r="E957" t="s">
        <v>6482</v>
      </c>
      <c r="F957" t="s">
        <v>7131</v>
      </c>
      <c r="G957" t="s">
        <v>7132</v>
      </c>
      <c r="H957" s="21">
        <v>39446.890648148146</v>
      </c>
      <c r="I957" s="22" t="s">
        <v>1736</v>
      </c>
    </row>
    <row r="958" spans="1:9" x14ac:dyDescent="0.3">
      <c r="A958" t="s">
        <v>7133</v>
      </c>
      <c r="B958" t="s">
        <v>7134</v>
      </c>
      <c r="C958" s="20">
        <v>28132</v>
      </c>
      <c r="D958" t="s">
        <v>7135</v>
      </c>
      <c r="E958" t="s">
        <v>1714</v>
      </c>
      <c r="F958" t="s">
        <v>7136</v>
      </c>
      <c r="G958" t="s">
        <v>7137</v>
      </c>
      <c r="H958" s="21">
        <v>39049.485243055555</v>
      </c>
      <c r="I958" s="22" t="s">
        <v>1736</v>
      </c>
    </row>
    <row r="959" spans="1:9" x14ac:dyDescent="0.3">
      <c r="A959" t="s">
        <v>7138</v>
      </c>
      <c r="B959" t="s">
        <v>7139</v>
      </c>
      <c r="C959" s="20">
        <v>29658</v>
      </c>
      <c r="D959" t="s">
        <v>7140</v>
      </c>
      <c r="E959" t="s">
        <v>6739</v>
      </c>
      <c r="F959" t="s">
        <v>7141</v>
      </c>
      <c r="G959" t="s">
        <v>7142</v>
      </c>
      <c r="H959" s="21">
        <v>42669.099965277775</v>
      </c>
      <c r="I959" s="22" t="s">
        <v>1729</v>
      </c>
    </row>
    <row r="960" spans="1:9" x14ac:dyDescent="0.3">
      <c r="A960" t="s">
        <v>7143</v>
      </c>
      <c r="B960" t="s">
        <v>7144</v>
      </c>
      <c r="C960" s="20">
        <v>25569</v>
      </c>
      <c r="D960" t="s">
        <v>7145</v>
      </c>
      <c r="E960" t="s">
        <v>6422</v>
      </c>
      <c r="F960" t="s">
        <v>7146</v>
      </c>
      <c r="G960" t="s">
        <v>7147</v>
      </c>
      <c r="H960" s="21">
        <v>43814.76730324074</v>
      </c>
      <c r="I960" s="22" t="s">
        <v>1729</v>
      </c>
    </row>
    <row r="961" spans="1:9" x14ac:dyDescent="0.3">
      <c r="A961" t="s">
        <v>7148</v>
      </c>
      <c r="B961" t="s">
        <v>7149</v>
      </c>
      <c r="C961" s="20">
        <v>36246</v>
      </c>
      <c r="D961" t="s">
        <v>7150</v>
      </c>
      <c r="E961" t="s">
        <v>6476</v>
      </c>
      <c r="F961" t="s">
        <v>7151</v>
      </c>
      <c r="G961" t="s">
        <v>7152</v>
      </c>
      <c r="H961" s="21">
        <v>38893.644085648149</v>
      </c>
      <c r="I961" s="22" t="s">
        <v>1684</v>
      </c>
    </row>
    <row r="962" spans="1:9" x14ac:dyDescent="0.3">
      <c r="A962" t="s">
        <v>7153</v>
      </c>
      <c r="B962" t="s">
        <v>7154</v>
      </c>
      <c r="C962" s="20">
        <v>29736</v>
      </c>
      <c r="D962" t="s">
        <v>7155</v>
      </c>
      <c r="E962" t="s">
        <v>6381</v>
      </c>
      <c r="F962" t="s">
        <v>7156</v>
      </c>
      <c r="G962" t="s">
        <v>7157</v>
      </c>
      <c r="H962" s="21">
        <v>39072.367060185185</v>
      </c>
      <c r="I962" s="22" t="s">
        <v>1729</v>
      </c>
    </row>
    <row r="963" spans="1:9" x14ac:dyDescent="0.3">
      <c r="A963" t="s">
        <v>7158</v>
      </c>
      <c r="B963" t="s">
        <v>7159</v>
      </c>
      <c r="C963" s="20">
        <v>26400</v>
      </c>
      <c r="D963" t="s">
        <v>7160</v>
      </c>
      <c r="E963" t="s">
        <v>6404</v>
      </c>
      <c r="F963" t="s">
        <v>7161</v>
      </c>
      <c r="G963" t="s">
        <v>3772</v>
      </c>
      <c r="H963" s="21">
        <v>43019.959166666667</v>
      </c>
      <c r="I963" s="22" t="s">
        <v>1736</v>
      </c>
    </row>
    <row r="964" spans="1:9" x14ac:dyDescent="0.3">
      <c r="A964" t="s">
        <v>7162</v>
      </c>
      <c r="B964" t="s">
        <v>7163</v>
      </c>
      <c r="C964" s="20">
        <v>28291</v>
      </c>
      <c r="D964" t="s">
        <v>7164</v>
      </c>
      <c r="E964" t="s">
        <v>6542</v>
      </c>
      <c r="F964" t="s">
        <v>7165</v>
      </c>
      <c r="G964" t="s">
        <v>3341</v>
      </c>
      <c r="H964" s="21">
        <v>39734.125902777778</v>
      </c>
      <c r="I964" s="22" t="s">
        <v>1729</v>
      </c>
    </row>
    <row r="965" spans="1:9" x14ac:dyDescent="0.3">
      <c r="A965" t="s">
        <v>7166</v>
      </c>
      <c r="B965" t="s">
        <v>7167</v>
      </c>
      <c r="C965" s="20">
        <v>26964</v>
      </c>
      <c r="D965" t="s">
        <v>7168</v>
      </c>
      <c r="E965" t="s">
        <v>6089</v>
      </c>
      <c r="F965" t="s">
        <v>7169</v>
      </c>
      <c r="G965" t="s">
        <v>7170</v>
      </c>
      <c r="H965" s="21">
        <v>44101.625185185185</v>
      </c>
      <c r="I965" s="22" t="s">
        <v>1710</v>
      </c>
    </row>
    <row r="966" spans="1:9" x14ac:dyDescent="0.3">
      <c r="A966" t="s">
        <v>7171</v>
      </c>
      <c r="B966" t="s">
        <v>7172</v>
      </c>
      <c r="C966" s="20">
        <v>33879</v>
      </c>
      <c r="D966" t="s">
        <v>7173</v>
      </c>
      <c r="E966" t="s">
        <v>6488</v>
      </c>
      <c r="F966" t="s">
        <v>7174</v>
      </c>
      <c r="G966" t="s">
        <v>7175</v>
      </c>
      <c r="H966" s="21">
        <v>39793.254178240742</v>
      </c>
      <c r="I966" s="22" t="s">
        <v>1691</v>
      </c>
    </row>
    <row r="967" spans="1:9" x14ac:dyDescent="0.3">
      <c r="A967" t="s">
        <v>7176</v>
      </c>
      <c r="B967" t="s">
        <v>7177</v>
      </c>
      <c r="C967" s="20">
        <v>34297</v>
      </c>
      <c r="D967" t="s">
        <v>7178</v>
      </c>
      <c r="E967" t="s">
        <v>6631</v>
      </c>
      <c r="F967" t="s">
        <v>7179</v>
      </c>
      <c r="G967" t="s">
        <v>7180</v>
      </c>
      <c r="H967" s="21">
        <v>43197.688738425924</v>
      </c>
      <c r="I967" s="22" t="s">
        <v>1691</v>
      </c>
    </row>
    <row r="968" spans="1:9" x14ac:dyDescent="0.3">
      <c r="A968" t="s">
        <v>7181</v>
      </c>
      <c r="B968" t="s">
        <v>7182</v>
      </c>
      <c r="C968" s="20">
        <v>27480</v>
      </c>
      <c r="D968" t="s">
        <v>7183</v>
      </c>
      <c r="E968" t="s">
        <v>6709</v>
      </c>
      <c r="F968" t="s">
        <v>7184</v>
      </c>
      <c r="G968" t="s">
        <v>7185</v>
      </c>
      <c r="H968" s="21">
        <v>41428.2575462963</v>
      </c>
      <c r="I968" s="22" t="s">
        <v>1729</v>
      </c>
    </row>
    <row r="969" spans="1:9" x14ac:dyDescent="0.3">
      <c r="A969" t="s">
        <v>7186</v>
      </c>
      <c r="B969" t="s">
        <v>7187</v>
      </c>
      <c r="C969" s="20">
        <v>31242</v>
      </c>
      <c r="D969" t="s">
        <v>7188</v>
      </c>
      <c r="E969" t="s">
        <v>6428</v>
      </c>
      <c r="F969" t="s">
        <v>7189</v>
      </c>
      <c r="G969" t="s">
        <v>7190</v>
      </c>
      <c r="H969" s="21">
        <v>38760.209363425929</v>
      </c>
      <c r="I969" s="22" t="s">
        <v>1710</v>
      </c>
    </row>
    <row r="970" spans="1:9" x14ac:dyDescent="0.3">
      <c r="A970" t="s">
        <v>7191</v>
      </c>
      <c r="B970" t="s">
        <v>7192</v>
      </c>
      <c r="C970" s="20">
        <v>34813</v>
      </c>
      <c r="D970" t="s">
        <v>7193</v>
      </c>
      <c r="E970" t="s">
        <v>6065</v>
      </c>
      <c r="F970" t="s">
        <v>7194</v>
      </c>
      <c r="G970" t="s">
        <v>7195</v>
      </c>
      <c r="H970" s="21">
        <v>41483.625648148147</v>
      </c>
      <c r="I970" s="22" t="s">
        <v>1684</v>
      </c>
    </row>
    <row r="971" spans="1:9" x14ac:dyDescent="0.3">
      <c r="A971" t="s">
        <v>7196</v>
      </c>
      <c r="B971" t="s">
        <v>7197</v>
      </c>
      <c r="C971" s="20">
        <v>28194</v>
      </c>
      <c r="D971" t="s">
        <v>7198</v>
      </c>
      <c r="E971" t="s">
        <v>6512</v>
      </c>
      <c r="F971" t="s">
        <v>7199</v>
      </c>
      <c r="G971" t="s">
        <v>7200</v>
      </c>
      <c r="H971" s="21">
        <v>38501.865891203706</v>
      </c>
      <c r="I971" s="22" t="s">
        <v>1736</v>
      </c>
    </row>
    <row r="972" spans="1:9" x14ac:dyDescent="0.3">
      <c r="A972" t="s">
        <v>7201</v>
      </c>
      <c r="B972" t="s">
        <v>7202</v>
      </c>
      <c r="C972" s="20">
        <v>27488</v>
      </c>
      <c r="D972" t="s">
        <v>7203</v>
      </c>
      <c r="E972" t="s">
        <v>6494</v>
      </c>
      <c r="F972" t="s">
        <v>7204</v>
      </c>
      <c r="G972" t="s">
        <v>7205</v>
      </c>
      <c r="H972" s="21">
        <v>43338.960613425923</v>
      </c>
      <c r="I972" s="22" t="s">
        <v>1736</v>
      </c>
    </row>
    <row r="973" spans="1:9" x14ac:dyDescent="0.3">
      <c r="A973" t="s">
        <v>7206</v>
      </c>
      <c r="B973" t="s">
        <v>7207</v>
      </c>
      <c r="C973" s="20">
        <v>28675</v>
      </c>
      <c r="D973" t="s">
        <v>7208</v>
      </c>
      <c r="E973" t="s">
        <v>6124</v>
      </c>
      <c r="F973" t="s">
        <v>7209</v>
      </c>
      <c r="G973" t="s">
        <v>7210</v>
      </c>
      <c r="H973" s="21">
        <v>39912.123726851853</v>
      </c>
      <c r="I973" s="22" t="s">
        <v>1736</v>
      </c>
    </row>
    <row r="974" spans="1:9" x14ac:dyDescent="0.3">
      <c r="A974" t="s">
        <v>7211</v>
      </c>
      <c r="B974" t="s">
        <v>7212</v>
      </c>
      <c r="C974" s="20">
        <v>29360</v>
      </c>
      <c r="D974" t="s">
        <v>7213</v>
      </c>
      <c r="E974" t="s">
        <v>6041</v>
      </c>
      <c r="F974" t="s">
        <v>7214</v>
      </c>
      <c r="G974" t="s">
        <v>7215</v>
      </c>
      <c r="H974" s="21">
        <v>43294.032442129632</v>
      </c>
      <c r="I974" s="22" t="s">
        <v>1710</v>
      </c>
    </row>
    <row r="975" spans="1:9" x14ac:dyDescent="0.3">
      <c r="A975" t="s">
        <v>7216</v>
      </c>
      <c r="B975" t="s">
        <v>7217</v>
      </c>
      <c r="C975" s="20">
        <v>25881</v>
      </c>
      <c r="D975" t="s">
        <v>7218</v>
      </c>
      <c r="E975" t="s">
        <v>6577</v>
      </c>
      <c r="F975" t="s">
        <v>7219</v>
      </c>
      <c r="G975" t="s">
        <v>7220</v>
      </c>
      <c r="H975" s="21">
        <v>42425.609131944446</v>
      </c>
      <c r="I975" s="22" t="s">
        <v>1736</v>
      </c>
    </row>
    <row r="976" spans="1:9" x14ac:dyDescent="0.3">
      <c r="A976" t="s">
        <v>7221</v>
      </c>
      <c r="B976" t="s">
        <v>7222</v>
      </c>
      <c r="C976" s="20">
        <v>31636</v>
      </c>
      <c r="D976" t="s">
        <v>7223</v>
      </c>
      <c r="E976" t="s">
        <v>6291</v>
      </c>
      <c r="F976" t="s">
        <v>7224</v>
      </c>
      <c r="G976" t="s">
        <v>7225</v>
      </c>
      <c r="H976" s="21">
        <v>42762.995034722226</v>
      </c>
      <c r="I976" s="22" t="s">
        <v>1691</v>
      </c>
    </row>
    <row r="977" spans="1:9" x14ac:dyDescent="0.3">
      <c r="A977" t="s">
        <v>7226</v>
      </c>
      <c r="B977" t="s">
        <v>7227</v>
      </c>
      <c r="C977" s="20">
        <v>33874</v>
      </c>
      <c r="D977" t="s">
        <v>7228</v>
      </c>
      <c r="E977" t="s">
        <v>6601</v>
      </c>
      <c r="F977" t="s">
        <v>7229</v>
      </c>
      <c r="G977" t="s">
        <v>7230</v>
      </c>
      <c r="H977" s="21">
        <v>42291.859722222223</v>
      </c>
      <c r="I977" s="22" t="s">
        <v>1736</v>
      </c>
    </row>
    <row r="978" spans="1:9" x14ac:dyDescent="0.3">
      <c r="A978" t="s">
        <v>7231</v>
      </c>
      <c r="B978" t="s">
        <v>7232</v>
      </c>
      <c r="C978" s="20">
        <v>26076</v>
      </c>
      <c r="D978" t="s">
        <v>7233</v>
      </c>
      <c r="E978" t="s">
        <v>6231</v>
      </c>
      <c r="F978" t="s">
        <v>7234</v>
      </c>
      <c r="G978" t="s">
        <v>7235</v>
      </c>
      <c r="H978" s="21">
        <v>40968.121307870373</v>
      </c>
      <c r="I978" s="22" t="s">
        <v>1684</v>
      </c>
    </row>
    <row r="979" spans="1:9" x14ac:dyDescent="0.3">
      <c r="A979" t="s">
        <v>7236</v>
      </c>
      <c r="B979" t="s">
        <v>7237</v>
      </c>
      <c r="C979" s="20">
        <v>31678</v>
      </c>
      <c r="D979" t="s">
        <v>7238</v>
      </c>
      <c r="E979" t="s">
        <v>6207</v>
      </c>
      <c r="F979" t="s">
        <v>7239</v>
      </c>
      <c r="G979" t="s">
        <v>7240</v>
      </c>
      <c r="H979" s="21">
        <v>43114.704756944448</v>
      </c>
      <c r="I979" s="22" t="s">
        <v>1729</v>
      </c>
    </row>
    <row r="980" spans="1:9" x14ac:dyDescent="0.3">
      <c r="A980" t="s">
        <v>7241</v>
      </c>
      <c r="B980" t="s">
        <v>7242</v>
      </c>
      <c r="C980" s="20">
        <v>36490</v>
      </c>
      <c r="D980" t="s">
        <v>7243</v>
      </c>
      <c r="E980" t="s">
        <v>6136</v>
      </c>
      <c r="F980" t="s">
        <v>7244</v>
      </c>
      <c r="G980" t="s">
        <v>7245</v>
      </c>
      <c r="H980" s="21">
        <v>43410.436921296299</v>
      </c>
      <c r="I980" s="22" t="s">
        <v>1691</v>
      </c>
    </row>
    <row r="981" spans="1:9" x14ac:dyDescent="0.3">
      <c r="A981" t="s">
        <v>7246</v>
      </c>
      <c r="B981" t="s">
        <v>7247</v>
      </c>
      <c r="C981" s="20">
        <v>27288</v>
      </c>
      <c r="D981" t="s">
        <v>7248</v>
      </c>
      <c r="E981" t="s">
        <v>6369</v>
      </c>
      <c r="F981" t="s">
        <v>7249</v>
      </c>
      <c r="G981" t="s">
        <v>7250</v>
      </c>
      <c r="H981" s="21">
        <v>39385.043425925927</v>
      </c>
      <c r="I981" s="22" t="s">
        <v>1710</v>
      </c>
    </row>
    <row r="982" spans="1:9" x14ac:dyDescent="0.3">
      <c r="A982" t="s">
        <v>7251</v>
      </c>
      <c r="B982" t="s">
        <v>7252</v>
      </c>
      <c r="C982" s="20">
        <v>34213</v>
      </c>
      <c r="D982" t="s">
        <v>7253</v>
      </c>
      <c r="E982" t="s">
        <v>6339</v>
      </c>
      <c r="F982" t="s">
        <v>7254</v>
      </c>
      <c r="G982" t="s">
        <v>7255</v>
      </c>
      <c r="H982" s="21">
        <v>43440.725451388891</v>
      </c>
      <c r="I982" s="22" t="s">
        <v>1736</v>
      </c>
    </row>
    <row r="983" spans="1:9" x14ac:dyDescent="0.3">
      <c r="A983" t="s">
        <v>7256</v>
      </c>
      <c r="B983" t="s">
        <v>7257</v>
      </c>
      <c r="C983" s="20">
        <v>26530</v>
      </c>
      <c r="D983" t="s">
        <v>7258</v>
      </c>
      <c r="E983" t="s">
        <v>6112</v>
      </c>
      <c r="F983" t="s">
        <v>7259</v>
      </c>
      <c r="G983" t="s">
        <v>7260</v>
      </c>
      <c r="H983" s="21">
        <v>41284.308657407404</v>
      </c>
      <c r="I983" s="22" t="s">
        <v>1684</v>
      </c>
    </row>
    <row r="984" spans="1:9" x14ac:dyDescent="0.3">
      <c r="A984" t="s">
        <v>7261</v>
      </c>
      <c r="B984" t="s">
        <v>7262</v>
      </c>
      <c r="C984" s="20">
        <v>30446</v>
      </c>
      <c r="D984" t="s">
        <v>7263</v>
      </c>
      <c r="E984" t="s">
        <v>6267</v>
      </c>
      <c r="F984" t="s">
        <v>7264</v>
      </c>
      <c r="G984" t="s">
        <v>6814</v>
      </c>
      <c r="H984" s="21">
        <v>40536.009988425925</v>
      </c>
      <c r="I984" s="22" t="s">
        <v>1684</v>
      </c>
    </row>
    <row r="985" spans="1:9" x14ac:dyDescent="0.3">
      <c r="A985" t="s">
        <v>7265</v>
      </c>
      <c r="B985" t="s">
        <v>7266</v>
      </c>
      <c r="C985" s="20">
        <v>34730</v>
      </c>
      <c r="D985" t="s">
        <v>7267</v>
      </c>
      <c r="E985" t="s">
        <v>6661</v>
      </c>
      <c r="F985" t="s">
        <v>7268</v>
      </c>
      <c r="G985" t="s">
        <v>7269</v>
      </c>
      <c r="H985" s="21">
        <v>43430.870752314811</v>
      </c>
      <c r="I985" s="22" t="s">
        <v>1736</v>
      </c>
    </row>
    <row r="986" spans="1:9" x14ac:dyDescent="0.3">
      <c r="A986" t="s">
        <v>7270</v>
      </c>
      <c r="B986" t="s">
        <v>7271</v>
      </c>
      <c r="C986" s="20">
        <v>32774</v>
      </c>
      <c r="D986" t="s">
        <v>7272</v>
      </c>
      <c r="E986" t="s">
        <v>6637</v>
      </c>
      <c r="F986" t="s">
        <v>7273</v>
      </c>
      <c r="G986" t="s">
        <v>4131</v>
      </c>
      <c r="H986" s="21">
        <v>42121.8362037037</v>
      </c>
      <c r="I986" s="22" t="s">
        <v>1684</v>
      </c>
    </row>
    <row r="987" spans="1:9" x14ac:dyDescent="0.3">
      <c r="A987" t="s">
        <v>7274</v>
      </c>
      <c r="B987" t="s">
        <v>7275</v>
      </c>
      <c r="C987" s="20">
        <v>28066</v>
      </c>
      <c r="D987" t="s">
        <v>7276</v>
      </c>
      <c r="E987" t="s">
        <v>6059</v>
      </c>
      <c r="F987" t="s">
        <v>7277</v>
      </c>
      <c r="G987" t="s">
        <v>7278</v>
      </c>
      <c r="H987" s="21">
        <v>43256.360127314816</v>
      </c>
      <c r="I987" s="22" t="s">
        <v>1691</v>
      </c>
    </row>
    <row r="988" spans="1:9" x14ac:dyDescent="0.3">
      <c r="A988" t="s">
        <v>7279</v>
      </c>
      <c r="B988" t="s">
        <v>7280</v>
      </c>
      <c r="C988" s="20">
        <v>25652</v>
      </c>
      <c r="D988" t="s">
        <v>7281</v>
      </c>
      <c r="E988" t="s">
        <v>6071</v>
      </c>
      <c r="F988" t="s">
        <v>7282</v>
      </c>
      <c r="G988" t="s">
        <v>7283</v>
      </c>
      <c r="H988" s="21">
        <v>44198.741747685184</v>
      </c>
      <c r="I988" s="22" t="s">
        <v>1736</v>
      </c>
    </row>
    <row r="989" spans="1:9" x14ac:dyDescent="0.3">
      <c r="A989" t="s">
        <v>7284</v>
      </c>
      <c r="B989" t="s">
        <v>7285</v>
      </c>
      <c r="C989" s="20">
        <v>31140</v>
      </c>
      <c r="D989" t="s">
        <v>7286</v>
      </c>
      <c r="E989" t="s">
        <v>6416</v>
      </c>
      <c r="F989" t="s">
        <v>7287</v>
      </c>
      <c r="G989" t="s">
        <v>7288</v>
      </c>
      <c r="H989" s="21">
        <v>38751.189583333333</v>
      </c>
      <c r="I989" s="22" t="s">
        <v>1729</v>
      </c>
    </row>
    <row r="990" spans="1:9" x14ac:dyDescent="0.3">
      <c r="A990" t="s">
        <v>7289</v>
      </c>
      <c r="B990" t="s">
        <v>7290</v>
      </c>
      <c r="C990" s="20">
        <v>26330</v>
      </c>
      <c r="D990" t="s">
        <v>7291</v>
      </c>
      <c r="E990" t="s">
        <v>6715</v>
      </c>
      <c r="F990" t="s">
        <v>7292</v>
      </c>
      <c r="G990" t="s">
        <v>7293</v>
      </c>
      <c r="H990" s="21">
        <v>40468.270844907405</v>
      </c>
      <c r="I990" s="22" t="s">
        <v>1736</v>
      </c>
    </row>
    <row r="991" spans="1:9" x14ac:dyDescent="0.3">
      <c r="A991" t="s">
        <v>7294</v>
      </c>
      <c r="B991" t="s">
        <v>7295</v>
      </c>
      <c r="C991" s="20">
        <v>28342</v>
      </c>
      <c r="D991" t="s">
        <v>7296</v>
      </c>
      <c r="E991" t="s">
        <v>6309</v>
      </c>
      <c r="F991" t="s">
        <v>7297</v>
      </c>
      <c r="G991" t="s">
        <v>7298</v>
      </c>
      <c r="H991" s="21">
        <v>38463.045671296299</v>
      </c>
      <c r="I991" s="22" t="s">
        <v>1710</v>
      </c>
    </row>
    <row r="992" spans="1:9" x14ac:dyDescent="0.3">
      <c r="A992" t="s">
        <v>7299</v>
      </c>
      <c r="B992" t="s">
        <v>7300</v>
      </c>
      <c r="C992" s="20">
        <v>27042</v>
      </c>
      <c r="D992" t="s">
        <v>7301</v>
      </c>
      <c r="E992" t="s">
        <v>6261</v>
      </c>
      <c r="F992" t="s">
        <v>7302</v>
      </c>
      <c r="G992" t="s">
        <v>7303</v>
      </c>
      <c r="H992" s="21">
        <v>40820.272743055553</v>
      </c>
      <c r="I992" s="22" t="s">
        <v>1736</v>
      </c>
    </row>
    <row r="993" spans="1:9" x14ac:dyDescent="0.3">
      <c r="A993" t="s">
        <v>7304</v>
      </c>
      <c r="B993" t="s">
        <v>7305</v>
      </c>
      <c r="C993" s="20">
        <v>32092</v>
      </c>
      <c r="D993" t="s">
        <v>7306</v>
      </c>
      <c r="E993" t="s">
        <v>6518</v>
      </c>
      <c r="F993" t="s">
        <v>7307</v>
      </c>
      <c r="G993" t="s">
        <v>7308</v>
      </c>
      <c r="H993" s="21">
        <v>42535.487361111111</v>
      </c>
      <c r="I993" s="22" t="s">
        <v>1736</v>
      </c>
    </row>
    <row r="994" spans="1:9" x14ac:dyDescent="0.3">
      <c r="A994" t="s">
        <v>7309</v>
      </c>
      <c r="B994" t="s">
        <v>7310</v>
      </c>
      <c r="C994" s="20">
        <v>28943</v>
      </c>
      <c r="D994" t="s">
        <v>7311</v>
      </c>
      <c r="E994" t="s">
        <v>6279</v>
      </c>
      <c r="F994" t="s">
        <v>7312</v>
      </c>
      <c r="G994" t="s">
        <v>7313</v>
      </c>
      <c r="H994" s="21">
        <v>39049.422384259262</v>
      </c>
      <c r="I994" s="22" t="s">
        <v>1710</v>
      </c>
    </row>
    <row r="995" spans="1:9" x14ac:dyDescent="0.3">
      <c r="A995" t="s">
        <v>7314</v>
      </c>
      <c r="B995" t="s">
        <v>7315</v>
      </c>
      <c r="C995" s="20">
        <v>26540</v>
      </c>
      <c r="D995" t="s">
        <v>7316</v>
      </c>
      <c r="E995" t="s">
        <v>6727</v>
      </c>
      <c r="F995" t="s">
        <v>7317</v>
      </c>
      <c r="G995" t="s">
        <v>7318</v>
      </c>
      <c r="H995" s="21">
        <v>41516.643159722225</v>
      </c>
      <c r="I995" s="22" t="s">
        <v>1710</v>
      </c>
    </row>
    <row r="996" spans="1:9" x14ac:dyDescent="0.3">
      <c r="A996" t="s">
        <v>7319</v>
      </c>
      <c r="B996" t="s">
        <v>7320</v>
      </c>
      <c r="C996" s="20">
        <v>28772</v>
      </c>
      <c r="D996" t="s">
        <v>7321</v>
      </c>
      <c r="E996" t="s">
        <v>6655</v>
      </c>
      <c r="F996" t="s">
        <v>7322</v>
      </c>
      <c r="G996" t="s">
        <v>7323</v>
      </c>
      <c r="H996" s="21">
        <v>40272.879976851851</v>
      </c>
      <c r="I996" s="22" t="s">
        <v>1736</v>
      </c>
    </row>
    <row r="997" spans="1:9" x14ac:dyDescent="0.3">
      <c r="A997" t="s">
        <v>7324</v>
      </c>
      <c r="B997" t="s">
        <v>7325</v>
      </c>
      <c r="C997" s="20">
        <v>31554</v>
      </c>
      <c r="D997" t="s">
        <v>7326</v>
      </c>
      <c r="E997" t="s">
        <v>6607</v>
      </c>
      <c r="F997" t="s">
        <v>7327</v>
      </c>
      <c r="G997" t="s">
        <v>7328</v>
      </c>
      <c r="H997" s="21">
        <v>39493.921851851854</v>
      </c>
      <c r="I997" s="22" t="s">
        <v>1710</v>
      </c>
    </row>
    <row r="998" spans="1:9" x14ac:dyDescent="0.3">
      <c r="A998" t="s">
        <v>7329</v>
      </c>
      <c r="B998" t="s">
        <v>7330</v>
      </c>
      <c r="C998" s="20">
        <v>31797</v>
      </c>
      <c r="D998" t="s">
        <v>7331</v>
      </c>
      <c r="E998" t="s">
        <v>6083</v>
      </c>
      <c r="F998" t="s">
        <v>7332</v>
      </c>
      <c r="G998" t="s">
        <v>7333</v>
      </c>
      <c r="H998" s="21">
        <v>42401.895949074074</v>
      </c>
      <c r="I998" s="22" t="s">
        <v>1684</v>
      </c>
    </row>
    <row r="999" spans="1:9" x14ac:dyDescent="0.3">
      <c r="A999" t="s">
        <v>7334</v>
      </c>
      <c r="B999" t="s">
        <v>7335</v>
      </c>
      <c r="C999" s="20">
        <v>36041</v>
      </c>
      <c r="D999" t="s">
        <v>7336</v>
      </c>
      <c r="E999" t="s">
        <v>6106</v>
      </c>
      <c r="F999" t="s">
        <v>7337</v>
      </c>
      <c r="G999" t="s">
        <v>7338</v>
      </c>
      <c r="H999" s="21">
        <v>42502.694120370368</v>
      </c>
      <c r="I999" s="22" t="s">
        <v>1710</v>
      </c>
    </row>
    <row r="1000" spans="1:9" x14ac:dyDescent="0.3">
      <c r="A1000" t="s">
        <v>7339</v>
      </c>
      <c r="B1000" t="s">
        <v>7340</v>
      </c>
      <c r="C1000" s="20">
        <v>28099</v>
      </c>
      <c r="D1000" t="s">
        <v>7341</v>
      </c>
      <c r="E1000" t="s">
        <v>6697</v>
      </c>
      <c r="F1000" t="s">
        <v>7342</v>
      </c>
      <c r="G1000" t="s">
        <v>7343</v>
      </c>
      <c r="H1000" s="21">
        <v>43322.088252314818</v>
      </c>
      <c r="I1000" s="22" t="s">
        <v>1684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F6EC836F047F468D22F41905827371" ma:contentTypeVersion="17" ma:contentTypeDescription="Crear nuevo documento." ma:contentTypeScope="" ma:versionID="d2d1db163ce1493395134d8b326845d6">
  <xsd:schema xmlns:xsd="http://www.w3.org/2001/XMLSchema" xmlns:xs="http://www.w3.org/2001/XMLSchema" xmlns:p="http://schemas.microsoft.com/office/2006/metadata/properties" xmlns:ns2="1bbf5dc5-94bd-46ce-bfe5-4b4eff7733f8" xmlns:ns3="907832c8-5152-4e96-90ef-396555e20217" targetNamespace="http://schemas.microsoft.com/office/2006/metadata/properties" ma:root="true" ma:fieldsID="8c6ce8a0f00e5c5f28fbc945776766a2" ns2:_="" ns3:_="">
    <xsd:import namespace="1bbf5dc5-94bd-46ce-bfe5-4b4eff7733f8"/>
    <xsd:import namespace="907832c8-5152-4e96-90ef-396555e202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f5dc5-94bd-46ce-bfe5-4b4eff7733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1d21979f-4ff3-4765-882b-31f71102b2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832c8-5152-4e96-90ef-396555e2021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941318-daec-45e6-a8df-32e51e4f9052}" ma:internalName="TaxCatchAll" ma:showField="CatchAllData" ma:web="907832c8-5152-4e96-90ef-396555e202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90D715-2632-4422-BC64-7DF00B4373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bf5dc5-94bd-46ce-bfe5-4b4eff7733f8"/>
    <ds:schemaRef ds:uri="907832c8-5152-4e96-90ef-396555e202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E79AAB-49AE-4AD4-8CB2-4AA9EC5F73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Hoja1</vt:lpstr>
      <vt:lpstr>Hoja1 (2)</vt:lpstr>
      <vt:lpstr>Hoja2</vt:lpstr>
      <vt:lpstr>RECIBOS ACUEDUCTO</vt:lpstr>
      <vt:lpstr>VENTAS INTERNACIONALES</vt:lpstr>
      <vt:lpstr>PROVEEDORES INTERNACIONALES</vt:lpstr>
      <vt:lpstr>'PROVEEDORES INTERNACIONALES'!random_names_fossbytes__1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Arnulfo Olivos Tunarosa</dc:creator>
  <cp:lastModifiedBy>jeiss</cp:lastModifiedBy>
  <dcterms:created xsi:type="dcterms:W3CDTF">2023-05-17T20:26:38Z</dcterms:created>
  <dcterms:modified xsi:type="dcterms:W3CDTF">2023-05-21T23:05:42Z</dcterms:modified>
</cp:coreProperties>
</file>